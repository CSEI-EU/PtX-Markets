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S242" i="3" l="1"/>
  <c r="W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7" i="18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10" i="20"/>
  <c r="T20" i="19"/>
  <c r="T24" i="19"/>
  <c r="R23" i="18"/>
  <c r="Q14" i="20"/>
  <c r="Q10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M24" i="19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L23" i="18"/>
  <c r="T23" i="18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W24" i="19"/>
  <c r="Q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L21" i="20" l="1"/>
  <c r="I213" i="3"/>
  <c r="S23" i="18"/>
  <c r="M23" i="18"/>
  <c r="E13" i="18"/>
  <c r="M23" i="20"/>
  <c r="F19" i="18"/>
  <c r="F18" i="18"/>
  <c r="R25" i="19"/>
  <c r="R21" i="19"/>
  <c r="F24" i="19"/>
  <c r="R29" i="3"/>
  <c r="R123" i="3" s="1"/>
  <c r="F89" i="3"/>
  <c r="F181" i="3" s="1"/>
  <c r="H20" i="19"/>
  <c r="K23" i="18"/>
  <c r="N29" i="3"/>
  <c r="N123" i="3" s="1"/>
  <c r="N23" i="18"/>
  <c r="R22" i="18"/>
  <c r="S10" i="20"/>
  <c r="N10" i="20"/>
  <c r="S22" i="18"/>
  <c r="K20" i="19"/>
  <c r="L20" i="19"/>
  <c r="N22" i="18"/>
  <c r="F20" i="19"/>
  <c r="G23" i="20"/>
  <c r="D21" i="20"/>
  <c r="J21" i="19"/>
  <c r="H25" i="19"/>
  <c r="W3" i="19"/>
  <c r="W28" i="19" s="1"/>
  <c r="G24" i="19"/>
  <c r="O21" i="19"/>
  <c r="W10" i="20"/>
  <c r="H11" i="20"/>
  <c r="N24" i="19"/>
  <c r="Q25" i="19"/>
  <c r="P24" i="19"/>
  <c r="P10" i="20"/>
  <c r="O11" i="20"/>
  <c r="Q11" i="20"/>
  <c r="J11" i="20"/>
  <c r="N20" i="19"/>
  <c r="Q21" i="19"/>
  <c r="G18" i="18"/>
  <c r="R212" i="3"/>
  <c r="I22" i="18"/>
  <c r="E13" i="20"/>
  <c r="U18" i="18"/>
  <c r="W17" i="20"/>
  <c r="U29" i="3"/>
  <c r="U122" i="3" s="1"/>
  <c r="E22" i="18"/>
  <c r="E23" i="18"/>
  <c r="U19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19" i="19"/>
  <c r="W27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41" i="3" l="1"/>
  <c r="N121" i="3"/>
  <c r="T241" i="3"/>
  <c r="P122" i="3"/>
  <c r="U123" i="3"/>
  <c r="P9" i="20"/>
  <c r="R122" i="3"/>
  <c r="F183" i="3"/>
  <c r="F241" i="3"/>
  <c r="R121" i="3"/>
  <c r="N9" i="20"/>
  <c r="U121" i="3"/>
  <c r="W29" i="19"/>
  <c r="P121" i="3"/>
  <c r="M182" i="3"/>
  <c r="Q241" i="3"/>
  <c r="M19" i="19"/>
  <c r="M23" i="19"/>
  <c r="M9" i="20"/>
  <c r="L121" i="3"/>
  <c r="D123" i="3"/>
  <c r="P27" i="19"/>
  <c r="U182" i="3"/>
  <c r="E23" i="19"/>
  <c r="W9" i="20"/>
  <c r="W23" i="19"/>
  <c r="E27" i="19"/>
  <c r="E28" i="19"/>
  <c r="G28" i="19"/>
  <c r="T123" i="3"/>
  <c r="K183" i="3"/>
  <c r="M27" i="19"/>
  <c r="G27" i="19"/>
  <c r="Q23" i="19"/>
  <c r="N27" i="19"/>
  <c r="F153" i="3"/>
  <c r="F151" i="3"/>
  <c r="M28" i="19"/>
  <c r="N29" i="19"/>
  <c r="Q9" i="20"/>
  <c r="N1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84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1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6" i="9" l="1"/>
  <c r="W58" i="9"/>
  <c r="W63" i="9"/>
  <c r="W65" i="9"/>
  <c r="F84" i="4"/>
  <c r="W45" i="9"/>
  <c r="W59" i="9"/>
  <c r="Q84" i="4"/>
  <c r="W62" i="9"/>
  <c r="W60" i="9"/>
  <c r="Q75" i="7"/>
  <c r="Q59" i="7" s="1"/>
  <c r="H60" i="7"/>
  <c r="H59" i="7" s="1"/>
  <c r="W57" i="9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B47" i="6" s="1"/>
  <c r="Q60" i="7"/>
  <c r="G60" i="7"/>
  <c r="I75" i="7"/>
  <c r="V60" i="7"/>
  <c r="W23" i="9"/>
  <c r="W26" i="10"/>
  <c r="W232" i="3"/>
  <c r="R100" i="4"/>
  <c r="R84" i="4" s="1"/>
  <c r="R31" i="4"/>
  <c r="T4" i="6"/>
  <c r="J100" i="4"/>
  <c r="J84" i="4" s="1"/>
  <c r="K100" i="4"/>
  <c r="K84" i="4" s="1"/>
  <c r="V31" i="4"/>
  <c r="V260" i="4" s="1"/>
  <c r="U75" i="7"/>
  <c r="U59" i="7" s="1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93" i="6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8" i="5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I270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47" i="7"/>
  <c r="G216" i="4"/>
  <c r="G103" i="6"/>
  <c r="G109" i="5"/>
  <c r="Q170" i="4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P64" i="6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18" i="4"/>
  <c r="S105" i="6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26" i="7"/>
  <c r="U73" i="4"/>
  <c r="J127" i="4"/>
  <c r="J46" i="7" s="1"/>
  <c r="J47" i="7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64" i="6"/>
  <c r="Q70" i="5"/>
  <c r="V46" i="4"/>
  <c r="N71" i="6"/>
  <c r="N265" i="4"/>
  <c r="N77" i="5"/>
  <c r="O77" i="6"/>
  <c r="O83" i="5"/>
  <c r="H58" i="4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M99" i="6" l="1"/>
  <c r="J77" i="6"/>
  <c r="J219" i="7" s="1"/>
  <c r="I58" i="4"/>
  <c r="I4" i="7" s="1"/>
  <c r="M83" i="6"/>
  <c r="Q100" i="6"/>
  <c r="Q117" i="5"/>
  <c r="T184" i="4"/>
  <c r="Q213" i="4"/>
  <c r="R127" i="4"/>
  <c r="R46" i="7" s="1"/>
  <c r="S125" i="7"/>
  <c r="V59" i="7"/>
  <c r="P106" i="5"/>
  <c r="E190" i="4"/>
  <c r="R13" i="7"/>
  <c r="S99" i="6"/>
  <c r="R47" i="7"/>
  <c r="N127" i="4"/>
  <c r="N46" i="7" s="1"/>
  <c r="R105" i="6"/>
  <c r="I266" i="4"/>
  <c r="U206" i="7"/>
  <c r="R58" i="4"/>
  <c r="R4" i="7" s="1"/>
  <c r="N70" i="5"/>
  <c r="N125" i="7" s="1"/>
  <c r="R218" i="4"/>
  <c r="I268" i="4"/>
  <c r="I199" i="4"/>
  <c r="B138" i="7"/>
  <c r="B190" i="4"/>
  <c r="T206" i="7"/>
  <c r="I272" i="4"/>
  <c r="O125" i="7"/>
  <c r="Q125" i="7"/>
  <c r="T177" i="4"/>
  <c r="B71" i="6"/>
  <c r="O206" i="7"/>
  <c r="B73" i="4"/>
  <c r="B19" i="7" s="1"/>
  <c r="G112" i="4"/>
  <c r="D99" i="5"/>
  <c r="S112" i="4"/>
  <c r="Q206" i="7"/>
  <c r="J112" i="4"/>
  <c r="J111" i="4" s="1"/>
  <c r="J30" i="7" s="1"/>
  <c r="M203" i="4"/>
  <c r="S26" i="4"/>
  <c r="O271" i="4"/>
  <c r="B207" i="4"/>
  <c r="M200" i="4"/>
  <c r="R177" i="4"/>
  <c r="M64" i="6"/>
  <c r="M206" i="7" s="1"/>
  <c r="U63" i="5"/>
  <c r="U118" i="7" s="1"/>
  <c r="T118" i="6"/>
  <c r="I59" i="7"/>
  <c r="B77" i="5"/>
  <c r="B132" i="7" s="1"/>
  <c r="B213" i="7"/>
  <c r="U125" i="7"/>
  <c r="B184" i="4"/>
  <c r="D47" i="6"/>
  <c r="U213" i="7"/>
  <c r="J213" i="7"/>
  <c r="T213" i="7"/>
  <c r="M13" i="4"/>
  <c r="K184" i="4"/>
  <c r="B57" i="6"/>
  <c r="P71" i="6"/>
  <c r="P213" i="7" s="1"/>
  <c r="O6" i="4"/>
  <c r="O143" i="4" s="1"/>
  <c r="S42" i="5"/>
  <c r="W231" i="4"/>
  <c r="Q91" i="5"/>
  <c r="M196" i="4"/>
  <c r="U20" i="4"/>
  <c r="U157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7" i="5" s="1"/>
  <c r="K77" i="5"/>
  <c r="K132" i="7" s="1"/>
  <c r="J190" i="4"/>
  <c r="S206" i="7"/>
  <c r="M26" i="4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1" i="4" s="1"/>
  <c r="S216" i="4"/>
  <c r="G190" i="4"/>
  <c r="Q57" i="6"/>
  <c r="Q199" i="7" s="1"/>
  <c r="N200" i="4"/>
  <c r="V206" i="7"/>
  <c r="G137" i="5"/>
  <c r="V6" i="4"/>
  <c r="U6" i="4"/>
  <c r="U143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90" i="5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90" i="5"/>
  <c r="M204" i="4"/>
  <c r="M91" i="6"/>
  <c r="M97" i="5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69" i="4"/>
  <c r="E270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K143" i="4"/>
  <c r="K197" i="4"/>
  <c r="K84" i="6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67" i="4"/>
  <c r="H201" i="4"/>
  <c r="H88" i="6"/>
  <c r="H94" i="5"/>
  <c r="E143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U19" i="7"/>
  <c r="S242" i="4"/>
  <c r="V265" i="4"/>
  <c r="H253" i="4"/>
  <c r="H263" i="4"/>
  <c r="H257" i="4"/>
  <c r="C6" i="4"/>
  <c r="T20" i="4"/>
  <c r="R4" i="4"/>
  <c r="R143" i="4"/>
  <c r="B143" i="4"/>
  <c r="P13" i="4"/>
  <c r="M150" i="4"/>
  <c r="V19" i="4"/>
  <c r="V157" i="4"/>
  <c r="H13" i="4"/>
  <c r="U19" i="4"/>
  <c r="U244" i="4" s="1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E19" i="4"/>
  <c r="E238" i="4" s="1"/>
  <c r="O84" i="6" l="1"/>
  <c r="E273" i="4"/>
  <c r="J204" i="4"/>
  <c r="G98" i="6"/>
  <c r="H255" i="4"/>
  <c r="H250" i="4"/>
  <c r="H260" i="4"/>
  <c r="O197" i="4"/>
  <c r="E264" i="4"/>
  <c r="E70" i="6"/>
  <c r="J150" i="4"/>
  <c r="E30" i="4"/>
  <c r="H61" i="5"/>
  <c r="B4" i="4"/>
  <c r="B231" i="4" s="1"/>
  <c r="J31" i="7"/>
  <c r="E266" i="4"/>
  <c r="H254" i="4"/>
  <c r="H168" i="4"/>
  <c r="I104" i="5"/>
  <c r="E268" i="4"/>
  <c r="I19" i="4"/>
  <c r="I244" i="4" s="1"/>
  <c r="O57" i="4"/>
  <c r="O3" i="7" s="1"/>
  <c r="H262" i="4"/>
  <c r="H261" i="4"/>
  <c r="I98" i="6"/>
  <c r="C57" i="4"/>
  <c r="C3" i="7" s="1"/>
  <c r="H259" i="4"/>
  <c r="I211" i="4"/>
  <c r="E272" i="4"/>
  <c r="O4" i="4"/>
  <c r="O232" i="4" s="1"/>
  <c r="H251" i="4"/>
  <c r="H252" i="4"/>
  <c r="O183" i="4"/>
  <c r="H249" i="4"/>
  <c r="E271" i="4"/>
  <c r="S231" i="4"/>
  <c r="E267" i="4"/>
  <c r="E76" i="5"/>
  <c r="O157" i="4"/>
  <c r="T269" i="4"/>
  <c r="N183" i="4"/>
  <c r="O104" i="5"/>
  <c r="U98" i="6"/>
  <c r="O19" i="4"/>
  <c r="U4" i="4"/>
  <c r="T273" i="4"/>
  <c r="O98" i="6"/>
  <c r="U211" i="4"/>
  <c r="U90" i="5"/>
  <c r="F111" i="4"/>
  <c r="F30" i="7" s="1"/>
  <c r="T266" i="4"/>
  <c r="T183" i="4"/>
  <c r="U84" i="6"/>
  <c r="T76" i="5"/>
  <c r="R168" i="4"/>
  <c r="T268" i="4"/>
  <c r="U197" i="4"/>
  <c r="T270" i="4"/>
  <c r="T264" i="4"/>
  <c r="T265" i="4"/>
  <c r="T272" i="4"/>
  <c r="N204" i="4"/>
  <c r="B84" i="6"/>
  <c r="E4" i="4"/>
  <c r="E141" i="4" s="1"/>
  <c r="H157" i="4"/>
  <c r="K104" i="6"/>
  <c r="H57" i="4"/>
  <c r="H3" i="7" s="1"/>
  <c r="I90" i="5"/>
  <c r="N57" i="4"/>
  <c r="N3" i="7" s="1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245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59" i="5"/>
  <c r="J152" i="5"/>
  <c r="J153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226" i="4"/>
  <c r="N225" i="4"/>
  <c r="N236" i="4"/>
  <c r="N228" i="4"/>
  <c r="B239" i="4"/>
  <c r="B243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241" i="4"/>
  <c r="G243" i="4"/>
  <c r="G246" i="4"/>
  <c r="P143" i="4"/>
  <c r="P197" i="4"/>
  <c r="P84" i="6"/>
  <c r="P90" i="5"/>
  <c r="E195" i="4"/>
  <c r="E82" i="6"/>
  <c r="E236" i="4"/>
  <c r="E230" i="4"/>
  <c r="E228" i="4"/>
  <c r="E226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28" i="4"/>
  <c r="J233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03" i="5"/>
  <c r="D245" i="4"/>
  <c r="D246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10" i="4"/>
  <c r="Q97" i="6"/>
  <c r="Q241" i="4"/>
  <c r="Q239" i="4"/>
  <c r="Q245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Q246" i="4" l="1"/>
  <c r="G245" i="4"/>
  <c r="D237" i="4"/>
  <c r="J155" i="5"/>
  <c r="D242" i="4"/>
  <c r="D97" i="6"/>
  <c r="G237" i="4"/>
  <c r="G242" i="4"/>
  <c r="J148" i="5"/>
  <c r="Q240" i="4"/>
  <c r="Q237" i="4"/>
  <c r="D239" i="4"/>
  <c r="D210" i="4"/>
  <c r="Q238" i="4"/>
  <c r="G103" i="5"/>
  <c r="J146" i="5"/>
  <c r="Q242" i="4"/>
  <c r="Q103" i="5"/>
  <c r="D244" i="4"/>
  <c r="G244" i="4"/>
  <c r="D238" i="4"/>
  <c r="D241" i="4"/>
  <c r="D156" i="4"/>
  <c r="G97" i="6"/>
  <c r="J141" i="5"/>
  <c r="Q243" i="4"/>
  <c r="Q156" i="4"/>
  <c r="D240" i="4"/>
  <c r="G239" i="4"/>
  <c r="J161" i="5"/>
  <c r="J144" i="5"/>
  <c r="D167" i="4"/>
  <c r="J234" i="4"/>
  <c r="J222" i="4"/>
  <c r="E227" i="4"/>
  <c r="B237" i="4"/>
  <c r="N229" i="4"/>
  <c r="N222" i="4"/>
  <c r="J223" i="4"/>
  <c r="J88" i="5"/>
  <c r="E223" i="4"/>
  <c r="B103" i="5"/>
  <c r="N232" i="4"/>
  <c r="N234" i="4"/>
  <c r="H147" i="6"/>
  <c r="J232" i="4"/>
  <c r="J82" i="6"/>
  <c r="E225" i="4"/>
  <c r="B242" i="4"/>
  <c r="B97" i="6"/>
  <c r="N233" i="4"/>
  <c r="N88" i="5"/>
  <c r="H146" i="6"/>
  <c r="J235" i="4"/>
  <c r="J195" i="4"/>
  <c r="E232" i="4"/>
  <c r="E222" i="4"/>
  <c r="B246" i="4"/>
  <c r="B210" i="4"/>
  <c r="N235" i="4"/>
  <c r="N82" i="6"/>
  <c r="J226" i="4"/>
  <c r="J225" i="4"/>
  <c r="J141" i="4"/>
  <c r="E235" i="4"/>
  <c r="E88" i="5"/>
  <c r="B241" i="4"/>
  <c r="B156" i="4"/>
  <c r="N223" i="4"/>
  <c r="N195" i="4"/>
  <c r="J227" i="4"/>
  <c r="E233" i="4"/>
  <c r="N227" i="4"/>
  <c r="N230" i="4"/>
  <c r="H156" i="6"/>
  <c r="H149" i="6"/>
  <c r="S151" i="5"/>
  <c r="S160" i="5"/>
  <c r="S141" i="5"/>
  <c r="H138" i="6"/>
  <c r="H136" i="6"/>
  <c r="H159" i="6"/>
  <c r="H141" i="6"/>
  <c r="S158" i="5"/>
  <c r="H151" i="6"/>
  <c r="H139" i="6"/>
  <c r="H135" i="6"/>
  <c r="S153" i="5"/>
  <c r="H140" i="6"/>
  <c r="H137" i="6"/>
  <c r="S142" i="5"/>
  <c r="H152" i="6"/>
  <c r="H160" i="6"/>
  <c r="H148" i="6"/>
  <c r="H153" i="6"/>
  <c r="S155" i="5"/>
  <c r="S145" i="5"/>
  <c r="H158" i="6"/>
  <c r="H155" i="6"/>
  <c r="H154" i="6"/>
  <c r="S159" i="5"/>
  <c r="S166" i="5"/>
  <c r="S154" i="5"/>
  <c r="H142" i="6"/>
  <c r="S143" i="5"/>
  <c r="S162" i="5"/>
  <c r="G222" i="4"/>
  <c r="N167" i="4"/>
  <c r="S150" i="5"/>
  <c r="S164" i="5"/>
  <c r="S152" i="5"/>
  <c r="G88" i="5"/>
  <c r="P103" i="5"/>
  <c r="S144" i="5"/>
  <c r="S161" i="5"/>
  <c r="S148" i="5"/>
  <c r="P246" i="4"/>
  <c r="G228" i="4"/>
  <c r="U54" i="6"/>
  <c r="S157" i="5"/>
  <c r="S165" i="5"/>
  <c r="S146" i="5"/>
  <c r="K240" i="4"/>
  <c r="M242" i="4"/>
  <c r="V147" i="5"/>
  <c r="S149" i="5"/>
  <c r="S163" i="5"/>
  <c r="S147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217" i="4"/>
  <c r="L42" i="5"/>
  <c r="L33" i="6"/>
  <c r="L124" i="5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5" i="6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Q25" i="8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S25" i="8"/>
  <c r="K25" i="8"/>
  <c r="E25" i="8"/>
  <c r="E36" i="8"/>
  <c r="O14" i="8"/>
  <c r="O26" i="10" s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9" i="1"/>
  <c r="B11" i="1"/>
  <c r="B12" i="1"/>
  <c r="B18" i="1"/>
  <c r="B16" i="1"/>
  <c r="B4" i="1"/>
  <c r="B6" i="1"/>
  <c r="B13" i="1"/>
  <c r="B22" i="1"/>
  <c r="B7" i="1"/>
  <c r="B15" i="1"/>
  <c r="B20" i="1"/>
  <c r="B21" i="1"/>
  <c r="B17" i="1"/>
  <c r="B8" i="1"/>
  <c r="F218" i="3" l="1"/>
  <c r="N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G202" i="3" s="1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23" i="15" l="1"/>
  <c r="C21" i="15"/>
  <c r="C13" i="15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E43" i="3" s="1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50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C234" i="3"/>
  <c r="I140" i="3"/>
  <c r="I142" i="3"/>
  <c r="I143" i="3"/>
  <c r="I199" i="3"/>
  <c r="I144" i="3"/>
  <c r="I146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<sst xmlns="http://schemas.openxmlformats.org/spreadsheetml/2006/main" count="2655" uniqueCount="1167">
  <si>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</si>
  <si>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</si>
  <si>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</si>
  <si>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</si>
  <si>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</si>
  <si>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</si>
  <si>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</si>
  <si>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</si>
  <si>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</si>
  <si>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</si>
  <si>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</si>
  <si>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</si>
  <si>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</si>
  <si>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</si>
  <si>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</si>
  <si>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</si>
  <si>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</si>
  <si>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</si>
  <si>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</si>
  <si>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</si>
  <si>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</si>
  <si>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</si>
  <si>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</si>
  <si>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</si>
  <si>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</si>
  <si>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</si>
  <si>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</si>
  <si>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</si>
  <si>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</si>
  <si>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</si>
  <si>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</si>
  <si>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</si>
  <si>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</si>
  <si>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</si>
  <si>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</si>
  <si>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</si>
  <si>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</si>
  <si>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</si>
  <si>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</si>
  <si>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</si>
  <si>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</si>
  <si>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</si>
  <si>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</si>
  <si>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</si>
  <si>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</si>
  <si>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</si>
  <si>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</si>
  <si>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</si>
  <si>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</si>
  <si>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</si>
  <si>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</si>
  <si>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</si>
  <si>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</si>
  <si>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</si>
  <si>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</si>
  <si>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</si>
  <si>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</si>
  <si>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</si>
  <si>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</si>
  <si>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</si>
  <si>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</si>
  <si>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</si>
  <si>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</si>
  <si>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</si>
  <si>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</si>
  <si>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</si>
  <si>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</si>
  <si>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</si>
  <si>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</si>
  <si>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</si>
  <si>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</si>
  <si>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</si>
  <si>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</si>
  <si>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</si>
  <si>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</si>
  <si>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</si>
  <si>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</si>
  <si>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</si>
  <si>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</si>
  <si>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</si>
  <si>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</si>
  <si>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</si>
  <si>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</si>
  <si>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</si>
  <si>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</si>
  <si>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</si>
  <si>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</si>
  <si>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</si>
  <si>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</si>
  <si>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</si>
  <si>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</si>
  <si>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</si>
  <si>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</si>
  <si>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</si>
  <si>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</si>
  <si>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</si>
  <si>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</si>
  <si>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</si>
  <si>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</si>
  <si>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</si>
  <si>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</si>
  <si>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</si>
  <si>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</si>
  <si>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</si>
  <si>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</si>
  <si>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</si>
  <si>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</si>
  <si>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</si>
  <si>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</si>
  <si>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</si>
  <si>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</si>
  <si>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</si>
  <si>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</si>
  <si>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</si>
  <si>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</si>
  <si>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</si>
  <si>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</si>
  <si>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</si>
  <si>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</si>
  <si>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</si>
  <si>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</si>
  <si>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</si>
  <si>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</si>
  <si>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</si>
  <si>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</si>
  <si>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</si>
  <si>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</si>
  <si>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</si>
  <si>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</si>
  <si>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</si>
  <si>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</si>
  <si>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</si>
  <si>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</si>
  <si>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</si>
  <si>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</si>
  <si>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</si>
  <si>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</si>
  <si>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</si>
  <si>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</si>
  <si>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</si>
  <si>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</si>
  <si>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</si>
  <si>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</si>
  <si>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</si>
  <si>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</si>
  <si>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</si>
  <si>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</si>
  <si>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</si>
  <si>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</si>
  <si>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</si>
  <si>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</si>
  <si>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</si>
  <si>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</si>
  <si>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</si>
  <si>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</si>
  <si>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</si>
  <si>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</si>
  <si>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</si>
  <si>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</si>
  <si>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</si>
  <si>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</si>
  <si>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</si>
  <si>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</si>
  <si>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</si>
  <si>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</si>
  <si>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</si>
  <si>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</si>
  <si>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</si>
  <si>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</si>
  <si>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</si>
  <si>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</si>
  <si>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</si>
  <si>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</si>
  <si>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</si>
  <si>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</si>
  <si>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</si>
  <si>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</si>
  <si>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</si>
  <si>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</si>
  <si>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</si>
  <si>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</si>
  <si>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</si>
  <si>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</si>
  <si>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</si>
  <si>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</si>
  <si>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</si>
  <si>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IT</t>
  </si>
  <si>
    <t>Italy</t>
  </si>
  <si>
    <t>Aviation - IT - Italy</t>
  </si>
  <si>
    <t>Activity.Mpkm.IT.Tr.Avia.Passenger</t>
  </si>
  <si>
    <t>Activity.Mpkm.IT.Tr.Avia.Passenger.Domestic</t>
  </si>
  <si>
    <t>Activity.Mpkm.IT.Tr.Avia.Passenger.IntraEEAwUK</t>
  </si>
  <si>
    <t>Activity.Mpkm.IT.Tr.Avia.Passenger.ExtraEEAwUK</t>
  </si>
  <si>
    <t>Activity.Mtkm.IT.Tr.Avia.Freight</t>
  </si>
  <si>
    <t>Activity.Mtkm.IT.Tr.Avia.Freight.Domestic</t>
  </si>
  <si>
    <t>Activity.Mtkm.IT.Tr.Avia.Freight.IntraEEAwUK</t>
  </si>
  <si>
    <t>Activity.Mtkm.IT.Tr.Avia.Freight.ExtraEEAwUK</t>
  </si>
  <si>
    <t>VehicleKm.Mkm.IT.Tr.Avia</t>
  </si>
  <si>
    <t>VehicleKm.Mkm.IT.Tr.Avia.Passenger</t>
  </si>
  <si>
    <t>VehicleKm.Mkm.IT.Tr.Avia.Passenger.Domestic</t>
  </si>
  <si>
    <t>VehicleKm.Mkm.IT.Tr.Avia.Passenger.IntraEEAwUK</t>
  </si>
  <si>
    <t>VehicleKm.Mkm.IT.Tr.Avia.Passenger.ExtraEEAwUK</t>
  </si>
  <si>
    <t>VehicleKm.Mkm.IT.Tr.Avia.Freight</t>
  </si>
  <si>
    <t>VehicleKm.Mkm.IT.Tr.Avia.Freight.Domestic</t>
  </si>
  <si>
    <t>VehicleKm.Mkm.IT.Tr.Avia.Freight.IntraEEAwUK</t>
  </si>
  <si>
    <t>VehicleKm.Mkm.IT.Tr.Avia.Freight.ExtraEEAwUK</t>
  </si>
  <si>
    <t>Flights.number.IT.Tr.Avia</t>
  </si>
  <si>
    <t>Flights.number.IT.Tr.Avia.Passenger</t>
  </si>
  <si>
    <t>Flights.number.IT.Tr.Avia.Passenger.Domestic</t>
  </si>
  <si>
    <t>Flights.number.IT.Tr.Avia.Passenger.IntraEEAwUK</t>
  </si>
  <si>
    <t>Flights.number.IT.Tr.Avia.Passenger.ExtraEEAwUK</t>
  </si>
  <si>
    <t>Flights.number.IT.Tr.Avia.Freight</t>
  </si>
  <si>
    <t>Flights.number.IT.Tr.Avia.Freight.Domestic</t>
  </si>
  <si>
    <t>Flights.number.IT.Tr.Avia.Freight.IntraEEAwUK</t>
  </si>
  <si>
    <t>Flights.number.IT.Tr.Avia.Freight.ExtraEEAwUK</t>
  </si>
  <si>
    <t>VolCarried.passenger.IT.Tr.Avia.Passenger</t>
  </si>
  <si>
    <t>VolCarried.passenger.IT.Tr.Avia.Passenger.Domestic</t>
  </si>
  <si>
    <t>VolCarried.passenger.IT.Tr.Avia.Passenger.IntraEEAwUK</t>
  </si>
  <si>
    <t>VolCarried.passenger.IT.Tr.Avia.Passenger.ExtraEEAwUK</t>
  </si>
  <si>
    <t>VolCarried.t.IT.Tr.Avia.Freight</t>
  </si>
  <si>
    <t>VolCarried.t.IT.Tr.Avia.Freight.Domestic</t>
  </si>
  <si>
    <t>VolCarried.t.IT.Tr.Avia.Freight.IntraEEAwUK</t>
  </si>
  <si>
    <t>VolCarried.t.IT.Tr.Avia.Freight.ExtraEEAwUK</t>
  </si>
  <si>
    <t>Stock.number.IT.Tr.Avia</t>
  </si>
  <si>
    <t>Stock.number.IT.Tr.Avia.Passenger</t>
  </si>
  <si>
    <t>Stock.number.IT.Tr.Avia.Passenger.Domestic</t>
  </si>
  <si>
    <t>Stock.number.IT.Tr.Avia.Passenger.IntraEEAwUK</t>
  </si>
  <si>
    <t>Stock.number.IT.Tr.Avia.Passenger.ExtraEEAwUK</t>
  </si>
  <si>
    <t>Stock.number.IT.Tr.Avia.Freight</t>
  </si>
  <si>
    <t>Stock.number.IT.Tr.Avia.Freight.Domestic</t>
  </si>
  <si>
    <t>Stock.number.IT.Tr.Avia.Freight.IntraEEAwUK</t>
  </si>
  <si>
    <t>Stock.number.IT.Tr.Avia.Freight.ExtraEEAwUK</t>
  </si>
  <si>
    <t>StockNew.number.IT.Tr.Avia</t>
  </si>
  <si>
    <t>StockNew.number.IT.Tr.Avia.Passenger</t>
  </si>
  <si>
    <t>StockNew.number.IT.Tr.Avia.Passenger.Domestic</t>
  </si>
  <si>
    <t>StockNew.number.IT.Tr.Avia.Passenger.IntraEEAwUK</t>
  </si>
  <si>
    <t>StockNew.number.IT.Tr.Avia.Passenger.ExtraEEAwUK</t>
  </si>
  <si>
    <t>StockNew.number.IT.Tr.Avia.Freight</t>
  </si>
  <si>
    <t>StockNew.number.IT.Tr.Avia.Freight.Domestic</t>
  </si>
  <si>
    <t>StockNew.number.IT.Tr.Avia.Freight.IntraEEAwUK</t>
  </si>
  <si>
    <t>StockNew.number.IT.Tr.Avia.Freight.ExtraEEAwUK</t>
  </si>
  <si>
    <t>Load.passenger_per_movement.IT.Tr.Avia.Passenger</t>
  </si>
  <si>
    <t>Load.passenger_per_movement.IT.Tr.Avia.Passenger.Domestic</t>
  </si>
  <si>
    <t>Load.passenger_per_movement.IT.Tr.Avia.Passenger.IntraEEAwUK</t>
  </si>
  <si>
    <t>Load.passenger_per_movement.IT.Tr.Avia.Passenger.ExtraEEAwUK</t>
  </si>
  <si>
    <t>Load.t_per_movement.IT.Tr.Avia.Freight</t>
  </si>
  <si>
    <t>Load.t_per_movement.IT.Tr.Avia.Freight.Domestic</t>
  </si>
  <si>
    <t>Load.t_per_movement.IT.Tr.Avia.Freight.IntraEEAwUK</t>
  </si>
  <si>
    <t>Load.t_per_movement.IT.Tr.Avia.Freight.ExtraEEAwUK</t>
  </si>
  <si>
    <t>VehicleKm_per_flight.km.IT.Tr.Avia</t>
  </si>
  <si>
    <t>VehicleKm_per_flight.km.IT.Tr.Avia.Passenger</t>
  </si>
  <si>
    <t>VehicleKm_per_flight.km.IT.Tr.Avia.Passenger.Domestic</t>
  </si>
  <si>
    <t>VehicleKm_per_flight.km.IT.Tr.Avia.Passenger.IntraEEAwUK</t>
  </si>
  <si>
    <t>VehicleKm_per_flight.km.IT.Tr.Avia.Passenger.ExtraEEAwUK</t>
  </si>
  <si>
    <t>VehicleKm_per_flight.km.IT.Tr.Avia.Freight</t>
  </si>
  <si>
    <t>VehicleKm_per_flight.km.IT.Tr.Avia.Freight.Domestic</t>
  </si>
  <si>
    <t>VehicleKm_per_flight.km.IT.Tr.Avia.Freight.IntraEEAwUK</t>
  </si>
  <si>
    <t>VehicleKm_per_flight.km.IT.Tr.Avia.Freight.ExtraEEAwUK</t>
  </si>
  <si>
    <t>Activity_per_flight.pkm.IT.Tr.Avia.Passenger</t>
  </si>
  <si>
    <t>Activity_per_flight.pkm.IT.Tr.Avia.Passenger.Domestic</t>
  </si>
  <si>
    <t>Activity_per_flight.pkm.IT.Tr.Avia.Passenger.IntraEEAwUK</t>
  </si>
  <si>
    <t>Activity_per_flight.pkm.IT.Tr.Avia.Passenger.ExtraEEAwUK</t>
  </si>
  <si>
    <t>Activity_per_flight.tkm.IT.Tr.Avia.Freight</t>
  </si>
  <si>
    <t>Activity_per_flight.tkm.IT.Tr.Avia.Freight.Domestic</t>
  </si>
  <si>
    <t>Activity_per_flight.tkm.IT.Tr.Avia.Freight.IntraEEAwUK</t>
  </si>
  <si>
    <t>Activity_per_flight.tkm.IT.Tr.Avia.Freight.ExtraEEAwUK</t>
  </si>
  <si>
    <t>Flights_per_vehicle.number.IT.Tr.Avia</t>
  </si>
  <si>
    <t>Flights_per_vehicle.number.IT.Tr.Avia.Passenger</t>
  </si>
  <si>
    <t>Flights_per_vehicle.number.IT.Tr.Avia.Passenger.Domestic</t>
  </si>
  <si>
    <t>Flights_per_vehicle.number.IT.Tr.Avia.Passenger.IntraEEAwUK</t>
  </si>
  <si>
    <t>Flights_per_vehicle.number.IT.Tr.Avia.Passenger.ExtraEEAwUK</t>
  </si>
  <si>
    <t>Flights_per_vehicle.number.IT.Tr.Avia.Freight</t>
  </si>
  <si>
    <t>Flights_per_vehicle.number.IT.Tr.Avia.Freight.Domestic</t>
  </si>
  <si>
    <t>Flights_per_vehicle.number.IT.Tr.Avia.Freight.IntraEEAwUK</t>
  </si>
  <si>
    <t>Flights_per_vehicle.number.IT.Tr.Avia.Freight.ExtraEEAwUK</t>
  </si>
  <si>
    <t>Aviation / energy consumption - IT - Italy</t>
  </si>
  <si>
    <t>FEC.ktoe.IT.Tr.Avia</t>
  </si>
  <si>
    <t>FEC.ktoe.IT.Tr.Avia.Domestic</t>
  </si>
  <si>
    <t>FEC.ktoe.IT.Tr.Avia.International</t>
  </si>
  <si>
    <t>FEC.ktoe.IT.Tr.Avia.Passenger</t>
  </si>
  <si>
    <t>FEC.ktoe.IT.Tr.Avia.Passenger.Domestic</t>
  </si>
  <si>
    <t>FEC.ktoe.IT.Tr.Avia.Passenger.IntraEEAwUK</t>
  </si>
  <si>
    <t>FEC.ktoe.IT.Tr.Avia.Passenger.ExtraEEAwUK</t>
  </si>
  <si>
    <t>FEC.ktoe.IT.Tr.Avia.Freight</t>
  </si>
  <si>
    <t>FEC.ktoe.IT.Tr.Avia.Freight.Domestic</t>
  </si>
  <si>
    <t>FEC.ktoe.IT.Tr.Avia.Freight.IntraEEAwUK</t>
  </si>
  <si>
    <t>FEC.ktoe.IT.Tr.Avia.Freight.ExtraEEAwUK</t>
  </si>
  <si>
    <t>Eff.kgoe_per_100km.IT.Tr.Avia</t>
  </si>
  <si>
    <t>Eff.kgoe_per_100km.IT.Tr.Avia.Passenger</t>
  </si>
  <si>
    <t>Eff.kgoe_per_100km.IT.Tr.Avia.Passenger.Domestic</t>
  </si>
  <si>
    <t>Eff.kgoe_per_100km.IT.Tr.Avia.Passenger.IntraEEAwUK</t>
  </si>
  <si>
    <t>Eff.kgoe_per_100km.IT.Tr.Avia.Passenger.ExtraEEAwUK</t>
  </si>
  <si>
    <t>Eff.kgoe_per_100km.IT.Tr.Avia.Freight</t>
  </si>
  <si>
    <t>Eff.kgoe_per_100km.IT.Tr.Avia.Freight.Domestic</t>
  </si>
  <si>
    <t>Eff.kgoe_per_100km.IT.Tr.Avia.Freight.IntraEEAwUK</t>
  </si>
  <si>
    <t>Eff.kgoe_per_100km.IT.Tr.Avia.Freight.ExtraEEAwUK</t>
  </si>
  <si>
    <t>Eff.kgoe_per_kpkm.IT.Tr.Avia.Passenger</t>
  </si>
  <si>
    <t>Eff.kgoe_per_kpkm.IT.Tr.Avia.Passenger.Domestic</t>
  </si>
  <si>
    <t>Eff.kgoe_per_kpkm.IT.Tr.Avia.Passenger.IntraEEAwUK</t>
  </si>
  <si>
    <t>Eff.kgoe_per_kpkm.IT.Tr.Avia.Passenger.ExtraEEAwUK</t>
  </si>
  <si>
    <t>Eff.kgoe_per_ktkm.IT.Tr.Avia.Freight</t>
  </si>
  <si>
    <t>Eff.kgoe_per_ktkm.IT.Tr.Avia.Freight.Domestic</t>
  </si>
  <si>
    <t>Eff.kgoe_per_ktkm.IT.Tr.Avia.Freight.IntraEEAwUK</t>
  </si>
  <si>
    <t>Eff.kgoe_per_ktkm.IT.Tr.Avia.Freight.ExtraEEAwUK</t>
  </si>
  <si>
    <t>FEC_per_flight.kgoe.IT.Tr.Avia</t>
  </si>
  <si>
    <t>FEC_per_flight.kgoe.IT.Tr.Avia.Passenger</t>
  </si>
  <si>
    <t>FEC_per_flight.kgoe.IT.Tr.Avia.Passenger.Domestic</t>
  </si>
  <si>
    <t>FEC_per_flight.kgoe.IT.Tr.Avia.Passenger.IntraEEAwUK</t>
  </si>
  <si>
    <t>FEC_per_flight.kgoe.IT.Tr.Avia.Passenger.ExtraEEAwUK</t>
  </si>
  <si>
    <t>FEC_per_flight.kgoe.IT.Tr.Avia.Freight</t>
  </si>
  <si>
    <t>FEC_per_flight.kgoe.IT.Tr.Avia.Freight.Domestic</t>
  </si>
  <si>
    <t>FEC_per_flight.kgoe.IT.Tr.Avia.Freight.IntraEEAwUK</t>
  </si>
  <si>
    <t>FEC_per_flight.kgoe.IT.Tr.Avia.Freight.ExtraEEAwUK</t>
  </si>
  <si>
    <t>Eff_theor.kgoe_per_100km.IT.Tr.Avia</t>
  </si>
  <si>
    <t>Eff_theor.kgoe_per_100km.IT.Tr.Avia.Passenger</t>
  </si>
  <si>
    <t>Eff_theor.kgoe_per_100km.IT.Tr.Avia.Passenger.Domestic</t>
  </si>
  <si>
    <t>Eff_theor.kgoe_per_100km.IT.Tr.Avia.Passenger.IntraEEAwUK</t>
  </si>
  <si>
    <t>Eff_theor.kgoe_per_100km.IT.Tr.Avia.Passenger.ExtraEEAwUK</t>
  </si>
  <si>
    <t>Eff_theor.kgoe_per_100km.IT.Tr.Avia.Freight</t>
  </si>
  <si>
    <t>Eff_theor.kgoe_per_100km.IT.Tr.Avia.Freight.Domestic</t>
  </si>
  <si>
    <t>Eff_theor.kgoe_per_100km.IT.Tr.Avia.Freight.IntraEEAwUK</t>
  </si>
  <si>
    <t>Eff_theor.kgoe_per_100km.IT.Tr.Avia.Freight.ExtraEEAwUK</t>
  </si>
  <si>
    <t>Aviation / CO2 emissions - IT - Italy</t>
  </si>
  <si>
    <t>EMI.ktCO2.IT.Tr.Avia</t>
  </si>
  <si>
    <t>EMI.ktCO2.IT.Tr.Avia.Domestic</t>
  </si>
  <si>
    <t>EMI.ktCO2.IT.Tr.Avia.International</t>
  </si>
  <si>
    <t>EMI.ktCO2.IT.Tr.Avia.Passenger</t>
  </si>
  <si>
    <t>EMI.ktCO2.IT.Tr.Avia.Passenger.Domestic</t>
  </si>
  <si>
    <t>EMI.ktCO2.IT.Tr.Avia.Passenger.IntraEEAwUK</t>
  </si>
  <si>
    <t>EMI.ktCO2.IT.Tr.Avia.Passenger.ExtraEEAwUK</t>
  </si>
  <si>
    <t>EMI.ktCO2.IT.Tr.Avia.Freight</t>
  </si>
  <si>
    <t>EMI.ktCO2.IT.Tr.Avia.Freight.Domestic</t>
  </si>
  <si>
    <t>EMI.ktCO2.IT.Tr.Avia.Freight.IntraEEAwUK</t>
  </si>
  <si>
    <t>EMI.ktCO2.IT.Tr.Avia.Freight.ExtraEEAwUK</t>
  </si>
  <si>
    <t>EMIint.gCO2_per_km.IT.Tr.Avia</t>
  </si>
  <si>
    <t>EMIint.gCO2_per_km.IT.Tr.Avia.Passenger</t>
  </si>
  <si>
    <t>EMIint.gCO2_per_km.IT.Tr.Avia.Passenger.Domestic</t>
  </si>
  <si>
    <t>EMIint.gCO2_per_km.IT.Tr.Avia.Passenger.IntraEEAwUK</t>
  </si>
  <si>
    <t>EMIint.gCO2_per_km.IT.Tr.Avia.Passenger.ExtraEEAwUK</t>
  </si>
  <si>
    <t>EMIint.gCO2_per_km.IT.Tr.Avia.Freight</t>
  </si>
  <si>
    <t>EMIint.gCO2_per_km.IT.Tr.Avia.Freight.Domestic</t>
  </si>
  <si>
    <t>EMIint.gCO2_per_km.IT.Tr.Avia.Freight.IntraEEAwUK</t>
  </si>
  <si>
    <t>EMIint.gCO2_per_km.IT.Tr.Avia.Freight.ExtraEEAwUK</t>
  </si>
  <si>
    <t>EMIint.gCO2_per_pkm.IT.Tr.Avia.Passenger</t>
  </si>
  <si>
    <t>EMIint.gCO2_per_pkm.IT.Tr.Avia.Passenger.Domestic</t>
  </si>
  <si>
    <t>EMIint.gCO2_per_pkm.IT.Tr.Avia.Passenger.IntraEEAwUK</t>
  </si>
  <si>
    <t>EMIint.gCO2_per_pkm.IT.Tr.Avia.Passenger.ExtraEEAwUK</t>
  </si>
  <si>
    <t>EMIint.gCO2_per_tkm.IT.Tr.Avia.Freight</t>
  </si>
  <si>
    <t>EMIint.gCO2_per_tkm.IT.Tr.Avia.Freight.Domestic</t>
  </si>
  <si>
    <t>EMIint.gCO2_per_tkm.IT.Tr.Avia.Freight.IntraEEAwUK</t>
  </si>
  <si>
    <t>EMIint.gCO2_per_tkm.IT.Tr.Avia.Freight.ExtraEEAwUK</t>
  </si>
  <si>
    <t>EMI_per_flight.kgCO2.IT.Tr.Avia</t>
  </si>
  <si>
    <t>EMI_per_flight.kgCO2.IT.Tr.Avia.Passenger</t>
  </si>
  <si>
    <t>EMI_per_flight.kgCO2.IT.Tr.Avia.Passenger.Domestic</t>
  </si>
  <si>
    <t>EMI_per_flight.kgCO2.IT.Tr.Avia.Passenger.IntraEEAwUK</t>
  </si>
  <si>
    <t>EMI_per_flight.kgCO2.IT.Tr.Avia.Passenger.ExtraEEAwUK</t>
  </si>
  <si>
    <t>EMI_per_flight.kgCO2.IT.Tr.Avia.Freight</t>
  </si>
  <si>
    <t>EMI_per_flight.kgCO2.IT.Tr.Avia.Freight.Domestic</t>
  </si>
  <si>
    <t>EMI_per_flight.kgCO2.IT.Tr.Avia.Freight.IntraEEAwUK</t>
  </si>
  <si>
    <t>EMI_per_flight.kgCO2.IT.Tr.Avia.Freight.ExtraEEAwUK</t>
  </si>
  <si>
    <t>Aviation / passenger transport specific data - IT - Italy</t>
  </si>
  <si>
    <t>TrCap.seats.IT.Tr.Avia.Passenger</t>
  </si>
  <si>
    <t>TrCap.seats.IT.Tr.Avia.Passenger.Domestic</t>
  </si>
  <si>
    <t>TrCap.seats.IT.Tr.Avia.Passenger.IntraEEAwUK</t>
  </si>
  <si>
    <t>TrCap.seats.IT.Tr.Avia.Passenger.ExtraEEAwUK</t>
  </si>
  <si>
    <t>TrCap_per_flight.seats.IT.Tr.Avia.Passenger</t>
  </si>
  <si>
    <t>TrCap_per_flight.seats.IT.Tr.Avia.Passenger.Domestic</t>
  </si>
  <si>
    <t>TrCap_per_flight.seats.IT.Tr.Avia.Passenger.IntraEEAwUK</t>
  </si>
  <si>
    <t>TrCap_per_flight.seats.IT.Tr.Avia.Passenger.ExtraEEAwUK</t>
  </si>
  <si>
    <t>Transport overview - IT - Italy</t>
  </si>
  <si>
    <t>Activity.Mpkm.IT.Tr</t>
  </si>
  <si>
    <t>Activity.Mpkm.IT.Tr.Road.Passenger</t>
  </si>
  <si>
    <t>Activity.Mpkm.IT.Tr.Road.Passenger.P2W</t>
  </si>
  <si>
    <t>Activity.Mpkm.IT.Tr.Road.Passenger.Car</t>
  </si>
  <si>
    <t>Activity.Mpkm.IT.Tr.Road.Passenger.Bus</t>
  </si>
  <si>
    <t>Activity.Mpkm.IT.Tr.Rail.Passenger</t>
  </si>
  <si>
    <t>Activity.Mpkm.IT.Tr.Rail.Passenger.MTU</t>
  </si>
  <si>
    <t>Activity.Mpkm.IT.Tr.Rail.Passenger.CPT</t>
  </si>
  <si>
    <t>Activity.Mpkm.IT.Tr.Rail.Passenger.HST</t>
  </si>
  <si>
    <t>Activity.Mtkm.IT.Tr</t>
  </si>
  <si>
    <t>Activity.Mtkm.IT.Tr.Road.Freight</t>
  </si>
  <si>
    <t>Activity.Mtkm.IT.Tr.Road.Freight.LCV</t>
  </si>
  <si>
    <t>Activity.Mtkm.IT.Tr.Road.Freight.HGV</t>
  </si>
  <si>
    <t>Activity.Mtkm.IT.Tr.Rail.Freight</t>
  </si>
  <si>
    <t>Activity.Mtkm.IT.Tr.DNavi.Freight</t>
  </si>
  <si>
    <t>Activity.Mtkm.IT.Tr.DNavi.Freight.DCS</t>
  </si>
  <si>
    <t>Activity.Mtkm.IT.Tr.DNavi.Freight.IWW</t>
  </si>
  <si>
    <t>Activity.Mtkm.IT.MBunk.Freight</t>
  </si>
  <si>
    <t>Activity.Mtkm.IT.MBunk.Freight.IntraEEA</t>
  </si>
  <si>
    <t>Activity.Mtkm.IT.MBunk.Freight.ExtraEEA</t>
  </si>
  <si>
    <t>FEC.ktoe.IT.Tr.Road.Passenger</t>
  </si>
  <si>
    <t>FEC.ktoe.IT.Tr.Road.Passenger.P2W</t>
  </si>
  <si>
    <t>FEC.ktoe.IT.Tr.Road.Passenger.Car</t>
  </si>
  <si>
    <t>FEC.ktoe.IT.Tr.Road.Passenger.Bus</t>
  </si>
  <si>
    <t>FEC.ktoe.IT.Tr.Rail.Passenger</t>
  </si>
  <si>
    <t>FEC.ktoe.IT.Tr.Rail.Passenger.MTU</t>
  </si>
  <si>
    <t>FEC.ktoe.IT.Tr.Rail.Passenger.CPT</t>
  </si>
  <si>
    <t>FEC.ktoe.IT.Tr.Rail.Passenger.HST</t>
  </si>
  <si>
    <t>FEC.ktoe.IT.Tr.Road.Freight</t>
  </si>
  <si>
    <t>FEC.ktoe.IT.Tr.Road.Freight.LCV</t>
  </si>
  <si>
    <t>FEC.ktoe.IT.Tr.Road.Freight.HGV</t>
  </si>
  <si>
    <t>FEC.ktoe.IT.Tr.Rail.Freight</t>
  </si>
  <si>
    <t>EMI.ktCO2.IT.Tr.Road.Passenger</t>
  </si>
  <si>
    <t>EMI.ktCO2.IT.Tr.Road.Passenger.P2W</t>
  </si>
  <si>
    <t>EMI.ktCO2.IT.Tr.Road.Passenger.Car</t>
  </si>
  <si>
    <t>EMI.ktCO2.IT.Tr.Road.Passenger.Bus</t>
  </si>
  <si>
    <t>EMI.ktCO2.IT.Tr.Rail.Passenger</t>
  </si>
  <si>
    <t>EMI.ktCO2.IT.Tr.Rail.Passenger.MTU</t>
  </si>
  <si>
    <t>EMI.ktCO2.IT.Tr.Rail.Passenger.CPT</t>
  </si>
  <si>
    <t>EMI.ktCO2.IT.Tr.Rail.Passenger.HST</t>
  </si>
  <si>
    <t>EMI.ktCO2.IT.Tr.Road.Freight</t>
  </si>
  <si>
    <t>EMI.ktCO2.IT.Tr.Road.Freight.LCV</t>
  </si>
  <si>
    <t>EMI.ktCO2.IT.Tr.Road.Freight.HGV</t>
  </si>
  <si>
    <t>EMI.ktCO2.IT.Tr.Rail.Freight</t>
  </si>
  <si>
    <t>Eff.kgoe_per_kpkm.IT.Tr</t>
  </si>
  <si>
    <t>Eff.kgoe_per_kpkm.IT.Tr.Road.Passenger</t>
  </si>
  <si>
    <t>Eff.kgoe_per_kpkm.IT.Tr.Road.Passenger.P2W</t>
  </si>
  <si>
    <t>Eff.kgoe_per_kpkm.IT.Tr.Road.Passenger.Car</t>
  </si>
  <si>
    <t>Eff.kgoe_per_kpkm.IT.Tr.Road.Passenger.Bus</t>
  </si>
  <si>
    <t>Eff.kgoe_per_kpkm.IT.Tr.Rail.Passenger</t>
  </si>
  <si>
    <t>Eff.kgoe_per_kpkm.IT.Tr.Rail.Passenger.MTU</t>
  </si>
  <si>
    <t>Eff.kgoe_per_kpkm.IT.Tr.Rail.Passenger.CPT</t>
  </si>
  <si>
    <t>Eff.kgoe_per_kpkm.IT.Tr.Rail.Passenger.HST</t>
  </si>
  <si>
    <t>Eff.kgoe_per_ktkm.IT.Tr</t>
  </si>
  <si>
    <t>Eff.kgoe_per_ktkm.IT.Tr.Road.Freight</t>
  </si>
  <si>
    <t>Eff.kgoe_per_ktkm.IT.Tr.Road.Freight.LCV</t>
  </si>
  <si>
    <t>Eff.kgoe_per_ktkm.IT.Tr.Road.Freight.HGV</t>
  </si>
  <si>
    <t>Eff.kgoe_per_ktkm.IT.Tr.Rail.Freight</t>
  </si>
  <si>
    <t>Eff.kgoe_per_ktkm.IT.Tr.DNavi.Freight</t>
  </si>
  <si>
    <t>Eff.kgoe_per_ktkm.IT.Tr.DNavi.Freight.DCS</t>
  </si>
  <si>
    <t>Eff.kgoe_per_ktkm.IT.Tr.DNavi.Freight.IWW</t>
  </si>
  <si>
    <t>Eff.kgoe_per_ktkm.IT.MBunk.Freight</t>
  </si>
  <si>
    <t>Eff.kgoe_per_ktkm.IT.MBunk.Freight.IntraEEA</t>
  </si>
  <si>
    <t>Eff.kgoe_per_ktkm.IT.MBunk.Freight.ExtraEEA</t>
  </si>
  <si>
    <t>EMIint.gCO2_per_pkm.IT.Tr</t>
  </si>
  <si>
    <t>EMIint.gCO2_per_pkm.IT.Tr.Road.Passenger</t>
  </si>
  <si>
    <t>EMIint.gCO2_per_pkm.IT.Tr.Road.Passenger.P2W</t>
  </si>
  <si>
    <t>EMIint.gCO2_per_pkm.IT.Tr.Road.Passenger.Car</t>
  </si>
  <si>
    <t>EMIint.gCO2_per_pkm.IT.Tr.Road.Passenger.Bus</t>
  </si>
  <si>
    <t>EMIint.gCO2_per_pkm.IT.Tr.Rail.Passenger</t>
  </si>
  <si>
    <t>EMIint.gCO2_per_pkm.IT.Tr.Rail.Passenger.MTU</t>
  </si>
  <si>
    <t>EMIint.gCO2_per_pkm.IT.Tr.Rail.Passenger.CPT</t>
  </si>
  <si>
    <t>EMIint.gCO2_per_pkm.IT.Tr.Rail.Passenger.HST</t>
  </si>
  <si>
    <t>EMIint.gCO2_per_tkm.IT.Tr</t>
  </si>
  <si>
    <t>EMIint.gCO2_per_tkm.IT.Tr.Road.Freight</t>
  </si>
  <si>
    <t>EMIint.gCO2_per_tkm.IT.Tr.Road.Freight.LCV</t>
  </si>
  <si>
    <t>EMIint.gCO2_per_tkm.IT.Tr.Road.Freight.HGV</t>
  </si>
  <si>
    <t>EMIint.gCO2_per_tkm.IT.Tr.Rail.Freight</t>
  </si>
  <si>
    <t>EMIint.gCO2_per_tkm.IT.Tr.DNavi.Freight</t>
  </si>
  <si>
    <t>EMIint.gCO2_per_tkm.IT.Tr.DNavi.Freight.DCS</t>
  </si>
  <si>
    <t>EMIint.gCO2_per_tkm.IT.Tr.DNavi.Freight.IWW</t>
  </si>
  <si>
    <t>EMIint.gCO2_per_tkm.IT.MBunk.Freight</t>
  </si>
  <si>
    <t>EMIint.gCO2_per_tkm.IT.MBunk.Freight.IntraEEA</t>
  </si>
  <si>
    <t>EMIint.gCO2_per_tkm.IT.MBunk.Freight.ExtraEEA</t>
  </si>
  <si>
    <t>Road transport - IT - Italy</t>
  </si>
  <si>
    <t>Activity.Mpkm.IT.Tr.Road.Passenger.Car.ICE.Gasoline</t>
  </si>
  <si>
    <t>Activity.Mpkm.IT.Tr.Road.Passenger.Car.ICE.Diesel</t>
  </si>
  <si>
    <t>Activity.Mpkm.IT.Tr.Road.Passenger.Car.ICE.LPG</t>
  </si>
  <si>
    <t>Activity.Mpkm.IT.Tr.Road.Passenger.Car.ICE.NGas</t>
  </si>
  <si>
    <t>Activity.Mpkm.IT.Tr.Road.Passenger.Car.PHEV</t>
  </si>
  <si>
    <t>Activity.Mpkm.IT.Tr.Road.Passenger.Car.BEV</t>
  </si>
  <si>
    <t>Activity.Mpkm.IT.Tr.Road.Passenger.Bus.ICE.Gasoline</t>
  </si>
  <si>
    <t>Activity.Mpkm.IT.Tr.Road.Passenger.Bus.ICE.Diesel</t>
  </si>
  <si>
    <t>Activity.Mpkm.IT.Tr.Road.Passenger.Bus.ICE.LPG</t>
  </si>
  <si>
    <t>Activity.Mpkm.IT.Tr.Road.Passenger.Bus.ICE.NGas</t>
  </si>
  <si>
    <t>Activity.Mpkm.IT.Tr.Road.Passenger.Bus.ICE.BEV</t>
  </si>
  <si>
    <t>Activity.Mtkm.IT.Tr.Road.Freight.LCV.ICE.Gasoline</t>
  </si>
  <si>
    <t>Activity.Mtkm.IT.Tr.Road.Freight.LCV.ICE.Diesel</t>
  </si>
  <si>
    <t>Activity.Mtkm.IT.Tr.Road.Freight.LCV.ICE.LPG</t>
  </si>
  <si>
    <t>Activity.Mtkm.IT.Tr.Road.Freight.LCV.ICE.NGas</t>
  </si>
  <si>
    <t>Activity.Mtkm.IT.Tr.Road.Freight.LCV.ICE.BEV</t>
  </si>
  <si>
    <t>Activity.Mtkm.IT.Tr.Road.Freight.HGV.Domestic</t>
  </si>
  <si>
    <t>Activity.Mtkm.IT.Tr.Road.Freight.HGV.International</t>
  </si>
  <si>
    <t>VehicleKm.Mkm.IT.Tr.Road</t>
  </si>
  <si>
    <t>VehicleKm.Mkm.IT.Tr.Road.Passenger</t>
  </si>
  <si>
    <t>VehicleKm.Mkm.IT.Tr.Road.Passenger.P2W</t>
  </si>
  <si>
    <t>VehicleKm.Mkm.IT.Tr.Road.Passenger.Car</t>
  </si>
  <si>
    <t>VehicleKm.Mkm.IT.Tr.Road.Passenger.Car.ICE.Gasoline</t>
  </si>
  <si>
    <t>VehicleKm.Mkm.IT.Tr.Road.Passenger.Car.ICE.Diesel</t>
  </si>
  <si>
    <t>VehicleKm.Mkm.IT.Tr.Road.Passenger.Car.ICE.LPG</t>
  </si>
  <si>
    <t>VehicleKm.Mkm.IT.Tr.Road.Passenger.Car.ICE.NGas</t>
  </si>
  <si>
    <t>VehicleKm.Mkm.IT.Tr.Road.Passenger.Car.PHEV</t>
  </si>
  <si>
    <t>VehicleKm.Mkm.IT.Tr.Road.Passenger.Car.BEV</t>
  </si>
  <si>
    <t>VehicleKm.Mkm.IT.Tr.Road.Passenger.Bus</t>
  </si>
  <si>
    <t>VehicleKm.Mkm.IT.Tr.Road.Passenger.Bus.ICE.Gasoline</t>
  </si>
  <si>
    <t>VehicleKm.Mkm.IT.Tr.Road.Passenger.Bus.ICE.Diesel</t>
  </si>
  <si>
    <t>VehicleKm.Mkm.IT.Tr.Road.Passenger.Bus.ICE.LPG</t>
  </si>
  <si>
    <t>VehicleKm.Mkm.IT.Tr.Road.Passenger.Bus.ICE.NGas</t>
  </si>
  <si>
    <t>VehicleKm.Mkm.IT.Tr.Road.Passenger.Bus.ICE.BEV</t>
  </si>
  <si>
    <t>VehicleKm.Mkm.IT.Tr.Road.Freight</t>
  </si>
  <si>
    <t>VehicleKm.Mkm.IT.Tr.Road.Freight.LCV</t>
  </si>
  <si>
    <t>VehicleKm.Mkm.IT.Tr.Road.Freight.LCV.ICE.Gasoline</t>
  </si>
  <si>
    <t>VehicleKm.Mkm.IT.Tr.Road.Freight.LCV.ICE.Diesel</t>
  </si>
  <si>
    <t>VehicleKm.Mkm.IT.Tr.Road.Freight.LCV.ICE.LPG</t>
  </si>
  <si>
    <t>VehicleKm.Mkm.IT.Tr.Road.Freight.LCV.ICE.NGas</t>
  </si>
  <si>
    <t>VehicleKm.Mkm.IT.Tr.Road.Freight.LCV.ICE.BEV</t>
  </si>
  <si>
    <t>VehicleKm.Mkm.IT.Tr.Road.Freight.HGV</t>
  </si>
  <si>
    <t>VehicleKm.Mkm.IT.Tr.Road.Freight.HGV.Domestic</t>
  </si>
  <si>
    <t>VehicleKm.Mkm.IT.Tr.Road.Freight.HGV.International</t>
  </si>
  <si>
    <t>Stock.number.IT.Tr.Road</t>
  </si>
  <si>
    <t>Stock.number.IT.Tr.Road.Passenger</t>
  </si>
  <si>
    <t>Stock.number.IT.Tr.Road.Passenger.P2W</t>
  </si>
  <si>
    <t>Stock.number.IT.Tr.Road.Passenger.Car</t>
  </si>
  <si>
    <t>Stock.number.IT.Tr.Road.Passenger.Car.ICE.Gasoline</t>
  </si>
  <si>
    <t>Stock.number.IT.Tr.Road.Passenger.Car.ICE.Diesel</t>
  </si>
  <si>
    <t>Stock.number.IT.Tr.Road.Passenger.Car.ICE.LPG</t>
  </si>
  <si>
    <t>Stock.number.IT.Tr.Road.Passenger.Car.ICE.NGas</t>
  </si>
  <si>
    <t>Stock.number.IT.Tr.Road.Passenger.Car.PHEV</t>
  </si>
  <si>
    <t>Stock.number.IT.Tr.Road.Passenger.Car.BEV</t>
  </si>
  <si>
    <t>Stock.number.IT.Tr.Road.Passenger.Bus</t>
  </si>
  <si>
    <t>Stock.number.IT.Tr.Road.Passenger.Bus.ICE.Gasoline</t>
  </si>
  <si>
    <t>Stock.number.IT.Tr.Road.Passenger.Bus.ICE.Diesel</t>
  </si>
  <si>
    <t>Stock.number.IT.Tr.Road.Passenger.Bus.ICE.LPG</t>
  </si>
  <si>
    <t>Stock.number.IT.Tr.Road.Passenger.Bus.ICE.NGas</t>
  </si>
  <si>
    <t>Stock.number.IT.Tr.Road.Passenger.Bus.ICE.BEV</t>
  </si>
  <si>
    <t>Stock.number.IT.Tr.Road.Freight</t>
  </si>
  <si>
    <t>Stock.number.IT.Tr.Road.Freight.LCV</t>
  </si>
  <si>
    <t>Stock.number.IT.Tr.Road.Freight.LCV.ICE.Gasoline</t>
  </si>
  <si>
    <t>Stock.number.IT.Tr.Road.Freight.LCV.ICE.Diesel</t>
  </si>
  <si>
    <t>Stock.number.IT.Tr.Road.Freight.LCV.ICE.LPG</t>
  </si>
  <si>
    <t>Stock.number.IT.Tr.Road.Freight.LCV.ICE.NGas</t>
  </si>
  <si>
    <t>Stock.number.IT.Tr.Road.Freight.LCV.ICE.BEV</t>
  </si>
  <si>
    <t>Stock.number.IT.Tr.Road.Freight.HGV</t>
  </si>
  <si>
    <t>Stock.number.IT.Tr.Road.Freight.HGV.Domestic</t>
  </si>
  <si>
    <t>Stock.number.IT.Tr.Road.Freight.HGV.International</t>
  </si>
  <si>
    <t>StockNew.number.IT.Tr.Road</t>
  </si>
  <si>
    <t>StockNew.number.IT.Tr.Road.Passenger</t>
  </si>
  <si>
    <t>StockNew.number.IT.Tr.Road.Passenger.P2W</t>
  </si>
  <si>
    <t>StockNew.number.IT.Tr.Road.Passenger.Car</t>
  </si>
  <si>
    <t>StockNew.number.IT.Tr.Road.Passenger.Car.ICE.Gasoline</t>
  </si>
  <si>
    <t>StockNew.number.IT.Tr.Road.Passenger.Car.ICE.Diesel</t>
  </si>
  <si>
    <t>StockNew.number.IT.Tr.Road.Passenger.Car.ICE.LPG</t>
  </si>
  <si>
    <t>StockNew.number.IT.Tr.Road.Passenger.Car.ICE.NGas</t>
  </si>
  <si>
    <t>StockNew.number.IT.Tr.Road.Passenger.Car.PHEV</t>
  </si>
  <si>
    <t>StockNew.number.IT.Tr.Road.Passenger.Car.BEV</t>
  </si>
  <si>
    <t>StockNew.number.IT.Tr.Road.Passenger.Bus</t>
  </si>
  <si>
    <t>StockNew.number.IT.Tr.Road.Passenger.Bus.ICE.Gasoline</t>
  </si>
  <si>
    <t>StockNew.number.IT.Tr.Road.Passenger.Bus.ICE.Diesel</t>
  </si>
  <si>
    <t>StockNew.number.IT.Tr.Road.Passenger.Bus.ICE.LPG</t>
  </si>
  <si>
    <t>StockNew.number.IT.Tr.Road.Passenger.Bus.ICE.NGas</t>
  </si>
  <si>
    <t>StockNew.number.IT.Tr.Road.Passenger.Bus.ICE.BEV</t>
  </si>
  <si>
    <t>StockNew.number.IT.Tr.Road.Freight</t>
  </si>
  <si>
    <t>StockNew.number.IT.Tr.Road.Freight.LCV</t>
  </si>
  <si>
    <t>StockNew.number.IT.Tr.Road.Freight.LCV.ICE.Gasoline</t>
  </si>
  <si>
    <t>StockNew.number.IT.Tr.Road.Freight.LCV.ICE.Diesel</t>
  </si>
  <si>
    <t>StockNew.number.IT.Tr.Road.Freight.LCV.ICE.LPG</t>
  </si>
  <si>
    <t>StockNew.number.IT.Tr.Road.Freight.LCV.ICE.NGas</t>
  </si>
  <si>
    <t>StockNew.number.IT.Tr.Road.Freight.LCV.ICE.BEV</t>
  </si>
  <si>
    <t>StockNew.number.IT.Tr.Road.Freight.HGV</t>
  </si>
  <si>
    <t>StockNew.number.IT.Tr.Road.Freight.HGV.Domestic</t>
  </si>
  <si>
    <t>StockNew.number.IT.Tr.Road.Freight.HGV.International</t>
  </si>
  <si>
    <t>Load.passenger_per_movement.IT.Tr.Road.Passenger</t>
  </si>
  <si>
    <t>Load.passenger_per_movement.IT.Tr.Road.Passenger.P2W</t>
  </si>
  <si>
    <t>Load.passenger_per_movement.IT.Tr.Road.Passenger.Car</t>
  </si>
  <si>
    <t>Load.passenger_per_movement.IT.Tr.Road.Passenger.Car.ICE.Gasoline</t>
  </si>
  <si>
    <t>Load.passenger_per_movement.IT.Tr.Road.Passenger.Car.ICE.Diesel</t>
  </si>
  <si>
    <t>Load.passenger_per_movement.IT.Tr.Road.Passenger.Car.ICE.LPG</t>
  </si>
  <si>
    <t>Load.passenger_per_movement.IT.Tr.Road.Passenger.Car.ICE.NGas</t>
  </si>
  <si>
    <t>Load.passenger_per_movement.IT.Tr.Road.Passenger.Car.PHEV</t>
  </si>
  <si>
    <t>Load.passenger_per_movement.IT.Tr.Road.Passenger.Car.BEV</t>
  </si>
  <si>
    <t>Load.passenger_per_movement.IT.Tr.Road.Passenger.Bus</t>
  </si>
  <si>
    <t>Load.passenger_per_movement.IT.Tr.Road.Passenger.Bus.ICE.Gasoline</t>
  </si>
  <si>
    <t>Load.passenger_per_movement.IT.Tr.Road.Passenger.Bus.ICE.Diesel</t>
  </si>
  <si>
    <t>Load.passenger_per_movement.IT.Tr.Road.Passenger.Bus.ICE.LPG</t>
  </si>
  <si>
    <t>Load.passenger_per_movement.IT.Tr.Road.Passenger.Bus.ICE.NGas</t>
  </si>
  <si>
    <t>Load.passenger_per_movement.IT.Tr.Road.Passenger.Bus.ICE.BEV</t>
  </si>
  <si>
    <t>Load.t_per_movement.IT.Tr.Road.Freight</t>
  </si>
  <si>
    <t>Load.t_per_movement.IT.Tr.Road.Freight.LCV</t>
  </si>
  <si>
    <t>Load.t_per_movement.IT.Tr.Road.Freight.LCV.ICE.Gasoline</t>
  </si>
  <si>
    <t>Load.t_per_movement.IT.Tr.Road.Freight.LCV.ICE.Diesel</t>
  </si>
  <si>
    <t>Load.t_per_movement.IT.Tr.Road.Freight.LCV.ICE.LPG</t>
  </si>
  <si>
    <t>Load.t_per_movement.IT.Tr.Road.Freight.LCV.ICE.NGas</t>
  </si>
  <si>
    <t>Load.t_per_movement.IT.Tr.Road.Freight.LCV.ICE.BEV</t>
  </si>
  <si>
    <t>Load.t_per_movement.IT.Tr.Road.Freight.HGV</t>
  </si>
  <si>
    <t>Load.t_per_movement.IT.Tr.Road.Freight.HGV.Domestic</t>
  </si>
  <si>
    <t>Load.t_per_movement.IT.Tr.Road.Freight.HGV.International</t>
  </si>
  <si>
    <t>VehicleKm_per_vehicle.km.IT.Tr.Road</t>
  </si>
  <si>
    <t>VehicleKm_per_vehicle.km.IT.Tr.Road.Passenger</t>
  </si>
  <si>
    <t>VehicleKm_per_vehicle.km.IT.Tr.Road.Passenger.P2W</t>
  </si>
  <si>
    <t>VehicleKm_per_vehicle.km.IT.Tr.Road.Passenger.Car</t>
  </si>
  <si>
    <t>VehicleKm_per_vehicle.km.IT.Tr.Road.Passenger.Car.ICE.Gasoline</t>
  </si>
  <si>
    <t>VehicleKm_per_vehicle.km.IT.Tr.Road.Passenger.Car.ICE.Diesel</t>
  </si>
  <si>
    <t>VehicleKm_per_vehicle.km.IT.Tr.Road.Passenger.Car.ICE.LPG</t>
  </si>
  <si>
    <t>VehicleKm_per_vehicle.km.IT.Tr.Road.Passenger.Car.ICE.NGas</t>
  </si>
  <si>
    <t>VehicleKm_per_vehicle.km.IT.Tr.Road.Passenger.Car.PHEV</t>
  </si>
  <si>
    <t>VehicleKm_per_vehicle.km.IT.Tr.Road.Passenger.Car.BEV</t>
  </si>
  <si>
    <t>VehicleKm_per_vehicle.km.IT.Tr.Road.Passenger.Bus</t>
  </si>
  <si>
    <t>VehicleKm_per_vehicle.km.IT.Tr.Road.Passenger.Bus.ICE.Gasoline</t>
  </si>
  <si>
    <t>VehicleKm_per_vehicle.km.IT.Tr.Road.Passenger.Bus.ICE.Diesel</t>
  </si>
  <si>
    <t>VehicleKm_per_vehicle.km.IT.Tr.Road.Passenger.Bus.ICE.LPG</t>
  </si>
  <si>
    <t>VehicleKm_per_vehicle.km.IT.Tr.Road.Passenger.Bus.ICE.NGas</t>
  </si>
  <si>
    <t>VehicleKm_per_vehicle.km.IT.Tr.Road.Passenger.Bus.ICE.BEV</t>
  </si>
  <si>
    <t>VehicleKm_per_vehicle.km.IT.Tr.Road.Freight</t>
  </si>
  <si>
    <t>VehicleKm_per_vehicle.km.IT.Tr.Road.Freight.LCV</t>
  </si>
  <si>
    <t>VehicleKm_per_vehicle.km.IT.Tr.Road.Freight.LCV.ICE.Gasoline</t>
  </si>
  <si>
    <t>VehicleKm_per_vehicle.km.IT.Tr.Road.Freight.LCV.ICE.Diesel</t>
  </si>
  <si>
    <t>VehicleKm_per_vehicle.km.IT.Tr.Road.Freight.LCV.ICE.LPG</t>
  </si>
  <si>
    <t>VehicleKm_per_vehicle.km.IT.Tr.Road.Freight.LCV.ICE.NGas</t>
  </si>
  <si>
    <t>VehicleKm_per_vehicle.km.IT.Tr.Road.Freight.LCV.ICE.BEV</t>
  </si>
  <si>
    <t>VehicleKm_per_vehicle.km.IT.Tr.Road.Freight.HGV</t>
  </si>
  <si>
    <t>VehicleKm_per_vehicle.km.IT.Tr.Road.Freight.HGV.Domestic</t>
  </si>
  <si>
    <t>VehicleKm_per_vehicle.km.IT.Tr.Road.Freight.HGV.International</t>
  </si>
  <si>
    <t>Activity_per_vehicle.pkm.IT.Tr.Road.Passenger</t>
  </si>
  <si>
    <t>Activity_per_vehicle.pkm.IT.Tr.Road.Passenger.P2W</t>
  </si>
  <si>
    <t>Activity_per_vehicle.pkm.IT.Tr.Road.Passenger.Car</t>
  </si>
  <si>
    <t>Activity_per_vehicle.pkm.IT.Tr.Road.Passenger.Car.ICE.Gasoline</t>
  </si>
  <si>
    <t>Activity_per_vehicle.pkm.IT.Tr.Road.Passenger.Car.ICE.Diesel</t>
  </si>
  <si>
    <t>Activity_per_vehicle.pkm.IT.Tr.Road.Passenger.Car.ICE.LPG</t>
  </si>
  <si>
    <t>Activity_per_vehicle.pkm.IT.Tr.Road.Passenger.Car.ICE.NGas</t>
  </si>
  <si>
    <t>Activity_per_vehicle.pkm.IT.Tr.Road.Passenger.Car.PHEV</t>
  </si>
  <si>
    <t>Activity_per_vehicle.pkm.IT.Tr.Road.Passenger.Car.BEV</t>
  </si>
  <si>
    <t>Activity_per_vehicle.pkm.IT.Tr.Road.Passenger.Bus</t>
  </si>
  <si>
    <t>Activity_per_vehicle.pkm.IT.Tr.Road.Passenger.Bus.ICE.Gasoline</t>
  </si>
  <si>
    <t>Activity_per_vehicle.pkm.IT.Tr.Road.Passenger.Bus.ICE.Diesel</t>
  </si>
  <si>
    <t>Activity_per_vehicle.pkm.IT.Tr.Road.Passenger.Bus.ICE.LPG</t>
  </si>
  <si>
    <t>Activity_per_vehicle.pkm.IT.Tr.Road.Passenger.Bus.ICE.NGas</t>
  </si>
  <si>
    <t>Activity_per_vehicle.pkm.IT.Tr.Road.Passenger.Bus.ICE.BEV</t>
  </si>
  <si>
    <t>Activity_per_vehicle.tkm.IT.Tr.Road.Freight</t>
  </si>
  <si>
    <t>Activity_per_vehicle.tkm.IT.Tr.Road.Freight.LCV</t>
  </si>
  <si>
    <t>Activity_per_vehicle.tkm.IT.Tr.Road.Freight.LCV.ICE.Gasoline</t>
  </si>
  <si>
    <t>Activity_per_vehicle.tkm.IT.Tr.Road.Freight.LCV.ICE.Diesel</t>
  </si>
  <si>
    <t>Activity_per_vehicle.tkm.IT.Tr.Road.Freight.LCV.ICE.LPG</t>
  </si>
  <si>
    <t>Activity_per_vehicle.tkm.IT.Tr.Road.Freight.LCV.ICE.NGas</t>
  </si>
  <si>
    <t>Activity_per_vehicle.tkm.IT.Tr.Road.Freight.LCV.ICE.BEV</t>
  </si>
  <si>
    <t>Activity_per_vehicle.tkm.IT.Tr.Road.Freight.HGV</t>
  </si>
  <si>
    <t>Activity_per_vehicle.tkm.IT.Tr.Road.Freight.HGV.Domestic</t>
  </si>
  <si>
    <t>Activity_per_vehicle.tkm.IT.Tr.Road.Freight.HGV.International</t>
  </si>
  <si>
    <t>Road transport / energy consumption - IT - Italy</t>
  </si>
  <si>
    <t>FEC.ktoe.IT.ES.Tr.Road</t>
  </si>
  <si>
    <t>FEC.ktoe.IT.ES.Tr.Road.LPG</t>
  </si>
  <si>
    <t>FEC.ktoe.IT.ES.Tr.Road.Gasoline</t>
  </si>
  <si>
    <t>FEC.ktoe.IT.ES.Tr.Road.Diesel</t>
  </si>
  <si>
    <t>FEC.ktoe.IT.ES.Tr.Road.NG</t>
  </si>
  <si>
    <t>FEC.ktoe.IT.ES.Tr.Road.Biogas</t>
  </si>
  <si>
    <t>FEC.ktoe.IT.ES.Tr.Road.Biogasoline</t>
  </si>
  <si>
    <t>FEC.ktoe.IT.ES.Tr.Road.Biodiesel</t>
  </si>
  <si>
    <t>FEC.ktoe.IT.ES.Tr.Road.OthLiqBio</t>
  </si>
  <si>
    <t>FEC.ktoe.IT.ES.Tr.Road.Elec</t>
  </si>
  <si>
    <t>FEC.ktoe.IT.Tr.Road</t>
  </si>
  <si>
    <t>FEC.ktoe.IT.Tr.Road.Passenger.P2W.Biogasoline</t>
  </si>
  <si>
    <t>FEC.ktoe.IT.Tr.Road.Passenger.Car.ICE.Gasoline</t>
  </si>
  <si>
    <t>FEC.ktoe.IT.Tr.Road.Passenger.Car.ICE.Gasoline.Biogasoline</t>
  </si>
  <si>
    <t>FEC.ktoe.IT.Tr.Road.Passenger.Car.ICE.Diesel</t>
  </si>
  <si>
    <t>FEC.ktoe.IT.Tr.Road.Passenger.Car.ICE.Diesel.BioDiesel_OthLiqBio</t>
  </si>
  <si>
    <t>FEC.ktoe.IT.Tr.Road.Passenger.Car.ICE.LPG</t>
  </si>
  <si>
    <t>FEC.ktoe.IT.Tr.Road.Passenger.Car.ICE.NGas</t>
  </si>
  <si>
    <t>FEC.ktoe.IT.Tr.Road.Passenger.Car.ICE.NGas.Biogas</t>
  </si>
  <si>
    <t>FEC.ktoe.IT.Tr.Road.Passenger.Car.PHEV</t>
  </si>
  <si>
    <t>FEC.ktoe.IT.Tr.Road.Passenger.Car.PHEV.Biogasoline</t>
  </si>
  <si>
    <t>FEC.ktoe.IT.Tr.Road.Passenger.Car.PHEV.Elec</t>
  </si>
  <si>
    <t>FEC.ktoe.IT.Tr.Road.Passenger.Car.BEV</t>
  </si>
  <si>
    <t>FEC.ktoe.IT.Tr.Road.Passenger.Bus.ICE.Gasoline</t>
  </si>
  <si>
    <t>FEC.ktoe.IT.Tr.Road.Passenger.Bus.ICE.Gasoline.Biogasoline</t>
  </si>
  <si>
    <t>FEC.ktoe.IT.Tr.Road.Passenger.Bus.ICE.Diesel</t>
  </si>
  <si>
    <t>FEC.ktoe.IT.Tr.Road.Passenger.Bus.ICE.Diesel.BioDiesel_OthLiqBio</t>
  </si>
  <si>
    <t>FEC.ktoe.IT.Tr.Road.Passenger.Bus.ICE.LPG</t>
  </si>
  <si>
    <t>FEC.ktoe.IT.Tr.Road.Passenger.Bus.ICE.NGas</t>
  </si>
  <si>
    <t>FEC.ktoe.IT.Tr.Road.Passenger.Bus.ICE.NGas.Biogas</t>
  </si>
  <si>
    <t>FEC.ktoe.IT.Tr.Road.Passenger.Bus.ICE.BEV</t>
  </si>
  <si>
    <t>FEC.ktoe.IT.Tr.Road.Freight.LCV.ICE.Gasoline</t>
  </si>
  <si>
    <t>FEC.ktoe.IT.Tr.Road.Freight.LCV.ICE.Gasoline.Biogasoline</t>
  </si>
  <si>
    <t>FEC.ktoe.IT.Tr.Road.Freight.LCV.ICE.Diesel</t>
  </si>
  <si>
    <t>FEC.ktoe.IT.Tr.Road.Freight.LCV.ICE.Diesel.BioDiesel_OthLiqBio</t>
  </si>
  <si>
    <t>FEC.ktoe.IT.Tr.Road.Freight.LCV.ICE.LPG</t>
  </si>
  <si>
    <t>FEC.ktoe.IT.Tr.Road.Freight.LCV.ICE.NGas</t>
  </si>
  <si>
    <t>FEC.ktoe.IT.Tr.Road.Freight.LCV.ICE.NGas.Biogas</t>
  </si>
  <si>
    <t>FEC.ktoe.IT.Tr.Road.Freight.LCV.ICE.BEV</t>
  </si>
  <si>
    <t>FEC.ktoe.IT.Tr.Road.Freight.HGV.Domestic</t>
  </si>
  <si>
    <t>FEC.ktoe.IT.Tr.Road.Freight.HGV.Domestic.BioDiesel_OthLiqBio</t>
  </si>
  <si>
    <t>FEC.ktoe.IT.Tr.Road.Freight.HGV.International</t>
  </si>
  <si>
    <t>FEC.ktoe.IT.Tr.Road.Freight.HGV.International.BioDiesel_OthLiqBio</t>
  </si>
  <si>
    <t>Eff.kgoe_per_100km.IT.Tr.Road</t>
  </si>
  <si>
    <t>Eff.kgoe_per_100km.IT.Tr.Road.Passenger</t>
  </si>
  <si>
    <t>Eff.kgoe_per_100km.IT.Tr.Road.Passenger.P2W</t>
  </si>
  <si>
    <t>Eff.kgoe_per_100km.IT.Tr.Road.Passenger.Car</t>
  </si>
  <si>
    <t>Eff.kgoe_per_100km.IT.Tr.Road.Passenger.Car.ICE.Gasoline</t>
  </si>
  <si>
    <t>Eff.kgoe_per_100km.IT.Tr.Road.Passenger.Car.ICE.Diesel</t>
  </si>
  <si>
    <t>Eff.kgoe_per_100km.IT.Tr.Road.Passenger.Car.ICE.LPG</t>
  </si>
  <si>
    <t>Eff.kgoe_per_100km.IT.Tr.Road.Passenger.Car.ICE.NGas</t>
  </si>
  <si>
    <t>Eff.kgoe_per_100km.IT.Tr.Road.Passenger.Car.PHEV</t>
  </si>
  <si>
    <t>Eff.kgoe_per_100km.IT.Tr.Road.Passenger.Car.BEV</t>
  </si>
  <si>
    <t>Eff.kgoe_per_100km.IT.Tr.Road.Passenger.Bus</t>
  </si>
  <si>
    <t>Eff.kgoe_per_100km.IT.Tr.Road.Passenger.Bus.ICE.Gasoline</t>
  </si>
  <si>
    <t>Eff.kgoe_per_100km.IT.Tr.Road.Passenger.Bus.ICE.Diesel</t>
  </si>
  <si>
    <t>Eff.kgoe_per_100km.IT.Tr.Road.Passenger.Bus.ICE.LPG</t>
  </si>
  <si>
    <t>Eff.kgoe_per_100km.IT.Tr.Road.Passenger.Bus.ICE.NGas</t>
  </si>
  <si>
    <t>Eff.kgoe_per_100km.IT.Tr.Road.Passenger.Bus.ICE.BEV</t>
  </si>
  <si>
    <t>Eff.kgoe_per_100km.IT.Tr.Road.Freight</t>
  </si>
  <si>
    <t>Eff.kgoe_per_100km.IT.Tr.Road.Freight.LCV</t>
  </si>
  <si>
    <t>Eff.kgoe_per_100km.IT.Tr.Road.Freight.LCV.ICE.Gasoline</t>
  </si>
  <si>
    <t>Eff.kgoe_per_100km.IT.Tr.Road.Freight.LCV.ICE.Diesel</t>
  </si>
  <si>
    <t>Eff.kgoe_per_100km.IT.Tr.Road.Freight.LCV.ICE.LPG</t>
  </si>
  <si>
    <t>Eff.kgoe_per_100km.IT.Tr.Road.Freight.LCV.ICE.NGas</t>
  </si>
  <si>
    <t>Eff.kgoe_per_100km.IT.Tr.Road.Freight.LCV.ICE.BEV</t>
  </si>
  <si>
    <t>Eff.kgoe_per_100km.IT.Tr.Road.Freight.HGV</t>
  </si>
  <si>
    <t>Eff.kgoe_per_100km.IT.Tr.Road.Freight.HGV.Domestic</t>
  </si>
  <si>
    <t>Eff.kgoe_per_100km.IT.Tr.Road.Freight.HGV.International</t>
  </si>
  <si>
    <t>Eff.kgoe_per_kpkm.IT.Tr.Road.Passenger.Car.ICE.Gasoline</t>
  </si>
  <si>
    <t>Eff.kgoe_per_kpkm.IT.Tr.Road.Passenger.Car.ICE.Diesel</t>
  </si>
  <si>
    <t>Eff.kgoe_per_kpkm.IT.Tr.Road.Passenger.Car.ICE.LPG</t>
  </si>
  <si>
    <t>Eff.kgoe_per_kpkm.IT.Tr.Road.Passenger.Car.ICE.NGas</t>
  </si>
  <si>
    <t>Eff.kgoe_per_kpkm.IT.Tr.Road.Passenger.Car.PHEV</t>
  </si>
  <si>
    <t>Eff.kgoe_per_kpkm.IT.Tr.Road.Passenger.Car.BEV</t>
  </si>
  <si>
    <t>Eff.kgoe_per_kpkm.IT.Tr.Road.Passenger.Bus.ICE.Gasoline</t>
  </si>
  <si>
    <t>Eff.kgoe_per_kpkm.IT.Tr.Road.Passenger.Bus.ICE.Diesel</t>
  </si>
  <si>
    <t>Eff.kgoe_per_kpkm.IT.Tr.Road.Passenger.Bus.ICE.LPG</t>
  </si>
  <si>
    <t>Eff.kgoe_per_kpkm.IT.Tr.Road.Passenger.Bus.ICE.NGas</t>
  </si>
  <si>
    <t>Eff.kgoe_per_kpkm.IT.Tr.Road.Passenger.Bus.ICE.BEV</t>
  </si>
  <si>
    <t>Eff.kgoe_per_ktkm.IT.Tr.Road.Freight.LCV.ICE.Gasoline</t>
  </si>
  <si>
    <t>Eff.kgoe_per_ktkm.IT.Tr.Road.Freight.LCV.ICE.Diesel</t>
  </si>
  <si>
    <t>Eff.kgoe_per_ktkm.IT.Tr.Road.Freight.LCV.ICE.LPG</t>
  </si>
  <si>
    <t>Eff.kgoe_per_ktkm.IT.Tr.Road.Freight.LCV.ICE.NGas</t>
  </si>
  <si>
    <t>Eff.kgoe_per_ktkm.IT.Tr.Road.Freight.LCV.ICE.BEV</t>
  </si>
  <si>
    <t>Eff.kgoe_per_ktkm.IT.Tr.Road.Freight.HGV.Domestic</t>
  </si>
  <si>
    <t>Eff.kgoe_per_ktkm.IT.Tr.Road.Freight.HGV.International</t>
  </si>
  <si>
    <t>FEC_per_vehicle.kgoe.IT.Tr.Road.Passenger.P2W</t>
  </si>
  <si>
    <t>FEC_per_vehicle.kgoe.IT.Tr.Road.Passenger.Car</t>
  </si>
  <si>
    <t>FEC_per_vehicle.kgoe.IT.Tr.Road.Passenger.Car.ICE.Gasoline</t>
  </si>
  <si>
    <t>FEC_per_vehicle.kgoe.IT.Tr.Road.Passenger.Car.ICE.Diesel</t>
  </si>
  <si>
    <t>FEC_per_vehicle.kgoe.IT.Tr.Road.Passenger.Car.ICE.LPG</t>
  </si>
  <si>
    <t>FEC_per_vehicle.kgoe.IT.Tr.Road.Passenger.Car.ICE.NGas</t>
  </si>
  <si>
    <t>FEC_per_vehicle.kgoe.IT.Tr.Road.Passenger.Car.PHEV</t>
  </si>
  <si>
    <t>FEC_per_vehicle.kgoe.IT.Tr.Road.Passenger.Car.BEV</t>
  </si>
  <si>
    <t>FEC_per_vehicle.kgoe.IT.Tr.Road.Passenger.Bus</t>
  </si>
  <si>
    <t>FEC_per_vehicle.kgoe.IT.Tr.Road.Passenger.Bus.ICE.Gasoline</t>
  </si>
  <si>
    <t>FEC_per_vehicle.kgoe.IT.Tr.Road.Passenger.Bus.ICE.Diesel</t>
  </si>
  <si>
    <t>FEC_per_vehicle.kgoe.IT.Tr.Road.Passenger.Bus.ICE.LPG</t>
  </si>
  <si>
    <t>FEC_per_vehicle.kgoe.IT.Tr.Road.Passenger.Bus.ICE.NGas</t>
  </si>
  <si>
    <t>FEC_per_vehicle.kgoe.IT.Tr.Road.Passenger.Bus.ICE.BEV</t>
  </si>
  <si>
    <t>FEC_per_vehicle.kgoe.IT.Tr.Road.Freight.LCV</t>
  </si>
  <si>
    <t>FEC_per_vehicle.kgoe.IT.Tr.Road.Freight.LCV.ICE.Gasoline</t>
  </si>
  <si>
    <t>FEC_per_vehicle.kgoe.IT.Tr.Road.Freight.LCV.ICE.Diesel</t>
  </si>
  <si>
    <t>FEC_per_vehicle.kgoe.IT.Tr.Road.Freight.LCV.ICE.LPG</t>
  </si>
  <si>
    <t>FEC_per_vehicle.kgoe.IT.Tr.Road.Freight.LCV.ICE.NGas</t>
  </si>
  <si>
    <t>FEC_per_vehicle.kgoe.IT.Tr.Road.Freight.LCV.ICE.BEV</t>
  </si>
  <si>
    <t>FEC_per_vehicle.kgoe.IT.Tr.Road.Freight.HGV</t>
  </si>
  <si>
    <t>FEC_per_vehicle.kgoe.IT.Tr.Road.Freight.HGV.Domestic</t>
  </si>
  <si>
    <t>FEC_per_vehicle.kgoe.IT.Tr.Road.Freight.HGV.International</t>
  </si>
  <si>
    <t>Road transport / CO2 emissions - IT - Italy</t>
  </si>
  <si>
    <t>EMI.ktCO2.IT.ES.Tr.Road</t>
  </si>
  <si>
    <t>EMI.ktCO2.IT.ES.Tr.Road.LPG</t>
  </si>
  <si>
    <t>EMI.ktCO2.IT.ES.Tr.Road.Gasoline</t>
  </si>
  <si>
    <t>EMI.ktCO2.IT.ES.Tr.Road.Diesel</t>
  </si>
  <si>
    <t>EMI.ktCO2.IT.ES.Tr.Road.NG</t>
  </si>
  <si>
    <t>EMI.ktCO2.IT.ES.Tr.Road.Biogas</t>
  </si>
  <si>
    <t>EMI.ktCO2.IT.ES.Tr.Road.Biogasoline</t>
  </si>
  <si>
    <t>EMI.ktCO2.IT.ES.Tr.Road.Biodiesel</t>
  </si>
  <si>
    <t>EMI.ktCO2.IT.ES.Tr.Road.OthLiqBio</t>
  </si>
  <si>
    <t>EMI.ktCO2.IT.ES.Tr.Road.Elec</t>
  </si>
  <si>
    <t>EMI.ktCO2.IT.Tr.Road</t>
  </si>
  <si>
    <t>EMI.ktCO2.IT.Tr.Road.Passenger.Car.ICE.Gasoline</t>
  </si>
  <si>
    <t>EMI.ktCO2.IT.Tr.Road.Passenger.Car.ICE.Diesel</t>
  </si>
  <si>
    <t>EMI.ktCO2.IT.Tr.Road.Passenger.Car.ICE.LPG</t>
  </si>
  <si>
    <t>EMI.ktCO2.IT.Tr.Road.Passenger.Car.ICE.NGas</t>
  </si>
  <si>
    <t>EMI.ktCO2.IT.Tr.Road.Passenger.Car.PHEV</t>
  </si>
  <si>
    <t>EMI.ktCO2.IT.Tr.Road.Passenger.Car.BEV</t>
  </si>
  <si>
    <t>EMI.ktCO2.IT.Tr.Road.Passenger.Bus.ICE.Gasoline</t>
  </si>
  <si>
    <t>EMI.ktCO2.IT.Tr.Road.Passenger.Bus.ICE.Diesel</t>
  </si>
  <si>
    <t>EMI.ktCO2.IT.Tr.Road.Passenger.Bus.ICE.LPG</t>
  </si>
  <si>
    <t>EMI.ktCO2.IT.Tr.Road.Passenger.Bus.ICE.NGas</t>
  </si>
  <si>
    <t>EMI.ktCO2.IT.Tr.Road.Passenger.Bus.ICE.BEV</t>
  </si>
  <si>
    <t>EMI.ktCO2.IT.Tr.Road.Freight.LCV.ICE.Gasoline</t>
  </si>
  <si>
    <t>EMI.ktCO2.IT.Tr.Road.Freight.LCV.ICE.Diesel</t>
  </si>
  <si>
    <t>EMI.ktCO2.IT.Tr.Road.Freight.LCV.ICE.LPG</t>
  </si>
  <si>
    <t>EMI.ktCO2.IT.Tr.Road.Freight.LCV.ICE.NGas</t>
  </si>
  <si>
    <t>EMI.ktCO2.IT.Tr.Road.Freight.LCV.ICE.BEV</t>
  </si>
  <si>
    <t>EMI.ktCO2.IT.Tr.Road.Freight.HGV.Domestic</t>
  </si>
  <si>
    <t>EMI.ktCO2.IT.Tr.Road.Freight.HGV.International</t>
  </si>
  <si>
    <t>EMIint.gCO2_per_km.IT.Tr.Road</t>
  </si>
  <si>
    <t>EMIint.gCO2_per_km.IT.Tr.Road.Passenger</t>
  </si>
  <si>
    <t>EMIint.gCO2_per_km.IT.Tr.Road.Passenger.P2W</t>
  </si>
  <si>
    <t>EMIint.gCO2_per_km.IT.Tr.Road.Passenger.Car</t>
  </si>
  <si>
    <t>EMIint.gCO2_per_km.IT.Tr.Road.Passenger.Car.ICE.Gasoline</t>
  </si>
  <si>
    <t>EMIint.gCO2_per_km.IT.Tr.Road.Passenger.Car.ICE.Diesel</t>
  </si>
  <si>
    <t>EMIint.gCO2_per_km.IT.Tr.Road.Passenger.Car.ICE.LPG</t>
  </si>
  <si>
    <t>EMIint.gCO2_per_km.IT.Tr.Road.Passenger.Car.ICE.NGas</t>
  </si>
  <si>
    <t>EMIint.gCO2_per_km.IT.Tr.Road.Passenger.Car.PHEV</t>
  </si>
  <si>
    <t>EMIint.gCO2_per_km.IT.Tr.Road.Passenger.Car.BEV</t>
  </si>
  <si>
    <t>EMIint.gCO2_per_km.IT.Tr.Road.Passenger.Bus</t>
  </si>
  <si>
    <t>EMIint.gCO2_per_km.IT.Tr.Road.Passenger.Bus.ICE.Gasoline</t>
  </si>
  <si>
    <t>EMIint.gCO2_per_km.IT.Tr.Road.Passenger.Bus.ICE.Diesel</t>
  </si>
  <si>
    <t>EMIint.gCO2_per_km.IT.Tr.Road.Passenger.Bus.ICE.LPG</t>
  </si>
  <si>
    <t>EMIint.gCO2_per_km.IT.Tr.Road.Passenger.Bus.ICE.NGas</t>
  </si>
  <si>
    <t>EMIint.gCO2_per_km.IT.Tr.Road.Passenger.Bus.ICE.BEV</t>
  </si>
  <si>
    <t>EMIint.gCO2_per_km.IT.Tr.Road.Freight</t>
  </si>
  <si>
    <t>EMIint.gCO2_per_km.IT.Tr.Road.Freight.LCV</t>
  </si>
  <si>
    <t>EMIint.gCO2_per_km.IT.Tr.Road.Freight.LCV.ICE.Gasoline</t>
  </si>
  <si>
    <t>EMIint.gCO2_per_km.IT.Tr.Road.Freight.LCV.ICE.Diesel</t>
  </si>
  <si>
    <t>EMIint.gCO2_per_km.IT.Tr.Road.Freight.LCV.ICE.LPG</t>
  </si>
  <si>
    <t>EMIint.gCO2_per_km.IT.Tr.Road.Freight.LCV.ICE.NGas</t>
  </si>
  <si>
    <t>EMIint.gCO2_per_km.IT.Tr.Road.Freight.LCV.ICE.BEV</t>
  </si>
  <si>
    <t>EMIint.gCO2_per_km.IT.Tr.Road.Freight.HGV</t>
  </si>
  <si>
    <t>EMIint.gCO2_per_km.IT.Tr.Road.Freight.HGV.Domestic</t>
  </si>
  <si>
    <t>EMIint.gCO2_per_km.IT.Tr.Road.Freight.HGV.International</t>
  </si>
  <si>
    <t>EMIint.gCO2_per_pkm.IT.Tr.Road.Passenger.Car.ICE.Gasoline</t>
  </si>
  <si>
    <t>EMIint.gCO2_per_pkm.IT.Tr.Road.Passenger.Car.ICE.Diesel</t>
  </si>
  <si>
    <t>EMIint.gCO2_per_pkm.IT.Tr.Road.Passenger.Car.ICE.LPG</t>
  </si>
  <si>
    <t>EMIint.gCO2_per_pkm.IT.Tr.Road.Passenger.Car.ICE.NGas</t>
  </si>
  <si>
    <t>EMIint.gCO2_per_pkm.IT.Tr.Road.Passenger.Car.PHEV</t>
  </si>
  <si>
    <t>EMIint.gCO2_per_pkm.IT.Tr.Road.Passenger.Car.BEV</t>
  </si>
  <si>
    <t>EMIint.gCO2_per_pkm.IT.Tr.Road.Passenger.Bus.ICE.Gasoline</t>
  </si>
  <si>
    <t>EMIint.gCO2_per_pkm.IT.Tr.Road.Passenger.Bus.ICE.Diesel</t>
  </si>
  <si>
    <t>EMIint.gCO2_per_pkm.IT.Tr.Road.Passenger.Bus.ICE.LPG</t>
  </si>
  <si>
    <t>EMIint.gCO2_per_pkm.IT.Tr.Road.Passenger.Bus.ICE.NGas</t>
  </si>
  <si>
    <t>EMIint.gCO2_per_pkm.IT.Tr.Road.Passenger.Bus.ICE.BEV</t>
  </si>
  <si>
    <t>EMIint.gCO2_per_tkm.IT.Tr.Road.Freight.LCV.ICE.Gasoline</t>
  </si>
  <si>
    <t>EMIint.gCO2_per_tkm.IT.Tr.Road.Freight.LCV.ICE.Diesel</t>
  </si>
  <si>
    <t>EMIint.gCO2_per_tkm.IT.Tr.Road.Freight.LCV.ICE.LPG</t>
  </si>
  <si>
    <t>EMIint.gCO2_per_tkm.IT.Tr.Road.Freight.LCV.ICE.NGas</t>
  </si>
  <si>
    <t>EMIint.gCO2_per_tkm.IT.Tr.Road.Freight.LCV.ICE.BEV</t>
  </si>
  <si>
    <t>EMIint.gCO2_per_tkm.IT.Tr.Road.Freight.HGV.Domestic</t>
  </si>
  <si>
    <t>EMIint.gCO2_per_tkm.IT.Tr.Road.Freight.HGV.International</t>
  </si>
  <si>
    <t>EMI_per_vehicle.kgCO2.IT.Tr.Road.Passenger.P2W</t>
  </si>
  <si>
    <t>EMI_per_vehicle.kgCO2.IT.Tr.Road.Passenger.Car</t>
  </si>
  <si>
    <t>EMI_per_vehicle.kgCO2.IT.Tr.Road.Passenger.Car.ICE.Gasoline</t>
  </si>
  <si>
    <t>EMI_per_vehicle.kgCO2.IT.Tr.Road.Passenger.Car.ICE.Diesel</t>
  </si>
  <si>
    <t>EMI_per_vehicle.kgCO2.IT.Tr.Road.Passenger.Car.ICE.LPG</t>
  </si>
  <si>
    <t>EMI_per_vehicle.kgCO2.IT.Tr.Road.Passenger.Car.ICE.NGas</t>
  </si>
  <si>
    <t>EMI_per_vehicle.kgCO2.IT.Tr.Road.Passenger.Car.PHEV</t>
  </si>
  <si>
    <t>EMI_per_vehicle.kgCO2.IT.Tr.Road.Passenger.Car.BEV</t>
  </si>
  <si>
    <t>EMI_per_vehicle.kgCO2.IT.Tr.Road.Passenger.Bus</t>
  </si>
  <si>
    <t>EMI_per_vehicle.kgCO2.IT.Tr.Road.Passenger.Bus.ICE.Gasoline</t>
  </si>
  <si>
    <t>EMI_per_vehicle.kgCO2.IT.Tr.Road.Passenger.Bus.ICE.Diesel</t>
  </si>
  <si>
    <t>EMI_per_vehicle.kgCO2.IT.Tr.Road.Passenger.Bus.ICE.LPG</t>
  </si>
  <si>
    <t>EMI_per_vehicle.kgCO2.IT.Tr.Road.Passenger.Bus.ICE.NGas</t>
  </si>
  <si>
    <t>EMI_per_vehicle.kgCO2.IT.Tr.Road.Passenger.Bus.ICE.BEV</t>
  </si>
  <si>
    <t>EMI_per_vehicle.kgCO2.IT.Tr.Road.Freight.LCV</t>
  </si>
  <si>
    <t>EMI_per_vehicle.kgCO2.IT.Tr.Road.Freight.LCV.ICE.Gasoline</t>
  </si>
  <si>
    <t>EMI_per_vehicle.kgCO2.IT.Tr.Road.Freight.LCV.ICE.Diesel</t>
  </si>
  <si>
    <t>EMI_per_vehicle.kgCO2.IT.Tr.Road.Freight.LCV.ICE.LPG</t>
  </si>
  <si>
    <t>EMI_per_vehicle.kgCO2.IT.Tr.Road.Freight.LCV.ICE.NGas</t>
  </si>
  <si>
    <t>EMI_per_vehicle.kgCO2.IT.Tr.Road.Freight.LCV.ICE.BEV</t>
  </si>
  <si>
    <t>EMI_per_vehicle.kgCO2.IT.Tr.Road.Freight.HGV</t>
  </si>
  <si>
    <t>EMI_per_vehicle.kgCO2.IT.Tr.Road.Freight.HGV.Domestic</t>
  </si>
  <si>
    <t>EMI_per_vehicle.kgCO2.IT.Tr.Road.Freight.HGV.International</t>
  </si>
  <si>
    <t>Road transport / technologies - IT - Italy</t>
  </si>
  <si>
    <t>StockVin.number.IT.Tr.Road</t>
  </si>
  <si>
    <t>StockVin.number.IT.Tr.Road.Passenger</t>
  </si>
  <si>
    <t>StockVin.number.IT.Tr.Road.Passenger.P2W</t>
  </si>
  <si>
    <t>StockVin.number.IT.Tr.Road.Passenger.Car</t>
  </si>
  <si>
    <t>StockVin.number.IT.Tr.Road.Passenger.Car.ICE.Gasoline</t>
  </si>
  <si>
    <t>StockVin.number.IT.Tr.Road.Passenger.Car.ICE.Diesel</t>
  </si>
  <si>
    <t>StockVin.number.IT.Tr.Road.Passenger.Car.ICE.LPG</t>
  </si>
  <si>
    <t>StockVin.number.IT.Tr.Road.Passenger.Car.ICE.NGas</t>
  </si>
  <si>
    <t>StockVin.number.IT.Tr.Road.Passenger.Car.PHEV</t>
  </si>
  <si>
    <t>StockVin.number.IT.Tr.Road.Passenger.Car.BEV</t>
  </si>
  <si>
    <t>StockVin.number.IT.Tr.Road.Passenger.Bus</t>
  </si>
  <si>
    <t>StockVin.number.IT.Tr.Road.Passenger.Bus.ICE.Gasoline</t>
  </si>
  <si>
    <t>StockVin.number.IT.Tr.Road.Passenger.Bus.ICE.Diesel</t>
  </si>
  <si>
    <t>StockVin.number.IT.Tr.Road.Passenger.Bus.ICE.LPG</t>
  </si>
  <si>
    <t>StockVin.number.IT.Tr.Road.Passenger.Bus.ICE.NGas</t>
  </si>
  <si>
    <t>StockVin.number.IT.Tr.Road.Passenger.Bus.ICE.BEV</t>
  </si>
  <si>
    <t>StockVin.number.IT.Tr.Road.Freight</t>
  </si>
  <si>
    <t>StockVin.number.IT.Tr.Road.Freight.LCV</t>
  </si>
  <si>
    <t>StockVin.number.IT.Tr.Road.Freight.LCV.ICE.Gasoline</t>
  </si>
  <si>
    <t>StockVin.number.IT.Tr.Road.Freight.LCV.ICE.Diesel</t>
  </si>
  <si>
    <t>StockVin.number.IT.Tr.Road.Freight.LCV.ICE.LPG</t>
  </si>
  <si>
    <t>StockVin.number.IT.Tr.Road.Freight.LCV.ICE.NGas</t>
  </si>
  <si>
    <t>StockVin.number.IT.Tr.Road.Freight.LCV.ICE.BEV</t>
  </si>
  <si>
    <t>StockVin.number.IT.Tr.Road.Freight.HGV</t>
  </si>
  <si>
    <t>StockVin.number.IT.Tr.Road.Freight.HGV.Domestic</t>
  </si>
  <si>
    <t>StockVin.number.IT.Tr.Road.Freight.HGV.International</t>
  </si>
  <si>
    <t>Eff_test_stock.kgoe_per_100km.IT.Tr.Road.Passenger.P2W</t>
  </si>
  <si>
    <t>Eff_test_stock.kgoe_per_100km.IT.Tr.Road.Passenger.Car</t>
  </si>
  <si>
    <t>Eff_test_stock.kgoe_per_100km.IT.Tr.Road.Passenger.Car.ICE.Gasoline</t>
  </si>
  <si>
    <t>Eff_test_stock.kgoe_per_100km.IT.Tr.Road.Passenger.Car.ICE.Diesel</t>
  </si>
  <si>
    <t>Eff_test_stock.kgoe_per_100km.IT.Tr.Road.Passenger.Car.ICE.LPG</t>
  </si>
  <si>
    <t>Eff_test_stock.kgoe_per_100km.IT.Tr.Road.Passenger.Car.ICE.NGas</t>
  </si>
  <si>
    <t>Eff_test_stock.kgoe_per_100km.IT.Tr.Road.Passenger.Car.PHEV</t>
  </si>
  <si>
    <t>Eff_test_stock.kgoe_per_100km.IT.Tr.Road.Passenger.Car.BEV</t>
  </si>
  <si>
    <t>Eff_test_stock.kgoe_per_100km.IT.Tr.Road.Passenger.Bus</t>
  </si>
  <si>
    <t>Eff_test_stock.kgoe_per_100km.IT.Tr.Road.Passenger.Bus.ICE.Gasoline</t>
  </si>
  <si>
    <t>Eff_test_stock.kgoe_per_100km.IT.Tr.Road.Passenger.Bus.ICE.Diesel</t>
  </si>
  <si>
    <t>Eff_test_stock.kgoe_per_100km.IT.Tr.Road.Passenger.Bus.ICE.LPG</t>
  </si>
  <si>
    <t>Eff_test_stock.kgoe_per_100km.IT.Tr.Road.Passenger.Bus.ICE.NGas</t>
  </si>
  <si>
    <t>Eff_test_stock.kgoe_per_100km.IT.Tr.Road.Passenger.Bus.ICE.BEV</t>
  </si>
  <si>
    <t>Eff_test_stock.kgoe_per_100km.IT.Tr.Road.Freight.LCV</t>
  </si>
  <si>
    <t>Eff_test_stock.kgoe_per_100km.IT.Tr.Road.Freight.LCV.ICE.Gasoline</t>
  </si>
  <si>
    <t>Eff_test_stock.kgoe_per_100km.IT.Tr.Road.Freight.LCV.ICE.Diesel</t>
  </si>
  <si>
    <t>Eff_test_stock.kgoe_per_100km.IT.Tr.Road.Freight.LCV.ICE.LPG</t>
  </si>
  <si>
    <t>Eff_test_stock.kgoe_per_100km.IT.Tr.Road.Freight.LCV.ICE.NGas</t>
  </si>
  <si>
    <t>Eff_test_stock.kgoe_per_100km.IT.Tr.Road.Freight.LCV.ICE.BEV</t>
  </si>
  <si>
    <t>Eff_test_stock.kgoe_per_100km.IT.Tr.Road.Freight.HGV</t>
  </si>
  <si>
    <t>Eff_test_stock.kgoe_per_100km.IT.Tr.Road.Freight.HGV.Domestic</t>
  </si>
  <si>
    <t>Eff_test_stock.kgoe_per_100km.IT.Tr.Road.Freight.HGV.International</t>
  </si>
  <si>
    <t>Eff_test_new.kgoe_per_100km.IT.Tr.Road.Passenger.P2W</t>
  </si>
  <si>
    <t>Eff_test_new.kgoe_per_100km.IT.Tr.Road.Passenger.Car</t>
  </si>
  <si>
    <t>Eff_test_new.kgoe_per_100km.IT.Tr.Road.Passenger.Car.ICE.Gasoline</t>
  </si>
  <si>
    <t>Eff_test_new.kgoe_per_100km.IT.Tr.Road.Passenger.Car.ICE.Diesel</t>
  </si>
  <si>
    <t>Eff_test_new.kgoe_per_100km.IT.Tr.Road.Passenger.Car.ICE.LPG</t>
  </si>
  <si>
    <t>Eff_test_new.kgoe_per_100km.IT.Tr.Road.Passenger.Car.ICE.NGas</t>
  </si>
  <si>
    <t>Eff_test_new.kgoe_per_100km.IT.Tr.Road.Passenger.Car.PHEV</t>
  </si>
  <si>
    <t>Eff_test_new.kgoe_per_100km.IT.Tr.Road.Passenger.Car.BEV</t>
  </si>
  <si>
    <t>Eff_test_new.kgoe_per_100km.IT.Tr.Road.Passenger.Bus</t>
  </si>
  <si>
    <t>Eff_test_new.kgoe_per_100km.IT.Tr.Road.Passenger.Bus.ICE.Gasoline</t>
  </si>
  <si>
    <t>Eff_test_new.kgoe_per_100km.IT.Tr.Road.Passenger.Bus.ICE.Diesel</t>
  </si>
  <si>
    <t>Eff_test_new.kgoe_per_100km.IT.Tr.Road.Passenger.Bus.ICE.LPG</t>
  </si>
  <si>
    <t>Eff_test_new.kgoe_per_100km.IT.Tr.Road.Passenger.Bus.ICE.NGas</t>
  </si>
  <si>
    <t>Eff_test_new.kgoe_per_100km.IT.Tr.Road.Passenger.Bus.ICE.BEV</t>
  </si>
  <si>
    <t>Eff_test_new.kgoe_per_100km.IT.Tr.Road.Freight.LCV</t>
  </si>
  <si>
    <t>Eff_test_new.kgoe_per_100km.IT.Tr.Road.Freight.LCV.ICE.Gasoline</t>
  </si>
  <si>
    <t>Eff_test_new.kgoe_per_100km.IT.Tr.Road.Freight.LCV.ICE.Diesel</t>
  </si>
  <si>
    <t>Eff_test_new.kgoe_per_100km.IT.Tr.Road.Freight.LCV.ICE.LPG</t>
  </si>
  <si>
    <t>Eff_test_new.kgoe_per_100km.IT.Tr.Road.Freight.LCV.ICE.NGas</t>
  </si>
  <si>
    <t>Eff_test_new.kgoe_per_100km.IT.Tr.Road.Freight.LCV.ICE.BEV</t>
  </si>
  <si>
    <t>Eff_test_new.kgoe_per_100km.IT.Tr.Road.Freight.HGV</t>
  </si>
  <si>
    <t>Eff_test_new.kgoe_per_100km.IT.Tr.Road.Freight.HGV.Domestic</t>
  </si>
  <si>
    <t>Eff_test_new.kgoe_per_100km.IT.Tr.Road.Freight.HGV.International</t>
  </si>
  <si>
    <t>EMIint_test_stock.gCO2_per_km.IT.Tr.Road.Passenger.P2W</t>
  </si>
  <si>
    <t>EMIint_test_stock.gCO2_per_km.IT.Tr.Road.Passenger.Car</t>
  </si>
  <si>
    <t>EMIint_test_stock.gCO2_per_km.IT.Tr.Road.Passenger.Car.ICE.Gasoline</t>
  </si>
  <si>
    <t>EMIint_test_stock.gCO2_per_km.IT.Tr.Road.Passenger.Car.ICE.Diesel</t>
  </si>
  <si>
    <t>EMIint_test_stock.gCO2_per_km.IT.Tr.Road.Passenger.Car.ICE.LPG</t>
  </si>
  <si>
    <t>EMIint_test_stock.gCO2_per_km.IT.Tr.Road.Passenger.Car.ICE.NGas</t>
  </si>
  <si>
    <t>EMIint_test_stock.gCO2_per_km.IT.Tr.Road.Passenger.Car.PHEV</t>
  </si>
  <si>
    <t>EMIint_test_stock.gCO2_per_km.IT.Tr.Road.Passenger.Car.BEV</t>
  </si>
  <si>
    <t>EMIint_test_stock.gCO2_per_km.IT.Tr.Road.Passenger.Bus</t>
  </si>
  <si>
    <t>EMIint_test_stock.gCO2_per_km.IT.Tr.Road.Passenger.Bus.ICE.Gasoline</t>
  </si>
  <si>
    <t>EMIint_test_stock.gCO2_per_km.IT.Tr.Road.Passenger.Bus.ICE.Diesel</t>
  </si>
  <si>
    <t>EMIint_test_stock.gCO2_per_km.IT.Tr.Road.Passenger.Bus.ICE.LPG</t>
  </si>
  <si>
    <t>EMIint_test_stock.gCO2_per_km.IT.Tr.Road.Passenger.Bus.ICE.NGas</t>
  </si>
  <si>
    <t>EMIint_test_stock.gCO2_per_km.IT.Tr.Road.Passenger.Bus.ICE.BEV</t>
  </si>
  <si>
    <t>EMIint_test_stock.gCO2_per_km.IT.Tr.Road.Freight.LCV</t>
  </si>
  <si>
    <t>EMIint_test_stock.gCO2_per_km.IT.Tr.Road.Freight.LCV.ICE.Gasoline</t>
  </si>
  <si>
    <t>EMIint_test_stock.gCO2_per_km.IT.Tr.Road.Freight.LCV.ICE.Diesel</t>
  </si>
  <si>
    <t>EMIint_test_stock.gCO2_per_km.IT.Tr.Road.Freight.LCV.ICE.LPG</t>
  </si>
  <si>
    <t>EMIint_test_stock.gCO2_per_km.IT.Tr.Road.Freight.LCV.ICE.NGas</t>
  </si>
  <si>
    <t>EMIint_test_stock.gCO2_per_km.IT.Tr.Road.Freight.LCV.ICE.BEV</t>
  </si>
  <si>
    <t>EMIint_test_stock.gCO2_per_km.IT.Tr.Road.Freight.HGV</t>
  </si>
  <si>
    <t>EMIint_test_stock.gCO2_per_km.IT.Tr.Road.Freight.HGV.Domestic</t>
  </si>
  <si>
    <t>EMIint_test_stock.gCO2_per_km.IT.Tr.Road.Freight.HGV.International</t>
  </si>
  <si>
    <t>EMIint_test_new.gCO2_per_km.IT.Tr.Road.Passenger.P2W</t>
  </si>
  <si>
    <t>EMIint_test_new.gCO2_per_km.IT.Tr.Road.Passenger.Car</t>
  </si>
  <si>
    <t>EMIint_test_new.gCO2_per_km.IT.Tr.Road.Passenger.Car.ICE.Gasoline</t>
  </si>
  <si>
    <t>EMIint_test_new.gCO2_per_km.IT.Tr.Road.Passenger.Car.ICE.Diesel</t>
  </si>
  <si>
    <t>EMIint_test_new.gCO2_per_km.IT.Tr.Road.Passenger.Car.ICE.LPG</t>
  </si>
  <si>
    <t>EMIint_test_new.gCO2_per_km.IT.Tr.Road.Passenger.Car.ICE.NGas</t>
  </si>
  <si>
    <t>EMIint_test_new.gCO2_per_km.IT.Tr.Road.Passenger.Car.PHEV</t>
  </si>
  <si>
    <t>EMIint_test_new.gCO2_per_km.IT.Tr.Road.Passenger.Car.BEV</t>
  </si>
  <si>
    <t>EMIint_test_new.gCO2_per_km.IT.Tr.Road.Passenger.Bus</t>
  </si>
  <si>
    <t>EMIint_test_new.gCO2_per_km.IT.Tr.Road.Passenger.Bus.ICE.Gasoline</t>
  </si>
  <si>
    <t>EMIint_test_new.gCO2_per_km.IT.Tr.Road.Passenger.Bus.ICE.Diesel</t>
  </si>
  <si>
    <t>EMIint_test_new.gCO2_per_km.IT.Tr.Road.Passenger.Bus.ICE.LPG</t>
  </si>
  <si>
    <t>EMIint_test_new.gCO2_per_km.IT.Tr.Road.Passenger.Bus.ICE.NGas</t>
  </si>
  <si>
    <t>EMIint_test_new.gCO2_per_km.IT.Tr.Road.Passenger.Bus.ICE.BEV</t>
  </si>
  <si>
    <t>EMIint_test_new.gCO2_per_km.IT.Tr.Road.Freight.LCV</t>
  </si>
  <si>
    <t>EMIint_test_new.gCO2_per_km.IT.Tr.Road.Freight.LCV.ICE.Gasoline</t>
  </si>
  <si>
    <t>EMIint_test_new.gCO2_per_km.IT.Tr.Road.Freight.LCV.ICE.Diesel</t>
  </si>
  <si>
    <t>EMIint_test_new.gCO2_per_km.IT.Tr.Road.Freight.LCV.ICE.LPG</t>
  </si>
  <si>
    <t>EMIint_test_new.gCO2_per_km.IT.Tr.Road.Freight.LCV.ICE.NGas</t>
  </si>
  <si>
    <t>EMIint_test_new.gCO2_per_km.IT.Tr.Road.Freight.LCV.ICE.BEV</t>
  </si>
  <si>
    <t>EMIint_test_new.gCO2_per_km.IT.Tr.Road.Freight.HGV</t>
  </si>
  <si>
    <t>EMIint_test_new.gCO2_per_km.IT.Tr.Road.Freight.HGV.Domestic</t>
  </si>
  <si>
    <t>EMIint_test_new.gCO2_per_km.IT.Tr.Road.Freight.HGV.International</t>
  </si>
  <si>
    <t>FEC.ktoe.IT.MBunk</t>
  </si>
  <si>
    <t>FEC.ktoe.IT.MBunk.IntraEEA</t>
  </si>
  <si>
    <t>FEC.ktoe.IT.MBunk.ExtraEEA</t>
  </si>
  <si>
    <t>EMI.ktCO2.IT.MBunk</t>
  </si>
  <si>
    <t>EMI.ktCO2.IT.MBunk.IntraEEA</t>
  </si>
  <si>
    <t>EMI.ktCO2.IT.MBunk.ExtraEEA</t>
  </si>
  <si>
    <t>International maritime bunkers - IT - Italy</t>
  </si>
  <si>
    <t>VehicleKm.Mkm.IT.MBunk.Freight</t>
  </si>
  <si>
    <t>VehicleKm.Mkm.IT.MBunk.Freight.IntraEEA</t>
  </si>
  <si>
    <t>VehicleKm.Mkm.IT.MBunk.Freight.ExtraEEA</t>
  </si>
  <si>
    <t>Load.t_per_movement.IT.MBunk.Freight</t>
  </si>
  <si>
    <t>Load.t_per_movement.IT.MBunk.Freight.IntraEEA</t>
  </si>
  <si>
    <t>Load.t_per_movement.IT.MBunk.Freight.ExtraEEA</t>
  </si>
  <si>
    <t>International maritime bunkers / energy consumption - IT - Italy</t>
  </si>
  <si>
    <t>FEC.ktoe.IT.ES.MBunk</t>
  </si>
  <si>
    <t>FEC.ktoe.IT.ES.MBunk.IntraEEA</t>
  </si>
  <si>
    <t>FEC.ktoe.IT.ES.MBunk.IntraEEA.Diesel</t>
  </si>
  <si>
    <t>FEC.ktoe.IT.ES.MBunk.IntraEEA.RFO_Other</t>
  </si>
  <si>
    <t>FEC.ktoe.IT.ES.MBunk.IntraEEA.LiqBio</t>
  </si>
  <si>
    <t>FEC.ktoe.IT.ES.MBunk.IntraEEA.NG</t>
  </si>
  <si>
    <t>FEC.ktoe.IT.ES.MBunk.IntraEEA.Biogas</t>
  </si>
  <si>
    <t>FEC.ktoe.IT.ES.MBunk.ExtraEEA</t>
  </si>
  <si>
    <t>FEC.ktoe.IT.ES.MBunk.ExtraEEA.Diesel</t>
  </si>
  <si>
    <t>FEC.ktoe.IT.ES.MBunk.ExtraEEA.RFO_Other</t>
  </si>
  <si>
    <t>FEC.ktoe.IT.ES.MBunk.ExtraEEA.LiqBio</t>
  </si>
  <si>
    <t>FEC.ktoe.IT.ES.MBunk.ExtraEEA.NG</t>
  </si>
  <si>
    <t>FEC.ktoe.IT.ES.MBunk.ExtraEEA.Biogas</t>
  </si>
  <si>
    <t>Eff.kgoe_per_100km.IT.MBunk.Freight</t>
  </si>
  <si>
    <t>Eff.kgoe_per_100km.IT.MBunk.Freight.IntraEEA</t>
  </si>
  <si>
    <t>Eff.kgoe_per_100km.IT.MBunk.Freight.ExtraEEA</t>
  </si>
  <si>
    <t>International maritime bunkers / CO2 emissions - IT - Italy</t>
  </si>
  <si>
    <t>EMI.ktCO2.IT.ES.MBunk</t>
  </si>
  <si>
    <t>EMI.ktCO2.IT.ES.MBunk.IntraEEA</t>
  </si>
  <si>
    <t>EMI.ktCO2.IT.ES.MBunk.ExtraEEA</t>
  </si>
  <si>
    <t>EMIint.gCO2_per_km.IT.MBunk.Freight</t>
  </si>
  <si>
    <t>EMIint.gCO2_per_km.IT.MBunk.Freight.IntraEEA</t>
  </si>
  <si>
    <t>EMIint.gCO2_per_km.IT.MBunk.Freight.ExtraEEA</t>
  </si>
  <si>
    <t>FEC.ktoe.IT.Tr.DNavi</t>
  </si>
  <si>
    <t>FEC.ktoe.IT.Tr.Dnavi.DCS</t>
  </si>
  <si>
    <t>FEC.ktoe.IT.Tr.Dnavi.IWW</t>
  </si>
  <si>
    <t>EMI.ktCO2.IT.Tr.DNavi</t>
  </si>
  <si>
    <t>EMI.ktCO2.IT.Tr.Dnavi.DCS</t>
  </si>
  <si>
    <t>EMI.ktCO2.IT.Tr.Dnavi.IWW</t>
  </si>
  <si>
    <t>Domestic navigation - IT - Italy</t>
  </si>
  <si>
    <t>VehicleKm.Mkm.IT.Tr.DNavi.Freight</t>
  </si>
  <si>
    <t>VehicleKm.Mkm.IT.Tr.DNavi.Freight.DCS</t>
  </si>
  <si>
    <t>VehicleKm.Mkm.IT.Tr.DNavi.Freight.IWW</t>
  </si>
  <si>
    <t>Load.t_per_movement.IT.Tr.DNavi.Freight</t>
  </si>
  <si>
    <t>Load.t_per_movement.IT.Tr.DNavi.Freight.DCS</t>
  </si>
  <si>
    <t>Load.t_per_movement.IT.Tr.DNavi.Freight.IWW</t>
  </si>
  <si>
    <t>Domestic navigation / energy consumption - IT - Italy</t>
  </si>
  <si>
    <t>FEC.ktoe.IT.ES.Tr.DNavi</t>
  </si>
  <si>
    <t>FEC.ktoe.IT.ES.Tr.DNavi.DCS</t>
  </si>
  <si>
    <t>FEC.ktoe.IT.ES.Tr.DNavi.DCS.Diesel</t>
  </si>
  <si>
    <t>FEC.ktoe.IT.ES.Tr.DNavi.DCS.RFO_Other</t>
  </si>
  <si>
    <t>FEC.ktoe.IT.ES.Tr.DNavi.DCS.LiqBio</t>
  </si>
  <si>
    <t>FEC.ktoe.IT.ES.Tr.DNavi.DCS.NG</t>
  </si>
  <si>
    <t>FEC.ktoe.IT.ES.Tr.DNavi.DCS.Biogas</t>
  </si>
  <si>
    <t>FEC.ktoe.IT.ES.Tr.DNavi.IWW</t>
  </si>
  <si>
    <t>FEC.ktoe.IT.ES.Tr.DNavi.IWW.Diesel</t>
  </si>
  <si>
    <t>FEC.ktoe.IT.ES.Tr.DNavi.IWW.RFO_Other</t>
  </si>
  <si>
    <t>FEC.ktoe.IT.ES.Tr.DNavi.IWW.LiqBio</t>
  </si>
  <si>
    <t>FEC.ktoe.IT.ES.Tr.DNavi.IWW.NG</t>
  </si>
  <si>
    <t>FEC.ktoe.IT.ES.Tr.DNavi.IWW.Biogas</t>
  </si>
  <si>
    <t>Eff.kgoe_per_100km.IT.Tr.DNavi.Freight</t>
  </si>
  <si>
    <t>Eff.kgoe_per_100km.IT.Tr.DNavi.Freight.DCS</t>
  </si>
  <si>
    <t>Eff.kgoe_per_100km.IT.Tr.DNavi.Freight.IWW</t>
  </si>
  <si>
    <t>Domestic navigation / CO2 emissions - IT - Italy</t>
  </si>
  <si>
    <t>EMI.ktCO2.IT.ES.Tr.DNavi</t>
  </si>
  <si>
    <t>EMI.ktCO2.IT.ES.Tr.DNavi.DCS</t>
  </si>
  <si>
    <t>EMI.ktCO2.IT.ES.Tr.DNavi.IWW</t>
  </si>
  <si>
    <t>EMIint.gCO2_per_km.IT.Tr.DNavi.Freight</t>
  </si>
  <si>
    <t>EMIint.gCO2_per_km.IT.Tr.DNavi.Freight.DCS</t>
  </si>
  <si>
    <t>EMIint.gCO2_per_km.IT.Tr.DNavi.Freight.IWW</t>
  </si>
  <si>
    <t>Rail, metro and tram - IT - Italy</t>
  </si>
  <si>
    <t>Activity.Mpkm.IT.Tr.Rail.Passenger.CPT.Diesel</t>
  </si>
  <si>
    <t>Activity.Mpkm.IT.Tr.Rail.Passenger.CPT.Elc</t>
  </si>
  <si>
    <t>Activity.Mtkm.IT.Tr.Rail.Freight.Diesel</t>
  </si>
  <si>
    <t>Activity.Mtkm.IT.Tr.Rail.Freight.Elc</t>
  </si>
  <si>
    <t>VehicleKm.Mkm.IT.Tr.Rail</t>
  </si>
  <si>
    <t>VehicleKm.Mkm.IT.Tr.Rail.Passenger</t>
  </si>
  <si>
    <t>VehicleKm.Mkm.IT.Tr.Rail.Passenger.MTU</t>
  </si>
  <si>
    <t>VehicleKm.Mkm.IT.Tr.Rail.Passenger.CPT</t>
  </si>
  <si>
    <t>VehicleKm.Mkm.IT.Tr.Rail.Passenger.CPT.Diesel</t>
  </si>
  <si>
    <t>VehicleKm.Mkm.IT.Tr.Rail.Passenger.CPT.Elc</t>
  </si>
  <si>
    <t>VehicleKm.Mkm.IT.Tr.Rail.Passenger.HST</t>
  </si>
  <si>
    <t>VehicleKm.Mkm.IT.Tr.Rail.Freight</t>
  </si>
  <si>
    <t>VehicleKm.Mkm.IT.Tr.Rail.Freight.Diesel</t>
  </si>
  <si>
    <t>VehicleKm.Mkm.IT.Tr.Rail.Freight.Elc</t>
  </si>
  <si>
    <t>Stock.number.IT.Tr.Rail</t>
  </si>
  <si>
    <t>Stock.number.IT.Tr.Rail.Passenger</t>
  </si>
  <si>
    <t>Stock.number.IT.Tr.Rail.Passenger.MTU</t>
  </si>
  <si>
    <t>Stock.number.IT.Tr.Rail.Passenger.CPT</t>
  </si>
  <si>
    <t>Stock.number.IT.Tr.Rail.Passenger.CPT.Diesel</t>
  </si>
  <si>
    <t>Stock.number.IT.Tr.Rail.Passenger.CPT.Elc</t>
  </si>
  <si>
    <t>Stock.number.IT.Tr.Rail.Passenger.HST</t>
  </si>
  <si>
    <t>Stock.number.IT.Tr.Rail.Freight</t>
  </si>
  <si>
    <t>Stock.number.IT.Tr.Rail.Freight.Diesel</t>
  </si>
  <si>
    <t>Stock.number.IT.Tr.Rail.Freight.Elc</t>
  </si>
  <si>
    <t>StockNew.number.IT.Tr.Rail</t>
  </si>
  <si>
    <t>StockNew.number.IT.Tr.Rail.Passenger</t>
  </si>
  <si>
    <t>StockNew.number.IT.Tr.Rail.Passenger.MTU</t>
  </si>
  <si>
    <t>StockNew.number.IT.Tr.Rail.Passenger.CPT</t>
  </si>
  <si>
    <t>StockNew.number.IT.Tr.Rail.Passenger.CPT.Diesel</t>
  </si>
  <si>
    <t>StockNew.number.IT.Tr.Rail.Passenger.CPT.Elc</t>
  </si>
  <si>
    <t>StockNew.number.IT.Tr.Rail.Passenger.HST</t>
  </si>
  <si>
    <t>StockNew.number.IT.Tr.Rail.Freight</t>
  </si>
  <si>
    <t>StockNew.number.IT.Tr.Rail.Freight.Diesel</t>
  </si>
  <si>
    <t>StockNew.number.IT.Tr.Rail.Freight.Elc</t>
  </si>
  <si>
    <t>Load.passenger_per_movement.IT.Tr.Rail.Passenger</t>
  </si>
  <si>
    <t>Load.passenger_per_movement.IT.Tr.Rail.Passenger.MTU</t>
  </si>
  <si>
    <t>Load.passenger_per_movement.IT.Tr.Rail.Passenger.CPT</t>
  </si>
  <si>
    <t>Load.passenger_per_movement.IT.Tr.Rail.Passenger.CPT.Diesel</t>
  </si>
  <si>
    <t>Load.passenger_per_movement.IT.Tr.Rail.Passenger.CPT.Elc</t>
  </si>
  <si>
    <t>Load.passenger_per_movement.IT.Tr.Rail.Passenger.HST</t>
  </si>
  <si>
    <t>Load.t_per_movement.IT.Tr.Rail.Freight</t>
  </si>
  <si>
    <t>Load.t_per_movement.IT.Tr.Rail.Freight.Diesel</t>
  </si>
  <si>
    <t>Load.t_per_movement.IT.Tr.Rail.Freight.Elc</t>
  </si>
  <si>
    <t>TrCap.seats.IT.Tr.Rail.Passenger</t>
  </si>
  <si>
    <t>TrCap.seats.IT.Tr.Rail.Passenger.MTU</t>
  </si>
  <si>
    <t>TrCap.seats.IT.Tr.Rail.Passenger.CPT</t>
  </si>
  <si>
    <t>TrCap.seats.IT.Tr.Rail.Passenger.CPT.Diesel</t>
  </si>
  <si>
    <t>TrCap.seats.IT.Tr.Rail.Passenger.CPT.Elc</t>
  </si>
  <si>
    <t>TrCap.seats.IT.Tr.Rail.Passenger.HST</t>
  </si>
  <si>
    <t>TrCap.t.IT.Tr.Rail.Freight</t>
  </si>
  <si>
    <t>TrCap.t.IT.Tr.Rail.Freight.Diesel</t>
  </si>
  <si>
    <t>TrCap.t.IT.Tr.Rail.Freight.Elc</t>
  </si>
  <si>
    <t>VehicleKm_per_vehicle.km.IT.Tr.Rail</t>
  </si>
  <si>
    <t>VehicleKm_per_vehicle.km.IT.Tr.Rail.Passenger</t>
  </si>
  <si>
    <t>VehicleKm_per_vehicle.km.IT.Tr.Rail.Passenger.MTU</t>
  </si>
  <si>
    <t>VehicleKm_per_vehicle.km.IT.Tr.Rail.Passenger.CPT</t>
  </si>
  <si>
    <t>VehicleKm_per_vehicle.km.IT.Tr.Rail.Passenger.CPT.Diesel</t>
  </si>
  <si>
    <t>VehicleKm_per_vehicle.km.IT.Tr.Rail.Passenger.CPT.Elc</t>
  </si>
  <si>
    <t>VehicleKm_per_vehicle.km.IT.Tr.Rail.Passenger.HST</t>
  </si>
  <si>
    <t>VehicleKm_per_vehicle.km.IT.Tr.Rail.Freight</t>
  </si>
  <si>
    <t>VehicleKm_per_vehicle.km.IT.Tr.Rail.Freight.Diesel</t>
  </si>
  <si>
    <t>VehicleKm_per_vehicle.km.IT.Tr.Rail.Freight.Elc</t>
  </si>
  <si>
    <t>Activity_per_vehicle.pkm.IT.Tr.Rail.Passenger</t>
  </si>
  <si>
    <t>Activity_per_vehicle.pkm.IT.Tr.Rail.Passenger.MTU</t>
  </si>
  <si>
    <t>Activity_per_vehicle.pkm.IT.Tr.Rail.Passenger.CPT</t>
  </si>
  <si>
    <t>Activity_per_vehicle.pkm.IT.Tr.Rail.Passenger.CPT.Diesel</t>
  </si>
  <si>
    <t>Activity_per_vehicle.pkm.IT.Tr.Rail.Passenger.CPT.Elc</t>
  </si>
  <si>
    <t>Activity_per_vehicle.pkm.IT.Tr.Rail.Passenger.HST</t>
  </si>
  <si>
    <t>Activity_per_vehicle.tkm.IT.Tr.Rail.Freight</t>
  </si>
  <si>
    <t>Activity_per_vehicle.tkm.IT.Tr.Rail.Freight.Diesel</t>
  </si>
  <si>
    <t>Activity_per_vehicle.tkm.IT.Tr.Rail.Freight.Elc</t>
  </si>
  <si>
    <t>Rail, metro and tram / energy consumption - IT - Italy</t>
  </si>
  <si>
    <t>FEC.ktoe.IT.ES.Tr.Rail</t>
  </si>
  <si>
    <t>FEC.ktoe.IT.ES.Tr.Rail.Diesel</t>
  </si>
  <si>
    <t>FEC.ktoe.IT.ES.Tr.Rail.LiqBio</t>
  </si>
  <si>
    <t>FEC.ktoe.IT.ES.Tr.Rail.Elec</t>
  </si>
  <si>
    <t>FEC.ktoe.IT.Tr.Rail</t>
  </si>
  <si>
    <t>FEC.ktoe.IT.Tr.Rail.Passenger.CPT.Diesel</t>
  </si>
  <si>
    <t>FEC.ktoe.IT.Tr.Rail.Passenger.CPT.Elc</t>
  </si>
  <si>
    <t>FEC.ktoe.IT.Tr.Rail.Freight.Diesel</t>
  </si>
  <si>
    <t>FEC.ktoe.IT.Tr.Rail.Freight.Elc</t>
  </si>
  <si>
    <t>Eff.kgoe_per_100km.IT.Tr.Rail</t>
  </si>
  <si>
    <t>Eff.kgoe_per_100km.IT.Tr.Rail.Passenger</t>
  </si>
  <si>
    <t>Eff.kgoe_per_100km.IT.Tr.Rail.Passenger.MTU</t>
  </si>
  <si>
    <t>Eff.kgoe_per_100km.IT.Tr.Rail.Passenger.CPT</t>
  </si>
  <si>
    <t>Eff.kgoe_per_100km.IT.Tr.Rail.Passenger.CPT.Diesel</t>
  </si>
  <si>
    <t>Eff.kgoe_per_100km.IT.Tr.Rail.Passenger.CPT.Elc</t>
  </si>
  <si>
    <t>Eff.kgoe_per_100km.IT.Tr.Rail.Passenger.HST</t>
  </si>
  <si>
    <t>Eff.kgoe_per_100km.IT.Tr.Rail.Freight</t>
  </si>
  <si>
    <t>Eff.kgoe_per_100km.IT.Tr.Rail.Freight.Diesel</t>
  </si>
  <si>
    <t>Eff.kgoe_per_100km.IT.Tr.Rail.Freight.Elc</t>
  </si>
  <si>
    <t>Eff.kgoe_per_kpkm.IT.Tr.Rail.Passenger.CPT.Diesel</t>
  </si>
  <si>
    <t>Eff.kgoe_per_kpkm.IT.Tr.Rail.Passenger.CPT.Elc</t>
  </si>
  <si>
    <t>Eff.kgoe_per_ktkm.IT.Tr.Rail.Freight.Diesel</t>
  </si>
  <si>
    <t>Eff.kgoe_per_ktkm.IT.Tr.Rail.Freight.Elc</t>
  </si>
  <si>
    <t>FEC_per_vehicle.kgoe.IT.Tr.Rail</t>
  </si>
  <si>
    <t>FEC_per_vehicle.kgoe.IT.Tr.Rail.Passenger</t>
  </si>
  <si>
    <t>FEC_per_vehicle.kgoe.IT.Tr.Rail.Passenger.MTU</t>
  </si>
  <si>
    <t>FEC_per_vehicle.kgoe.IT.Tr.Rail.Passenger.CPT</t>
  </si>
  <si>
    <t>FEC_per_vehicle.kgoe.IT.Tr.Rail.Passenger.CPT.Diesel</t>
  </si>
  <si>
    <t>FEC_per_vehicle.kgoe.IT.Tr.Rail.Passenger.CPT.Elc</t>
  </si>
  <si>
    <t>FEC_per_vehicle.kgoe.IT.Tr.Rail.Passenger.HST</t>
  </si>
  <si>
    <t>FEC_per_vehicle.kgoe.IT.Tr.Rail.Freight</t>
  </si>
  <si>
    <t>FEC_per_vehicle.kgoe.IT.Tr.Rail.Freight.Diesel</t>
  </si>
  <si>
    <t>FEC_per_vehicle.kgoe.IT.Tr.Rail.Freight.Elc</t>
  </si>
  <si>
    <t>Rail, metro and tram / CO2 emissions - IT - Italy</t>
  </si>
  <si>
    <t>EMI.ktCO2.IT.ES.Tr.Rail</t>
  </si>
  <si>
    <t>EMI.ktCO2.IT.ES.Tr.Rail.Diesel</t>
  </si>
  <si>
    <t>EMI.ktCO2.IT.ES.Tr.Rail.Elec</t>
  </si>
  <si>
    <t>EMI.ktCO2.IT.Tr.Rail</t>
  </si>
  <si>
    <t>EMI.ktCO2.IT.Tr.Rail.Passenger.CPT.Diesel</t>
  </si>
  <si>
    <t>EMI.ktCO2.IT.Tr.Rail.Passenger.CPT.Elc</t>
  </si>
  <si>
    <t>EMI.ktCO2.IT.Tr.Rail.Freight.Diesel</t>
  </si>
  <si>
    <t>EMI.ktCO2.IT.Tr.Rail.Freight.Elc</t>
  </si>
  <si>
    <t>EMIint.gCO2_per_km.IT.Tr.Rail</t>
  </si>
  <si>
    <t>EMIint.gCO2_per_km.IT.Tr.Rail.Passenger</t>
  </si>
  <si>
    <t>EMIint.gCO2_per_km.IT.Tr.Rail.Passenger.MTU</t>
  </si>
  <si>
    <t>EMIint.gCO2_per_km.IT.Tr.Rail.Passenger.CPT</t>
  </si>
  <si>
    <t>EMIint.gCO2_per_km.IT.Tr.Rail.Passenger.CPT.Diesel</t>
  </si>
  <si>
    <t>EMIint.gCO2_per_km.IT.Tr.Rail.Passenger.CPT.Elc</t>
  </si>
  <si>
    <t>EMIint.gCO2_per_km.IT.Tr.Rail.Passenger.HST</t>
  </si>
  <si>
    <t>EMIint.gCO2_per_km.IT.Tr.Rail.Freight</t>
  </si>
  <si>
    <t>EMIint.gCO2_per_km.IT.Tr.Rail.Freight.Diesel</t>
  </si>
  <si>
    <t>EMIint.gCO2_per_km.IT.Tr.Rail.Freight.Elc</t>
  </si>
  <si>
    <t>EMIint.gCO2_per_pkm.IT.Tr.Rail.Passenger.CPT.Diesel</t>
  </si>
  <si>
    <t>EMIint.gCO2_per_pkm.IT.Tr.Rail.Passenger.CPT.Elc</t>
  </si>
  <si>
    <t>EMIint.gCO2_per_tkm.IT.Tr.Rail.Freight.Diesel</t>
  </si>
  <si>
    <t>EMIint.gCO2_per_tkm.IT.Tr.Rail.Freight.Elc</t>
  </si>
  <si>
    <t>EMI_per_vehicle.tCO2.IT.Tr.Rail</t>
  </si>
  <si>
    <t>EMI_per_vehicle.tCO2.IT.Tr.Rail.Passenger</t>
  </si>
  <si>
    <t>EMI_per_vehicle.tCO2.IT.Tr.Rail.Passenger.MTU</t>
  </si>
  <si>
    <t>EMI_per_vehicle.tCO2.IT.Tr.Rail.Passenger.CPT</t>
  </si>
  <si>
    <t>EMI_per_vehicle.tCO2.IT.Tr.Rail.Passenger.CPT.Diesel</t>
  </si>
  <si>
    <t>EMI_per_vehicle.tCO2.IT.Tr.Rail.Passenger.CPT.Elc</t>
  </si>
  <si>
    <t>EMI_per_vehicle.tCO2.IT.Tr.Rail.Passenger.HST</t>
  </si>
  <si>
    <t>EMI_per_vehicle.tCO2.IT.Tr.Rail.Freight</t>
  </si>
  <si>
    <t>EMI_per_vehicle.tCO2.IT.Tr.Rail.Freight.Diesel</t>
  </si>
  <si>
    <t>EMI_per_vehicle.tCO2.IT.Tr.Rail.Freight.Elc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</si>
</sst>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45432.78633101852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976700.48528307513</v>
      </c>
      <c r="C4" s="28">
        <f t="shared" si="0"/>
        <v>979160.84341840085</v>
      </c>
      <c r="D4" s="28">
        <f t="shared" si="0"/>
        <v>983480.70818698371</v>
      </c>
      <c r="E4" s="28">
        <f t="shared" si="0"/>
        <v>994288.81710502296</v>
      </c>
      <c r="F4" s="28">
        <f t="shared" si="0"/>
        <v>1012694.1712108162</v>
      </c>
      <c r="G4" s="28">
        <f t="shared" si="0"/>
        <v>969748.06310327502</v>
      </c>
      <c r="H4" s="28">
        <f t="shared" si="0"/>
        <v>975696.85683039448</v>
      </c>
      <c r="I4" s="28">
        <f t="shared" si="0"/>
        <v>979175.00107344508</v>
      </c>
      <c r="J4" s="28">
        <f t="shared" si="0"/>
        <v>976638.24339110265</v>
      </c>
      <c r="K4" s="28">
        <f t="shared" si="0"/>
        <v>1009907.8288270712</v>
      </c>
      <c r="L4" s="28">
        <f t="shared" si="0"/>
        <v>995724.50922497292</v>
      </c>
      <c r="M4" s="28">
        <f t="shared" si="0"/>
        <v>969952.5959169392</v>
      </c>
      <c r="N4" s="28">
        <f t="shared" si="0"/>
        <v>880529.6651718549</v>
      </c>
      <c r="O4" s="28">
        <f t="shared" si="0"/>
        <v>922439.56352267903</v>
      </c>
      <c r="P4" s="28">
        <f t="shared" si="0"/>
        <v>949761.11303678318</v>
      </c>
      <c r="Q4" s="28">
        <f t="shared" si="0"/>
        <v>989535.98309664987</v>
      </c>
      <c r="R4" s="28">
        <f t="shared" ref="R4:V4" si="1">R5+R9+R13</f>
        <v>1025217.9613589898</v>
      </c>
      <c r="S4" s="28">
        <f t="shared" si="1"/>
        <v>1075019.9598931989</v>
      </c>
      <c r="T4" s="28">
        <f t="shared" si="1"/>
        <v>1065287.4632171469</v>
      </c>
      <c r="U4" s="28">
        <f t="shared" si="1"/>
        <v>1089630.656739587</v>
      </c>
      <c r="V4" s="28">
        <f t="shared" si="1"/>
        <v>644459.06960000179</v>
      </c>
      <c r="W4" s="28">
        <f t="shared" ref="W4" si="2">W5+W9+W13</f>
        <v>717681.49210827926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852919.01860304165</v>
      </c>
      <c r="C5" s="137">
        <f t="shared" si="3"/>
        <v>860161.84267509193</v>
      </c>
      <c r="D5" s="137">
        <f t="shared" si="3"/>
        <v>864466.43314532237</v>
      </c>
      <c r="E5" s="137">
        <f t="shared" si="3"/>
        <v>869865.39870765712</v>
      </c>
      <c r="F5" s="137">
        <f t="shared" si="3"/>
        <v>877113.23795960855</v>
      </c>
      <c r="G5" s="137">
        <f t="shared" si="3"/>
        <v>827756.08262281504</v>
      </c>
      <c r="H5" s="137">
        <f t="shared" si="3"/>
        <v>827113.30131291552</v>
      </c>
      <c r="I5" s="137">
        <f t="shared" si="3"/>
        <v>821584.46618125297</v>
      </c>
      <c r="J5" s="137">
        <f t="shared" si="3"/>
        <v>823234.09401213506</v>
      </c>
      <c r="K5" s="137">
        <f t="shared" si="3"/>
        <v>861556.06727224751</v>
      </c>
      <c r="L5" s="137">
        <f t="shared" si="3"/>
        <v>840664.75648667093</v>
      </c>
      <c r="M5" s="137">
        <f t="shared" si="3"/>
        <v>811036.83615277905</v>
      </c>
      <c r="N5" s="137">
        <f t="shared" si="3"/>
        <v>722493.92222998303</v>
      </c>
      <c r="O5" s="137">
        <f t="shared" si="3"/>
        <v>763432.93315925589</v>
      </c>
      <c r="P5" s="137">
        <f t="shared" si="3"/>
        <v>786546.46401134459</v>
      </c>
      <c r="Q5" s="137">
        <f t="shared" si="3"/>
        <v>817750.35315478744</v>
      </c>
      <c r="R5" s="137">
        <f t="shared" ref="R5:V5" si="4">R6+R7+R8</f>
        <v>846498.64843273186</v>
      </c>
      <c r="S5" s="137">
        <f t="shared" si="4"/>
        <v>884958.27826227434</v>
      </c>
      <c r="T5" s="137">
        <f t="shared" si="4"/>
        <v>861421.20747042913</v>
      </c>
      <c r="U5" s="137">
        <f t="shared" si="4"/>
        <v>874495.54711202881</v>
      </c>
      <c r="V5" s="137">
        <f t="shared" si="4"/>
        <v>579784.88647136895</v>
      </c>
      <c r="W5" s="137">
        <f t="shared" ref="W5" si="5">W6+W7+W8</f>
        <v>633909.46140501939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45567.018603041673</v>
      </c>
      <c r="C6" s="102">
        <f>TrRoad_act!C$5</f>
        <v>47260.878756765735</v>
      </c>
      <c r="D6" s="102">
        <f>TrRoad_act!D$5</f>
        <v>46637.505308669977</v>
      </c>
      <c r="E6" s="102">
        <f>TrRoad_act!E$5</f>
        <v>47487.506952678508</v>
      </c>
      <c r="F6" s="102">
        <f>TrRoad_act!F$5</f>
        <v>49918.382286303953</v>
      </c>
      <c r="G6" s="102">
        <f>TrRoad_act!G$5</f>
        <v>49788.082622815084</v>
      </c>
      <c r="H6" s="102">
        <f>TrRoad_act!H$5</f>
        <v>47809.301312915522</v>
      </c>
      <c r="I6" s="102">
        <f>TrRoad_act!I$5</f>
        <v>41871.466181252974</v>
      </c>
      <c r="J6" s="102">
        <f>TrRoad_act!J$5</f>
        <v>44437.094012135094</v>
      </c>
      <c r="K6" s="102">
        <f>TrRoad_act!K$5</f>
        <v>39938.067272247521</v>
      </c>
      <c r="L6" s="102">
        <f>TrRoad_act!L$5</f>
        <v>40055.756486670936</v>
      </c>
      <c r="M6" s="102">
        <f>TrRoad_act!M$5</f>
        <v>43264.836152779026</v>
      </c>
      <c r="N6" s="102">
        <f>TrRoad_act!N$5</f>
        <v>42313.922229983036</v>
      </c>
      <c r="O6" s="102">
        <f>TrRoad_act!O$5</f>
        <v>41294.933159255903</v>
      </c>
      <c r="P6" s="102">
        <f>TrRoad_act!P$5</f>
        <v>40820.464011344535</v>
      </c>
      <c r="Q6" s="102">
        <f>TrRoad_act!Q$5</f>
        <v>38891.353154787328</v>
      </c>
      <c r="R6" s="102">
        <f>TrRoad_act!R$5</f>
        <v>39643.648432731919</v>
      </c>
      <c r="S6" s="102">
        <f>TrRoad_act!S$5</f>
        <v>37360.278262274165</v>
      </c>
      <c r="T6" s="102">
        <f>TrRoad_act!T$5</f>
        <v>35562.207470429115</v>
      </c>
      <c r="U6" s="102">
        <f>TrRoad_act!U$5</f>
        <v>37773.547112028806</v>
      </c>
      <c r="V6" s="102">
        <f>TrRoad_act!V$5</f>
        <v>33707.886471369013</v>
      </c>
      <c r="W6" s="102">
        <f>TrRoad_act!W$5</f>
        <v>35324.461405019363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713931</v>
      </c>
      <c r="C7" s="102">
        <f>TrRoad_act!C$6</f>
        <v>717306.96391832619</v>
      </c>
      <c r="D7" s="102">
        <f>TrRoad_act!D$6</f>
        <v>720682.92783665238</v>
      </c>
      <c r="E7" s="102">
        <f>TrRoad_act!E$6</f>
        <v>724058.89175497857</v>
      </c>
      <c r="F7" s="102">
        <f>TrRoad_act!F$6</f>
        <v>727434.85567330464</v>
      </c>
      <c r="G7" s="102">
        <f>TrRoad_act!G$6</f>
        <v>677014</v>
      </c>
      <c r="H7" s="102">
        <f>TrRoad_act!H$6</f>
        <v>676255</v>
      </c>
      <c r="I7" s="102">
        <f>TrRoad_act!I$6</f>
        <v>677056</v>
      </c>
      <c r="J7" s="102">
        <f>TrRoad_act!J$6</f>
        <v>676359</v>
      </c>
      <c r="K7" s="102">
        <f>TrRoad_act!K$6</f>
        <v>719912</v>
      </c>
      <c r="L7" s="102">
        <f>TrRoad_act!L$6</f>
        <v>698390</v>
      </c>
      <c r="M7" s="102">
        <f>TrRoad_act!M$6</f>
        <v>665328</v>
      </c>
      <c r="N7" s="102">
        <f>TrRoad_act!N$6</f>
        <v>578668</v>
      </c>
      <c r="O7" s="102">
        <f>TrRoad_act!O$6</f>
        <v>620368</v>
      </c>
      <c r="P7" s="102">
        <f>TrRoad_act!P$6</f>
        <v>642920</v>
      </c>
      <c r="Q7" s="102">
        <f>TrRoad_act!Q$6</f>
        <v>676350.00000000012</v>
      </c>
      <c r="R7" s="102">
        <f>TrRoad_act!R$6</f>
        <v>704542</v>
      </c>
      <c r="S7" s="102">
        <f>TrRoad_act!S$6</f>
        <v>744919.00000000012</v>
      </c>
      <c r="T7" s="102">
        <f>TrRoad_act!T$6</f>
        <v>722894</v>
      </c>
      <c r="U7" s="102">
        <f>TrRoad_act!U$6</f>
        <v>732429</v>
      </c>
      <c r="V7" s="102">
        <f>TrRoad_act!V$6</f>
        <v>488298.99999999994</v>
      </c>
      <c r="W7" s="102">
        <f>TrRoad_act!W$6</f>
        <v>518275.00000000006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93421</v>
      </c>
      <c r="C8" s="102">
        <f>TrRoad_act!C$13</f>
        <v>95594</v>
      </c>
      <c r="D8" s="102">
        <f>TrRoad_act!D$13</f>
        <v>97146</v>
      </c>
      <c r="E8" s="102">
        <f>TrRoad_act!E$13</f>
        <v>98319</v>
      </c>
      <c r="F8" s="102">
        <f>TrRoad_act!F$13</f>
        <v>99759.999999999985</v>
      </c>
      <c r="G8" s="102">
        <f>TrRoad_act!G$13</f>
        <v>100954</v>
      </c>
      <c r="H8" s="102">
        <f>TrRoad_act!H$13</f>
        <v>103049</v>
      </c>
      <c r="I8" s="102">
        <f>TrRoad_act!I$13</f>
        <v>102657</v>
      </c>
      <c r="J8" s="102">
        <f>TrRoad_act!J$13</f>
        <v>102438</v>
      </c>
      <c r="K8" s="102">
        <f>TrRoad_act!K$13</f>
        <v>101706</v>
      </c>
      <c r="L8" s="102">
        <f>TrRoad_act!L$13</f>
        <v>102219.00000000001</v>
      </c>
      <c r="M8" s="102">
        <f>TrRoad_act!M$13</f>
        <v>102443.99999999999</v>
      </c>
      <c r="N8" s="102">
        <f>TrRoad_act!N$13</f>
        <v>101512</v>
      </c>
      <c r="O8" s="102">
        <f>TrRoad_act!O$13</f>
        <v>101770.00000000001</v>
      </c>
      <c r="P8" s="102">
        <f>TrRoad_act!P$13</f>
        <v>102806</v>
      </c>
      <c r="Q8" s="102">
        <f>TrRoad_act!Q$13</f>
        <v>102509</v>
      </c>
      <c r="R8" s="102">
        <f>TrRoad_act!R$13</f>
        <v>102312.99999999999</v>
      </c>
      <c r="S8" s="102">
        <f>TrRoad_act!S$13</f>
        <v>102678.99999999999</v>
      </c>
      <c r="T8" s="102">
        <f>TrRoad_act!T$13</f>
        <v>102965.00000000001</v>
      </c>
      <c r="U8" s="102">
        <f>TrRoad_act!U$13</f>
        <v>104293</v>
      </c>
      <c r="V8" s="102">
        <f>TrRoad_act!V$13</f>
        <v>57778</v>
      </c>
      <c r="W8" s="102">
        <f>TrRoad_act!W$13</f>
        <v>80310.000000000015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55180.7</v>
      </c>
      <c r="C9" s="110">
        <f t="shared" si="6"/>
        <v>55665</v>
      </c>
      <c r="D9" s="110">
        <f t="shared" si="6"/>
        <v>55189</v>
      </c>
      <c r="E9" s="110">
        <f t="shared" si="6"/>
        <v>54682</v>
      </c>
      <c r="F9" s="110">
        <f t="shared" si="6"/>
        <v>55259</v>
      </c>
      <c r="G9" s="110">
        <f t="shared" si="6"/>
        <v>56123</v>
      </c>
      <c r="H9" s="110">
        <f t="shared" si="6"/>
        <v>56464</v>
      </c>
      <c r="I9" s="110">
        <f t="shared" si="6"/>
        <v>56505</v>
      </c>
      <c r="J9" s="110">
        <f t="shared" si="6"/>
        <v>56408</v>
      </c>
      <c r="K9" s="110">
        <f t="shared" si="6"/>
        <v>55072</v>
      </c>
      <c r="L9" s="110">
        <f t="shared" si="6"/>
        <v>54255</v>
      </c>
      <c r="M9" s="110">
        <f t="shared" si="6"/>
        <v>53940</v>
      </c>
      <c r="N9" s="110">
        <f t="shared" si="6"/>
        <v>53297</v>
      </c>
      <c r="O9" s="110">
        <f t="shared" si="6"/>
        <v>55323</v>
      </c>
      <c r="P9" s="110">
        <f t="shared" si="6"/>
        <v>56611</v>
      </c>
      <c r="Q9" s="110">
        <f t="shared" si="6"/>
        <v>59035</v>
      </c>
      <c r="R9" s="110">
        <f t="shared" ref="R9:V9" si="7">R10+R11+R12</f>
        <v>59127.064999999995</v>
      </c>
      <c r="S9" s="110">
        <f t="shared" si="7"/>
        <v>60510</v>
      </c>
      <c r="T9" s="110">
        <f t="shared" si="7"/>
        <v>62772</v>
      </c>
      <c r="U9" s="110">
        <f t="shared" si="7"/>
        <v>64200</v>
      </c>
      <c r="V9" s="110">
        <f t="shared" si="7"/>
        <v>26662</v>
      </c>
      <c r="W9" s="110">
        <f t="shared" ref="W9" si="8">W10+W11+W12</f>
        <v>33402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5608.7</v>
      </c>
      <c r="C10" s="102">
        <f>TrRail_act!C$5</f>
        <v>5589</v>
      </c>
      <c r="D10" s="102">
        <f>TrRail_act!D$5</f>
        <v>5885</v>
      </c>
      <c r="E10" s="102">
        <f>TrRail_act!E$5</f>
        <v>5984.9999999999991</v>
      </c>
      <c r="F10" s="102">
        <f>TrRail_act!F$5</f>
        <v>6005</v>
      </c>
      <c r="G10" s="102">
        <f>TrRail_act!G$5</f>
        <v>6035</v>
      </c>
      <c r="H10" s="102">
        <f>TrRail_act!H$5</f>
        <v>6279</v>
      </c>
      <c r="I10" s="102">
        <f>TrRail_act!I$5</f>
        <v>6725</v>
      </c>
      <c r="J10" s="102">
        <f>TrRail_act!J$5</f>
        <v>6884</v>
      </c>
      <c r="K10" s="102">
        <f>TrRail_act!K$5</f>
        <v>6948</v>
      </c>
      <c r="L10" s="102">
        <f>TrRail_act!L$5</f>
        <v>7083</v>
      </c>
      <c r="M10" s="102">
        <f>TrRail_act!M$5</f>
        <v>7095.0000000000009</v>
      </c>
      <c r="N10" s="102">
        <f>TrRail_act!N$5</f>
        <v>6538</v>
      </c>
      <c r="O10" s="102">
        <f>TrRail_act!O$5</f>
        <v>6584</v>
      </c>
      <c r="P10" s="102">
        <f>TrRail_act!P$5</f>
        <v>6654</v>
      </c>
      <c r="Q10" s="102">
        <f>TrRail_act!Q$5</f>
        <v>6828</v>
      </c>
      <c r="R10" s="102">
        <f>TrRail_act!R$5</f>
        <v>6949</v>
      </c>
      <c r="S10" s="102">
        <f>TrRail_act!S$5</f>
        <v>7279</v>
      </c>
      <c r="T10" s="102">
        <f>TrRail_act!T$5</f>
        <v>7279</v>
      </c>
      <c r="U10" s="102">
        <f>TrRail_act!U$5</f>
        <v>7614</v>
      </c>
      <c r="V10" s="102">
        <f>TrRail_act!V$5</f>
        <v>4393</v>
      </c>
      <c r="W10" s="102">
        <f>TrRail_act!W$5</f>
        <v>5709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44486</v>
      </c>
      <c r="C11" s="102">
        <f>TrRail_act!C$6</f>
        <v>43313</v>
      </c>
      <c r="D11" s="102">
        <f>TrRail_act!D$6</f>
        <v>42226</v>
      </c>
      <c r="E11" s="102">
        <f>TrRail_act!E$6</f>
        <v>41266</v>
      </c>
      <c r="F11" s="102">
        <f>TrRail_act!F$6</f>
        <v>41329</v>
      </c>
      <c r="G11" s="102">
        <f>TrRail_act!G$6</f>
        <v>41538</v>
      </c>
      <c r="H11" s="102">
        <f>TrRail_act!H$6</f>
        <v>41273</v>
      </c>
      <c r="I11" s="102">
        <f>TrRail_act!I$6</f>
        <v>40962</v>
      </c>
      <c r="J11" s="102">
        <f>TrRail_act!J$6</f>
        <v>40646</v>
      </c>
      <c r="K11" s="102">
        <f>TrRail_act!K$6</f>
        <v>37378</v>
      </c>
      <c r="L11" s="102">
        <f>TrRail_act!L$6</f>
        <v>35565.800000000003</v>
      </c>
      <c r="M11" s="102">
        <f>TrRail_act!M$6</f>
        <v>34562</v>
      </c>
      <c r="N11" s="102">
        <f>TrRail_act!N$6</f>
        <v>33965</v>
      </c>
      <c r="O11" s="102">
        <f>TrRail_act!O$6</f>
        <v>35945</v>
      </c>
      <c r="P11" s="102">
        <f>TrRail_act!P$6</f>
        <v>37163</v>
      </c>
      <c r="Q11" s="102">
        <f>TrRail_act!Q$6</f>
        <v>39413</v>
      </c>
      <c r="R11" s="102">
        <f>TrRail_act!R$6</f>
        <v>39384.064999999995</v>
      </c>
      <c r="S11" s="102">
        <f>TrRail_act!S$6</f>
        <v>40441</v>
      </c>
      <c r="T11" s="102">
        <f>TrRail_act!T$6</f>
        <v>42703</v>
      </c>
      <c r="U11" s="102">
        <f>TrRail_act!U$6</f>
        <v>43796</v>
      </c>
      <c r="V11" s="102">
        <f>TrRail_act!V$6</f>
        <v>17235.59049941682</v>
      </c>
      <c r="W11" s="102">
        <f>TrRail_act!W$6</f>
        <v>21433.616583607254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5086</v>
      </c>
      <c r="C12" s="102">
        <f>TrRail_act!C$9</f>
        <v>6763</v>
      </c>
      <c r="D12" s="102">
        <f>TrRail_act!D$9</f>
        <v>7078</v>
      </c>
      <c r="E12" s="102">
        <f>TrRail_act!E$9</f>
        <v>7431</v>
      </c>
      <c r="F12" s="102">
        <f>TrRail_act!F$9</f>
        <v>7925</v>
      </c>
      <c r="G12" s="102">
        <f>TrRail_act!G$9</f>
        <v>8550</v>
      </c>
      <c r="H12" s="102">
        <f>TrRail_act!H$9</f>
        <v>8912</v>
      </c>
      <c r="I12" s="102">
        <f>TrRail_act!I$9</f>
        <v>8818</v>
      </c>
      <c r="J12" s="102">
        <f>TrRail_act!J$9</f>
        <v>8878</v>
      </c>
      <c r="K12" s="102">
        <f>TrRail_act!K$9</f>
        <v>10746</v>
      </c>
      <c r="L12" s="102">
        <f>TrRail_act!L$9</f>
        <v>11606.199999999999</v>
      </c>
      <c r="M12" s="102">
        <f>TrRail_act!M$9</f>
        <v>12283</v>
      </c>
      <c r="N12" s="102">
        <f>TrRail_act!N$9</f>
        <v>12794</v>
      </c>
      <c r="O12" s="102">
        <f>TrRail_act!O$9</f>
        <v>12794</v>
      </c>
      <c r="P12" s="102">
        <f>TrRail_act!P$9</f>
        <v>12794</v>
      </c>
      <c r="Q12" s="102">
        <f>TrRail_act!Q$9</f>
        <v>12794</v>
      </c>
      <c r="R12" s="102">
        <f>TrRail_act!R$9</f>
        <v>12794</v>
      </c>
      <c r="S12" s="102">
        <f>TrRail_act!S$9</f>
        <v>12790</v>
      </c>
      <c r="T12" s="102">
        <f>TrRail_act!T$9</f>
        <v>12790</v>
      </c>
      <c r="U12" s="102">
        <f>TrRail_act!U$9</f>
        <v>12790</v>
      </c>
      <c r="V12" s="102">
        <f>TrRail_act!V$9</f>
        <v>5033.4095005831814</v>
      </c>
      <c r="W12" s="102">
        <f>TrRail_act!W$9</f>
        <v>6259.3834163927459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68600.766680033528</v>
      </c>
      <c r="C13" s="110">
        <f t="shared" ref="C13:V13" si="10">C14+C15+C16</f>
        <v>63334.00074330889</v>
      </c>
      <c r="D13" s="110">
        <f t="shared" si="10"/>
        <v>63825.275041661313</v>
      </c>
      <c r="E13" s="110">
        <f t="shared" si="10"/>
        <v>69741.418397365807</v>
      </c>
      <c r="F13" s="110">
        <f t="shared" si="10"/>
        <v>80321.933251207738</v>
      </c>
      <c r="G13" s="110">
        <f t="shared" si="10"/>
        <v>85868.980480459984</v>
      </c>
      <c r="H13" s="110">
        <f t="shared" si="10"/>
        <v>92119.555517479006</v>
      </c>
      <c r="I13" s="110">
        <f t="shared" si="10"/>
        <v>101085.53489219211</v>
      </c>
      <c r="J13" s="110">
        <f t="shared" si="10"/>
        <v>96996.149378967602</v>
      </c>
      <c r="K13" s="110">
        <f t="shared" si="10"/>
        <v>93279.761554823781</v>
      </c>
      <c r="L13" s="110">
        <f t="shared" si="10"/>
        <v>100804.75273830195</v>
      </c>
      <c r="M13" s="110">
        <f t="shared" si="10"/>
        <v>104975.75976416015</v>
      </c>
      <c r="N13" s="110">
        <f t="shared" si="10"/>
        <v>104738.74294187184</v>
      </c>
      <c r="O13" s="110">
        <f t="shared" si="10"/>
        <v>103683.63036342313</v>
      </c>
      <c r="P13" s="110">
        <f t="shared" si="10"/>
        <v>106603.6490254386</v>
      </c>
      <c r="Q13" s="110">
        <f t="shared" si="10"/>
        <v>112750.62994186237</v>
      </c>
      <c r="R13" s="110">
        <f t="shared" si="10"/>
        <v>119592.24792625799</v>
      </c>
      <c r="S13" s="110">
        <f t="shared" si="10"/>
        <v>129551.68163092448</v>
      </c>
      <c r="T13" s="110">
        <f t="shared" si="10"/>
        <v>141094.25574671771</v>
      </c>
      <c r="U13" s="110">
        <f t="shared" si="10"/>
        <v>150935.10962755803</v>
      </c>
      <c r="V13" s="110">
        <f t="shared" si="10"/>
        <v>38012.183128632816</v>
      </c>
      <c r="W13" s="110">
        <f t="shared" ref="W13" si="11">W14+W15+W16</f>
        <v>50370.030703259901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14383.948439598165</v>
      </c>
      <c r="C14" s="102">
        <f>TrAvia_act!C$5</f>
        <v>13384.498160731097</v>
      </c>
      <c r="D14" s="102">
        <f>TrAvia_act!D$5</f>
        <v>13586.47881349319</v>
      </c>
      <c r="E14" s="102">
        <f>TrAvia_act!E$5</f>
        <v>15139.55863278252</v>
      </c>
      <c r="F14" s="102">
        <f>TrAvia_act!F$5</f>
        <v>15384.460254481468</v>
      </c>
      <c r="G14" s="102">
        <f>TrAvia_act!G$5</f>
        <v>15430.52580928062</v>
      </c>
      <c r="H14" s="102">
        <f>TrAvia_act!H$5</f>
        <v>16360.789553086161</v>
      </c>
      <c r="I14" s="102">
        <f>TrAvia_act!I$5</f>
        <v>18343.379857879445</v>
      </c>
      <c r="J14" s="102">
        <f>TrAvia_act!J$5</f>
        <v>17862.65912315658</v>
      </c>
      <c r="K14" s="102">
        <f>TrAvia_act!K$5</f>
        <v>18639.59008903529</v>
      </c>
      <c r="L14" s="102">
        <f>TrAvia_act!L$5</f>
        <v>19891.551699073359</v>
      </c>
      <c r="M14" s="102">
        <f>TrAvia_act!M$5</f>
        <v>21308.65883219261</v>
      </c>
      <c r="N14" s="102">
        <f>TrAvia_act!N$5</f>
        <v>19938.844667051704</v>
      </c>
      <c r="O14" s="102">
        <f>TrAvia_act!O$5</f>
        <v>18958.630468827581</v>
      </c>
      <c r="P14" s="102">
        <f>TrAvia_act!P$5</f>
        <v>17931.429575072998</v>
      </c>
      <c r="Q14" s="102">
        <f>TrAvia_act!Q$5</f>
        <v>19651.625657787976</v>
      </c>
      <c r="R14" s="102">
        <f>TrAvia_act!R$5</f>
        <v>20411.845022716414</v>
      </c>
      <c r="S14" s="102">
        <f>TrAvia_act!S$5</f>
        <v>21341.448733614659</v>
      </c>
      <c r="T14" s="102">
        <f>TrAvia_act!T$5</f>
        <v>22211.631859514971</v>
      </c>
      <c r="U14" s="102">
        <f>TrAvia_act!U$5</f>
        <v>22709.688234522066</v>
      </c>
      <c r="V14" s="102">
        <f>TrAvia_act!V$5</f>
        <v>8902.7506755328141</v>
      </c>
      <c r="W14" s="102">
        <f>TrAvia_act!W$5</f>
        <v>15632.734573472009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23759.228486800494</v>
      </c>
      <c r="C15" s="102">
        <f>TrAvia_act!C$6</f>
        <v>22005.029869106409</v>
      </c>
      <c r="D15" s="102">
        <f>TrAvia_act!D$6</f>
        <v>22129.304012556626</v>
      </c>
      <c r="E15" s="102">
        <f>TrAvia_act!E$6</f>
        <v>25590.051317288166</v>
      </c>
      <c r="F15" s="102">
        <f>TrAvia_act!F$6</f>
        <v>28704.220228372622</v>
      </c>
      <c r="G15" s="102">
        <f>TrAvia_act!G$6</f>
        <v>32198.298002988209</v>
      </c>
      <c r="H15" s="102">
        <f>TrAvia_act!H$6</f>
        <v>34383.394306599665</v>
      </c>
      <c r="I15" s="102">
        <f>TrAvia_act!I$6</f>
        <v>36663.387893009167</v>
      </c>
      <c r="J15" s="102">
        <f>TrAvia_act!J$6</f>
        <v>34372.804574628761</v>
      </c>
      <c r="K15" s="102">
        <f>TrAvia_act!K$6</f>
        <v>32756.426543338413</v>
      </c>
      <c r="L15" s="102">
        <f>TrAvia_act!L$6</f>
        <v>34880.588282452976</v>
      </c>
      <c r="M15" s="102">
        <f>TrAvia_act!M$6</f>
        <v>38311.647163593138</v>
      </c>
      <c r="N15" s="102">
        <f>TrAvia_act!N$6</f>
        <v>37947.147581908997</v>
      </c>
      <c r="O15" s="102">
        <f>TrAvia_act!O$6</f>
        <v>37902.374597899368</v>
      </c>
      <c r="P15" s="102">
        <f>TrAvia_act!P$6</f>
        <v>39990.887474588548</v>
      </c>
      <c r="Q15" s="102">
        <f>TrAvia_act!Q$6</f>
        <v>43325.015619802587</v>
      </c>
      <c r="R15" s="102">
        <f>TrAvia_act!R$6</f>
        <v>47273.397342968819</v>
      </c>
      <c r="S15" s="102">
        <f>TrAvia_act!S$6</f>
        <v>51013.38119441997</v>
      </c>
      <c r="T15" s="102">
        <f>TrAvia_act!T$6</f>
        <v>54130.258986027933</v>
      </c>
      <c r="U15" s="102">
        <f>TrAvia_act!U$6</f>
        <v>56569.184810844774</v>
      </c>
      <c r="V15" s="102">
        <f>TrAvia_act!V$6</f>
        <v>13422.173508691649</v>
      </c>
      <c r="W15" s="102">
        <f>TrAvia_act!W$6</f>
        <v>18789.481097156138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30457.589753634878</v>
      </c>
      <c r="C16" s="102">
        <f>TrAvia_act!C$7</f>
        <v>27944.472713471387</v>
      </c>
      <c r="D16" s="102">
        <f>TrAvia_act!D$7</f>
        <v>28109.492215611499</v>
      </c>
      <c r="E16" s="102">
        <f>TrAvia_act!E$7</f>
        <v>29011.808447295123</v>
      </c>
      <c r="F16" s="102">
        <f>TrAvia_act!F$7</f>
        <v>36233.252768353646</v>
      </c>
      <c r="G16" s="102">
        <f>TrAvia_act!G$7</f>
        <v>38240.156668191157</v>
      </c>
      <c r="H16" s="102">
        <f>TrAvia_act!H$7</f>
        <v>41375.371657793177</v>
      </c>
      <c r="I16" s="102">
        <f>TrAvia_act!I$7</f>
        <v>46078.767141303491</v>
      </c>
      <c r="J16" s="102">
        <f>TrAvia_act!J$7</f>
        <v>44760.685681182265</v>
      </c>
      <c r="K16" s="102">
        <f>TrAvia_act!K$7</f>
        <v>41883.744922450074</v>
      </c>
      <c r="L16" s="102">
        <f>TrAvia_act!L$7</f>
        <v>46032.612756775612</v>
      </c>
      <c r="M16" s="102">
        <f>TrAvia_act!M$7</f>
        <v>45355.453768374391</v>
      </c>
      <c r="N16" s="102">
        <f>TrAvia_act!N$7</f>
        <v>46852.750692911141</v>
      </c>
      <c r="O16" s="102">
        <f>TrAvia_act!O$7</f>
        <v>46822.625296696177</v>
      </c>
      <c r="P16" s="102">
        <f>TrAvia_act!P$7</f>
        <v>48681.331975777051</v>
      </c>
      <c r="Q16" s="102">
        <f>TrAvia_act!Q$7</f>
        <v>49773.988664271812</v>
      </c>
      <c r="R16" s="102">
        <f>TrAvia_act!R$7</f>
        <v>51907.005560572747</v>
      </c>
      <c r="S16" s="102">
        <f>TrAvia_act!S$7</f>
        <v>57196.85170288985</v>
      </c>
      <c r="T16" s="102">
        <f>TrAvia_act!T$7</f>
        <v>64752.364901174813</v>
      </c>
      <c r="U16" s="102">
        <f>TrAvia_act!U$7</f>
        <v>71656.236582191195</v>
      </c>
      <c r="V16" s="102">
        <f>TrAvia_act!V$7</f>
        <v>15687.258944408355</v>
      </c>
      <c r="W16" s="102">
        <f>TrAvia_act!W$7</f>
        <v>15947.815032631754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244924.66549699008</v>
      </c>
      <c r="C17" s="28">
        <f t="shared" si="12"/>
        <v>239661.34877634188</v>
      </c>
      <c r="D17" s="28">
        <f t="shared" si="12"/>
        <v>249436.41385147013</v>
      </c>
      <c r="E17" s="28">
        <f t="shared" si="12"/>
        <v>236776.66888116297</v>
      </c>
      <c r="F17" s="28">
        <f t="shared" si="12"/>
        <v>258853.37082874365</v>
      </c>
      <c r="G17" s="28">
        <f t="shared" si="12"/>
        <v>279760.40171139763</v>
      </c>
      <c r="H17" s="28">
        <f t="shared" si="12"/>
        <v>266076.24596321175</v>
      </c>
      <c r="I17" s="28">
        <f t="shared" si="12"/>
        <v>269829.23896126857</v>
      </c>
      <c r="J17" s="28">
        <f t="shared" si="12"/>
        <v>265412.23685700179</v>
      </c>
      <c r="K17" s="28">
        <f t="shared" si="12"/>
        <v>250481.90251102179</v>
      </c>
      <c r="L17" s="28">
        <f t="shared" si="12"/>
        <v>260602.99701592146</v>
      </c>
      <c r="M17" s="28">
        <f t="shared" si="12"/>
        <v>237951.6132600758</v>
      </c>
      <c r="N17" s="28">
        <f t="shared" si="12"/>
        <v>215175.35780173831</v>
      </c>
      <c r="O17" s="28">
        <f t="shared" si="12"/>
        <v>214579.43390538642</v>
      </c>
      <c r="P17" s="28">
        <f t="shared" si="12"/>
        <v>210842.88743791613</v>
      </c>
      <c r="Q17" s="28">
        <f t="shared" si="12"/>
        <v>209485.72683785649</v>
      </c>
      <c r="R17" s="28">
        <f t="shared" ref="R17:V17" si="13">R18+R21+R22+R26</f>
        <v>213815.51783776909</v>
      </c>
      <c r="S17" s="28">
        <f t="shared" si="13"/>
        <v>225880.43959031356</v>
      </c>
      <c r="T17" s="28">
        <f t="shared" si="13"/>
        <v>229343.71050877051</v>
      </c>
      <c r="U17" s="28">
        <f t="shared" si="13"/>
        <v>239849.57620545299</v>
      </c>
      <c r="V17" s="28">
        <f t="shared" si="13"/>
        <v>231376.64442285051</v>
      </c>
      <c r="W17" s="28">
        <f t="shared" ref="W17" si="14">W18+W21+W22+W26</f>
        <v>251149.25555626146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193001.60913437372</v>
      </c>
      <c r="C18" s="137">
        <f t="shared" si="15"/>
        <v>190808.40496753345</v>
      </c>
      <c r="D18" s="137">
        <f t="shared" si="15"/>
        <v>198197.45821312704</v>
      </c>
      <c r="E18" s="137">
        <f t="shared" si="15"/>
        <v>182775.01893076487</v>
      </c>
      <c r="F18" s="137">
        <f t="shared" si="15"/>
        <v>202972.45377977559</v>
      </c>
      <c r="G18" s="137">
        <f t="shared" si="15"/>
        <v>218807.55764054318</v>
      </c>
      <c r="H18" s="137">
        <f t="shared" si="15"/>
        <v>203701.30157870729</v>
      </c>
      <c r="I18" s="137">
        <f t="shared" si="15"/>
        <v>201441.252698514</v>
      </c>
      <c r="J18" s="137">
        <f t="shared" si="15"/>
        <v>202164.76528340086</v>
      </c>
      <c r="K18" s="137">
        <f t="shared" si="15"/>
        <v>191032.2204900402</v>
      </c>
      <c r="L18" s="137">
        <f t="shared" si="15"/>
        <v>199286.58898837995</v>
      </c>
      <c r="M18" s="137">
        <f t="shared" si="15"/>
        <v>173540.80732025811</v>
      </c>
      <c r="N18" s="137">
        <f t="shared" si="15"/>
        <v>154164.27323535585</v>
      </c>
      <c r="O18" s="137">
        <f t="shared" si="15"/>
        <v>155137.84841195462</v>
      </c>
      <c r="P18" s="137">
        <f t="shared" si="15"/>
        <v>146824.18706849692</v>
      </c>
      <c r="Q18" s="137">
        <f t="shared" si="15"/>
        <v>145673.86867590522</v>
      </c>
      <c r="R18" s="137">
        <f t="shared" ref="R18:V18" si="16">R19+R20</f>
        <v>142861.21028891183</v>
      </c>
      <c r="S18" s="137">
        <f t="shared" si="16"/>
        <v>153495.17511500212</v>
      </c>
      <c r="T18" s="137">
        <f t="shared" si="16"/>
        <v>158081.06175844383</v>
      </c>
      <c r="U18" s="137">
        <f t="shared" si="16"/>
        <v>170371.15220136906</v>
      </c>
      <c r="V18" s="137">
        <f t="shared" si="16"/>
        <v>164713.77542132078</v>
      </c>
      <c r="W18" s="137">
        <f t="shared" ref="W18" si="17">W19+W20</f>
        <v>181685.42453958889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11373.488847273913</v>
      </c>
      <c r="C19" s="102">
        <f>TrRoad_act!C$20</f>
        <v>11019.445258252852</v>
      </c>
      <c r="D19" s="102">
        <f>TrRoad_act!D$20</f>
        <v>11600.289152517951</v>
      </c>
      <c r="E19" s="102">
        <f>TrRoad_act!E$20</f>
        <v>12651.795506834967</v>
      </c>
      <c r="F19" s="102">
        <f>TrRoad_act!F$20</f>
        <v>13534.109802301806</v>
      </c>
      <c r="G19" s="102">
        <f>TrRoad_act!G$20</f>
        <v>14854.614796703823</v>
      </c>
      <c r="H19" s="102">
        <f>TrRoad_act!H$20</f>
        <v>13630.509639712489</v>
      </c>
      <c r="I19" s="102">
        <f>TrRoad_act!I$20</f>
        <v>14643.801701906095</v>
      </c>
      <c r="J19" s="102">
        <f>TrRoad_act!J$20</f>
        <v>14661.054236350339</v>
      </c>
      <c r="K19" s="102">
        <f>TrRoad_act!K$20</f>
        <v>14605.255500329469</v>
      </c>
      <c r="L19" s="102">
        <f>TrRoad_act!L$20</f>
        <v>15679.776304851926</v>
      </c>
      <c r="M19" s="102">
        <f>TrRoad_act!M$20</f>
        <v>16219.956862316882</v>
      </c>
      <c r="N19" s="102">
        <f>TrRoad_act!N$20</f>
        <v>14703.817712991595</v>
      </c>
      <c r="O19" s="102">
        <f>TrRoad_act!O$20</f>
        <v>13344.806470882893</v>
      </c>
      <c r="P19" s="102">
        <f>TrRoad_act!P$20</f>
        <v>13797.153258022934</v>
      </c>
      <c r="Q19" s="102">
        <f>TrRoad_act!Q$20</f>
        <v>11703.829909133041</v>
      </c>
      <c r="R19" s="102">
        <f>TrRoad_act!R$20</f>
        <v>11166.067410448088</v>
      </c>
      <c r="S19" s="102">
        <f>TrRoad_act!S$20</f>
        <v>11418.361580399564</v>
      </c>
      <c r="T19" s="102">
        <f>TrRoad_act!T$20</f>
        <v>11816.061758443828</v>
      </c>
      <c r="U19" s="102">
        <f>TrRoad_act!U$20</f>
        <v>12064.152201369057</v>
      </c>
      <c r="V19" s="102">
        <f>TrRoad_act!V$20</f>
        <v>11849.775421320774</v>
      </c>
      <c r="W19" s="102">
        <f>TrRoad_act!W$20</f>
        <v>13800.424539588876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181628.12028709979</v>
      </c>
      <c r="C20" s="102">
        <f>TrRoad_act!C$26</f>
        <v>179788.95970928061</v>
      </c>
      <c r="D20" s="102">
        <f>TrRoad_act!D$26</f>
        <v>186597.1690606091</v>
      </c>
      <c r="E20" s="102">
        <f>TrRoad_act!E$26</f>
        <v>170123.22342392991</v>
      </c>
      <c r="F20" s="102">
        <f>TrRoad_act!F$26</f>
        <v>189438.34397747379</v>
      </c>
      <c r="G20" s="102">
        <f>TrRoad_act!G$26</f>
        <v>203952.94284383935</v>
      </c>
      <c r="H20" s="102">
        <f>TrRoad_act!H$26</f>
        <v>190070.79193899481</v>
      </c>
      <c r="I20" s="102">
        <f>TrRoad_act!I$26</f>
        <v>186797.45099660789</v>
      </c>
      <c r="J20" s="102">
        <f>TrRoad_act!J$26</f>
        <v>187503.71104705051</v>
      </c>
      <c r="K20" s="102">
        <f>TrRoad_act!K$26</f>
        <v>176426.96498971072</v>
      </c>
      <c r="L20" s="102">
        <f>TrRoad_act!L$26</f>
        <v>183606.81268352803</v>
      </c>
      <c r="M20" s="102">
        <f>TrRoad_act!M$26</f>
        <v>157320.85045794124</v>
      </c>
      <c r="N20" s="102">
        <f>TrRoad_act!N$26</f>
        <v>139460.45552236427</v>
      </c>
      <c r="O20" s="102">
        <f>TrRoad_act!O$26</f>
        <v>141793.04194107171</v>
      </c>
      <c r="P20" s="102">
        <f>TrRoad_act!P$26</f>
        <v>133027.03381047398</v>
      </c>
      <c r="Q20" s="102">
        <f>TrRoad_act!Q$26</f>
        <v>133970.0387667722</v>
      </c>
      <c r="R20" s="102">
        <f>TrRoad_act!R$26</f>
        <v>131695.14287846372</v>
      </c>
      <c r="S20" s="102">
        <f>TrRoad_act!S$26</f>
        <v>142076.81353460255</v>
      </c>
      <c r="T20" s="102">
        <f>TrRoad_act!T$26</f>
        <v>146265</v>
      </c>
      <c r="U20" s="102">
        <f>TrRoad_act!U$26</f>
        <v>158307</v>
      </c>
      <c r="V20" s="102">
        <f>TrRoad_act!V$26</f>
        <v>152864</v>
      </c>
      <c r="W20" s="102">
        <f>TrRoad_act!W$26</f>
        <v>167885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22817</v>
      </c>
      <c r="C21" s="110">
        <f>TrRail_act!C$10</f>
        <v>21762</v>
      </c>
      <c r="D21" s="110">
        <f>TrRail_act!D$10</f>
        <v>20679</v>
      </c>
      <c r="E21" s="110">
        <f>TrRail_act!E$10</f>
        <v>20299</v>
      </c>
      <c r="F21" s="110">
        <f>TrRail_act!F$10</f>
        <v>22183</v>
      </c>
      <c r="G21" s="110">
        <f>TrRail_act!G$10</f>
        <v>22761</v>
      </c>
      <c r="H21" s="110">
        <f>TrRail_act!H$10</f>
        <v>24151</v>
      </c>
      <c r="I21" s="110">
        <f>TrRail_act!I$10</f>
        <v>25285</v>
      </c>
      <c r="J21" s="110">
        <f>TrRail_act!J$10</f>
        <v>23831</v>
      </c>
      <c r="K21" s="110">
        <f>TrRail_act!K$10</f>
        <v>17791</v>
      </c>
      <c r="L21" s="110">
        <f>TrRail_act!L$10</f>
        <v>18616</v>
      </c>
      <c r="M21" s="110">
        <f>TrRail_act!M$10</f>
        <v>19787</v>
      </c>
      <c r="N21" s="110">
        <f>TrRail_act!N$10</f>
        <v>20244</v>
      </c>
      <c r="O21" s="110">
        <f>TrRail_act!O$10</f>
        <v>19037</v>
      </c>
      <c r="P21" s="110">
        <f>TrRail_act!P$10</f>
        <v>20157</v>
      </c>
      <c r="Q21" s="110">
        <f>TrRail_act!Q$10</f>
        <v>20781</v>
      </c>
      <c r="R21" s="110">
        <f>TrRail_act!R$10</f>
        <v>22712</v>
      </c>
      <c r="S21" s="110">
        <f>TrRail_act!S$10</f>
        <v>22335</v>
      </c>
      <c r="T21" s="110">
        <f>TrRail_act!T$10</f>
        <v>22070</v>
      </c>
      <c r="U21" s="110">
        <f>TrRail_act!U$10</f>
        <v>21309</v>
      </c>
      <c r="V21" s="110">
        <f>TrRail_act!V$10</f>
        <v>20750</v>
      </c>
      <c r="W21" s="110">
        <f>TrRail_act!W$10</f>
        <v>24262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1763.9463626163424</v>
      </c>
      <c r="C22" s="110">
        <f t="shared" ref="C22:V22" si="19">C23+C24+C25</f>
        <v>602.35080880842645</v>
      </c>
      <c r="D22" s="110">
        <f t="shared" si="19"/>
        <v>1475.9066383430873</v>
      </c>
      <c r="E22" s="110">
        <f t="shared" si="19"/>
        <v>1595.8429503980988</v>
      </c>
      <c r="F22" s="110">
        <f t="shared" si="19"/>
        <v>1695.2580489680545</v>
      </c>
      <c r="G22" s="110">
        <f t="shared" si="19"/>
        <v>1864.0840708544292</v>
      </c>
      <c r="H22" s="110">
        <f t="shared" si="19"/>
        <v>2057.1203845044283</v>
      </c>
      <c r="I22" s="110">
        <f t="shared" si="19"/>
        <v>2323.3982627545674</v>
      </c>
      <c r="J22" s="110">
        <f t="shared" si="19"/>
        <v>2008.7435736008786</v>
      </c>
      <c r="K22" s="110">
        <f t="shared" si="19"/>
        <v>1724.1770209815736</v>
      </c>
      <c r="L22" s="110">
        <f t="shared" si="19"/>
        <v>2203.0660275415034</v>
      </c>
      <c r="M22" s="110">
        <f t="shared" si="19"/>
        <v>2385.6979398176804</v>
      </c>
      <c r="N22" s="110">
        <f t="shared" si="19"/>
        <v>2149.2055663824331</v>
      </c>
      <c r="O22" s="110">
        <f t="shared" si="19"/>
        <v>2263.4674934317932</v>
      </c>
      <c r="P22" s="110">
        <f t="shared" si="19"/>
        <v>2578.1993694192106</v>
      </c>
      <c r="Q22" s="110">
        <f t="shared" si="19"/>
        <v>3000.3831619512775</v>
      </c>
      <c r="R22" s="110">
        <f t="shared" si="19"/>
        <v>3410.6155488572567</v>
      </c>
      <c r="S22" s="110">
        <f t="shared" si="19"/>
        <v>3822.1454753114317</v>
      </c>
      <c r="T22" s="110">
        <f t="shared" si="19"/>
        <v>3844.6567503266983</v>
      </c>
      <c r="U22" s="110">
        <f t="shared" si="19"/>
        <v>3952.5580040839159</v>
      </c>
      <c r="V22" s="110">
        <f t="shared" si="19"/>
        <v>2594.6730015297403</v>
      </c>
      <c r="W22" s="110">
        <f t="shared" ref="W22" si="20">W23+W24+W25</f>
        <v>2806.5990166725655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21.988068559504114</v>
      </c>
      <c r="C23" s="102">
        <f>TrAvia_act!C$9</f>
        <v>39.654742458322033</v>
      </c>
      <c r="D23" s="102">
        <f>TrAvia_act!D$9</f>
        <v>34.533689384339354</v>
      </c>
      <c r="E23" s="102">
        <f>TrAvia_act!E$9</f>
        <v>40.803166030892051</v>
      </c>
      <c r="F23" s="102">
        <f>TrAvia_act!F$9</f>
        <v>37.472053883709911</v>
      </c>
      <c r="G23" s="102">
        <f>TrAvia_act!G$9</f>
        <v>34.226147773221598</v>
      </c>
      <c r="H23" s="102">
        <f>TrAvia_act!H$9</f>
        <v>33.125198384766591</v>
      </c>
      <c r="I23" s="102">
        <f>TrAvia_act!I$9</f>
        <v>36.100610892121836</v>
      </c>
      <c r="J23" s="102">
        <f>TrAvia_act!J$9</f>
        <v>31.179890009693256</v>
      </c>
      <c r="K23" s="102">
        <f>TrAvia_act!K$9</f>
        <v>29.015893056441772</v>
      </c>
      <c r="L23" s="102">
        <f>TrAvia_act!L$9</f>
        <v>30.129867750724802</v>
      </c>
      <c r="M23" s="102">
        <f>TrAvia_act!M$9</f>
        <v>29.727230519134068</v>
      </c>
      <c r="N23" s="102">
        <f>TrAvia_act!N$9</f>
        <v>24.532157359796329</v>
      </c>
      <c r="O23" s="102">
        <f>TrAvia_act!O$9</f>
        <v>23.304172445676187</v>
      </c>
      <c r="P23" s="102">
        <f>TrAvia_act!P$9</f>
        <v>21.973514427401948</v>
      </c>
      <c r="Q23" s="102">
        <f>TrAvia_act!Q$9</f>
        <v>21.324450073682751</v>
      </c>
      <c r="R23" s="102">
        <f>TrAvia_act!R$9</f>
        <v>19.493248608792612</v>
      </c>
      <c r="S23" s="102">
        <f>TrAvia_act!S$9</f>
        <v>19.436262237575939</v>
      </c>
      <c r="T23" s="102">
        <f>TrAvia_act!T$9</f>
        <v>20.27094432656061</v>
      </c>
      <c r="U23" s="102">
        <f>TrAvia_act!U$9</f>
        <v>24.061757101036733</v>
      </c>
      <c r="V23" s="102">
        <f>TrAvia_act!V$9</f>
        <v>22.330149474192737</v>
      </c>
      <c r="W23" s="102">
        <f>TrAvia_act!W$9</f>
        <v>30.965723797405484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86.008378305703232</v>
      </c>
      <c r="C24" s="102">
        <f>TrAvia_act!C$10</f>
        <v>40.551260672187809</v>
      </c>
      <c r="D24" s="102">
        <f>TrAvia_act!D$10</f>
        <v>163.45760881516699</v>
      </c>
      <c r="E24" s="102">
        <f>TrAvia_act!E$10</f>
        <v>189.15269303343797</v>
      </c>
      <c r="F24" s="102">
        <f>TrAvia_act!F$10</f>
        <v>208.03833367318521</v>
      </c>
      <c r="G24" s="102">
        <f>TrAvia_act!G$10</f>
        <v>218.49667590563959</v>
      </c>
      <c r="H24" s="102">
        <f>TrAvia_act!H$10</f>
        <v>197.96548878818507</v>
      </c>
      <c r="I24" s="102">
        <f>TrAvia_act!I$10</f>
        <v>210.339375386679</v>
      </c>
      <c r="J24" s="102">
        <f>TrAvia_act!J$10</f>
        <v>187.71784404878656</v>
      </c>
      <c r="K24" s="102">
        <f>TrAvia_act!K$10</f>
        <v>176.56876496620902</v>
      </c>
      <c r="L24" s="102">
        <f>TrAvia_act!L$10</f>
        <v>166.33066739435711</v>
      </c>
      <c r="M24" s="102">
        <f>TrAvia_act!M$10</f>
        <v>160.82735294527112</v>
      </c>
      <c r="N24" s="102">
        <f>TrAvia_act!N$10</f>
        <v>164.12582487862534</v>
      </c>
      <c r="O24" s="102">
        <f>TrAvia_act!O$10</f>
        <v>160.96905479334657</v>
      </c>
      <c r="P24" s="102">
        <f>TrAvia_act!P$10</f>
        <v>167.17363238969534</v>
      </c>
      <c r="Q24" s="102">
        <f>TrAvia_act!Q$10</f>
        <v>182.11347984264586</v>
      </c>
      <c r="R24" s="102">
        <f>TrAvia_act!R$10</f>
        <v>179.89580183262765</v>
      </c>
      <c r="S24" s="102">
        <f>TrAvia_act!S$10</f>
        <v>181.14155797634626</v>
      </c>
      <c r="T24" s="102">
        <f>TrAvia_act!T$10</f>
        <v>184.5818460184382</v>
      </c>
      <c r="U24" s="102">
        <f>TrAvia_act!U$10</f>
        <v>192.54579655349346</v>
      </c>
      <c r="V24" s="102">
        <f>TrAvia_act!V$10</f>
        <v>174.91332824678977</v>
      </c>
      <c r="W24" s="102">
        <f>TrAvia_act!W$10</f>
        <v>203.72381363213046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1655.949915751135</v>
      </c>
      <c r="C25" s="102">
        <f>TrAvia_act!C$11</f>
        <v>522.14480567791657</v>
      </c>
      <c r="D25" s="102">
        <f>TrAvia_act!D$11</f>
        <v>1277.9153401435808</v>
      </c>
      <c r="E25" s="102">
        <f>TrAvia_act!E$11</f>
        <v>1365.8870913337687</v>
      </c>
      <c r="F25" s="102">
        <f>TrAvia_act!F$11</f>
        <v>1449.7476614111592</v>
      </c>
      <c r="G25" s="102">
        <f>TrAvia_act!G$11</f>
        <v>1611.361247175568</v>
      </c>
      <c r="H25" s="102">
        <f>TrAvia_act!H$11</f>
        <v>1826.0296973314769</v>
      </c>
      <c r="I25" s="102">
        <f>TrAvia_act!I$11</f>
        <v>2076.9582764757665</v>
      </c>
      <c r="J25" s="102">
        <f>TrAvia_act!J$11</f>
        <v>1789.8458395423988</v>
      </c>
      <c r="K25" s="102">
        <f>TrAvia_act!K$11</f>
        <v>1518.5923629589229</v>
      </c>
      <c r="L25" s="102">
        <f>TrAvia_act!L$11</f>
        <v>2006.6054923964214</v>
      </c>
      <c r="M25" s="102">
        <f>TrAvia_act!M$11</f>
        <v>2195.1433563532751</v>
      </c>
      <c r="N25" s="102">
        <f>TrAvia_act!N$11</f>
        <v>1960.5475841440116</v>
      </c>
      <c r="O25" s="102">
        <f>TrAvia_act!O$11</f>
        <v>2079.1942661927706</v>
      </c>
      <c r="P25" s="102">
        <f>TrAvia_act!P$11</f>
        <v>2389.0522226021135</v>
      </c>
      <c r="Q25" s="102">
        <f>TrAvia_act!Q$11</f>
        <v>2796.9452320349487</v>
      </c>
      <c r="R25" s="102">
        <f>TrAvia_act!R$11</f>
        <v>3211.2264984158364</v>
      </c>
      <c r="S25" s="102">
        <f>TrAvia_act!S$11</f>
        <v>3621.5676550975095</v>
      </c>
      <c r="T25" s="102">
        <f>TrAvia_act!T$11</f>
        <v>3639.8039599816993</v>
      </c>
      <c r="U25" s="102">
        <f>TrAvia_act!U$11</f>
        <v>3735.9504504293859</v>
      </c>
      <c r="V25" s="102">
        <f>TrAvia_act!V$11</f>
        <v>2397.4295238087579</v>
      </c>
      <c r="W25" s="102">
        <f>TrAvia_act!W$11</f>
        <v>2571.9094792430296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27342.11</v>
      </c>
      <c r="C26" s="110">
        <f t="shared" si="21"/>
        <v>26488.593000000001</v>
      </c>
      <c r="D26" s="110">
        <f t="shared" si="21"/>
        <v>29084.048999999999</v>
      </c>
      <c r="E26" s="110">
        <f t="shared" si="21"/>
        <v>32106.807000000001</v>
      </c>
      <c r="F26" s="110">
        <f t="shared" si="21"/>
        <v>32002.659000000003</v>
      </c>
      <c r="G26" s="110">
        <f t="shared" si="21"/>
        <v>36327.760000000002</v>
      </c>
      <c r="H26" s="110">
        <f t="shared" si="21"/>
        <v>36166.824000000001</v>
      </c>
      <c r="I26" s="110">
        <f t="shared" si="21"/>
        <v>40779.588000000003</v>
      </c>
      <c r="J26" s="110">
        <f t="shared" si="21"/>
        <v>37407.728000000003</v>
      </c>
      <c r="K26" s="110">
        <f t="shared" si="21"/>
        <v>39934.504999999997</v>
      </c>
      <c r="L26" s="110">
        <f t="shared" si="21"/>
        <v>40497.341999999997</v>
      </c>
      <c r="M26" s="110">
        <f t="shared" si="21"/>
        <v>42238.108</v>
      </c>
      <c r="N26" s="110">
        <f t="shared" si="21"/>
        <v>38617.879000000001</v>
      </c>
      <c r="O26" s="110">
        <f t="shared" si="21"/>
        <v>38141.118000000002</v>
      </c>
      <c r="P26" s="110">
        <f t="shared" si="21"/>
        <v>41283.500999999997</v>
      </c>
      <c r="Q26" s="110">
        <f t="shared" si="21"/>
        <v>40030.474999999999</v>
      </c>
      <c r="R26" s="110">
        <f t="shared" ref="R26:V26" si="22">R27+R28</f>
        <v>44831.692000000003</v>
      </c>
      <c r="S26" s="110">
        <f t="shared" si="22"/>
        <v>46228.118999999999</v>
      </c>
      <c r="T26" s="110">
        <f t="shared" si="22"/>
        <v>45347.991999999998</v>
      </c>
      <c r="U26" s="110">
        <f t="shared" si="22"/>
        <v>44216.866000000002</v>
      </c>
      <c r="V26" s="110">
        <f t="shared" si="22"/>
        <v>43318.196000000004</v>
      </c>
      <c r="W26" s="110">
        <f t="shared" ref="W26" si="23">W27+W28</f>
        <v>42395.232000000004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27172.544000000002</v>
      </c>
      <c r="C27" s="102">
        <f>TrNavi_act!C4</f>
        <v>26327.569</v>
      </c>
      <c r="D27" s="102">
        <f>TrNavi_act!D4</f>
        <v>28993.986000000001</v>
      </c>
      <c r="E27" s="102">
        <f>TrNavi_act!E4</f>
        <v>32015.987000000001</v>
      </c>
      <c r="F27" s="102">
        <f>TrNavi_act!F4</f>
        <v>31892.829000000002</v>
      </c>
      <c r="G27" s="102">
        <f>TrNavi_act!G4</f>
        <v>36239.01</v>
      </c>
      <c r="H27" s="102">
        <f>TrNavi_act!H4</f>
        <v>36090.85</v>
      </c>
      <c r="I27" s="102">
        <f>TrNavi_act!I4</f>
        <v>40686.588000000003</v>
      </c>
      <c r="J27" s="102">
        <f>TrNavi_act!J4</f>
        <v>37343.728000000003</v>
      </c>
      <c r="K27" s="102">
        <f>TrNavi_act!K4</f>
        <v>39880.504999999997</v>
      </c>
      <c r="L27" s="102">
        <f>TrNavi_act!L4</f>
        <v>40389.341999999997</v>
      </c>
      <c r="M27" s="102">
        <f>TrNavi_act!M4</f>
        <v>42094.108</v>
      </c>
      <c r="N27" s="102">
        <f>TrNavi_act!N4</f>
        <v>38536.879000000001</v>
      </c>
      <c r="O27" s="102">
        <f>TrNavi_act!O4</f>
        <v>38052.118000000002</v>
      </c>
      <c r="P27" s="102">
        <f>TrNavi_act!P4</f>
        <v>41219.500999999997</v>
      </c>
      <c r="Q27" s="102">
        <f>TrNavi_act!Q4</f>
        <v>39968.474999999999</v>
      </c>
      <c r="R27" s="102">
        <f>TrNavi_act!R4</f>
        <v>44764.692000000003</v>
      </c>
      <c r="S27" s="102">
        <f>TrNavi_act!S4</f>
        <v>46167.118999999999</v>
      </c>
      <c r="T27" s="102">
        <f>TrNavi_act!T4</f>
        <v>45273.991999999998</v>
      </c>
      <c r="U27" s="102">
        <f>TrNavi_act!U4</f>
        <v>44161.866000000002</v>
      </c>
      <c r="V27" s="102">
        <f>TrNavi_act!V4</f>
        <v>43194.196000000004</v>
      </c>
      <c r="W27" s="102">
        <f>TrNavi_act!W4</f>
        <v>42255.232000000004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169.566</v>
      </c>
      <c r="C28" s="169">
        <f>TrNavi_act!C5</f>
        <v>161.024</v>
      </c>
      <c r="D28" s="169">
        <f>TrNavi_act!D5</f>
        <v>90.063000000000002</v>
      </c>
      <c r="E28" s="169">
        <f>TrNavi_act!E5</f>
        <v>90.82</v>
      </c>
      <c r="F28" s="169">
        <f>TrNavi_act!F5</f>
        <v>109.83</v>
      </c>
      <c r="G28" s="169">
        <f>TrNavi_act!G5</f>
        <v>88.75</v>
      </c>
      <c r="H28" s="169">
        <f>TrNavi_act!H5</f>
        <v>75.974000000000004</v>
      </c>
      <c r="I28" s="169">
        <f>TrNavi_act!I5</f>
        <v>93</v>
      </c>
      <c r="J28" s="169">
        <f>TrNavi_act!J5</f>
        <v>64</v>
      </c>
      <c r="K28" s="169">
        <f>TrNavi_act!K5</f>
        <v>54</v>
      </c>
      <c r="L28" s="169">
        <f>TrNavi_act!L5</f>
        <v>108</v>
      </c>
      <c r="M28" s="169">
        <f>TrNavi_act!M5</f>
        <v>144</v>
      </c>
      <c r="N28" s="169">
        <f>TrNavi_act!N5</f>
        <v>81</v>
      </c>
      <c r="O28" s="169">
        <f>TrNavi_act!O5</f>
        <v>89</v>
      </c>
      <c r="P28" s="169">
        <f>TrNavi_act!P5</f>
        <v>64</v>
      </c>
      <c r="Q28" s="169">
        <f>TrNavi_act!Q5</f>
        <v>62</v>
      </c>
      <c r="R28" s="169">
        <f>TrNavi_act!R5</f>
        <v>67</v>
      </c>
      <c r="S28" s="169">
        <f>TrNavi_act!S5</f>
        <v>61</v>
      </c>
      <c r="T28" s="169">
        <f>TrNavi_act!T5</f>
        <v>74</v>
      </c>
      <c r="U28" s="169">
        <f>TrNavi_act!U5</f>
        <v>55</v>
      </c>
      <c r="V28" s="169">
        <f>TrNavi_act!V5</f>
        <v>124</v>
      </c>
      <c r="W28" s="169">
        <f>TrNavi_act!W5</f>
        <v>140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744676.87866399996</v>
      </c>
      <c r="C29" s="28">
        <f t="shared" si="24"/>
        <v>765278.34657499997</v>
      </c>
      <c r="D29" s="28">
        <f t="shared" si="24"/>
        <v>762486.09917299997</v>
      </c>
      <c r="E29" s="28">
        <f t="shared" si="24"/>
        <v>791666.98267399997</v>
      </c>
      <c r="F29" s="28">
        <f t="shared" si="24"/>
        <v>816257.25641199993</v>
      </c>
      <c r="G29" s="28">
        <f t="shared" si="24"/>
        <v>816250.22021599999</v>
      </c>
      <c r="H29" s="28">
        <f t="shared" si="24"/>
        <v>864046.68154700007</v>
      </c>
      <c r="I29" s="28">
        <f t="shared" si="24"/>
        <v>863025.60061500012</v>
      </c>
      <c r="J29" s="28">
        <f t="shared" si="24"/>
        <v>829212.691139</v>
      </c>
      <c r="K29" s="28">
        <f t="shared" si="24"/>
        <v>690006.21739999996</v>
      </c>
      <c r="L29" s="28">
        <f t="shared" si="24"/>
        <v>713591.26067300001</v>
      </c>
      <c r="M29" s="28">
        <f t="shared" si="24"/>
        <v>761897.38502699998</v>
      </c>
      <c r="N29" s="28">
        <f t="shared" si="24"/>
        <v>715583.39110499993</v>
      </c>
      <c r="O29" s="28">
        <f t="shared" si="24"/>
        <v>684209.66777099995</v>
      </c>
      <c r="P29" s="28">
        <f t="shared" si="24"/>
        <v>634356.60387999995</v>
      </c>
      <c r="Q29" s="28">
        <f t="shared" si="24"/>
        <v>677382.35869899997</v>
      </c>
      <c r="R29" s="28">
        <f t="shared" si="24"/>
        <v>629265.51125500002</v>
      </c>
      <c r="S29" s="28">
        <f t="shared" si="24"/>
        <v>627198.51276399998</v>
      </c>
      <c r="T29" s="28">
        <f t="shared" si="24"/>
        <v>682759.43365599995</v>
      </c>
      <c r="U29" s="28">
        <f t="shared" si="24"/>
        <v>736425.64009699994</v>
      </c>
      <c r="V29" s="28">
        <f t="shared" si="24"/>
        <v>641891.01420400001</v>
      </c>
      <c r="W29" s="28">
        <f t="shared" si="24"/>
        <v>709209.08941500005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104817.92207300001</v>
      </c>
      <c r="C30" s="102">
        <f>MBunk_act!C$4</f>
        <v>101321.57058700001</v>
      </c>
      <c r="D30" s="102">
        <f>MBunk_act!D$4</f>
        <v>106850.541595</v>
      </c>
      <c r="E30" s="102">
        <f>MBunk_act!E$4</f>
        <v>108663.211146</v>
      </c>
      <c r="F30" s="102">
        <f>MBunk_act!F$4</f>
        <v>105685.678747</v>
      </c>
      <c r="G30" s="102">
        <f>MBunk_act!G$4</f>
        <v>101382.096909</v>
      </c>
      <c r="H30" s="102">
        <f>MBunk_act!H$4</f>
        <v>105378.11022500001</v>
      </c>
      <c r="I30" s="102">
        <f>MBunk_act!I$4</f>
        <v>100630.200759</v>
      </c>
      <c r="J30" s="102">
        <f>MBunk_act!J$4</f>
        <v>112844.030644</v>
      </c>
      <c r="K30" s="102">
        <f>MBunk_act!K$4</f>
        <v>89502.935462000009</v>
      </c>
      <c r="L30" s="102">
        <f>MBunk_act!L$4</f>
        <v>96085.299278999999</v>
      </c>
      <c r="M30" s="102">
        <f>MBunk_act!M$4</f>
        <v>100957.01861500001</v>
      </c>
      <c r="N30" s="102">
        <f>MBunk_act!N$4</f>
        <v>97975.156336999993</v>
      </c>
      <c r="O30" s="102">
        <f>MBunk_act!O$4</f>
        <v>105005.784998</v>
      </c>
      <c r="P30" s="102">
        <f>MBunk_act!P$4</f>
        <v>94732.316141999996</v>
      </c>
      <c r="Q30" s="102">
        <f>MBunk_act!Q$4</f>
        <v>94630.156516999996</v>
      </c>
      <c r="R30" s="102">
        <f>MBunk_act!R$4</f>
        <v>98930.110269000012</v>
      </c>
      <c r="S30" s="102">
        <f>MBunk_act!S$4</f>
        <v>100392.38990400001</v>
      </c>
      <c r="T30" s="102">
        <f>MBunk_act!T$4</f>
        <v>127294.739329</v>
      </c>
      <c r="U30" s="102">
        <f>MBunk_act!U$4</f>
        <v>124706.173981</v>
      </c>
      <c r="V30" s="102">
        <f>MBunk_act!V$4</f>
        <v>107709.919824</v>
      </c>
      <c r="W30" s="102">
        <f>MBunk_act!W$4</f>
        <v>110868.096381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639858.95659099997</v>
      </c>
      <c r="C31" s="86">
        <f>MBunk_act!C$5</f>
        <v>663956.77598799998</v>
      </c>
      <c r="D31" s="86">
        <f>MBunk_act!D$5</f>
        <v>655635.55757800001</v>
      </c>
      <c r="E31" s="86">
        <f>MBunk_act!E$5</f>
        <v>683003.77152800001</v>
      </c>
      <c r="F31" s="86">
        <f>MBunk_act!F$5</f>
        <v>710571.57766499999</v>
      </c>
      <c r="G31" s="86">
        <f>MBunk_act!G$5</f>
        <v>714868.12330700003</v>
      </c>
      <c r="H31" s="86">
        <f>MBunk_act!H$5</f>
        <v>758668.571322</v>
      </c>
      <c r="I31" s="86">
        <f>MBunk_act!I$5</f>
        <v>762395.39985600009</v>
      </c>
      <c r="J31" s="86">
        <f>MBunk_act!J$5</f>
        <v>716368.66049499996</v>
      </c>
      <c r="K31" s="86">
        <f>MBunk_act!K$5</f>
        <v>600503.281938</v>
      </c>
      <c r="L31" s="86">
        <f>MBunk_act!L$5</f>
        <v>617505.96139399998</v>
      </c>
      <c r="M31" s="86">
        <f>MBunk_act!M$5</f>
        <v>660940.36641200003</v>
      </c>
      <c r="N31" s="86">
        <f>MBunk_act!N$5</f>
        <v>617608.23476799997</v>
      </c>
      <c r="O31" s="86">
        <f>MBunk_act!O$5</f>
        <v>579203.88277299993</v>
      </c>
      <c r="P31" s="86">
        <f>MBunk_act!P$5</f>
        <v>539624.28773799993</v>
      </c>
      <c r="Q31" s="86">
        <f>MBunk_act!Q$5</f>
        <v>582752.20218200004</v>
      </c>
      <c r="R31" s="86">
        <f>MBunk_act!R$5</f>
        <v>530335.40098599996</v>
      </c>
      <c r="S31" s="86">
        <f>MBunk_act!S$5</f>
        <v>526806.12286</v>
      </c>
      <c r="T31" s="86">
        <f>MBunk_act!T$5</f>
        <v>555464.69432699995</v>
      </c>
      <c r="U31" s="86">
        <f>MBunk_act!U$5</f>
        <v>611719.46611599997</v>
      </c>
      <c r="V31" s="86">
        <f>MBunk_act!V$5</f>
        <v>534181.09438000002</v>
      </c>
      <c r="W31" s="86">
        <f>MBunk_act!W$5</f>
        <v>598340.99303400004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30898.832765105879</v>
      </c>
      <c r="C34" s="28">
        <f t="shared" si="25"/>
        <v>30797.142899354491</v>
      </c>
      <c r="D34" s="28">
        <f t="shared" si="25"/>
        <v>31428.865323292299</v>
      </c>
      <c r="E34" s="28">
        <f t="shared" si="25"/>
        <v>31674.932619038533</v>
      </c>
      <c r="F34" s="28">
        <f t="shared" si="25"/>
        <v>31934.295490851153</v>
      </c>
      <c r="G34" s="28">
        <f t="shared" si="25"/>
        <v>31043.625597135673</v>
      </c>
      <c r="H34" s="28">
        <f t="shared" si="25"/>
        <v>31865.25661084348</v>
      </c>
      <c r="I34" s="28">
        <f t="shared" si="25"/>
        <v>31923.355877828628</v>
      </c>
      <c r="J34" s="28">
        <f t="shared" si="25"/>
        <v>31340.61909354584</v>
      </c>
      <c r="K34" s="28">
        <f t="shared" si="25"/>
        <v>30482.414097450062</v>
      </c>
      <c r="L34" s="28">
        <f t="shared" si="25"/>
        <v>30308.230750070717</v>
      </c>
      <c r="M34" s="28">
        <f t="shared" si="25"/>
        <v>29878.18275112742</v>
      </c>
      <c r="N34" s="28">
        <f t="shared" si="25"/>
        <v>27979.829724078016</v>
      </c>
      <c r="O34" s="28">
        <f t="shared" si="25"/>
        <v>28592.614358646151</v>
      </c>
      <c r="P34" s="28">
        <f t="shared" si="25"/>
        <v>30175.414710670593</v>
      </c>
      <c r="Q34" s="28">
        <f t="shared" si="25"/>
        <v>30508.173942080324</v>
      </c>
      <c r="R34" s="28">
        <f t="shared" ref="R34:V34" si="26">R35+R39+R43</f>
        <v>30320.839454897112</v>
      </c>
      <c r="S34" s="28">
        <f t="shared" si="26"/>
        <v>30234.312146359196</v>
      </c>
      <c r="T34" s="28">
        <f t="shared" si="26"/>
        <v>30652.207759455508</v>
      </c>
      <c r="U34" s="28">
        <f t="shared" si="26"/>
        <v>30903.961914514748</v>
      </c>
      <c r="V34" s="28">
        <f t="shared" si="26"/>
        <v>22260.635123659464</v>
      </c>
      <c r="W34" s="28">
        <f t="shared" ref="W34" si="27">W35+W39+W43</f>
        <v>25741.317072187336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27110.780760193415</v>
      </c>
      <c r="C35" s="137">
        <f t="shared" si="28"/>
        <v>27235.870897230277</v>
      </c>
      <c r="D35" s="137">
        <f t="shared" si="28"/>
        <v>27942.417313295515</v>
      </c>
      <c r="E35" s="137">
        <f t="shared" si="28"/>
        <v>27789.274800216761</v>
      </c>
      <c r="F35" s="137">
        <f t="shared" si="28"/>
        <v>28111.219582293525</v>
      </c>
      <c r="G35" s="137">
        <f t="shared" si="28"/>
        <v>27099.029628765777</v>
      </c>
      <c r="H35" s="137">
        <f t="shared" si="28"/>
        <v>27694.986354562276</v>
      </c>
      <c r="I35" s="137">
        <f t="shared" si="28"/>
        <v>27536.45379683893</v>
      </c>
      <c r="J35" s="137">
        <f t="shared" si="28"/>
        <v>27104.534970223154</v>
      </c>
      <c r="K35" s="137">
        <f t="shared" si="28"/>
        <v>26585.614104588054</v>
      </c>
      <c r="L35" s="137">
        <f t="shared" si="28"/>
        <v>26240.799765825912</v>
      </c>
      <c r="M35" s="137">
        <f t="shared" si="28"/>
        <v>25736.848965535239</v>
      </c>
      <c r="N35" s="137">
        <f t="shared" si="28"/>
        <v>23961.607996325554</v>
      </c>
      <c r="O35" s="137">
        <f t="shared" si="28"/>
        <v>24679.444270453587</v>
      </c>
      <c r="P35" s="137">
        <f t="shared" si="28"/>
        <v>26249.961941590329</v>
      </c>
      <c r="Q35" s="137">
        <f t="shared" si="28"/>
        <v>26448.895766025489</v>
      </c>
      <c r="R35" s="137">
        <f t="shared" ref="R35:V35" si="29">R36+R37+R38</f>
        <v>26105.901528831884</v>
      </c>
      <c r="S35" s="137">
        <f t="shared" si="29"/>
        <v>25833.965322972315</v>
      </c>
      <c r="T35" s="137">
        <f t="shared" si="29"/>
        <v>25708.107982429665</v>
      </c>
      <c r="U35" s="137">
        <f t="shared" si="29"/>
        <v>25806.784244575298</v>
      </c>
      <c r="V35" s="137">
        <f t="shared" si="29"/>
        <v>20295.24987528675</v>
      </c>
      <c r="W35" s="137">
        <f t="shared" ref="W35" si="30">W36+W37+W38</f>
        <v>23474.061779793719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1434.542907035378</v>
      </c>
      <c r="C36" s="102">
        <f>TrRoad_ene!C$19</f>
        <v>1448.9574029485786</v>
      </c>
      <c r="D36" s="102">
        <f>TrRoad_ene!D$19</f>
        <v>1421.7183656079008</v>
      </c>
      <c r="E36" s="102">
        <f>TrRoad_ene!E$19</f>
        <v>1433.0375677870973</v>
      </c>
      <c r="F36" s="102">
        <f>TrRoad_ene!F$19</f>
        <v>1474.4307109334966</v>
      </c>
      <c r="G36" s="102">
        <f>TrRoad_ene!G$19</f>
        <v>1465.0914650340171</v>
      </c>
      <c r="H36" s="102">
        <f>TrRoad_ene!H$19</f>
        <v>1374.3798348989123</v>
      </c>
      <c r="I36" s="102">
        <f>TrRoad_ene!I$19</f>
        <v>1203.5537119620737</v>
      </c>
      <c r="J36" s="102">
        <f>TrRoad_ene!J$19</f>
        <v>1249.4827802569746</v>
      </c>
      <c r="K36" s="102">
        <f>TrRoad_ene!K$19</f>
        <v>1142.7134119189411</v>
      </c>
      <c r="L36" s="102">
        <f>TrRoad_ene!L$19</f>
        <v>1152.7690419434789</v>
      </c>
      <c r="M36" s="102">
        <f>TrRoad_ene!M$19</f>
        <v>1174.4866884975977</v>
      </c>
      <c r="N36" s="102">
        <f>TrRoad_ene!N$19</f>
        <v>1119.7711477573673</v>
      </c>
      <c r="O36" s="102">
        <f>TrRoad_ene!O$19</f>
        <v>1077.1532144891364</v>
      </c>
      <c r="P36" s="102">
        <f>TrRoad_ene!P$19</f>
        <v>1080.7180056063028</v>
      </c>
      <c r="Q36" s="102">
        <f>TrRoad_ene!Q$19</f>
        <v>1066.3987000840093</v>
      </c>
      <c r="R36" s="102">
        <f>TrRoad_ene!R$19</f>
        <v>1076.9631122000048</v>
      </c>
      <c r="S36" s="102">
        <f>TrRoad_ene!S$19</f>
        <v>1011.774886563804</v>
      </c>
      <c r="T36" s="102">
        <f>TrRoad_ene!T$19</f>
        <v>959.71412712719757</v>
      </c>
      <c r="U36" s="102">
        <f>TrRoad_ene!U$19</f>
        <v>1013.9399590227653</v>
      </c>
      <c r="V36" s="102">
        <f>TrRoad_ene!V$19</f>
        <v>902.98248332351</v>
      </c>
      <c r="W36" s="102">
        <f>TrRoad_ene!W$19</f>
        <v>896.69673208980987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23551.154675156537</v>
      </c>
      <c r="C37" s="102">
        <f>TrRoad_ene!C$21</f>
        <v>23654.629509150873</v>
      </c>
      <c r="D37" s="102">
        <f>TrRoad_ene!D$21</f>
        <v>24373.573154269012</v>
      </c>
      <c r="E37" s="102">
        <f>TrRoad_ene!E$21</f>
        <v>24209.684076114427</v>
      </c>
      <c r="F37" s="102">
        <f>TrRoad_ene!F$21</f>
        <v>24472.305898047907</v>
      </c>
      <c r="G37" s="102">
        <f>TrRoad_ene!G$21</f>
        <v>23467.267458390506</v>
      </c>
      <c r="H37" s="102">
        <f>TrRoad_ene!H$21</f>
        <v>24135.703616519921</v>
      </c>
      <c r="I37" s="102">
        <f>TrRoad_ene!I$21</f>
        <v>24154.109820926238</v>
      </c>
      <c r="J37" s="102">
        <f>TrRoad_ene!J$21</f>
        <v>23657.294934673966</v>
      </c>
      <c r="K37" s="102">
        <f>TrRoad_ene!K$21</f>
        <v>23255.255488977058</v>
      </c>
      <c r="L37" s="102">
        <f>TrRoad_ene!L$21</f>
        <v>22866.078739866771</v>
      </c>
      <c r="M37" s="102">
        <f>TrRoad_ene!M$21</f>
        <v>22275.556275520845</v>
      </c>
      <c r="N37" s="102">
        <f>TrRoad_ene!N$21</f>
        <v>20638.525589836911</v>
      </c>
      <c r="O37" s="102">
        <f>TrRoad_ene!O$21</f>
        <v>21389.909701577992</v>
      </c>
      <c r="P37" s="102">
        <f>TrRoad_ene!P$21</f>
        <v>22941.825545723601</v>
      </c>
      <c r="Q37" s="102">
        <f>TrRoad_ene!Q$21</f>
        <v>23100.83888116432</v>
      </c>
      <c r="R37" s="102">
        <f>TrRoad_ene!R$21</f>
        <v>22761.399251687879</v>
      </c>
      <c r="S37" s="102">
        <f>TrRoad_ene!S$21</f>
        <v>22538.081208086991</v>
      </c>
      <c r="T37" s="102">
        <f>TrRoad_ene!T$21</f>
        <v>22445.684514613546</v>
      </c>
      <c r="U37" s="102">
        <f>TrRoad_ene!U$21</f>
        <v>22445.406683586414</v>
      </c>
      <c r="V37" s="102">
        <f>TrRoad_ene!V$21</f>
        <v>17087.143089472334</v>
      </c>
      <c r="W37" s="102">
        <f>TrRoad_ene!W$21</f>
        <v>20180.907279766798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2125.0831780014987</v>
      </c>
      <c r="C38" s="102">
        <f>TrRoad_ene!C$33</f>
        <v>2132.2839851308281</v>
      </c>
      <c r="D38" s="102">
        <f>TrRoad_ene!D$33</f>
        <v>2147.1257934186037</v>
      </c>
      <c r="E38" s="102">
        <f>TrRoad_ene!E$33</f>
        <v>2146.5531563152349</v>
      </c>
      <c r="F38" s="102">
        <f>TrRoad_ene!F$33</f>
        <v>2164.4829733121237</v>
      </c>
      <c r="G38" s="102">
        <f>TrRoad_ene!G$33</f>
        <v>2166.6707053412542</v>
      </c>
      <c r="H38" s="102">
        <f>TrRoad_ene!H$33</f>
        <v>2184.9029031434443</v>
      </c>
      <c r="I38" s="102">
        <f>TrRoad_ene!I$33</f>
        <v>2178.7902639506183</v>
      </c>
      <c r="J38" s="102">
        <f>TrRoad_ene!J$33</f>
        <v>2197.7572552922143</v>
      </c>
      <c r="K38" s="102">
        <f>TrRoad_ene!K$33</f>
        <v>2187.6452036920555</v>
      </c>
      <c r="L38" s="102">
        <f>TrRoad_ene!L$33</f>
        <v>2221.9519840156595</v>
      </c>
      <c r="M38" s="102">
        <f>TrRoad_ene!M$33</f>
        <v>2286.8060015167957</v>
      </c>
      <c r="N38" s="102">
        <f>TrRoad_ene!N$33</f>
        <v>2203.3112587312767</v>
      </c>
      <c r="O38" s="102">
        <f>TrRoad_ene!O$33</f>
        <v>2212.3813543864594</v>
      </c>
      <c r="P38" s="102">
        <f>TrRoad_ene!P$33</f>
        <v>2227.4183902604232</v>
      </c>
      <c r="Q38" s="102">
        <f>TrRoad_ene!Q$33</f>
        <v>2281.6581847771581</v>
      </c>
      <c r="R38" s="102">
        <f>TrRoad_ene!R$33</f>
        <v>2267.5391649439998</v>
      </c>
      <c r="S38" s="102">
        <f>TrRoad_ene!S$33</f>
        <v>2284.1092283215207</v>
      </c>
      <c r="T38" s="102">
        <f>TrRoad_ene!T$33</f>
        <v>2302.7093406889217</v>
      </c>
      <c r="U38" s="102">
        <f>TrRoad_ene!U$33</f>
        <v>2347.4376019661177</v>
      </c>
      <c r="V38" s="102">
        <f>TrRoad_ene!V$33</f>
        <v>2305.1243024909045</v>
      </c>
      <c r="W38" s="102">
        <f>TrRoad_ene!W$33</f>
        <v>2396.4577679371091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455.29152163947532</v>
      </c>
      <c r="C39" s="110">
        <f t="shared" si="31"/>
        <v>434.37300297149011</v>
      </c>
      <c r="D39" s="110">
        <f t="shared" si="31"/>
        <v>444.74543202600461</v>
      </c>
      <c r="E39" s="110">
        <f t="shared" si="31"/>
        <v>461.14145343097181</v>
      </c>
      <c r="F39" s="110">
        <f t="shared" si="31"/>
        <v>432.35181021863798</v>
      </c>
      <c r="G39" s="110">
        <f t="shared" si="31"/>
        <v>425.53272068077308</v>
      </c>
      <c r="H39" s="110">
        <f t="shared" si="31"/>
        <v>415.55665022315043</v>
      </c>
      <c r="I39" s="110">
        <f t="shared" si="31"/>
        <v>407.99855440143403</v>
      </c>
      <c r="J39" s="110">
        <f t="shared" si="31"/>
        <v>388.7435201699401</v>
      </c>
      <c r="K39" s="110">
        <f t="shared" si="31"/>
        <v>394.04417270453706</v>
      </c>
      <c r="L39" s="110">
        <f t="shared" si="31"/>
        <v>406.71796618792638</v>
      </c>
      <c r="M39" s="110">
        <f t="shared" si="31"/>
        <v>399.74592545299879</v>
      </c>
      <c r="N39" s="110">
        <f t="shared" si="31"/>
        <v>416.78437414336946</v>
      </c>
      <c r="O39" s="110">
        <f t="shared" si="31"/>
        <v>425.55004685518094</v>
      </c>
      <c r="P39" s="110">
        <f t="shared" si="31"/>
        <v>399.22927814408183</v>
      </c>
      <c r="Q39" s="110">
        <f t="shared" si="31"/>
        <v>423.16778018120317</v>
      </c>
      <c r="R39" s="110">
        <f t="shared" ref="R39:V39" si="32">R40+R41+R42</f>
        <v>439.52448597536284</v>
      </c>
      <c r="S39" s="110">
        <f t="shared" si="32"/>
        <v>454.34313605619036</v>
      </c>
      <c r="T39" s="110">
        <f t="shared" si="32"/>
        <v>487.61265952831883</v>
      </c>
      <c r="U39" s="110">
        <f t="shared" si="32"/>
        <v>473.86528671655174</v>
      </c>
      <c r="V39" s="110">
        <f t="shared" si="32"/>
        <v>395.34866546389884</v>
      </c>
      <c r="W39" s="110">
        <f t="shared" ref="W39" si="33">W40+W41+W42</f>
        <v>433.77950951591401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24.334201197155874</v>
      </c>
      <c r="C40" s="102">
        <f>TrRail_ene!C$12</f>
        <v>24.163754337655149</v>
      </c>
      <c r="D40" s="102">
        <f>TrRail_ene!D$12</f>
        <v>25.010221327443144</v>
      </c>
      <c r="E40" s="102">
        <f>TrRail_ene!E$12</f>
        <v>25.507100548594988</v>
      </c>
      <c r="F40" s="102">
        <f>TrRail_ene!F$12</f>
        <v>26.236306887391059</v>
      </c>
      <c r="G40" s="102">
        <f>TrRail_ene!G$12</f>
        <v>26.021846325315664</v>
      </c>
      <c r="H40" s="102">
        <f>TrRail_ene!H$12</f>
        <v>26.465690674075489</v>
      </c>
      <c r="I40" s="102">
        <f>TrRail_ene!I$12</f>
        <v>28.350551429916209</v>
      </c>
      <c r="J40" s="102">
        <f>TrRail_ene!J$12</f>
        <v>28.627288648571302</v>
      </c>
      <c r="K40" s="102">
        <f>TrRail_ene!K$12</f>
        <v>28.772838752020292</v>
      </c>
      <c r="L40" s="102">
        <f>TrRail_ene!L$12</f>
        <v>28.786484547643145</v>
      </c>
      <c r="M40" s="102">
        <f>TrRail_ene!M$12</f>
        <v>28.426384269889901</v>
      </c>
      <c r="N40" s="102">
        <f>TrRail_ene!N$12</f>
        <v>25.780755563318984</v>
      </c>
      <c r="O40" s="102">
        <f>TrRail_ene!O$12</f>
        <v>25.660396057327887</v>
      </c>
      <c r="P40" s="102">
        <f>TrRail_ene!P$12</f>
        <v>25.176443812412668</v>
      </c>
      <c r="Q40" s="102">
        <f>TrRail_ene!Q$12</f>
        <v>25.107921764066877</v>
      </c>
      <c r="R40" s="102">
        <f>TrRail_ene!R$12</f>
        <v>25.273416910371061</v>
      </c>
      <c r="S40" s="102">
        <f>TrRail_ene!S$12</f>
        <v>26.05233813718149</v>
      </c>
      <c r="T40" s="102">
        <f>TrRail_ene!T$12</f>
        <v>25.730061546210507</v>
      </c>
      <c r="U40" s="102">
        <f>TrRail_ene!U$12</f>
        <v>26.688138692484671</v>
      </c>
      <c r="V40" s="102">
        <f>TrRail_ene!V$12</f>
        <v>21.790396345589983</v>
      </c>
      <c r="W40" s="102">
        <f>TrRail_ene!W$12</f>
        <v>26.308134867806615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397.70900689650585</v>
      </c>
      <c r="C41" s="102">
        <f>TrRail_ene!C$13</f>
        <v>366.45892482040409</v>
      </c>
      <c r="D41" s="102">
        <f>TrRail_ene!D$13</f>
        <v>374.44647920952139</v>
      </c>
      <c r="E41" s="102">
        <f>TrRail_ene!E$13</f>
        <v>389.3643583482019</v>
      </c>
      <c r="F41" s="102">
        <f>TrRail_ene!F$13</f>
        <v>358.49731681117106</v>
      </c>
      <c r="G41" s="102">
        <f>TrRail_ene!G$13</f>
        <v>350.53475624310386</v>
      </c>
      <c r="H41" s="102">
        <f>TrRail_ene!H$13</f>
        <v>343.29934866282161</v>
      </c>
      <c r="I41" s="102">
        <f>TrRail_ene!I$13</f>
        <v>336.8956997270364</v>
      </c>
      <c r="J41" s="102">
        <f>TrRail_ene!J$13</f>
        <v>313.31146647155958</v>
      </c>
      <c r="K41" s="102">
        <f>TrRail_ene!K$13</f>
        <v>309.86171892182864</v>
      </c>
      <c r="L41" s="102">
        <f>TrRail_ene!L$13</f>
        <v>318.01351653826043</v>
      </c>
      <c r="M41" s="102">
        <f>TrRail_ene!M$13</f>
        <v>308.68579481430618</v>
      </c>
      <c r="N41" s="102">
        <f>TrRail_ene!N$13</f>
        <v>328.58683366673114</v>
      </c>
      <c r="O41" s="102">
        <f>TrRail_ene!O$13</f>
        <v>338.19320759327968</v>
      </c>
      <c r="P41" s="102">
        <f>TrRail_ene!P$13</f>
        <v>313.96358073552932</v>
      </c>
      <c r="Q41" s="102">
        <f>TrRail_ene!Q$13</f>
        <v>338.49092050574211</v>
      </c>
      <c r="R41" s="102">
        <f>TrRail_ene!R$13</f>
        <v>355.06940908409661</v>
      </c>
      <c r="S41" s="102">
        <f>TrRail_ene!S$13</f>
        <v>369.41609289771088</v>
      </c>
      <c r="T41" s="102">
        <f>TrRail_ene!T$13</f>
        <v>403.22350514198149</v>
      </c>
      <c r="U41" s="102">
        <f>TrRail_ene!U$13</f>
        <v>383.98164638431615</v>
      </c>
      <c r="V41" s="102">
        <f>TrRail_ene!V$13</f>
        <v>315.81229317993257</v>
      </c>
      <c r="W41" s="102">
        <f>TrRail_ene!W$13</f>
        <v>344.73580323857726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33.248313545813552</v>
      </c>
      <c r="C42" s="102">
        <f>TrRail_ene!C$16</f>
        <v>43.750323813430924</v>
      </c>
      <c r="D42" s="102">
        <f>TrRail_ene!D$16</f>
        <v>45.288731489040053</v>
      </c>
      <c r="E42" s="102">
        <f>TrRail_ene!E$16</f>
        <v>46.269994534174955</v>
      </c>
      <c r="F42" s="102">
        <f>TrRail_ene!F$16</f>
        <v>47.618186520075902</v>
      </c>
      <c r="G42" s="102">
        <f>TrRail_ene!G$16</f>
        <v>48.976118112353582</v>
      </c>
      <c r="H42" s="102">
        <f>TrRail_ene!H$16</f>
        <v>45.791610886253366</v>
      </c>
      <c r="I42" s="102">
        <f>TrRail_ene!I$16</f>
        <v>42.752303244481396</v>
      </c>
      <c r="J42" s="102">
        <f>TrRail_ene!J$16</f>
        <v>46.80476504980922</v>
      </c>
      <c r="K42" s="102">
        <f>TrRail_ene!K$16</f>
        <v>55.409615030688151</v>
      </c>
      <c r="L42" s="102">
        <f>TrRail_ene!L$16</f>
        <v>59.917965102022798</v>
      </c>
      <c r="M42" s="102">
        <f>TrRail_ene!M$16</f>
        <v>62.633746368802683</v>
      </c>
      <c r="N42" s="102">
        <f>TrRail_ene!N$16</f>
        <v>62.41678491331934</v>
      </c>
      <c r="O42" s="102">
        <f>TrRail_ene!O$16</f>
        <v>61.696443204573391</v>
      </c>
      <c r="P42" s="102">
        <f>TrRail_ene!P$16</f>
        <v>60.089253596139827</v>
      </c>
      <c r="Q42" s="102">
        <f>TrRail_ene!Q$16</f>
        <v>59.568937911394173</v>
      </c>
      <c r="R42" s="102">
        <f>TrRail_ene!R$16</f>
        <v>59.181659980895155</v>
      </c>
      <c r="S42" s="102">
        <f>TrRail_ene!S$16</f>
        <v>58.874705021297956</v>
      </c>
      <c r="T42" s="102">
        <f>TrRail_ene!T$16</f>
        <v>58.659092840126839</v>
      </c>
      <c r="U42" s="102">
        <f>TrRail_ene!U$16</f>
        <v>63.195501639750894</v>
      </c>
      <c r="V42" s="102">
        <f>TrRail_ene!V$16</f>
        <v>57.745975938376283</v>
      </c>
      <c r="W42" s="102">
        <f>TrRail_ene!W$16</f>
        <v>62.735571409530159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3332.7604832729867</v>
      </c>
      <c r="C43" s="110">
        <f t="shared" si="34"/>
        <v>3126.8989991527224</v>
      </c>
      <c r="D43" s="110">
        <f t="shared" si="34"/>
        <v>3041.7025779707801</v>
      </c>
      <c r="E43" s="110">
        <f t="shared" si="34"/>
        <v>3424.5163653907994</v>
      </c>
      <c r="F43" s="110">
        <f t="shared" si="34"/>
        <v>3390.7240983389893</v>
      </c>
      <c r="G43" s="110">
        <f t="shared" si="34"/>
        <v>3519.0632476891205</v>
      </c>
      <c r="H43" s="110">
        <f t="shared" si="34"/>
        <v>3754.7136060580569</v>
      </c>
      <c r="I43" s="110">
        <f t="shared" si="34"/>
        <v>3978.9035265882621</v>
      </c>
      <c r="J43" s="110">
        <f t="shared" si="34"/>
        <v>3847.3406031527438</v>
      </c>
      <c r="K43" s="110">
        <f t="shared" si="34"/>
        <v>3502.7558201574711</v>
      </c>
      <c r="L43" s="110">
        <f t="shared" si="34"/>
        <v>3660.7130180568765</v>
      </c>
      <c r="M43" s="110">
        <f t="shared" si="34"/>
        <v>3741.5878601391823</v>
      </c>
      <c r="N43" s="110">
        <f t="shared" si="34"/>
        <v>3601.4373536090925</v>
      </c>
      <c r="O43" s="110">
        <f t="shared" si="34"/>
        <v>3487.620041337384</v>
      </c>
      <c r="P43" s="110">
        <f t="shared" si="34"/>
        <v>3526.2234909361841</v>
      </c>
      <c r="Q43" s="110">
        <f t="shared" si="34"/>
        <v>3636.1103958736308</v>
      </c>
      <c r="R43" s="110">
        <f t="shared" ref="R43:V43" si="35">R44+R45+R46</f>
        <v>3775.4134400898647</v>
      </c>
      <c r="S43" s="110">
        <f t="shared" si="35"/>
        <v>3946.0036873306876</v>
      </c>
      <c r="T43" s="110">
        <f t="shared" si="35"/>
        <v>4456.4871174975251</v>
      </c>
      <c r="U43" s="110">
        <f t="shared" si="35"/>
        <v>4623.3123832228985</v>
      </c>
      <c r="V43" s="110">
        <f t="shared" si="35"/>
        <v>1570.036582908815</v>
      </c>
      <c r="W43" s="110">
        <f t="shared" ref="W43" si="36">W44+W45+W46</f>
        <v>1833.4757828777042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660.07337620793555</v>
      </c>
      <c r="C44" s="102">
        <f>TrAvia_ene!C$7</f>
        <v>599.1223525366463</v>
      </c>
      <c r="D44" s="102">
        <f>TrAvia_ene!D$7</f>
        <v>602.78223793730422</v>
      </c>
      <c r="E44" s="102">
        <f>TrAvia_ene!E$7</f>
        <v>680.43104912068111</v>
      </c>
      <c r="F44" s="102">
        <f>TrAvia_ene!F$7</f>
        <v>673.31763329369051</v>
      </c>
      <c r="G44" s="102">
        <f>TrAvia_ene!G$7</f>
        <v>702.13642457947219</v>
      </c>
      <c r="H44" s="102">
        <f>TrAvia_ene!H$7</f>
        <v>753.26392009887377</v>
      </c>
      <c r="I44" s="102">
        <f>TrAvia_ene!I$7</f>
        <v>798.92538453437135</v>
      </c>
      <c r="J44" s="102">
        <f>TrAvia_ene!J$7</f>
        <v>766.45636957348711</v>
      </c>
      <c r="K44" s="102">
        <f>TrAvia_ene!K$7</f>
        <v>677.34207680096392</v>
      </c>
      <c r="L44" s="102">
        <f>TrAvia_ene!L$7</f>
        <v>703.11256268067916</v>
      </c>
      <c r="M44" s="102">
        <f>TrAvia_ene!M$7</f>
        <v>709.28709460924097</v>
      </c>
      <c r="N44" s="102">
        <f>TrAvia_ene!N$7</f>
        <v>677.2772175309866</v>
      </c>
      <c r="O44" s="102">
        <f>TrAvia_ene!O$7</f>
        <v>673.94021698123163</v>
      </c>
      <c r="P44" s="102">
        <f>TrAvia_ene!P$7</f>
        <v>638.00776904719612</v>
      </c>
      <c r="Q44" s="102">
        <f>TrAvia_ene!Q$7</f>
        <v>689.46104748319647</v>
      </c>
      <c r="R44" s="102">
        <f>TrAvia_ene!R$7</f>
        <v>703.34152934337737</v>
      </c>
      <c r="S44" s="102">
        <f>TrAvia_ene!S$7</f>
        <v>772.98703244760247</v>
      </c>
      <c r="T44" s="102">
        <f>TrAvia_ene!T$7</f>
        <v>870.86380342522148</v>
      </c>
      <c r="U44" s="102">
        <f>TrAvia_ene!U$7</f>
        <v>898.26942612153289</v>
      </c>
      <c r="V44" s="102">
        <f>TrAvia_ene!V$7</f>
        <v>337.98007334516922</v>
      </c>
      <c r="W44" s="102">
        <f>TrAvia_ene!W$7</f>
        <v>603.98010622454331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1178.2229814211523</v>
      </c>
      <c r="C45" s="102">
        <f>TrAvia_ene!C$8</f>
        <v>1114.3375850063555</v>
      </c>
      <c r="D45" s="102">
        <f>TrAvia_ene!D$8</f>
        <v>1075.1656207065462</v>
      </c>
      <c r="E45" s="102">
        <f>TrAvia_ene!E$8</f>
        <v>1270.4651958394913</v>
      </c>
      <c r="F45" s="102">
        <f>TrAvia_ene!F$8</f>
        <v>1210.1352440924484</v>
      </c>
      <c r="G45" s="102">
        <f>TrAvia_ene!G$8</f>
        <v>1270.3857517129818</v>
      </c>
      <c r="H45" s="102">
        <f>TrAvia_ene!H$8</f>
        <v>1362.5546042197482</v>
      </c>
      <c r="I45" s="102">
        <f>TrAvia_ene!I$8</f>
        <v>1477.9260756850483</v>
      </c>
      <c r="J45" s="102">
        <f>TrAvia_ene!J$8</f>
        <v>1398.1336531384406</v>
      </c>
      <c r="K45" s="102">
        <f>TrAvia_ene!K$8</f>
        <v>1241.8584900218539</v>
      </c>
      <c r="L45" s="102">
        <f>TrAvia_ene!L$8</f>
        <v>1287.4500955630779</v>
      </c>
      <c r="M45" s="102">
        <f>TrAvia_ene!M$8</f>
        <v>1320.0923537120293</v>
      </c>
      <c r="N45" s="102">
        <f>TrAvia_ene!N$8</f>
        <v>1264.2798265897236</v>
      </c>
      <c r="O45" s="102">
        <f>TrAvia_ene!O$8</f>
        <v>1210.0616402938288</v>
      </c>
      <c r="P45" s="102">
        <f>TrAvia_ene!P$8</f>
        <v>1254.5823921341316</v>
      </c>
      <c r="Q45" s="102">
        <f>TrAvia_ene!Q$8</f>
        <v>1289.2918678131557</v>
      </c>
      <c r="R45" s="102">
        <f>TrAvia_ene!R$8</f>
        <v>1398.4253763994309</v>
      </c>
      <c r="S45" s="102">
        <f>TrAvia_ene!S$8</f>
        <v>1477.0441027711724</v>
      </c>
      <c r="T45" s="102">
        <f>TrAvia_ene!T$8</f>
        <v>1664.6521872053788</v>
      </c>
      <c r="U45" s="102">
        <f>TrAvia_ene!U$8</f>
        <v>1691.6892498515522</v>
      </c>
      <c r="V45" s="102">
        <f>TrAvia_ene!V$8</f>
        <v>468.09590251186546</v>
      </c>
      <c r="W45" s="102">
        <f>TrAvia_ene!W$8</f>
        <v>503.64077928583475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1494.464125643899</v>
      </c>
      <c r="C46" s="102">
        <f>TrAvia_ene!C$9</f>
        <v>1413.4390616097205</v>
      </c>
      <c r="D46" s="102">
        <f>TrAvia_ene!D$9</f>
        <v>1363.7547193269297</v>
      </c>
      <c r="E46" s="102">
        <f>TrAvia_ene!E$9</f>
        <v>1473.6201204306269</v>
      </c>
      <c r="F46" s="102">
        <f>TrAvia_ene!F$9</f>
        <v>1507.2712209528506</v>
      </c>
      <c r="G46" s="102">
        <f>TrAvia_ene!G$9</f>
        <v>1546.5410713966664</v>
      </c>
      <c r="H46" s="102">
        <f>TrAvia_ene!H$9</f>
        <v>1638.895081739435</v>
      </c>
      <c r="I46" s="102">
        <f>TrAvia_ene!I$9</f>
        <v>1702.0520663688428</v>
      </c>
      <c r="J46" s="102">
        <f>TrAvia_ene!J$9</f>
        <v>1682.7505804408161</v>
      </c>
      <c r="K46" s="102">
        <f>TrAvia_ene!K$9</f>
        <v>1583.5552533346533</v>
      </c>
      <c r="L46" s="102">
        <f>TrAvia_ene!L$9</f>
        <v>1670.1503598131194</v>
      </c>
      <c r="M46" s="102">
        <f>TrAvia_ene!M$9</f>
        <v>1712.2084118179121</v>
      </c>
      <c r="N46" s="102">
        <f>TrAvia_ene!N$9</f>
        <v>1659.8803094883822</v>
      </c>
      <c r="O46" s="102">
        <f>TrAvia_ene!O$9</f>
        <v>1603.6181840623235</v>
      </c>
      <c r="P46" s="102">
        <f>TrAvia_ene!P$9</f>
        <v>1633.6333297548565</v>
      </c>
      <c r="Q46" s="102">
        <f>TrAvia_ene!Q$9</f>
        <v>1657.3574805772787</v>
      </c>
      <c r="R46" s="102">
        <f>TrAvia_ene!R$9</f>
        <v>1673.6465343470566</v>
      </c>
      <c r="S46" s="102">
        <f>TrAvia_ene!S$9</f>
        <v>1695.9725521119126</v>
      </c>
      <c r="T46" s="102">
        <f>TrAvia_ene!T$9</f>
        <v>1920.9711268669246</v>
      </c>
      <c r="U46" s="102">
        <f>TrAvia_ene!U$9</f>
        <v>2033.3537072498136</v>
      </c>
      <c r="V46" s="102">
        <f>TrAvia_ene!V$9</f>
        <v>763.96060705178036</v>
      </c>
      <c r="W46" s="102">
        <f>TrAvia_ene!W$9</f>
        <v>725.85489736732609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11275.261989838229</v>
      </c>
      <c r="C47" s="28">
        <f t="shared" si="37"/>
        <v>11783.976275194091</v>
      </c>
      <c r="D47" s="28">
        <f t="shared" si="37"/>
        <v>11843.35453913245</v>
      </c>
      <c r="E47" s="28">
        <f t="shared" si="37"/>
        <v>12212.793090333776</v>
      </c>
      <c r="F47" s="28">
        <f t="shared" si="37"/>
        <v>12811.003821272661</v>
      </c>
      <c r="G47" s="28">
        <f t="shared" si="37"/>
        <v>13332.914815590042</v>
      </c>
      <c r="H47" s="28">
        <f t="shared" si="37"/>
        <v>13060.555598958752</v>
      </c>
      <c r="I47" s="28">
        <f t="shared" si="37"/>
        <v>13287.693047364837</v>
      </c>
      <c r="J47" s="28">
        <f t="shared" si="37"/>
        <v>12118.284947726721</v>
      </c>
      <c r="K47" s="28">
        <f t="shared" si="37"/>
        <v>11123.401809686644</v>
      </c>
      <c r="L47" s="28">
        <f t="shared" si="37"/>
        <v>10902.944485742817</v>
      </c>
      <c r="M47" s="28">
        <f t="shared" si="37"/>
        <v>11291.129735179753</v>
      </c>
      <c r="N47" s="28">
        <f t="shared" si="37"/>
        <v>10829.631661229676</v>
      </c>
      <c r="O47" s="28">
        <f t="shared" si="37"/>
        <v>9405.57213298432</v>
      </c>
      <c r="P47" s="28">
        <f t="shared" si="37"/>
        <v>9239.031493498811</v>
      </c>
      <c r="Q47" s="28">
        <f t="shared" si="37"/>
        <v>8363.1787132345689</v>
      </c>
      <c r="R47" s="28">
        <f t="shared" ref="R47:V47" si="38">R48+R51+R52+R56</f>
        <v>8097.6541968525225</v>
      </c>
      <c r="S47" s="28">
        <f t="shared" si="38"/>
        <v>7001.2798024799349</v>
      </c>
      <c r="T47" s="28">
        <f t="shared" si="38"/>
        <v>8039.0496932322749</v>
      </c>
      <c r="U47" s="28">
        <f t="shared" si="38"/>
        <v>8241.4820103507755</v>
      </c>
      <c r="V47" s="28">
        <f t="shared" si="38"/>
        <v>7571.8053944196845</v>
      </c>
      <c r="W47" s="28">
        <f t="shared" ref="W47" si="39">W48+W51+W52+W56</f>
        <v>10039.190428281066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9770.6083197721873</v>
      </c>
      <c r="C48" s="137">
        <f t="shared" si="40"/>
        <v>10332.097460465337</v>
      </c>
      <c r="D48" s="137">
        <f t="shared" si="40"/>
        <v>10315.55766520834</v>
      </c>
      <c r="E48" s="137">
        <f t="shared" si="40"/>
        <v>10568.275070806452</v>
      </c>
      <c r="F48" s="137">
        <f t="shared" si="40"/>
        <v>11157.467606012578</v>
      </c>
      <c r="G48" s="137">
        <f t="shared" si="40"/>
        <v>11683.491609411354</v>
      </c>
      <c r="H48" s="137">
        <f t="shared" si="40"/>
        <v>11374.639698748129</v>
      </c>
      <c r="I48" s="137">
        <f t="shared" si="40"/>
        <v>11630.131671776719</v>
      </c>
      <c r="J48" s="137">
        <f t="shared" si="40"/>
        <v>10403.428056432036</v>
      </c>
      <c r="K48" s="137">
        <f t="shared" si="40"/>
        <v>9699.5941499261244</v>
      </c>
      <c r="L48" s="137">
        <f t="shared" si="40"/>
        <v>9501.6881097124697</v>
      </c>
      <c r="M48" s="137">
        <f t="shared" si="40"/>
        <v>9937.7515689232659</v>
      </c>
      <c r="N48" s="137">
        <f t="shared" si="40"/>
        <v>9616.4594938832561</v>
      </c>
      <c r="O48" s="137">
        <f t="shared" si="40"/>
        <v>8178.7403295173835</v>
      </c>
      <c r="P48" s="137">
        <f t="shared" si="40"/>
        <v>8027.8739444363428</v>
      </c>
      <c r="Q48" s="137">
        <f t="shared" si="40"/>
        <v>7165.2200019291286</v>
      </c>
      <c r="R48" s="137">
        <f t="shared" ref="R48:V48" si="41">R49+R50</f>
        <v>6864.2783653941033</v>
      </c>
      <c r="S48" s="137">
        <f t="shared" si="41"/>
        <v>5825.5310110774753</v>
      </c>
      <c r="T48" s="137">
        <f t="shared" si="41"/>
        <v>7103.2961598539923</v>
      </c>
      <c r="U48" s="137">
        <f t="shared" si="41"/>
        <v>7340.0776510554879</v>
      </c>
      <c r="V48" s="137">
        <f t="shared" si="41"/>
        <v>6697.5387941251593</v>
      </c>
      <c r="W48" s="137">
        <f t="shared" ref="W48" si="42">W49+W50</f>
        <v>9179.8900027039199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7291.9778149716012</v>
      </c>
      <c r="C49" s="102">
        <f>TrRoad_ene!C$43</f>
        <v>6580.3321342157824</v>
      </c>
      <c r="D49" s="102">
        <f>TrRoad_ene!D$43</f>
        <v>6540.1169468613925</v>
      </c>
      <c r="E49" s="102">
        <f>TrRoad_ene!E$43</f>
        <v>6884.9621022591546</v>
      </c>
      <c r="F49" s="102">
        <f>TrRoad_ene!F$43</f>
        <v>7239.1067664113589</v>
      </c>
      <c r="G49" s="102">
        <f>TrRoad_ene!G$43</f>
        <v>7747.6576918348283</v>
      </c>
      <c r="H49" s="102">
        <f>TrRoad_ene!H$43</f>
        <v>6675.4781189375763</v>
      </c>
      <c r="I49" s="102">
        <f>TrRoad_ene!I$43</f>
        <v>7034.3642355958527</v>
      </c>
      <c r="J49" s="102">
        <f>TrRoad_ene!J$43</f>
        <v>6853.2169208085434</v>
      </c>
      <c r="K49" s="102">
        <f>TrRoad_ene!K$43</f>
        <v>6648.250543663401</v>
      </c>
      <c r="L49" s="102">
        <f>TrRoad_ene!L$43</f>
        <v>7100.2554833453732</v>
      </c>
      <c r="M49" s="102">
        <f>TrRoad_ene!M$43</f>
        <v>7252.6501448451381</v>
      </c>
      <c r="N49" s="102">
        <f>TrRoad_ene!N$43</f>
        <v>6307.1643261678391</v>
      </c>
      <c r="O49" s="102">
        <f>TrRoad_ene!O$43</f>
        <v>5491.8545757315187</v>
      </c>
      <c r="P49" s="102">
        <f>TrRoad_ene!P$43</f>
        <v>5597.897503809847</v>
      </c>
      <c r="Q49" s="102">
        <f>TrRoad_ene!Q$43</f>
        <v>4523.7375785310251</v>
      </c>
      <c r="R49" s="102">
        <f>TrRoad_ene!R$43</f>
        <v>4149.5183391929695</v>
      </c>
      <c r="S49" s="102">
        <f>TrRoad_ene!S$43</f>
        <v>4165.8561845426839</v>
      </c>
      <c r="T49" s="102">
        <f>TrRoad_ene!T$43</f>
        <v>4279.8220511378731</v>
      </c>
      <c r="U49" s="102">
        <f>TrRoad_ene!U$43</f>
        <v>4360.3959109154057</v>
      </c>
      <c r="V49" s="102">
        <f>TrRoad_ene!V$43</f>
        <v>4243.5231746947911</v>
      </c>
      <c r="W49" s="102">
        <f>TrRoad_ene!W$43</f>
        <v>5110.053166385117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2478.6305048005861</v>
      </c>
      <c r="C50" s="102">
        <f>TrRoad_ene!C$52</f>
        <v>3751.7653262495542</v>
      </c>
      <c r="D50" s="102">
        <f>TrRoad_ene!D$52</f>
        <v>3775.4407183469484</v>
      </c>
      <c r="E50" s="102">
        <f>TrRoad_ene!E$52</f>
        <v>3683.3129685472968</v>
      </c>
      <c r="F50" s="102">
        <f>TrRoad_ene!F$52</f>
        <v>3918.3608396012196</v>
      </c>
      <c r="G50" s="102">
        <f>TrRoad_ene!G$52</f>
        <v>3935.8339175765254</v>
      </c>
      <c r="H50" s="102">
        <f>TrRoad_ene!H$52</f>
        <v>4699.1615798105531</v>
      </c>
      <c r="I50" s="102">
        <f>TrRoad_ene!I$52</f>
        <v>4595.7674361808649</v>
      </c>
      <c r="J50" s="102">
        <f>TrRoad_ene!J$52</f>
        <v>3550.2111356234932</v>
      </c>
      <c r="K50" s="102">
        <f>TrRoad_ene!K$52</f>
        <v>3051.3436062627225</v>
      </c>
      <c r="L50" s="102">
        <f>TrRoad_ene!L$52</f>
        <v>2401.4326263670969</v>
      </c>
      <c r="M50" s="102">
        <f>TrRoad_ene!M$52</f>
        <v>2685.1014240781274</v>
      </c>
      <c r="N50" s="102">
        <f>TrRoad_ene!N$52</f>
        <v>3309.2951677154169</v>
      </c>
      <c r="O50" s="102">
        <f>TrRoad_ene!O$52</f>
        <v>2686.8857537858648</v>
      </c>
      <c r="P50" s="102">
        <f>TrRoad_ene!P$52</f>
        <v>2429.9764406264958</v>
      </c>
      <c r="Q50" s="102">
        <f>TrRoad_ene!Q$52</f>
        <v>2641.4824233981039</v>
      </c>
      <c r="R50" s="102">
        <f>TrRoad_ene!R$52</f>
        <v>2714.7600262011338</v>
      </c>
      <c r="S50" s="102">
        <f>TrRoad_ene!S$52</f>
        <v>1659.6748265347919</v>
      </c>
      <c r="T50" s="102">
        <f>TrRoad_ene!T$52</f>
        <v>2823.4741087161192</v>
      </c>
      <c r="U50" s="102">
        <f>TrRoad_ene!U$52</f>
        <v>2979.6817401400822</v>
      </c>
      <c r="V50" s="102">
        <f>TrRoad_ene!V$52</f>
        <v>2454.0156194303681</v>
      </c>
      <c r="W50" s="102">
        <f>TrRoad_ene!W$52</f>
        <v>4069.8368363188038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70.862132702742969</v>
      </c>
      <c r="C51" s="110">
        <f>TrRail_ene!C$17</f>
        <v>64.523557647598295</v>
      </c>
      <c r="D51" s="110">
        <f>TrRail_ene!D$17</f>
        <v>61.244851722920622</v>
      </c>
      <c r="E51" s="110">
        <f>TrRail_ene!E$17</f>
        <v>62.848228426293844</v>
      </c>
      <c r="F51" s="110">
        <f>TrRail_ene!F$17</f>
        <v>68.923598207845203</v>
      </c>
      <c r="G51" s="110">
        <f>TrRail_ene!G$17</f>
        <v>66.714312853190762</v>
      </c>
      <c r="H51" s="110">
        <f>TrRail_ene!H$17</f>
        <v>74.669747025344776</v>
      </c>
      <c r="I51" s="110">
        <f>TrRail_ene!I$17</f>
        <v>77.856991600285568</v>
      </c>
      <c r="J51" s="110">
        <f>TrRail_ene!J$17</f>
        <v>73.279953604780374</v>
      </c>
      <c r="K51" s="110">
        <f>TrRail_ene!K$17</f>
        <v>50.409825575772537</v>
      </c>
      <c r="L51" s="110">
        <f>TrRail_ene!L$17</f>
        <v>51.278594431162091</v>
      </c>
      <c r="M51" s="110">
        <f>TrRail_ene!M$17</f>
        <v>49.996120978643525</v>
      </c>
      <c r="N51" s="110">
        <f>TrRail_ene!N$17</f>
        <v>50.455522675203184</v>
      </c>
      <c r="O51" s="110">
        <f>TrRail_ene!O$17</f>
        <v>45.874458733812972</v>
      </c>
      <c r="P51" s="110">
        <f>TrRail_ene!P$17</f>
        <v>46.428503455230235</v>
      </c>
      <c r="Q51" s="110">
        <f>TrRail_ene!Q$17</f>
        <v>38.253801934016124</v>
      </c>
      <c r="R51" s="110">
        <f>TrRail_ene!R$17</f>
        <v>44.009477911137623</v>
      </c>
      <c r="S51" s="110">
        <f>TrRail_ene!S$17</f>
        <v>53.423501948968834</v>
      </c>
      <c r="T51" s="110">
        <f>TrRail_ene!T$17</f>
        <v>47.385362827657012</v>
      </c>
      <c r="U51" s="110">
        <f>TrRail_ene!U$17</f>
        <v>47.087851718529933</v>
      </c>
      <c r="V51" s="110">
        <f>TrRail_ene!V$17</f>
        <v>48.010577872300587</v>
      </c>
      <c r="W51" s="110">
        <f>TrRail_ene!W$17</f>
        <v>50.125993493544271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164.44501973647047</v>
      </c>
      <c r="C52" s="110">
        <f t="shared" si="43"/>
        <v>68.476925180897396</v>
      </c>
      <c r="D52" s="110">
        <f t="shared" si="43"/>
        <v>154.7243351848517</v>
      </c>
      <c r="E52" s="110">
        <f t="shared" si="43"/>
        <v>172.52671285511553</v>
      </c>
      <c r="F52" s="110">
        <f t="shared" si="43"/>
        <v>175.48398420615194</v>
      </c>
      <c r="G52" s="110">
        <f t="shared" si="43"/>
        <v>196.06521318792099</v>
      </c>
      <c r="H52" s="110">
        <f t="shared" si="43"/>
        <v>226.46541371838231</v>
      </c>
      <c r="I52" s="110">
        <f t="shared" si="43"/>
        <v>248.74041150288068</v>
      </c>
      <c r="J52" s="110">
        <f t="shared" si="43"/>
        <v>227.13153786187326</v>
      </c>
      <c r="K52" s="110">
        <f t="shared" si="43"/>
        <v>183.6873440729666</v>
      </c>
      <c r="L52" s="110">
        <f t="shared" si="43"/>
        <v>221.94201203770706</v>
      </c>
      <c r="M52" s="110">
        <f t="shared" si="43"/>
        <v>228.07869188145469</v>
      </c>
      <c r="N52" s="110">
        <f t="shared" si="43"/>
        <v>185.36883727654777</v>
      </c>
      <c r="O52" s="110">
        <f t="shared" si="43"/>
        <v>196.41074112177324</v>
      </c>
      <c r="P52" s="110">
        <f t="shared" si="43"/>
        <v>195.80763546106394</v>
      </c>
      <c r="Q52" s="110">
        <f t="shared" si="43"/>
        <v>227.65185692086544</v>
      </c>
      <c r="R52" s="110">
        <f t="shared" si="43"/>
        <v>230.05612138906923</v>
      </c>
      <c r="S52" s="110">
        <f t="shared" si="43"/>
        <v>253.5759343374117</v>
      </c>
      <c r="T52" s="110">
        <f t="shared" si="43"/>
        <v>257.73377674151118</v>
      </c>
      <c r="U52" s="110">
        <f t="shared" si="43"/>
        <v>251.82587988974174</v>
      </c>
      <c r="V52" s="110">
        <f t="shared" si="43"/>
        <v>269.08904047897443</v>
      </c>
      <c r="W52" s="110">
        <f t="shared" ref="W52" si="44">W53+W54+W55</f>
        <v>271.1040967439634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9.6982488995450495</v>
      </c>
      <c r="C53" s="102">
        <f>TrAvia_ene!C$11</f>
        <v>17.362772140911709</v>
      </c>
      <c r="D53" s="102">
        <f>TrAvia_ene!D$11</f>
        <v>14.753875562265742</v>
      </c>
      <c r="E53" s="102">
        <f>TrAvia_ene!E$11</f>
        <v>16.258546752061864</v>
      </c>
      <c r="F53" s="102">
        <f>TrAvia_ene!F$11</f>
        <v>16.15880694706615</v>
      </c>
      <c r="G53" s="102">
        <f>TrAvia_ene!G$11</f>
        <v>16.097023399891601</v>
      </c>
      <c r="H53" s="102">
        <f>TrAvia_ene!H$11</f>
        <v>16.369269926921522</v>
      </c>
      <c r="I53" s="102">
        <f>TrAvia_ene!I$11</f>
        <v>16.9004968069871</v>
      </c>
      <c r="J53" s="102">
        <f>TrAvia_ene!J$11</f>
        <v>15.334000159960802</v>
      </c>
      <c r="K53" s="102">
        <f>TrAvia_ene!K$11</f>
        <v>12.206074531796116</v>
      </c>
      <c r="L53" s="102">
        <f>TrAvia_ene!L$11</f>
        <v>12.159234395847037</v>
      </c>
      <c r="M53" s="102">
        <f>TrAvia_ene!M$11</f>
        <v>10.833283722659147</v>
      </c>
      <c r="N53" s="102">
        <f>TrAvia_ene!N$11</f>
        <v>8.9031779978182115</v>
      </c>
      <c r="O53" s="102">
        <f>TrAvia_ene!O$11</f>
        <v>9.0873840505826937</v>
      </c>
      <c r="P53" s="102">
        <f>TrAvia_ene!P$11</f>
        <v>8.0464871866817695</v>
      </c>
      <c r="Q53" s="102">
        <f>TrAvia_ene!Q$11</f>
        <v>7.9450574179213405</v>
      </c>
      <c r="R53" s="102">
        <f>TrAvia_ene!R$11</f>
        <v>6.3651774493999262</v>
      </c>
      <c r="S53" s="102">
        <f>TrAvia_ene!S$11</f>
        <v>7.4219099427670621</v>
      </c>
      <c r="T53" s="102">
        <f>TrAvia_ene!T$11</f>
        <v>8.4992232299805561</v>
      </c>
      <c r="U53" s="102">
        <f>TrAvia_ene!U$11</f>
        <v>8.3554234055522336</v>
      </c>
      <c r="V53" s="102">
        <f>TrAvia_ene!V$11</f>
        <v>6.2135638001445566</v>
      </c>
      <c r="W53" s="102">
        <f>TrAvia_ene!W$11</f>
        <v>10.284382167546189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19.104269742995267</v>
      </c>
      <c r="C54" s="102">
        <f>TrAvia_ene!C$12</f>
        <v>8.8207216089279434</v>
      </c>
      <c r="D54" s="102">
        <f>TrAvia_ene!D$12</f>
        <v>34.326872370706901</v>
      </c>
      <c r="E54" s="102">
        <f>TrAvia_ene!E$12</f>
        <v>36.839434324345596</v>
      </c>
      <c r="F54" s="102">
        <f>TrAvia_ene!F$12</f>
        <v>40.712734784988584</v>
      </c>
      <c r="G54" s="102">
        <f>TrAvia_ene!G$12</f>
        <v>42.082752963477795</v>
      </c>
      <c r="H54" s="102">
        <f>TrAvia_ene!H$12</f>
        <v>46.098366203366275</v>
      </c>
      <c r="I54" s="102">
        <f>TrAvia_ene!I$12</f>
        <v>49.334243114192184</v>
      </c>
      <c r="J54" s="102">
        <f>TrAvia_ene!J$12</f>
        <v>45.939595867729281</v>
      </c>
      <c r="K54" s="102">
        <f>TrAvia_ene!K$12</f>
        <v>40.493302124758216</v>
      </c>
      <c r="L54" s="102">
        <f>TrAvia_ene!L$12</f>
        <v>37.706134494896581</v>
      </c>
      <c r="M54" s="102">
        <f>TrAvia_ene!M$12</f>
        <v>34.873855475103106</v>
      </c>
      <c r="N54" s="102">
        <f>TrAvia_ene!N$12</f>
        <v>32.259846128460111</v>
      </c>
      <c r="O54" s="102">
        <f>TrAvia_ene!O$12</f>
        <v>31.871625215092102</v>
      </c>
      <c r="P54" s="102">
        <f>TrAvia_ene!P$12</f>
        <v>28.97153965575977</v>
      </c>
      <c r="Q54" s="102">
        <f>TrAvia_ene!Q$12</f>
        <v>30.425728772807457</v>
      </c>
      <c r="R54" s="102">
        <f>TrAvia_ene!R$12</f>
        <v>27.518640458871413</v>
      </c>
      <c r="S54" s="102">
        <f>TrAvia_ene!S$12</f>
        <v>30.682169381823371</v>
      </c>
      <c r="T54" s="102">
        <f>TrAvia_ene!T$12</f>
        <v>33.338734134529346</v>
      </c>
      <c r="U54" s="102">
        <f>TrAvia_ene!U$12</f>
        <v>32.843654428138464</v>
      </c>
      <c r="V54" s="102">
        <f>TrAvia_ene!V$12</f>
        <v>31.802397506076268</v>
      </c>
      <c r="W54" s="102">
        <f>TrAvia_ene!W$12</f>
        <v>31.211532562434499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135.64250109393015</v>
      </c>
      <c r="C55" s="102">
        <f>TrAvia_ene!C$13</f>
        <v>42.293431431057741</v>
      </c>
      <c r="D55" s="102">
        <f>TrAvia_ene!D$13</f>
        <v>105.64358725187905</v>
      </c>
      <c r="E55" s="102">
        <f>TrAvia_ene!E$13</f>
        <v>119.42873177870806</v>
      </c>
      <c r="F55" s="102">
        <f>TrAvia_ene!F$13</f>
        <v>118.61244247409721</v>
      </c>
      <c r="G55" s="102">
        <f>TrAvia_ene!G$13</f>
        <v>137.88543682455159</v>
      </c>
      <c r="H55" s="102">
        <f>TrAvia_ene!H$13</f>
        <v>163.99777758809452</v>
      </c>
      <c r="I55" s="102">
        <f>TrAvia_ene!I$13</f>
        <v>182.50567158170139</v>
      </c>
      <c r="J55" s="102">
        <f>TrAvia_ene!J$13</f>
        <v>165.85794183418318</v>
      </c>
      <c r="K55" s="102">
        <f>TrAvia_ene!K$13</f>
        <v>130.98796741641226</v>
      </c>
      <c r="L55" s="102">
        <f>TrAvia_ene!L$13</f>
        <v>172.07664314696345</v>
      </c>
      <c r="M55" s="102">
        <f>TrAvia_ene!M$13</f>
        <v>182.37155268369244</v>
      </c>
      <c r="N55" s="102">
        <f>TrAvia_ene!N$13</f>
        <v>144.20581315026945</v>
      </c>
      <c r="O55" s="102">
        <f>TrAvia_ene!O$13</f>
        <v>155.45173185609843</v>
      </c>
      <c r="P55" s="102">
        <f>TrAvia_ene!P$13</f>
        <v>158.7896086186224</v>
      </c>
      <c r="Q55" s="102">
        <f>TrAvia_ene!Q$13</f>
        <v>189.28107073013663</v>
      </c>
      <c r="R55" s="102">
        <f>TrAvia_ene!R$13</f>
        <v>196.17230348079789</v>
      </c>
      <c r="S55" s="102">
        <f>TrAvia_ene!S$13</f>
        <v>215.47185501282127</v>
      </c>
      <c r="T55" s="102">
        <f>TrAvia_ene!T$13</f>
        <v>215.89581937700129</v>
      </c>
      <c r="U55" s="102">
        <f>TrAvia_ene!U$13</f>
        <v>210.62680205605105</v>
      </c>
      <c r="V55" s="102">
        <f>TrAvia_ene!V$13</f>
        <v>231.07307917275358</v>
      </c>
      <c r="W55" s="102">
        <f>TrAvia_ene!W$13</f>
        <v>229.60818201398271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1269.3465176268269</v>
      </c>
      <c r="C56" s="110">
        <f t="shared" si="45"/>
        <v>1318.8783319002578</v>
      </c>
      <c r="D56" s="110">
        <f t="shared" si="45"/>
        <v>1311.827687016337</v>
      </c>
      <c r="E56" s="110">
        <f t="shared" si="45"/>
        <v>1409.1430782459156</v>
      </c>
      <c r="F56" s="110">
        <f t="shared" si="45"/>
        <v>1409.1286328460874</v>
      </c>
      <c r="G56" s="110">
        <f t="shared" si="45"/>
        <v>1386.6436801375753</v>
      </c>
      <c r="H56" s="110">
        <f t="shared" si="45"/>
        <v>1384.7807394668957</v>
      </c>
      <c r="I56" s="110">
        <f t="shared" si="45"/>
        <v>1330.9639724849526</v>
      </c>
      <c r="J56" s="110">
        <f t="shared" si="45"/>
        <v>1414.445399828031</v>
      </c>
      <c r="K56" s="110">
        <f t="shared" si="45"/>
        <v>1189.7104901117798</v>
      </c>
      <c r="L56" s="110">
        <f t="shared" si="45"/>
        <v>1128.0357695614789</v>
      </c>
      <c r="M56" s="110">
        <f t="shared" si="45"/>
        <v>1075.3033533963887</v>
      </c>
      <c r="N56" s="110">
        <f t="shared" si="45"/>
        <v>977.34780739466896</v>
      </c>
      <c r="O56" s="110">
        <f t="shared" si="45"/>
        <v>984.54660361134995</v>
      </c>
      <c r="P56" s="110">
        <f t="shared" si="45"/>
        <v>968.9214101461738</v>
      </c>
      <c r="Q56" s="110">
        <f t="shared" si="45"/>
        <v>932.05305245055899</v>
      </c>
      <c r="R56" s="110">
        <f t="shared" ref="R56:V56" si="46">R57+R58</f>
        <v>959.31023215821153</v>
      </c>
      <c r="S56" s="110">
        <f t="shared" si="46"/>
        <v>868.74935511607896</v>
      </c>
      <c r="T56" s="110">
        <f t="shared" si="46"/>
        <v>630.63439380911427</v>
      </c>
      <c r="U56" s="110">
        <f t="shared" si="46"/>
        <v>602.49062768701629</v>
      </c>
      <c r="V56" s="110">
        <f t="shared" si="46"/>
        <v>557.16698194325033</v>
      </c>
      <c r="W56" s="110">
        <f t="shared" ref="W56" si="47">W57+W58</f>
        <v>538.07033533963875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1259.9786805628314</v>
      </c>
      <c r="C57" s="102">
        <f>TrNavi_ene!C4</f>
        <v>1308.3960652876624</v>
      </c>
      <c r="D57" s="102">
        <f>TrNavi_ene!D4</f>
        <v>1306.9370868045191</v>
      </c>
      <c r="E57" s="102">
        <f>TrNavi_ene!E4</f>
        <v>1404.2920305173031</v>
      </c>
      <c r="F57" s="102">
        <f>TrNavi_ene!F4</f>
        <v>1402.9801210586388</v>
      </c>
      <c r="G57" s="102">
        <f>TrNavi_ene!G4</f>
        <v>1382.8639429996351</v>
      </c>
      <c r="H57" s="102">
        <f>TrNavi_ene!H4</f>
        <v>1380.7892568482441</v>
      </c>
      <c r="I57" s="102">
        <f>TrNavi_ene!I4</f>
        <v>1327.0053739354237</v>
      </c>
      <c r="J57" s="102">
        <f>TrNavi_ene!J4</f>
        <v>1411.6501828621292</v>
      </c>
      <c r="K57" s="102">
        <f>TrNavi_ene!K4</f>
        <v>1188.3633039758042</v>
      </c>
      <c r="L57" s="102">
        <f>TrNavi_ene!L4</f>
        <v>1125.7467562375825</v>
      </c>
      <c r="M57" s="102">
        <f>TrNavi_ene!M4</f>
        <v>1072.3463866796767</v>
      </c>
      <c r="N57" s="102">
        <f>TrNavi_ene!N4</f>
        <v>975.65093619968343</v>
      </c>
      <c r="O57" s="102">
        <f>TrNavi_ene!O4</f>
        <v>982.60030994372073</v>
      </c>
      <c r="P57" s="102">
        <f>TrNavi_ene!P4</f>
        <v>967.77077252908452</v>
      </c>
      <c r="Q57" s="102">
        <f>TrNavi_ene!Q4</f>
        <v>931.05927706265311</v>
      </c>
      <c r="R57" s="102">
        <f>TrNavi_ene!R4</f>
        <v>958.33223301668977</v>
      </c>
      <c r="S57" s="102">
        <f>TrNavi_ene!S4</f>
        <v>868.00719838188775</v>
      </c>
      <c r="T57" s="102">
        <f>TrNavi_ene!T4</f>
        <v>629.97763664864317</v>
      </c>
      <c r="U57" s="102">
        <f>TrNavi_ene!U4</f>
        <v>602.02049228333601</v>
      </c>
      <c r="V57" s="102">
        <f>TrNavi_ene!V4</f>
        <v>556.06913204488501</v>
      </c>
      <c r="W57" s="102">
        <f>TrNavi_ene!W4</f>
        <v>536.86357870935831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9.3678370639953936</v>
      </c>
      <c r="C58" s="169">
        <f>TrNavi_ene!C10</f>
        <v>10.482266612595431</v>
      </c>
      <c r="D58" s="169">
        <f>TrNavi_ene!D10</f>
        <v>4.8906002118179046</v>
      </c>
      <c r="E58" s="169">
        <f>TrNavi_ene!E10</f>
        <v>4.8510477286123708</v>
      </c>
      <c r="F58" s="169">
        <f>TrNavi_ene!F10</f>
        <v>6.1485117874486797</v>
      </c>
      <c r="G58" s="169">
        <f>TrNavi_ene!G10</f>
        <v>3.7797371379402822</v>
      </c>
      <c r="H58" s="169">
        <f>TrNavi_ene!H10</f>
        <v>3.9914826186517103</v>
      </c>
      <c r="I58" s="169">
        <f>TrNavi_ene!I10</f>
        <v>3.958598549529027</v>
      </c>
      <c r="J58" s="169">
        <f>TrNavi_ene!J10</f>
        <v>2.795216965901691</v>
      </c>
      <c r="K58" s="169">
        <f>TrNavi_ene!K10</f>
        <v>1.3471861359755484</v>
      </c>
      <c r="L58" s="169">
        <f>TrNavi_ene!L10</f>
        <v>2.2890133238964774</v>
      </c>
      <c r="M58" s="169">
        <f>TrNavi_ene!M10</f>
        <v>2.9569667167120111</v>
      </c>
      <c r="N58" s="169">
        <f>TrNavi_ene!N10</f>
        <v>1.6968711949855266</v>
      </c>
      <c r="O58" s="169">
        <f>TrNavi_ene!O10</f>
        <v>1.9462936676291827</v>
      </c>
      <c r="P58" s="169">
        <f>TrNavi_ene!P10</f>
        <v>1.1506376170892618</v>
      </c>
      <c r="Q58" s="169">
        <f>TrNavi_ene!Q10</f>
        <v>0.99377538790583031</v>
      </c>
      <c r="R58" s="169">
        <f>TrNavi_ene!R10</f>
        <v>0.97799914152176948</v>
      </c>
      <c r="S58" s="169">
        <f>TrNavi_ene!S10</f>
        <v>0.74215673419121586</v>
      </c>
      <c r="T58" s="169">
        <f>TrNavi_ene!T10</f>
        <v>0.65675716047113619</v>
      </c>
      <c r="U58" s="169">
        <f>TrNavi_ene!U10</f>
        <v>0.47013540368023921</v>
      </c>
      <c r="V58" s="169">
        <f>TrNavi_ene!V10</f>
        <v>1.097849898365276</v>
      </c>
      <c r="W58" s="169">
        <f>TrNavi_ene!W10</f>
        <v>1.206756630280456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1645.5431642304379</v>
      </c>
      <c r="C59" s="28">
        <f t="shared" ref="C59:W59" si="48">C60+C61</f>
        <v>1756.7641444539981</v>
      </c>
      <c r="D59" s="28">
        <f t="shared" si="48"/>
        <v>1912.53456577816</v>
      </c>
      <c r="E59" s="28">
        <f t="shared" si="48"/>
        <v>2085.2059329320718</v>
      </c>
      <c r="F59" s="28">
        <f t="shared" si="48"/>
        <v>2187.350730868443</v>
      </c>
      <c r="G59" s="28">
        <f t="shared" si="48"/>
        <v>2241.4875322441958</v>
      </c>
      <c r="H59" s="28">
        <f t="shared" si="48"/>
        <v>2329.6789337919167</v>
      </c>
      <c r="I59" s="28">
        <f t="shared" si="48"/>
        <v>2403.9218400687869</v>
      </c>
      <c r="J59" s="28">
        <f t="shared" si="48"/>
        <v>2520.3448839208936</v>
      </c>
      <c r="K59" s="28">
        <f t="shared" si="48"/>
        <v>2351.7101461736884</v>
      </c>
      <c r="L59" s="28">
        <f t="shared" si="48"/>
        <v>2974.6871023215817</v>
      </c>
      <c r="M59" s="28">
        <f t="shared" si="48"/>
        <v>2496.5988822012041</v>
      </c>
      <c r="N59" s="28">
        <f t="shared" si="48"/>
        <v>2467.1395528804806</v>
      </c>
      <c r="O59" s="28">
        <f t="shared" si="48"/>
        <v>2179.2203783319001</v>
      </c>
      <c r="P59" s="28">
        <f t="shared" si="48"/>
        <v>1912.7830610490112</v>
      </c>
      <c r="Q59" s="28">
        <f t="shared" si="48"/>
        <v>1899.9283748925195</v>
      </c>
      <c r="R59" s="28">
        <f t="shared" si="48"/>
        <v>2212.7830610490109</v>
      </c>
      <c r="S59" s="28">
        <f t="shared" si="48"/>
        <v>2302.6127257093717</v>
      </c>
      <c r="T59" s="28">
        <f t="shared" si="48"/>
        <v>2721.2651762682708</v>
      </c>
      <c r="U59" s="28">
        <f t="shared" si="48"/>
        <v>2653.7713671539123</v>
      </c>
      <c r="V59" s="28">
        <f t="shared" si="48"/>
        <v>2439.4720550300935</v>
      </c>
      <c r="W59" s="28">
        <f t="shared" si="48"/>
        <v>2518.059329320723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529.84018963176061</v>
      </c>
      <c r="C60" s="102">
        <f>MBunk_ene!C$4</f>
        <v>552.72503472647395</v>
      </c>
      <c r="D60" s="102">
        <f>MBunk_ene!D$4</f>
        <v>626.92074578785298</v>
      </c>
      <c r="E60" s="102">
        <f>MBunk_ene!E$4</f>
        <v>673.37713453212723</v>
      </c>
      <c r="F60" s="102">
        <f>MBunk_ene!F$4</f>
        <v>678.88788055086047</v>
      </c>
      <c r="G60" s="102">
        <f>MBunk_ene!G$4</f>
        <v>680.82378170622587</v>
      </c>
      <c r="H60" s="102">
        <f>MBunk_ene!H$4</f>
        <v>701.49799831201869</v>
      </c>
      <c r="I60" s="102">
        <f>MBunk_ene!I$4</f>
        <v>711.27835533495102</v>
      </c>
      <c r="J60" s="102">
        <f>MBunk_ene!J$4</f>
        <v>817.64673073396057</v>
      </c>
      <c r="K60" s="102">
        <f>MBunk_ene!K$4</f>
        <v>737.16650174855658</v>
      </c>
      <c r="L60" s="102">
        <f>MBunk_ene!L$4</f>
        <v>980.28249093515171</v>
      </c>
      <c r="M60" s="102">
        <f>MBunk_ene!M$4</f>
        <v>808.82686074876005</v>
      </c>
      <c r="N60" s="102">
        <f>MBunk_ene!N$4</f>
        <v>821.42899929683381</v>
      </c>
      <c r="O60" s="102">
        <f>MBunk_ene!O$4</f>
        <v>780.97887684392686</v>
      </c>
      <c r="P60" s="102">
        <f>MBunk_ene!P$4</f>
        <v>670.95076634097154</v>
      </c>
      <c r="Q60" s="102">
        <f>MBunk_ene!Q$4</f>
        <v>644.73913069213233</v>
      </c>
      <c r="R60" s="102">
        <f>MBunk_ene!R$4</f>
        <v>791.5613101516501</v>
      </c>
      <c r="S60" s="102">
        <f>MBunk_ene!S$4</f>
        <v>837.23609085935993</v>
      </c>
      <c r="T60" s="102">
        <f>MBunk_ene!T$4</f>
        <v>1066.1690382017946</v>
      </c>
      <c r="U60" s="102">
        <f>MBunk_ene!U$4</f>
        <v>997.93876863946048</v>
      </c>
      <c r="V60" s="102">
        <f>MBunk_ene!V$4</f>
        <v>818.57252203774351</v>
      </c>
      <c r="W60" s="102">
        <f>MBunk_ene!W$4</f>
        <v>817.71082464535993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1115.7029745986774</v>
      </c>
      <c r="C61" s="86">
        <f>MBunk_ene!C$10</f>
        <v>1204.0391097275242</v>
      </c>
      <c r="D61" s="86">
        <f>MBunk_ene!D$10</f>
        <v>1285.6138199903069</v>
      </c>
      <c r="E61" s="86">
        <f>MBunk_ene!E$10</f>
        <v>1411.8287983999446</v>
      </c>
      <c r="F61" s="86">
        <f>MBunk_ene!F$10</f>
        <v>1508.4628503175827</v>
      </c>
      <c r="G61" s="86">
        <f>MBunk_ene!G$10</f>
        <v>1560.6637505379701</v>
      </c>
      <c r="H61" s="86">
        <f>MBunk_ene!H$10</f>
        <v>1628.1809354798982</v>
      </c>
      <c r="I61" s="86">
        <f>MBunk_ene!I$10</f>
        <v>1692.643484733836</v>
      </c>
      <c r="J61" s="86">
        <f>MBunk_ene!J$10</f>
        <v>1702.698153186933</v>
      </c>
      <c r="K61" s="86">
        <f>MBunk_ene!K$10</f>
        <v>1614.543644425132</v>
      </c>
      <c r="L61" s="86">
        <f>MBunk_ene!L$10</f>
        <v>1994.4046113864299</v>
      </c>
      <c r="M61" s="86">
        <f>MBunk_ene!M$10</f>
        <v>1687.7720214524441</v>
      </c>
      <c r="N61" s="86">
        <f>MBunk_ene!N$10</f>
        <v>1645.710553583647</v>
      </c>
      <c r="O61" s="86">
        <f>MBunk_ene!O$10</f>
        <v>1398.2415014879732</v>
      </c>
      <c r="P61" s="86">
        <f>MBunk_ene!P$10</f>
        <v>1241.8322947080396</v>
      </c>
      <c r="Q61" s="86">
        <f>MBunk_ene!Q$10</f>
        <v>1255.1892442003873</v>
      </c>
      <c r="R61" s="86">
        <f>MBunk_ene!R$10</f>
        <v>1421.2217508973608</v>
      </c>
      <c r="S61" s="86">
        <f>MBunk_ene!S$10</f>
        <v>1465.3766348500117</v>
      </c>
      <c r="T61" s="86">
        <f>MBunk_ene!T$10</f>
        <v>1655.0961380664762</v>
      </c>
      <c r="U61" s="86">
        <f>MBunk_ene!U$10</f>
        <v>1655.8325985144518</v>
      </c>
      <c r="V61" s="86">
        <f>MBunk_ene!V$10</f>
        <v>1620.8995329923503</v>
      </c>
      <c r="W61" s="86">
        <f>MBunk_ene!W$10</f>
        <v>1700.3485046753628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90133.940614779494</v>
      </c>
      <c r="C64" s="28">
        <f t="shared" si="49"/>
        <v>89906.897747992538</v>
      </c>
      <c r="D64" s="28">
        <f t="shared" si="49"/>
        <v>91976.387557275404</v>
      </c>
      <c r="E64" s="28">
        <f t="shared" si="49"/>
        <v>92859.954344479411</v>
      </c>
      <c r="F64" s="28">
        <f t="shared" si="49"/>
        <v>93548.831732578503</v>
      </c>
      <c r="G64" s="28">
        <f t="shared" si="49"/>
        <v>91108.223372501976</v>
      </c>
      <c r="H64" s="28">
        <f t="shared" si="49"/>
        <v>93838.41650816919</v>
      </c>
      <c r="I64" s="28">
        <f t="shared" si="49"/>
        <v>94171.670042511512</v>
      </c>
      <c r="J64" s="28">
        <f t="shared" si="49"/>
        <v>91274.973914899529</v>
      </c>
      <c r="K64" s="28">
        <f t="shared" si="49"/>
        <v>87819.625304257235</v>
      </c>
      <c r="L64" s="28">
        <f t="shared" si="49"/>
        <v>86689.025266858414</v>
      </c>
      <c r="M64" s="28">
        <f t="shared" si="49"/>
        <v>85457.718820579001</v>
      </c>
      <c r="N64" s="28">
        <f t="shared" si="49"/>
        <v>79823.511359528668</v>
      </c>
      <c r="O64" s="28">
        <f t="shared" si="49"/>
        <v>81629.303247282398</v>
      </c>
      <c r="P64" s="28">
        <f t="shared" si="49"/>
        <v>86835.056155963422</v>
      </c>
      <c r="Q64" s="28">
        <f t="shared" si="49"/>
        <v>87446.72508056894</v>
      </c>
      <c r="R64" s="28">
        <f t="shared" ref="R64:V64" si="50">R65+R69+R73</f>
        <v>87148.949228897734</v>
      </c>
      <c r="S64" s="28">
        <f t="shared" si="50"/>
        <v>86754.62788690727</v>
      </c>
      <c r="T64" s="28">
        <f t="shared" si="50"/>
        <v>87647.634109726103</v>
      </c>
      <c r="U64" s="28">
        <f t="shared" si="50"/>
        <v>88317.566029705908</v>
      </c>
      <c r="V64" s="28">
        <f t="shared" si="50"/>
        <v>62802.586693084966</v>
      </c>
      <c r="W64" s="28">
        <f t="shared" ref="W64" si="51">W65+W69+W73</f>
        <v>72882.096512183329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79689.970078028084</v>
      </c>
      <c r="C65" s="137">
        <f t="shared" si="52"/>
        <v>80134.936531429688</v>
      </c>
      <c r="D65" s="137">
        <f t="shared" si="52"/>
        <v>82450.727151017913</v>
      </c>
      <c r="E65" s="137">
        <f t="shared" si="52"/>
        <v>82151.780910437388</v>
      </c>
      <c r="F65" s="137">
        <f t="shared" si="52"/>
        <v>82999.590209532995</v>
      </c>
      <c r="G65" s="137">
        <f t="shared" si="52"/>
        <v>80222.308916091308</v>
      </c>
      <c r="H65" s="137">
        <f t="shared" si="52"/>
        <v>82236.714993412024</v>
      </c>
      <c r="I65" s="137">
        <f t="shared" si="52"/>
        <v>81930.118798781084</v>
      </c>
      <c r="J65" s="137">
        <f t="shared" si="52"/>
        <v>79541.645798026977</v>
      </c>
      <c r="K65" s="137">
        <f t="shared" si="52"/>
        <v>77124.685810971918</v>
      </c>
      <c r="L65" s="137">
        <f t="shared" si="52"/>
        <v>75506.169291815691</v>
      </c>
      <c r="M65" s="137">
        <f t="shared" si="52"/>
        <v>74068.861633775392</v>
      </c>
      <c r="N65" s="137">
        <f t="shared" si="52"/>
        <v>68826.757820606654</v>
      </c>
      <c r="O65" s="137">
        <f t="shared" si="52"/>
        <v>71020.205090428586</v>
      </c>
      <c r="P65" s="137">
        <f t="shared" si="52"/>
        <v>76168.261920739285</v>
      </c>
      <c r="Q65" s="137">
        <f t="shared" si="52"/>
        <v>76437.551742454176</v>
      </c>
      <c r="R65" s="137">
        <f t="shared" ref="R65:V65" si="53">R66+R67+R68</f>
        <v>75740.561155824122</v>
      </c>
      <c r="S65" s="137">
        <f t="shared" si="53"/>
        <v>74780.272683547591</v>
      </c>
      <c r="T65" s="137">
        <f t="shared" si="53"/>
        <v>74104.001085817741</v>
      </c>
      <c r="U65" s="137">
        <f t="shared" si="53"/>
        <v>74274.104873019052</v>
      </c>
      <c r="V65" s="137">
        <f t="shared" si="53"/>
        <v>57952.067315793611</v>
      </c>
      <c r="W65" s="137">
        <f t="shared" ref="W65" si="54">W66+W67+W68</f>
        <v>67255.373586961912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4162.2579605207748</v>
      </c>
      <c r="C66" s="102">
        <f>TrRoad_emi!C$19</f>
        <v>4204.0809342829207</v>
      </c>
      <c r="D66" s="102">
        <f>TrRoad_emi!D$19</f>
        <v>4125.0481640171211</v>
      </c>
      <c r="E66" s="102">
        <f>TrRoad_emi!E$19</f>
        <v>4157.8902903460366</v>
      </c>
      <c r="F66" s="102">
        <f>TrRoad_emi!F$19</f>
        <v>4277.9905248717005</v>
      </c>
      <c r="G66" s="102">
        <f>TrRoad_emi!G$19</f>
        <v>4250.8931474424653</v>
      </c>
      <c r="H66" s="102">
        <f>TrRoad_emi!H$19</f>
        <v>3987.6976704790536</v>
      </c>
      <c r="I66" s="102">
        <f>TrRoad_emi!I$19</f>
        <v>3492.0538061012676</v>
      </c>
      <c r="J66" s="102">
        <f>TrRoad_emi!J$19</f>
        <v>3603.1188223919053</v>
      </c>
      <c r="K66" s="102">
        <f>TrRoad_emi!K$19</f>
        <v>3287.6645779508017</v>
      </c>
      <c r="L66" s="102">
        <f>TrRoad_emi!L$19</f>
        <v>3305.4338363457009</v>
      </c>
      <c r="M66" s="102">
        <f>TrRoad_emi!M$19</f>
        <v>3368.8650189401933</v>
      </c>
      <c r="N66" s="102">
        <f>TrRoad_emi!N$19</f>
        <v>3210.494209714413</v>
      </c>
      <c r="O66" s="102">
        <f>TrRoad_emi!O$19</f>
        <v>3097.8970525012437</v>
      </c>
      <c r="P66" s="102">
        <f>TrRoad_emi!P$19</f>
        <v>3131.9646234710126</v>
      </c>
      <c r="Q66" s="102">
        <f>TrRoad_emi!Q$19</f>
        <v>3084.7657662019637</v>
      </c>
      <c r="R66" s="102">
        <f>TrRoad_emi!R$19</f>
        <v>3111.5200823314849</v>
      </c>
      <c r="S66" s="102">
        <f>TrRoad_emi!S$19</f>
        <v>2922.6167080555151</v>
      </c>
      <c r="T66" s="102">
        <f>TrRoad_emi!T$19</f>
        <v>2772.7294469599879</v>
      </c>
      <c r="U66" s="102">
        <f>TrRoad_emi!U$19</f>
        <v>2930.3332300831612</v>
      </c>
      <c r="V66" s="102">
        <f>TrRoad_emi!V$19</f>
        <v>2611.5249092516683</v>
      </c>
      <c r="W66" s="102">
        <f>TrRoad_emi!W$19</f>
        <v>2592.1881391406137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68936.798473800838</v>
      </c>
      <c r="C67" s="102">
        <f>TrRoad_emi!C$20</f>
        <v>69317.535645008786</v>
      </c>
      <c r="D67" s="102">
        <f>TrRoad_emi!D$20</f>
        <v>71666.099193720511</v>
      </c>
      <c r="E67" s="102">
        <f>TrRoad_emi!E$20</f>
        <v>71336.590382307302</v>
      </c>
      <c r="F67" s="102">
        <f>TrRoad_emi!F$20</f>
        <v>72084.329848205787</v>
      </c>
      <c r="G67" s="102">
        <f>TrRoad_emi!G$20</f>
        <v>69304.347412731178</v>
      </c>
      <c r="H67" s="102">
        <f>TrRoad_emi!H$20</f>
        <v>71519.765050355811</v>
      </c>
      <c r="I67" s="102">
        <f>TrRoad_emi!I$20</f>
        <v>71730.403076582486</v>
      </c>
      <c r="J67" s="102">
        <f>TrRoad_emi!J$20</f>
        <v>69333.836956053201</v>
      </c>
      <c r="K67" s="102">
        <f>TrRoad_emi!K$20</f>
        <v>67377.474863878</v>
      </c>
      <c r="L67" s="102">
        <f>TrRoad_emi!L$20</f>
        <v>65714.851485929903</v>
      </c>
      <c r="M67" s="102">
        <f>TrRoad_emi!M$20</f>
        <v>64036.813765450112</v>
      </c>
      <c r="N67" s="102">
        <f>TrRoad_emi!N$20</f>
        <v>59220.032669818829</v>
      </c>
      <c r="O67" s="102">
        <f>TrRoad_emi!O$20</f>
        <v>61504.835340072626</v>
      </c>
      <c r="P67" s="102">
        <f>TrRoad_emi!P$20</f>
        <v>66510.306075008892</v>
      </c>
      <c r="Q67" s="102">
        <f>TrRoad_emi!Q$20</f>
        <v>66699.580340854212</v>
      </c>
      <c r="R67" s="102">
        <f>TrRoad_emi!R$20</f>
        <v>65956.546761437552</v>
      </c>
      <c r="S67" s="102">
        <f>TrRoad_emi!S$20</f>
        <v>65167.669320142428</v>
      </c>
      <c r="T67" s="102">
        <f>TrRoad_emi!T$20</f>
        <v>64632.882565410182</v>
      </c>
      <c r="U67" s="102">
        <f>TrRoad_emi!U$20</f>
        <v>64530.230282687509</v>
      </c>
      <c r="V67" s="102">
        <f>TrRoad_emi!V$20</f>
        <v>48709.753828411907</v>
      </c>
      <c r="W67" s="102">
        <f>TrRoad_emi!W$20</f>
        <v>57781.23456937747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6590.9136437064699</v>
      </c>
      <c r="C68" s="102">
        <f>TrRoad_emi!C$27</f>
        <v>6613.3199521379829</v>
      </c>
      <c r="D68" s="102">
        <f>TrRoad_emi!D$27</f>
        <v>6659.5797932802861</v>
      </c>
      <c r="E68" s="102">
        <f>TrRoad_emi!E$27</f>
        <v>6657.3002377840521</v>
      </c>
      <c r="F68" s="102">
        <f>TrRoad_emi!F$27</f>
        <v>6637.2698364555145</v>
      </c>
      <c r="G68" s="102">
        <f>TrRoad_emi!G$27</f>
        <v>6667.0683559176723</v>
      </c>
      <c r="H68" s="102">
        <f>TrRoad_emi!H$27</f>
        <v>6729.2522725771532</v>
      </c>
      <c r="I68" s="102">
        <f>TrRoad_emi!I$27</f>
        <v>6707.6619160973323</v>
      </c>
      <c r="J68" s="102">
        <f>TrRoad_emi!J$27</f>
        <v>6604.6900195818698</v>
      </c>
      <c r="K68" s="102">
        <f>TrRoad_emi!K$27</f>
        <v>6459.5463691431269</v>
      </c>
      <c r="L68" s="102">
        <f>TrRoad_emi!L$27</f>
        <v>6485.8839695400875</v>
      </c>
      <c r="M68" s="102">
        <f>TrRoad_emi!M$27</f>
        <v>6663.1828493850944</v>
      </c>
      <c r="N68" s="102">
        <f>TrRoad_emi!N$27</f>
        <v>6396.2309410734088</v>
      </c>
      <c r="O68" s="102">
        <f>TrRoad_emi!O$27</f>
        <v>6417.4726978547114</v>
      </c>
      <c r="P68" s="102">
        <f>TrRoad_emi!P$27</f>
        <v>6525.9912222593775</v>
      </c>
      <c r="Q68" s="102">
        <f>TrRoad_emi!Q$27</f>
        <v>6653.2056353980015</v>
      </c>
      <c r="R68" s="102">
        <f>TrRoad_emi!R$27</f>
        <v>6672.4943120550879</v>
      </c>
      <c r="S68" s="102">
        <f>TrRoad_emi!S$27</f>
        <v>6689.9866553496604</v>
      </c>
      <c r="T68" s="102">
        <f>TrRoad_emi!T$27</f>
        <v>6698.3890734475654</v>
      </c>
      <c r="U68" s="102">
        <f>TrRoad_emi!U$27</f>
        <v>6813.5413602483759</v>
      </c>
      <c r="V68" s="102">
        <f>TrRoad_emi!V$27</f>
        <v>6630.7885781300392</v>
      </c>
      <c r="W68" s="102">
        <f>TrRoad_emi!W$27</f>
        <v>6881.9508784438312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411.82532717642943</v>
      </c>
      <c r="C69" s="110">
        <f t="shared" si="55"/>
        <v>359.92208924690408</v>
      </c>
      <c r="D69" s="110">
        <f t="shared" si="55"/>
        <v>370.17438638236979</v>
      </c>
      <c r="E69" s="110">
        <f t="shared" si="55"/>
        <v>400.54504710776655</v>
      </c>
      <c r="F69" s="110">
        <f t="shared" si="55"/>
        <v>343.25654451488208</v>
      </c>
      <c r="G69" s="110">
        <f t="shared" si="55"/>
        <v>293.59015480260342</v>
      </c>
      <c r="H69" s="110">
        <f t="shared" si="55"/>
        <v>300.16175673783562</v>
      </c>
      <c r="I69" s="110">
        <f t="shared" si="55"/>
        <v>265.04937186643787</v>
      </c>
      <c r="J69" s="110">
        <f t="shared" si="55"/>
        <v>152.38094612949092</v>
      </c>
      <c r="K69" s="110">
        <f t="shared" si="55"/>
        <v>151.95746655485644</v>
      </c>
      <c r="L69" s="110">
        <f t="shared" si="55"/>
        <v>164.53929478970508</v>
      </c>
      <c r="M69" s="110">
        <f t="shared" si="55"/>
        <v>126.09722823220794</v>
      </c>
      <c r="N69" s="110">
        <f t="shared" si="55"/>
        <v>155.72611583645536</v>
      </c>
      <c r="O69" s="110">
        <f t="shared" si="55"/>
        <v>110.44843278893919</v>
      </c>
      <c r="P69" s="110">
        <f t="shared" si="55"/>
        <v>51.936333755383565</v>
      </c>
      <c r="Q69" s="110">
        <f t="shared" si="55"/>
        <v>63.52205340331632</v>
      </c>
      <c r="R69" s="110">
        <f t="shared" ref="R69:V69" si="56">R70+R71+R72</f>
        <v>43.309109274115329</v>
      </c>
      <c r="S69" s="110">
        <f t="shared" si="56"/>
        <v>95.746803588979901</v>
      </c>
      <c r="T69" s="110">
        <f t="shared" si="56"/>
        <v>128.64281361606945</v>
      </c>
      <c r="U69" s="110">
        <f t="shared" si="56"/>
        <v>126.02303977541226</v>
      </c>
      <c r="V69" s="110">
        <f t="shared" si="56"/>
        <v>124.4269015784554</v>
      </c>
      <c r="W69" s="110">
        <f t="shared" ref="W69" si="57">W70+W71+W72</f>
        <v>107.82751323550606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411.82532717642943</v>
      </c>
      <c r="C71" s="102">
        <f>TrRail_emi!C$11</f>
        <v>359.92208924690408</v>
      </c>
      <c r="D71" s="102">
        <f>TrRail_emi!D$11</f>
        <v>370.17438638236979</v>
      </c>
      <c r="E71" s="102">
        <f>TrRail_emi!E$11</f>
        <v>400.54504710776655</v>
      </c>
      <c r="F71" s="102">
        <f>TrRail_emi!F$11</f>
        <v>343.25654451488208</v>
      </c>
      <c r="G71" s="102">
        <f>TrRail_emi!G$11</f>
        <v>293.59015480260342</v>
      </c>
      <c r="H71" s="102">
        <f>TrRail_emi!H$11</f>
        <v>300.16175673783562</v>
      </c>
      <c r="I71" s="102">
        <f>TrRail_emi!I$11</f>
        <v>265.04937186643787</v>
      </c>
      <c r="J71" s="102">
        <f>TrRail_emi!J$11</f>
        <v>152.38094612949092</v>
      </c>
      <c r="K71" s="102">
        <f>TrRail_emi!K$11</f>
        <v>151.95746655485644</v>
      </c>
      <c r="L71" s="102">
        <f>TrRail_emi!L$11</f>
        <v>164.53929478970508</v>
      </c>
      <c r="M71" s="102">
        <f>TrRail_emi!M$11</f>
        <v>126.09722823220794</v>
      </c>
      <c r="N71" s="102">
        <f>TrRail_emi!N$11</f>
        <v>155.72611583645536</v>
      </c>
      <c r="O71" s="102">
        <f>TrRail_emi!O$11</f>
        <v>110.44843278893919</v>
      </c>
      <c r="P71" s="102">
        <f>TrRail_emi!P$11</f>
        <v>51.936333755383565</v>
      </c>
      <c r="Q71" s="102">
        <f>TrRail_emi!Q$11</f>
        <v>63.52205340331632</v>
      </c>
      <c r="R71" s="102">
        <f>TrRail_emi!R$11</f>
        <v>43.309109274115329</v>
      </c>
      <c r="S71" s="102">
        <f>TrRail_emi!S$11</f>
        <v>95.746803588979901</v>
      </c>
      <c r="T71" s="102">
        <f>TrRail_emi!T$11</f>
        <v>128.64281361606945</v>
      </c>
      <c r="U71" s="102">
        <f>TrRail_emi!U$11</f>
        <v>126.02303977541226</v>
      </c>
      <c r="V71" s="102">
        <f>TrRail_emi!V$11</f>
        <v>124.4269015784554</v>
      </c>
      <c r="W71" s="102">
        <f>TrRail_emi!W$11</f>
        <v>107.82751323550606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10032.145209574981</v>
      </c>
      <c r="C73" s="110">
        <f t="shared" si="58"/>
        <v>9412.0391273159421</v>
      </c>
      <c r="D73" s="110">
        <f t="shared" si="58"/>
        <v>9155.4860198751248</v>
      </c>
      <c r="E73" s="110">
        <f t="shared" si="58"/>
        <v>10307.628386934262</v>
      </c>
      <c r="F73" s="110">
        <f t="shared" si="58"/>
        <v>10205.984978530625</v>
      </c>
      <c r="G73" s="110">
        <f t="shared" si="58"/>
        <v>10592.324301608063</v>
      </c>
      <c r="H73" s="110">
        <f t="shared" si="58"/>
        <v>11301.53975801932</v>
      </c>
      <c r="I73" s="110">
        <f t="shared" si="58"/>
        <v>11976.501871863991</v>
      </c>
      <c r="J73" s="110">
        <f t="shared" si="58"/>
        <v>11580.94717074306</v>
      </c>
      <c r="K73" s="110">
        <f t="shared" si="58"/>
        <v>10542.982026730468</v>
      </c>
      <c r="L73" s="110">
        <f t="shared" si="58"/>
        <v>11018.316680253014</v>
      </c>
      <c r="M73" s="110">
        <f t="shared" si="58"/>
        <v>11262.759958571405</v>
      </c>
      <c r="N73" s="110">
        <f t="shared" si="58"/>
        <v>10841.027423085552</v>
      </c>
      <c r="O73" s="110">
        <f t="shared" si="58"/>
        <v>10498.649724064871</v>
      </c>
      <c r="P73" s="110">
        <f t="shared" si="58"/>
        <v>10614.857901468764</v>
      </c>
      <c r="Q73" s="110">
        <f t="shared" si="58"/>
        <v>10945.65128471145</v>
      </c>
      <c r="R73" s="110">
        <f t="shared" ref="R73:V73" si="59">R74+R75+R76</f>
        <v>11365.0789637995</v>
      </c>
      <c r="S73" s="110">
        <f t="shared" si="59"/>
        <v>11878.608399770703</v>
      </c>
      <c r="T73" s="110">
        <f t="shared" si="59"/>
        <v>13414.990210292297</v>
      </c>
      <c r="U73" s="110">
        <f t="shared" si="59"/>
        <v>13917.438116911446</v>
      </c>
      <c r="V73" s="110">
        <f t="shared" si="59"/>
        <v>4726.0924757129023</v>
      </c>
      <c r="W73" s="110">
        <f t="shared" ref="W73" si="60">W74+W75+W76</f>
        <v>5518.8954119859181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1986.5306224556693</v>
      </c>
      <c r="C74" s="102">
        <f>TrAvia_emi!C$7</f>
        <v>1802.6498324624174</v>
      </c>
      <c r="D74" s="102">
        <f>TrAvia_emi!D$7</f>
        <v>1813.5816822052216</v>
      </c>
      <c r="E74" s="102">
        <f>TrAvia_emi!E$7</f>
        <v>2047.0831137814121</v>
      </c>
      <c r="F74" s="102">
        <f>TrAvia_emi!F$7</f>
        <v>2025.7512966652826</v>
      </c>
      <c r="G74" s="102">
        <f>TrAvia_emi!G$7</f>
        <v>2112.5035702743126</v>
      </c>
      <c r="H74" s="102">
        <f>TrAvia_emi!H$7</f>
        <v>2266.2481550392795</v>
      </c>
      <c r="I74" s="102">
        <f>TrAvia_emi!I$7</f>
        <v>2403.7844150402543</v>
      </c>
      <c r="J74" s="102">
        <f>TrAvia_emi!J$7</f>
        <v>2306.5330182644757</v>
      </c>
      <c r="K74" s="102">
        <f>TrAvia_emi!K$7</f>
        <v>2037.6130412979333</v>
      </c>
      <c r="L74" s="102">
        <f>TrAvia_emi!L$7</f>
        <v>2115.0248195098557</v>
      </c>
      <c r="M74" s="102">
        <f>TrAvia_emi!M$7</f>
        <v>2134.5970669295825</v>
      </c>
      <c r="N74" s="102">
        <f>TrAvia_emi!N$7</f>
        <v>2038.4012631763733</v>
      </c>
      <c r="O74" s="102">
        <f>TrAvia_emi!O$7</f>
        <v>2028.6034629511598</v>
      </c>
      <c r="P74" s="102">
        <f>TrAvia_emi!P$7</f>
        <v>1920.4355422817</v>
      </c>
      <c r="Q74" s="102">
        <f>TrAvia_emi!Q$7</f>
        <v>2075.3256420777157</v>
      </c>
      <c r="R74" s="102">
        <f>TrAvia_emi!R$7</f>
        <v>2117.1926278177671</v>
      </c>
      <c r="S74" s="102">
        <f>TrAvia_emi!S$7</f>
        <v>2326.8471718229243</v>
      </c>
      <c r="T74" s="102">
        <f>TrAvia_emi!T$7</f>
        <v>2621.1553602059516</v>
      </c>
      <c r="U74" s="102">
        <f>TrAvia_emi!U$7</f>
        <v>2703.9070327539971</v>
      </c>
      <c r="V74" s="102">
        <f>TrAvia_emi!V$7</f>
        <v>1017.2214300535701</v>
      </c>
      <c r="W74" s="102">
        <f>TrAvia_emi!W$7</f>
        <v>1817.7332651966824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3546.8154806235261</v>
      </c>
      <c r="C75" s="102">
        <f>TrAvia_emi!C$8</f>
        <v>3354.5006840504152</v>
      </c>
      <c r="D75" s="102">
        <f>TrAvia_emi!D$8</f>
        <v>3236.5809595366277</v>
      </c>
      <c r="E75" s="102">
        <f>TrAvia_emi!E$8</f>
        <v>3824.4930673154236</v>
      </c>
      <c r="F75" s="102">
        <f>TrAvia_emi!F$8</f>
        <v>3642.8812585357432</v>
      </c>
      <c r="G75" s="102">
        <f>TrAvia_emi!G$8</f>
        <v>3824.2539159305061</v>
      </c>
      <c r="H75" s="102">
        <f>TrAvia_emi!H$8</f>
        <v>4101.7106605850677</v>
      </c>
      <c r="I75" s="102">
        <f>TrAvia_emi!I$8</f>
        <v>4449.0144625545981</v>
      </c>
      <c r="J75" s="102">
        <f>TrAvia_emi!J$8</f>
        <v>4208.8145988722563</v>
      </c>
      <c r="K75" s="102">
        <f>TrAvia_emi!K$8</f>
        <v>3738.3780376108953</v>
      </c>
      <c r="L75" s="102">
        <f>TrAvia_emi!L$8</f>
        <v>3875.6228672144134</v>
      </c>
      <c r="M75" s="102">
        <f>TrAvia_emi!M$8</f>
        <v>3973.8861572289748</v>
      </c>
      <c r="N75" s="102">
        <f>TrAvia_emi!N$8</f>
        <v>3805.8731933574518</v>
      </c>
      <c r="O75" s="102">
        <f>TrAvia_emi!O$8</f>
        <v>3642.6596883436046</v>
      </c>
      <c r="P75" s="102">
        <f>TrAvia_emi!P$8</f>
        <v>3776.6809171993841</v>
      </c>
      <c r="Q75" s="102">
        <f>TrAvia_emi!Q$8</f>
        <v>3881.1671711631275</v>
      </c>
      <c r="R75" s="102">
        <f>TrAvia_emi!R$8</f>
        <v>4209.6927760886711</v>
      </c>
      <c r="S75" s="102">
        <f>TrAvia_emi!S$8</f>
        <v>4446.3594513778071</v>
      </c>
      <c r="T75" s="102">
        <f>TrAvia_emi!T$8</f>
        <v>5011.1177939444751</v>
      </c>
      <c r="U75" s="102">
        <f>TrAvia_emi!U$8</f>
        <v>5092.5077123692272</v>
      </c>
      <c r="V75" s="102">
        <f>TrAvia_emi!V$8</f>
        <v>1409.113401813772</v>
      </c>
      <c r="W75" s="102">
        <f>TrAvia_emi!W$8</f>
        <v>1516.114471379318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4498.7991064957869</v>
      </c>
      <c r="C76" s="102">
        <f>TrAvia_emi!C$9</f>
        <v>4254.8886108031093</v>
      </c>
      <c r="D76" s="102">
        <f>TrAvia_emi!D$9</f>
        <v>4105.3233781332756</v>
      </c>
      <c r="E76" s="102">
        <f>TrAvia_emi!E$9</f>
        <v>4436.0522058374254</v>
      </c>
      <c r="F76" s="102">
        <f>TrAvia_emi!F$9</f>
        <v>4537.3524233295993</v>
      </c>
      <c r="G76" s="102">
        <f>TrAvia_emi!G$9</f>
        <v>4655.5668154032437</v>
      </c>
      <c r="H76" s="102">
        <f>TrAvia_emi!H$9</f>
        <v>4933.580942394974</v>
      </c>
      <c r="I76" s="102">
        <f>TrAvia_emi!I$9</f>
        <v>5123.7029942691388</v>
      </c>
      <c r="J76" s="102">
        <f>TrAvia_emi!J$9</f>
        <v>5065.5995536063283</v>
      </c>
      <c r="K76" s="102">
        <f>TrAvia_emi!K$9</f>
        <v>4766.9909478216387</v>
      </c>
      <c r="L76" s="102">
        <f>TrAvia_emi!L$9</f>
        <v>5027.6689935287441</v>
      </c>
      <c r="M76" s="102">
        <f>TrAvia_emi!M$9</f>
        <v>5154.2767344128479</v>
      </c>
      <c r="N76" s="102">
        <f>TrAvia_emi!N$9</f>
        <v>4996.7529665517268</v>
      </c>
      <c r="O76" s="102">
        <f>TrAvia_emi!O$9</f>
        <v>4827.3865727701068</v>
      </c>
      <c r="P76" s="102">
        <f>TrAvia_emi!P$9</f>
        <v>4917.7414419876795</v>
      </c>
      <c r="Q76" s="102">
        <f>TrAvia_emi!Q$9</f>
        <v>4989.1584714706059</v>
      </c>
      <c r="R76" s="102">
        <f>TrAvia_emi!R$9</f>
        <v>5038.1935598930613</v>
      </c>
      <c r="S76" s="102">
        <f>TrAvia_emi!S$9</f>
        <v>5105.4017765699718</v>
      </c>
      <c r="T76" s="102">
        <f>TrAvia_emi!T$9</f>
        <v>5782.7170561418698</v>
      </c>
      <c r="U76" s="102">
        <f>TrAvia_emi!U$9</f>
        <v>6121.023371788222</v>
      </c>
      <c r="V76" s="102">
        <f>TrAvia_emi!V$9</f>
        <v>2299.7576438455603</v>
      </c>
      <c r="W76" s="102">
        <f>TrAvia_emi!W$9</f>
        <v>2185.0476754099177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34750.749152060496</v>
      </c>
      <c r="C77" s="28">
        <f t="shared" si="61"/>
        <v>36356.14407840748</v>
      </c>
      <c r="D77" s="28">
        <f t="shared" si="61"/>
        <v>36545.527516724564</v>
      </c>
      <c r="E77" s="28">
        <f t="shared" si="61"/>
        <v>37691.322683920582</v>
      </c>
      <c r="F77" s="28">
        <f t="shared" si="61"/>
        <v>39157.682356501522</v>
      </c>
      <c r="G77" s="28">
        <f t="shared" si="61"/>
        <v>40883.097063618043</v>
      </c>
      <c r="H77" s="28">
        <f t="shared" si="61"/>
        <v>40099.143511710841</v>
      </c>
      <c r="I77" s="28">
        <f t="shared" si="61"/>
        <v>40847.262807488471</v>
      </c>
      <c r="J77" s="28">
        <f t="shared" si="61"/>
        <v>36578.116441780447</v>
      </c>
      <c r="K77" s="28">
        <f t="shared" si="61"/>
        <v>33054.239601742738</v>
      </c>
      <c r="L77" s="28">
        <f t="shared" si="61"/>
        <v>32044.746219301589</v>
      </c>
      <c r="M77" s="28">
        <f t="shared" si="61"/>
        <v>33181.709588140977</v>
      </c>
      <c r="N77" s="28">
        <f t="shared" si="61"/>
        <v>31729.839363471332</v>
      </c>
      <c r="O77" s="28">
        <f t="shared" si="61"/>
        <v>27624.393607397607</v>
      </c>
      <c r="P77" s="28">
        <f t="shared" si="61"/>
        <v>27335.739675916579</v>
      </c>
      <c r="Q77" s="28">
        <f t="shared" si="61"/>
        <v>24667.029220591059</v>
      </c>
      <c r="R77" s="28">
        <f t="shared" ref="R77:V77" si="62">R78+R81+R82+R86+R92</f>
        <v>23997.203009022247</v>
      </c>
      <c r="S77" s="28">
        <f t="shared" si="62"/>
        <v>20652.470978892721</v>
      </c>
      <c r="T77" s="28">
        <f t="shared" si="62"/>
        <v>23561.325131833884</v>
      </c>
      <c r="U77" s="28">
        <f t="shared" si="62"/>
        <v>24122.468784334109</v>
      </c>
      <c r="V77" s="28">
        <f t="shared" si="62"/>
        <v>21920.64542099501</v>
      </c>
      <c r="W77" s="28">
        <f t="shared" ref="W77" si="63">W78+W81+W82+W86+W92</f>
        <v>29196.763506216659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30237.644377611909</v>
      </c>
      <c r="C78" s="137">
        <f t="shared" si="64"/>
        <v>31978.18379137032</v>
      </c>
      <c r="D78" s="137">
        <f t="shared" si="64"/>
        <v>31924.254288702054</v>
      </c>
      <c r="E78" s="137">
        <f t="shared" si="64"/>
        <v>32706.095142642607</v>
      </c>
      <c r="F78" s="137">
        <f t="shared" si="64"/>
        <v>34155.614309507029</v>
      </c>
      <c r="G78" s="137">
        <f t="shared" si="64"/>
        <v>35893.607185028704</v>
      </c>
      <c r="H78" s="137">
        <f t="shared" si="64"/>
        <v>34979.183164387992</v>
      </c>
      <c r="I78" s="137">
        <f t="shared" si="64"/>
        <v>35810.099658738895</v>
      </c>
      <c r="J78" s="137">
        <f t="shared" si="64"/>
        <v>31340.587872372998</v>
      </c>
      <c r="K78" s="137">
        <f t="shared" si="64"/>
        <v>28686.954736868058</v>
      </c>
      <c r="L78" s="137">
        <f t="shared" si="64"/>
        <v>27772.729475424305</v>
      </c>
      <c r="M78" s="137">
        <f t="shared" si="64"/>
        <v>29080.04119754459</v>
      </c>
      <c r="N78" s="137">
        <f t="shared" si="64"/>
        <v>28080.731537433334</v>
      </c>
      <c r="O78" s="137">
        <f t="shared" si="64"/>
        <v>23929.426147531412</v>
      </c>
      <c r="P78" s="137">
        <f t="shared" si="64"/>
        <v>23688.424681780725</v>
      </c>
      <c r="Q78" s="137">
        <f t="shared" si="64"/>
        <v>21030.197361145823</v>
      </c>
      <c r="R78" s="137">
        <f t="shared" ref="R78:V78" si="65">R79+R80</f>
        <v>20261.34481137586</v>
      </c>
      <c r="S78" s="137">
        <f t="shared" si="65"/>
        <v>17131.806020332402</v>
      </c>
      <c r="T78" s="137">
        <f t="shared" si="65"/>
        <v>20771.154515302253</v>
      </c>
      <c r="U78" s="137">
        <f t="shared" si="65"/>
        <v>21435.72030374096</v>
      </c>
      <c r="V78" s="137">
        <f t="shared" si="65"/>
        <v>19319.304861686371</v>
      </c>
      <c r="W78" s="137">
        <f t="shared" ref="W78" si="66">W79+W80</f>
        <v>26657.365498918083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22547.89450126508</v>
      </c>
      <c r="C79" s="102">
        <f>TrRoad_emi!C$34</f>
        <v>20338.636510025568</v>
      </c>
      <c r="D79" s="102">
        <f>TrRoad_emi!D$34</f>
        <v>20211.256025816976</v>
      </c>
      <c r="E79" s="102">
        <f>TrRoad_emi!E$34</f>
        <v>21278.915742737667</v>
      </c>
      <c r="F79" s="102">
        <f>TrRoad_emi!F$34</f>
        <v>22136.012264269477</v>
      </c>
      <c r="G79" s="102">
        <f>TrRoad_emi!G$34</f>
        <v>23776.43928110904</v>
      </c>
      <c r="H79" s="102">
        <f>TrRoad_emi!H$34</f>
        <v>20496.055370566384</v>
      </c>
      <c r="I79" s="102">
        <f>TrRoad_emi!I$34</f>
        <v>21631.028463393312</v>
      </c>
      <c r="J79" s="102">
        <f>TrRoad_emi!J$34</f>
        <v>20624.269284540584</v>
      </c>
      <c r="K79" s="102">
        <f>TrRoad_emi!K$34</f>
        <v>19645.3048926517</v>
      </c>
      <c r="L79" s="102">
        <f>TrRoad_emi!L$34</f>
        <v>20737.040003797829</v>
      </c>
      <c r="M79" s="102">
        <f>TrRoad_emi!M$34</f>
        <v>21205.148720525081</v>
      </c>
      <c r="N79" s="102">
        <f>TrRoad_emi!N$34</f>
        <v>18391.152238268969</v>
      </c>
      <c r="O79" s="102">
        <f>TrRoad_emi!O$34</f>
        <v>16042.469370675084</v>
      </c>
      <c r="P79" s="102">
        <f>TrRoad_emi!P$34</f>
        <v>16492.772641058553</v>
      </c>
      <c r="Q79" s="102">
        <f>TrRoad_emi!Q$34</f>
        <v>13247.997224224704</v>
      </c>
      <c r="R79" s="102">
        <f>TrRoad_emi!R$34</f>
        <v>12214.352644841641</v>
      </c>
      <c r="S79" s="102">
        <f>TrRoad_emi!S$34</f>
        <v>12229.132471376817</v>
      </c>
      <c r="T79" s="102">
        <f>TrRoad_emi!T$34</f>
        <v>12485.520001266501</v>
      </c>
      <c r="U79" s="102">
        <f>TrRoad_emi!U$34</f>
        <v>12700.786488127422</v>
      </c>
      <c r="V79" s="102">
        <f>TrRoad_emi!V$34</f>
        <v>12214.006267267512</v>
      </c>
      <c r="W79" s="102">
        <f>TrRoad_emi!W$34</f>
        <v>14799.919899605567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7689.7498763468284</v>
      </c>
      <c r="C80" s="102">
        <f>TrRoad_emi!C$40</f>
        <v>11639.54728134475</v>
      </c>
      <c r="D80" s="102">
        <f>TrRoad_emi!D$40</f>
        <v>11712.998262885079</v>
      </c>
      <c r="E80" s="102">
        <f>TrRoad_emi!E$40</f>
        <v>11427.179399904941</v>
      </c>
      <c r="F80" s="102">
        <f>TrRoad_emi!F$40</f>
        <v>12019.602045237551</v>
      </c>
      <c r="G80" s="102">
        <f>TrRoad_emi!G$40</f>
        <v>12117.167903919664</v>
      </c>
      <c r="H80" s="102">
        <f>TrRoad_emi!H$40</f>
        <v>14483.127793821608</v>
      </c>
      <c r="I80" s="102">
        <f>TrRoad_emi!I$40</f>
        <v>14179.071195345587</v>
      </c>
      <c r="J80" s="102">
        <f>TrRoad_emi!J$40</f>
        <v>10716.318587832417</v>
      </c>
      <c r="K80" s="102">
        <f>TrRoad_emi!K$40</f>
        <v>9041.6498442163575</v>
      </c>
      <c r="L80" s="102">
        <f>TrRoad_emi!L$40</f>
        <v>7035.6894716264778</v>
      </c>
      <c r="M80" s="102">
        <f>TrRoad_emi!M$40</f>
        <v>7874.8924770195081</v>
      </c>
      <c r="N80" s="102">
        <f>TrRoad_emi!N$40</f>
        <v>9689.579299164363</v>
      </c>
      <c r="O80" s="102">
        <f>TrRoad_emi!O$40</f>
        <v>7886.9567768563302</v>
      </c>
      <c r="P80" s="102">
        <f>TrRoad_emi!P$40</f>
        <v>7195.6520407221733</v>
      </c>
      <c r="Q80" s="102">
        <f>TrRoad_emi!Q$40</f>
        <v>7782.2001369211212</v>
      </c>
      <c r="R80" s="102">
        <f>TrRoad_emi!R$40</f>
        <v>8046.992166534219</v>
      </c>
      <c r="S80" s="102">
        <f>TrRoad_emi!S$40</f>
        <v>4902.6735489555858</v>
      </c>
      <c r="T80" s="102">
        <f>TrRoad_emi!T$40</f>
        <v>8285.6345140357535</v>
      </c>
      <c r="U80" s="102">
        <f>TrRoad_emi!U$40</f>
        <v>8734.9338156135382</v>
      </c>
      <c r="V80" s="102">
        <f>TrRoad_emi!V$40</f>
        <v>7105.2985944188595</v>
      </c>
      <c r="W80" s="102">
        <f>TrRoad_emi!W$40</f>
        <v>11857.445599312516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20.637181743570288</v>
      </c>
      <c r="C81" s="110">
        <f>TrRail_emi!C$15</f>
        <v>15.720539673095983</v>
      </c>
      <c r="D81" s="110">
        <f>TrRail_emi!D$15</f>
        <v>14.938222537630269</v>
      </c>
      <c r="E81" s="110">
        <f>TrRail_emi!E$15</f>
        <v>16.134072892233405</v>
      </c>
      <c r="F81" s="110">
        <f>TrRail_emi!F$15</f>
        <v>19.759266565118029</v>
      </c>
      <c r="G81" s="110">
        <f>TrRail_emi!G$15</f>
        <v>12.605776277396556</v>
      </c>
      <c r="H81" s="110">
        <f>TrRail_emi!H$15</f>
        <v>53.384074342164503</v>
      </c>
      <c r="I81" s="110">
        <f>TrRail_emi!I$15</f>
        <v>66.399928133562028</v>
      </c>
      <c r="J81" s="110">
        <f>TrRail_emi!J$15</f>
        <v>68.585164950509039</v>
      </c>
      <c r="K81" s="110">
        <f>TrRail_emi!K$15</f>
        <v>37.44213344514354</v>
      </c>
      <c r="L81" s="110">
        <f>TrRail_emi!L$15</f>
        <v>34.33028521029491</v>
      </c>
      <c r="M81" s="110">
        <f>TrRail_emi!M$15</f>
        <v>15.952471767792066</v>
      </c>
      <c r="N81" s="110">
        <f>TrRail_emi!N$15</f>
        <v>14.733524163544619</v>
      </c>
      <c r="O81" s="110">
        <f>TrRail_emi!O$15</f>
        <v>9.504736131060783</v>
      </c>
      <c r="P81" s="110">
        <f>TrRail_emi!P$15</f>
        <v>4.8835462446164328</v>
      </c>
      <c r="Q81" s="110">
        <f>TrRail_emi!Q$15</f>
        <v>5.9243776766836769</v>
      </c>
      <c r="R81" s="110">
        <f>TrRail_emi!R$15</f>
        <v>4.0407907258846674</v>
      </c>
      <c r="S81" s="110">
        <f>TrRail_emi!S$15</f>
        <v>8.4229764110200982</v>
      </c>
      <c r="T81" s="110">
        <f>TrRail_emi!T$15</f>
        <v>10.250315303930568</v>
      </c>
      <c r="U81" s="110">
        <f>TrRail_emi!U$15</f>
        <v>9.7132513045877502</v>
      </c>
      <c r="V81" s="110">
        <f>TrRail_emi!V$15</f>
        <v>12.4428527415446</v>
      </c>
      <c r="W81" s="110">
        <f>TrRail_emi!W$15</f>
        <v>10.512557964493944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495.02309270501894</v>
      </c>
      <c r="C82" s="110">
        <f t="shared" si="67"/>
        <v>206.11081820405957</v>
      </c>
      <c r="D82" s="110">
        <f t="shared" si="67"/>
        <v>465.74412164487757</v>
      </c>
      <c r="E82" s="110">
        <f t="shared" si="67"/>
        <v>519.32948658573912</v>
      </c>
      <c r="F82" s="110">
        <f t="shared" si="67"/>
        <v>528.23362222937442</v>
      </c>
      <c r="G82" s="110">
        <f t="shared" si="67"/>
        <v>590.19068411193928</v>
      </c>
      <c r="H82" s="110">
        <f t="shared" si="67"/>
        <v>681.70246902067822</v>
      </c>
      <c r="I82" s="110">
        <f t="shared" si="67"/>
        <v>748.75957157600965</v>
      </c>
      <c r="J82" s="110">
        <f t="shared" si="67"/>
        <v>683.72140049693826</v>
      </c>
      <c r="K82" s="110">
        <f t="shared" si="67"/>
        <v>552.93054430953248</v>
      </c>
      <c r="L82" s="110">
        <f t="shared" si="67"/>
        <v>668.08707878699067</v>
      </c>
      <c r="M82" s="110">
        <f t="shared" si="67"/>
        <v>686.57858086859449</v>
      </c>
      <c r="N82" s="110">
        <f t="shared" si="67"/>
        <v>558.01209271445236</v>
      </c>
      <c r="O82" s="110">
        <f t="shared" si="67"/>
        <v>591.2548364951308</v>
      </c>
      <c r="P82" s="110">
        <f t="shared" si="67"/>
        <v>589.43944405123716</v>
      </c>
      <c r="Q82" s="110">
        <f t="shared" si="67"/>
        <v>685.30057452855351</v>
      </c>
      <c r="R82" s="110">
        <f t="shared" si="67"/>
        <v>692.53930896050383</v>
      </c>
      <c r="S82" s="110">
        <f t="shared" si="67"/>
        <v>763.34117298929857</v>
      </c>
      <c r="T82" s="110">
        <f t="shared" si="67"/>
        <v>775.85431922770181</v>
      </c>
      <c r="U82" s="110">
        <f t="shared" si="67"/>
        <v>758.07225908855844</v>
      </c>
      <c r="V82" s="110">
        <f t="shared" si="67"/>
        <v>810.03748040709684</v>
      </c>
      <c r="W82" s="110">
        <f t="shared" ref="W82" si="68">W83+W84+W85</f>
        <v>816.09977329408105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29.187464784330473</v>
      </c>
      <c r="C83" s="102">
        <f>TrAvia_emi!C$11</f>
        <v>52.241413057582697</v>
      </c>
      <c r="D83" s="102">
        <f>TrAvia_emi!D$11</f>
        <v>44.389759314778395</v>
      </c>
      <c r="E83" s="102">
        <f>TrAvia_emi!E$11</f>
        <v>48.913988498588438</v>
      </c>
      <c r="F83" s="102">
        <f>TrAvia_emi!F$11</f>
        <v>48.61557533471769</v>
      </c>
      <c r="G83" s="102">
        <f>TrAvia_emi!G$11</f>
        <v>48.430786685688112</v>
      </c>
      <c r="H83" s="102">
        <f>TrAvia_emi!H$11</f>
        <v>49.248114480720794</v>
      </c>
      <c r="I83" s="102">
        <f>TrAvia_emi!I$11</f>
        <v>50.849743439745964</v>
      </c>
      <c r="J83" s="102">
        <f>TrAvia_emi!J$11</f>
        <v>46.145324215524383</v>
      </c>
      <c r="K83" s="102">
        <f>TrAvia_emi!K$11</f>
        <v>36.718900982067169</v>
      </c>
      <c r="L83" s="102">
        <f>TrAvia_emi!L$11</f>
        <v>36.576053250144959</v>
      </c>
      <c r="M83" s="102">
        <f>TrAvia_emi!M$11</f>
        <v>32.602730030417391</v>
      </c>
      <c r="N83" s="102">
        <f>TrAvia_emi!N$11</f>
        <v>26.795895103627078</v>
      </c>
      <c r="O83" s="102">
        <f>TrAvia_emi!O$11</f>
        <v>27.353611328840721</v>
      </c>
      <c r="P83" s="102">
        <f>TrAvia_emi!P$11</f>
        <v>24.220331998300242</v>
      </c>
      <c r="Q83" s="102">
        <f>TrAvia_emi!Q$11</f>
        <v>23.915174682285123</v>
      </c>
      <c r="R83" s="102">
        <f>TrAvia_emi!R$11</f>
        <v>19.160402462232788</v>
      </c>
      <c r="S83" s="102">
        <f>TrAvia_emi!S$11</f>
        <v>22.341448737075186</v>
      </c>
      <c r="T83" s="102">
        <f>TrAvia_emi!T$11</f>
        <v>25.581249834048712</v>
      </c>
      <c r="U83" s="102">
        <f>TrAvia_emi!U$11</f>
        <v>25.150904006002961</v>
      </c>
      <c r="V83" s="102">
        <f>TrAvia_emi!V$11</f>
        <v>18.701014506429576</v>
      </c>
      <c r="W83" s="102">
        <f>TrAvia_emi!W$11</f>
        <v>30.951786963318042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57.509758966620311</v>
      </c>
      <c r="C84" s="102">
        <f>TrAvia_emi!C$12</f>
        <v>26.553099409994594</v>
      </c>
      <c r="D84" s="102">
        <f>TrAvia_emi!D$12</f>
        <v>103.33449970476484</v>
      </c>
      <c r="E84" s="102">
        <f>TrAvia_emi!E$12</f>
        <v>110.89808806937334</v>
      </c>
      <c r="F84" s="102">
        <f>TrAvia_emi!F$12</f>
        <v>122.55792008041118</v>
      </c>
      <c r="G84" s="102">
        <f>TrAvia_emi!G$12</f>
        <v>126.68209840728451</v>
      </c>
      <c r="H84" s="102">
        <f>TrAvia_emi!H$12</f>
        <v>138.77033588696261</v>
      </c>
      <c r="I84" s="102">
        <f>TrAvia_emi!I$12</f>
        <v>148.51132592168935</v>
      </c>
      <c r="J84" s="102">
        <f>TrAvia_emi!J$12</f>
        <v>138.2923880849074</v>
      </c>
      <c r="K84" s="102">
        <f>TrAvia_emi!K$12</f>
        <v>121.89735992453922</v>
      </c>
      <c r="L84" s="102">
        <f>TrAvia_emi!L$12</f>
        <v>113.50712356642457</v>
      </c>
      <c r="M84" s="102">
        <f>TrAvia_emi!M$12</f>
        <v>104.98108797617321</v>
      </c>
      <c r="N84" s="102">
        <f>TrAvia_emi!N$12</f>
        <v>97.11211159108791</v>
      </c>
      <c r="O84" s="102">
        <f>TrAvia_emi!O$12</f>
        <v>95.943446603943755</v>
      </c>
      <c r="P84" s="102">
        <f>TrAvia_emi!P$12</f>
        <v>87.213292363898475</v>
      </c>
      <c r="Q84" s="102">
        <f>TrAvia_emi!Q$12</f>
        <v>91.590851241487044</v>
      </c>
      <c r="R84" s="102">
        <f>TrAvia_emi!R$12</f>
        <v>82.839616544832865</v>
      </c>
      <c r="S84" s="102">
        <f>TrAvia_emi!S$12</f>
        <v>92.362816766061229</v>
      </c>
      <c r="T84" s="102">
        <f>TrAvia_emi!T$12</f>
        <v>100.35989808152773</v>
      </c>
      <c r="U84" s="102">
        <f>TrAvia_emi!U$12</f>
        <v>98.869555086645988</v>
      </c>
      <c r="V84" s="102">
        <f>TrAvia_emi!V$12</f>
        <v>95.735049794598467</v>
      </c>
      <c r="W84" s="102">
        <f>TrAvia_emi!W$12</f>
        <v>93.956363618796161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408.32586895406814</v>
      </c>
      <c r="C85" s="102">
        <f>TrAvia_emi!C$13</f>
        <v>127.31630573648229</v>
      </c>
      <c r="D85" s="102">
        <f>TrAvia_emi!D$13</f>
        <v>318.01986262533433</v>
      </c>
      <c r="E85" s="102">
        <f>TrAvia_emi!E$13</f>
        <v>359.51741001777731</v>
      </c>
      <c r="F85" s="102">
        <f>TrAvia_emi!F$13</f>
        <v>357.06012681424556</v>
      </c>
      <c r="G85" s="102">
        <f>TrAvia_emi!G$13</f>
        <v>415.07779901896663</v>
      </c>
      <c r="H85" s="102">
        <f>TrAvia_emi!H$13</f>
        <v>493.68401865299484</v>
      </c>
      <c r="I85" s="102">
        <f>TrAvia_emi!I$13</f>
        <v>549.39850221457436</v>
      </c>
      <c r="J85" s="102">
        <f>TrAvia_emi!J$13</f>
        <v>499.28368819650643</v>
      </c>
      <c r="K85" s="102">
        <f>TrAvia_emi!K$13</f>
        <v>394.31428340292615</v>
      </c>
      <c r="L85" s="102">
        <f>TrAvia_emi!L$13</f>
        <v>518.00390197042111</v>
      </c>
      <c r="M85" s="102">
        <f>TrAvia_emi!M$13</f>
        <v>548.99476286200388</v>
      </c>
      <c r="N85" s="102">
        <f>TrAvia_emi!N$13</f>
        <v>434.10408601973734</v>
      </c>
      <c r="O85" s="102">
        <f>TrAvia_emi!O$13</f>
        <v>467.95777856234633</v>
      </c>
      <c r="P85" s="102">
        <f>TrAvia_emi!P$13</f>
        <v>478.00581968903839</v>
      </c>
      <c r="Q85" s="102">
        <f>TrAvia_emi!Q$13</f>
        <v>569.79454860478131</v>
      </c>
      <c r="R85" s="102">
        <f>TrAvia_emi!R$13</f>
        <v>590.53928995343813</v>
      </c>
      <c r="S85" s="102">
        <f>TrAvia_emi!S$13</f>
        <v>648.63690748616216</v>
      </c>
      <c r="T85" s="102">
        <f>TrAvia_emi!T$13</f>
        <v>649.91317131212531</v>
      </c>
      <c r="U85" s="102">
        <f>TrAvia_emi!U$13</f>
        <v>634.05179999590951</v>
      </c>
      <c r="V85" s="102">
        <f>TrAvia_emi!V$13</f>
        <v>695.60141610606877</v>
      </c>
      <c r="W85" s="102">
        <f>TrAvia_emi!W$13</f>
        <v>691.19162271196683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3997.4445000000001</v>
      </c>
      <c r="C86" s="110">
        <f t="shared" si="69"/>
        <v>4156.1289291600006</v>
      </c>
      <c r="D86" s="110">
        <f t="shared" si="69"/>
        <v>4140.5908838400001</v>
      </c>
      <c r="E86" s="110">
        <f t="shared" si="69"/>
        <v>4449.7639818000007</v>
      </c>
      <c r="F86" s="110">
        <f t="shared" si="69"/>
        <v>4454.0751581999994</v>
      </c>
      <c r="G86" s="110">
        <f t="shared" si="69"/>
        <v>4386.6934182000005</v>
      </c>
      <c r="H86" s="110">
        <f t="shared" si="69"/>
        <v>4384.8738039599993</v>
      </c>
      <c r="I86" s="110">
        <f t="shared" si="69"/>
        <v>4222.0036490400007</v>
      </c>
      <c r="J86" s="110">
        <f t="shared" si="69"/>
        <v>4485.2220039600006</v>
      </c>
      <c r="K86" s="110">
        <f t="shared" si="69"/>
        <v>3776.9121871200005</v>
      </c>
      <c r="L86" s="110">
        <f t="shared" si="69"/>
        <v>3569.5993798800005</v>
      </c>
      <c r="M86" s="110">
        <f t="shared" si="69"/>
        <v>3399.13733796</v>
      </c>
      <c r="N86" s="110">
        <f t="shared" si="69"/>
        <v>3076.3622091600005</v>
      </c>
      <c r="O86" s="110">
        <f t="shared" si="69"/>
        <v>3094.2078872399998</v>
      </c>
      <c r="P86" s="110">
        <f t="shared" si="69"/>
        <v>3052.9920038400005</v>
      </c>
      <c r="Q86" s="110">
        <f t="shared" si="69"/>
        <v>2945.6069072400001</v>
      </c>
      <c r="R86" s="110">
        <f t="shared" ref="R86:V86" si="70">R87+R88</f>
        <v>3039.2780979600002</v>
      </c>
      <c r="S86" s="110">
        <f t="shared" si="70"/>
        <v>2748.9008091599999</v>
      </c>
      <c r="T86" s="110">
        <f t="shared" si="70"/>
        <v>2004.0659820000001</v>
      </c>
      <c r="U86" s="110">
        <f t="shared" si="70"/>
        <v>1918.9629702000002</v>
      </c>
      <c r="V86" s="110">
        <f t="shared" si="70"/>
        <v>1778.8602261599999</v>
      </c>
      <c r="W86" s="110">
        <f t="shared" ref="W86" si="71">W87+W88</f>
        <v>1712.78567604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3967.943171380628</v>
      </c>
      <c r="C87" s="102">
        <f>TrNavi_emi!C$4</f>
        <v>4123.0965785192811</v>
      </c>
      <c r="D87" s="102">
        <f>TrNavi_emi!D$4</f>
        <v>4125.1544245748228</v>
      </c>
      <c r="E87" s="102">
        <f>TrNavi_emi!E$4</f>
        <v>4434.4454397796671</v>
      </c>
      <c r="F87" s="102">
        <f>TrNavi_emi!F$4</f>
        <v>4434.6404998061362</v>
      </c>
      <c r="G87" s="102">
        <f>TrNavi_emi!G$4</f>
        <v>4374.7360940055951</v>
      </c>
      <c r="H87" s="102">
        <f>TrNavi_emi!H$4</f>
        <v>4372.2348734241623</v>
      </c>
      <c r="I87" s="102">
        <f>TrNavi_emi!I$4</f>
        <v>4209.4464214465352</v>
      </c>
      <c r="J87" s="102">
        <f>TrNavi_emi!J$4</f>
        <v>4476.3583400512853</v>
      </c>
      <c r="K87" s="102">
        <f>TrNavi_emi!K$4</f>
        <v>3772.63534516763</v>
      </c>
      <c r="L87" s="102">
        <f>TrNavi_emi!L$4</f>
        <v>3562.3559388810554</v>
      </c>
      <c r="M87" s="102">
        <f>TrNavi_emi!M$4</f>
        <v>3389.7900817256232</v>
      </c>
      <c r="N87" s="102">
        <f>TrNavi_emi!N$4</f>
        <v>3071.0210293071686</v>
      </c>
      <c r="O87" s="102">
        <f>TrNavi_emi!O$4</f>
        <v>3088.0911252754836</v>
      </c>
      <c r="P87" s="102">
        <f>TrNavi_emi!P$4</f>
        <v>3049.3664389515529</v>
      </c>
      <c r="Q87" s="102">
        <f>TrNavi_emi!Q$4</f>
        <v>2942.4662366106145</v>
      </c>
      <c r="R87" s="102">
        <f>TrNavi_emi!R$4</f>
        <v>3036.1796098265381</v>
      </c>
      <c r="S87" s="102">
        <f>TrNavi_emi!S$4</f>
        <v>2746.5524733193715</v>
      </c>
      <c r="T87" s="102">
        <f>TrNavi_emi!T$4</f>
        <v>2001.9789015986519</v>
      </c>
      <c r="U87" s="102">
        <f>TrNavi_emi!U$4</f>
        <v>1917.4655652791869</v>
      </c>
      <c r="V87" s="102">
        <f>TrNavi_emi!V$4</f>
        <v>1775.3551341825741</v>
      </c>
      <c r="W87" s="102">
        <f>TrNavi_emi!W$4</f>
        <v>1708.9443279205093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29.501328619372028</v>
      </c>
      <c r="C88" s="169">
        <f>TrNavi_emi!C$5</f>
        <v>33.032350640718988</v>
      </c>
      <c r="D88" s="169">
        <f>TrNavi_emi!D$5</f>
        <v>15.436459265177106</v>
      </c>
      <c r="E88" s="169">
        <f>TrNavi_emi!E$5</f>
        <v>15.318542020333412</v>
      </c>
      <c r="F88" s="169">
        <f>TrNavi_emi!F$5</f>
        <v>19.434658393863092</v>
      </c>
      <c r="G88" s="169">
        <f>TrNavi_emi!G$5</f>
        <v>11.957324194405667</v>
      </c>
      <c r="H88" s="169">
        <f>TrNavi_emi!H$5</f>
        <v>12.638930535837329</v>
      </c>
      <c r="I88" s="169">
        <f>TrNavi_emi!I$5</f>
        <v>12.557227593465125</v>
      </c>
      <c r="J88" s="169">
        <f>TrNavi_emi!J$5</f>
        <v>8.8636639087156368</v>
      </c>
      <c r="K88" s="169">
        <f>TrNavi_emi!K$5</f>
        <v>4.2768419523703507</v>
      </c>
      <c r="L88" s="169">
        <f>TrNavi_emi!L$5</f>
        <v>7.2434409989448501</v>
      </c>
      <c r="M88" s="169">
        <f>TrNavi_emi!M$5</f>
        <v>9.347256234376907</v>
      </c>
      <c r="N88" s="169">
        <f>TrNavi_emi!N$5</f>
        <v>5.3411798528317016</v>
      </c>
      <c r="O88" s="169">
        <f>TrNavi_emi!O$5</f>
        <v>6.1167619645161713</v>
      </c>
      <c r="P88" s="169">
        <f>TrNavi_emi!P$5</f>
        <v>3.625564888447522</v>
      </c>
      <c r="Q88" s="169">
        <f>TrNavi_emi!Q$5</f>
        <v>3.1406706293854474</v>
      </c>
      <c r="R88" s="169">
        <f>TrNavi_emi!R$5</f>
        <v>3.0984881334618977</v>
      </c>
      <c r="S88" s="169">
        <f>TrNavi_emi!S$5</f>
        <v>2.34833584062826</v>
      </c>
      <c r="T88" s="169">
        <f>TrNavi_emi!T$5</f>
        <v>2.0870804013482225</v>
      </c>
      <c r="U88" s="169">
        <f>TrNavi_emi!U$5</f>
        <v>1.4974049208132603</v>
      </c>
      <c r="V88" s="169">
        <f>TrNavi_emi!V$5</f>
        <v>3.505091977425721</v>
      </c>
      <c r="W88" s="169">
        <f>TrNavi_emi!W$5</f>
        <v>3.8413481194907213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5302.0072440000004</v>
      </c>
      <c r="C89" s="28">
        <f t="shared" si="72"/>
        <v>5663.6933040000013</v>
      </c>
      <c r="D89" s="28">
        <f t="shared" si="72"/>
        <v>6167.7423921599993</v>
      </c>
      <c r="E89" s="28">
        <f t="shared" si="72"/>
        <v>6728.1276898799988</v>
      </c>
      <c r="F89" s="28">
        <f t="shared" si="72"/>
        <v>7059.5124300000025</v>
      </c>
      <c r="G89" s="28">
        <f t="shared" si="72"/>
        <v>7235.3514639600016</v>
      </c>
      <c r="H89" s="28">
        <f t="shared" si="72"/>
        <v>7523.0197182000002</v>
      </c>
      <c r="I89" s="28">
        <f t="shared" si="72"/>
        <v>7766.7203041199991</v>
      </c>
      <c r="J89" s="28">
        <f t="shared" si="72"/>
        <v>8142.2029450800001</v>
      </c>
      <c r="K89" s="28">
        <f t="shared" si="72"/>
        <v>7582.2041660400018</v>
      </c>
      <c r="L89" s="28">
        <f t="shared" si="72"/>
        <v>9598.8267939600009</v>
      </c>
      <c r="M89" s="28">
        <f t="shared" si="72"/>
        <v>8052.6665098800013</v>
      </c>
      <c r="N89" s="28">
        <f t="shared" si="72"/>
        <v>7968.1065271199986</v>
      </c>
      <c r="O89" s="28">
        <f t="shared" si="72"/>
        <v>7038.032667120001</v>
      </c>
      <c r="P89" s="28">
        <f t="shared" si="72"/>
        <v>6176.6517279600002</v>
      </c>
      <c r="Q89" s="28">
        <f t="shared" si="72"/>
        <v>6118.4207138400016</v>
      </c>
      <c r="R89" s="28">
        <f t="shared" si="72"/>
        <v>7127.177371920001</v>
      </c>
      <c r="S89" s="28">
        <f t="shared" si="72"/>
        <v>7416.5139842399994</v>
      </c>
      <c r="T89" s="28">
        <f t="shared" si="72"/>
        <v>8745.3555483599994</v>
      </c>
      <c r="U89" s="28">
        <f t="shared" si="72"/>
        <v>8522.6246276400016</v>
      </c>
      <c r="V89" s="28">
        <f t="shared" si="72"/>
        <v>7821.4806759599996</v>
      </c>
      <c r="W89" s="28">
        <f t="shared" si="72"/>
        <v>8057.5715995200007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1699.5360359495264</v>
      </c>
      <c r="C90" s="102">
        <f>MBunk_emi!C$4</f>
        <v>1774.7070880543686</v>
      </c>
      <c r="D90" s="102">
        <f>MBunk_emi!D$4</f>
        <v>2014.7757665652798</v>
      </c>
      <c r="E90" s="102">
        <f>MBunk_emi!E$4</f>
        <v>2165.7843235708669</v>
      </c>
      <c r="F90" s="102">
        <f>MBunk_emi!F$4</f>
        <v>2184.132231807961</v>
      </c>
      <c r="G90" s="102">
        <f>MBunk_emi!G$4</f>
        <v>2191.2179060156172</v>
      </c>
      <c r="H90" s="102">
        <f>MBunk_emi!H$4</f>
        <v>2259.0976134531802</v>
      </c>
      <c r="I90" s="102">
        <f>MBunk_emi!I$4</f>
        <v>2292.702905596223</v>
      </c>
      <c r="J90" s="102">
        <f>MBunk_emi!J$4</f>
        <v>2635.4012281349092</v>
      </c>
      <c r="K90" s="102">
        <f>MBunk_emi!K$4</f>
        <v>2364.8478356236874</v>
      </c>
      <c r="L90" s="102">
        <f>MBunk_emi!L$4</f>
        <v>3150.3892468356521</v>
      </c>
      <c r="M90" s="102">
        <f>MBunk_emi!M$4</f>
        <v>2597.3485353205378</v>
      </c>
      <c r="N90" s="102">
        <f>MBunk_emi!N$4</f>
        <v>2645.1211660395279</v>
      </c>
      <c r="O90" s="102">
        <f>MBunk_emi!O$4</f>
        <v>2515.6173602767849</v>
      </c>
      <c r="P90" s="102">
        <f>MBunk_emi!P$4</f>
        <v>2160.5535583714864</v>
      </c>
      <c r="Q90" s="102">
        <f>MBunk_emi!Q$4</f>
        <v>2064.4211251667721</v>
      </c>
      <c r="R90" s="102">
        <f>MBunk_emi!R$4</f>
        <v>2535.4389176020163</v>
      </c>
      <c r="S90" s="102">
        <f>MBunk_emi!S$4</f>
        <v>2681.7692545978625</v>
      </c>
      <c r="T90" s="102">
        <f>MBunk_emi!T$4</f>
        <v>3401.3827392426506</v>
      </c>
      <c r="U90" s="102">
        <f>MBunk_emi!U$4</f>
        <v>3178.0604119143427</v>
      </c>
      <c r="V90" s="102">
        <f>MBunk_emi!V$4</f>
        <v>2594.146174401028</v>
      </c>
      <c r="W90" s="102">
        <f>MBunk_emi!W$4</f>
        <v>2578.8937726492204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3602.4712080504742</v>
      </c>
      <c r="C91" s="86">
        <f>MBunk_emi!C$5</f>
        <v>3888.9862159456325</v>
      </c>
      <c r="D91" s="86">
        <f>MBunk_emi!D$5</f>
        <v>4152.9666255947195</v>
      </c>
      <c r="E91" s="86">
        <f>MBunk_emi!E$5</f>
        <v>4562.3433663091319</v>
      </c>
      <c r="F91" s="86">
        <f>MBunk_emi!F$5</f>
        <v>4875.3801981920415</v>
      </c>
      <c r="G91" s="86">
        <f>MBunk_emi!G$5</f>
        <v>5044.1335579443848</v>
      </c>
      <c r="H91" s="86">
        <f>MBunk_emi!H$5</f>
        <v>5263.92210474682</v>
      </c>
      <c r="I91" s="86">
        <f>MBunk_emi!I$5</f>
        <v>5474.0173985237761</v>
      </c>
      <c r="J91" s="86">
        <f>MBunk_emi!J$5</f>
        <v>5506.8017169450904</v>
      </c>
      <c r="K91" s="86">
        <f>MBunk_emi!K$5</f>
        <v>5217.3563304163144</v>
      </c>
      <c r="L91" s="86">
        <f>MBunk_emi!L$5</f>
        <v>6448.4375471243493</v>
      </c>
      <c r="M91" s="86">
        <f>MBunk_emi!M$5</f>
        <v>5455.3179745594634</v>
      </c>
      <c r="N91" s="86">
        <f>MBunk_emi!N$5</f>
        <v>5322.9853610804703</v>
      </c>
      <c r="O91" s="86">
        <f>MBunk_emi!O$5</f>
        <v>4522.4153068432161</v>
      </c>
      <c r="P91" s="86">
        <f>MBunk_emi!P$5</f>
        <v>4016.0981695885139</v>
      </c>
      <c r="Q91" s="86">
        <f>MBunk_emi!Q$5</f>
        <v>4053.9995886732295</v>
      </c>
      <c r="R91" s="86">
        <f>MBunk_emi!R$5</f>
        <v>4591.7384543179842</v>
      </c>
      <c r="S91" s="86">
        <f>MBunk_emi!S$5</f>
        <v>4734.7447296421369</v>
      </c>
      <c r="T91" s="86">
        <f>MBunk_emi!T$5</f>
        <v>5343.9728091173483</v>
      </c>
      <c r="U91" s="86">
        <f>MBunk_emi!U$5</f>
        <v>5344.5642157256589</v>
      </c>
      <c r="V91" s="86">
        <f>MBunk_emi!V$5</f>
        <v>5227.3345015589712</v>
      </c>
      <c r="W91" s="86">
        <f>MBunk_emi!W$5</f>
        <v>5478.6778268707803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0.87326568528922344</v>
      </c>
      <c r="C97" s="139">
        <f t="shared" si="76"/>
        <v>0.87846838285744233</v>
      </c>
      <c r="D97" s="139">
        <f t="shared" si="76"/>
        <v>0.87898667045430867</v>
      </c>
      <c r="E97" s="139">
        <f t="shared" si="76"/>
        <v>0.87486189499783595</v>
      </c>
      <c r="F97" s="139">
        <f t="shared" si="76"/>
        <v>0.8661185804110022</v>
      </c>
      <c r="G97" s="139">
        <f t="shared" si="76"/>
        <v>0.85357848509016476</v>
      </c>
      <c r="H97" s="139">
        <f t="shared" si="76"/>
        <v>0.84771545129277048</v>
      </c>
      <c r="I97" s="139">
        <f t="shared" si="76"/>
        <v>0.83905784490062596</v>
      </c>
      <c r="J97" s="139">
        <f t="shared" si="76"/>
        <v>0.84292633386307436</v>
      </c>
      <c r="K97" s="139">
        <f t="shared" si="76"/>
        <v>0.85310366221527101</v>
      </c>
      <c r="L97" s="139">
        <f t="shared" si="76"/>
        <v>0.84427444408394292</v>
      </c>
      <c r="M97" s="139">
        <f t="shared" si="76"/>
        <v>0.83616131300320917</v>
      </c>
      <c r="N97" s="139">
        <f t="shared" si="76"/>
        <v>0.8205219549178645</v>
      </c>
      <c r="O97" s="139">
        <f t="shared" si="76"/>
        <v>0.82762379601738123</v>
      </c>
      <c r="P97" s="139">
        <f t="shared" si="76"/>
        <v>0.82815189337077288</v>
      </c>
      <c r="Q97" s="139">
        <f t="shared" si="76"/>
        <v>0.82639779363628885</v>
      </c>
      <c r="R97" s="139">
        <f t="shared" ref="R97:V97" si="77">IF(R5=0,0,R5/R$4)</f>
        <v>0.82567676371046561</v>
      </c>
      <c r="S97" s="139">
        <f t="shared" si="77"/>
        <v>0.82320171836641354</v>
      </c>
      <c r="T97" s="139">
        <f t="shared" si="77"/>
        <v>0.80862794054569476</v>
      </c>
      <c r="U97" s="139">
        <f t="shared" si="77"/>
        <v>0.80256143832141302</v>
      </c>
      <c r="V97" s="139">
        <f t="shared" si="77"/>
        <v>0.89964578639761505</v>
      </c>
      <c r="W97" s="139">
        <f t="shared" ref="W97" si="78">IF(W5=0,0,W5/W$4)</f>
        <v>0.88327408241061223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4.665403497760634E-2</v>
      </c>
      <c r="C98" s="140">
        <f t="shared" si="79"/>
        <v>4.8266716417877525E-2</v>
      </c>
      <c r="D98" s="140">
        <f t="shared" si="79"/>
        <v>4.7420864405815118E-2</v>
      </c>
      <c r="E98" s="140">
        <f t="shared" si="79"/>
        <v>4.7760274616125531E-2</v>
      </c>
      <c r="F98" s="140">
        <f t="shared" si="79"/>
        <v>4.9292652910818684E-2</v>
      </c>
      <c r="G98" s="140">
        <f t="shared" si="79"/>
        <v>5.1341255030186966E-2</v>
      </c>
      <c r="H98" s="140">
        <f t="shared" si="79"/>
        <v>4.9000159197219E-2</v>
      </c>
      <c r="I98" s="140">
        <f t="shared" si="79"/>
        <v>4.2761984461766621E-2</v>
      </c>
      <c r="J98" s="140">
        <f t="shared" si="79"/>
        <v>4.5500055228064523E-2</v>
      </c>
      <c r="K98" s="140">
        <f t="shared" si="79"/>
        <v>3.9546249798491466E-2</v>
      </c>
      <c r="L98" s="140">
        <f t="shared" si="79"/>
        <v>4.0227749860097882E-2</v>
      </c>
      <c r="M98" s="140">
        <f t="shared" si="79"/>
        <v>4.460510372868156E-2</v>
      </c>
      <c r="N98" s="140">
        <f t="shared" si="79"/>
        <v>4.8055078555160925E-2</v>
      </c>
      <c r="O98" s="140">
        <f t="shared" si="79"/>
        <v>4.476708804808395E-2</v>
      </c>
      <c r="P98" s="140">
        <f t="shared" si="79"/>
        <v>4.2979717163639658E-2</v>
      </c>
      <c r="Q98" s="140">
        <f t="shared" si="79"/>
        <v>3.9302616397112598E-2</v>
      </c>
      <c r="R98" s="140">
        <f t="shared" ref="R98:V98" si="80">IF(R6=0,0,R6/R$4)</f>
        <v>3.866850750466936E-2</v>
      </c>
      <c r="S98" s="140">
        <f t="shared" si="80"/>
        <v>3.4753101947972979E-2</v>
      </c>
      <c r="T98" s="140">
        <f t="shared" si="80"/>
        <v>3.3382733485881791E-2</v>
      </c>
      <c r="U98" s="140">
        <f t="shared" si="80"/>
        <v>3.4666376976814801E-2</v>
      </c>
      <c r="V98" s="140">
        <f t="shared" si="80"/>
        <v>5.2304154074967989E-2</v>
      </c>
      <c r="W98" s="140">
        <f t="shared" ref="W98" si="81">IF(W6=0,0,W6/W$4)</f>
        <v>4.9220248527308871E-2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0.73096206130488695</v>
      </c>
      <c r="C99" s="140">
        <f t="shared" si="82"/>
        <v>0.73257317093491758</v>
      </c>
      <c r="D99" s="140">
        <f t="shared" si="82"/>
        <v>0.73278806776516148</v>
      </c>
      <c r="E99" s="140">
        <f t="shared" si="82"/>
        <v>0.72821787723928411</v>
      </c>
      <c r="F99" s="140">
        <f t="shared" si="82"/>
        <v>0.71831642400346341</v>
      </c>
      <c r="G99" s="140">
        <f t="shared" si="82"/>
        <v>0.69813390277212672</v>
      </c>
      <c r="H99" s="140">
        <f t="shared" si="82"/>
        <v>0.6930994962890954</v>
      </c>
      <c r="I99" s="140">
        <f t="shared" si="82"/>
        <v>0.69145556132229724</v>
      </c>
      <c r="J99" s="140">
        <f t="shared" si="82"/>
        <v>0.69253790190678266</v>
      </c>
      <c r="K99" s="140">
        <f t="shared" si="82"/>
        <v>0.71284921202771678</v>
      </c>
      <c r="L99" s="140">
        <f t="shared" si="82"/>
        <v>0.70138878126400173</v>
      </c>
      <c r="M99" s="140">
        <f t="shared" si="82"/>
        <v>0.68593867659175234</v>
      </c>
      <c r="N99" s="140">
        <f t="shared" si="82"/>
        <v>0.65718172014915599</v>
      </c>
      <c r="O99" s="140">
        <f t="shared" si="82"/>
        <v>0.67252969683010311</v>
      </c>
      <c r="P99" s="140">
        <f t="shared" si="82"/>
        <v>0.67692811505444361</v>
      </c>
      <c r="Q99" s="140">
        <f t="shared" si="82"/>
        <v>0.68350217834770721</v>
      </c>
      <c r="R99" s="140">
        <f t="shared" ref="R99:V99" si="83">IF(R7=0,0,R7/R$4)</f>
        <v>0.68721191644563662</v>
      </c>
      <c r="S99" s="140">
        <f t="shared" si="83"/>
        <v>0.69293504101450021</v>
      </c>
      <c r="T99" s="140">
        <f t="shared" si="83"/>
        <v>0.67859054476889691</v>
      </c>
      <c r="U99" s="140">
        <f t="shared" si="83"/>
        <v>0.67218097753562445</v>
      </c>
      <c r="V99" s="140">
        <f t="shared" si="83"/>
        <v>0.75768814969595177</v>
      </c>
      <c r="W99" s="140">
        <f t="shared" ref="W99" si="84">IF(W7=0,0,W7/W$4)</f>
        <v>0.72215182598272443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9.5649589006730124E-2</v>
      </c>
      <c r="C100" s="140">
        <f t="shared" si="85"/>
        <v>9.7628495504647292E-2</v>
      </c>
      <c r="D100" s="140">
        <f t="shared" si="85"/>
        <v>9.8777738283332112E-2</v>
      </c>
      <c r="E100" s="140">
        <f t="shared" si="85"/>
        <v>9.8883743142426331E-2</v>
      </c>
      <c r="F100" s="140">
        <f t="shared" si="85"/>
        <v>9.8509503496720122E-2</v>
      </c>
      <c r="G100" s="140">
        <f t="shared" si="85"/>
        <v>0.10410332728785118</v>
      </c>
      <c r="H100" s="140">
        <f t="shared" si="85"/>
        <v>0.10561579580645612</v>
      </c>
      <c r="I100" s="140">
        <f t="shared" si="85"/>
        <v>0.10484029911656211</v>
      </c>
      <c r="J100" s="140">
        <f t="shared" si="85"/>
        <v>0.10488837672822718</v>
      </c>
      <c r="K100" s="140">
        <f t="shared" si="85"/>
        <v>0.10070820038906278</v>
      </c>
      <c r="L100" s="140">
        <f t="shared" si="85"/>
        <v>0.10265791295984336</v>
      </c>
      <c r="M100" s="140">
        <f t="shared" si="85"/>
        <v>0.10561753268277521</v>
      </c>
      <c r="N100" s="140">
        <f t="shared" si="85"/>
        <v>0.11528515621354754</v>
      </c>
      <c r="O100" s="140">
        <f t="shared" si="85"/>
        <v>0.11032701113919417</v>
      </c>
      <c r="P100" s="140">
        <f t="shared" si="85"/>
        <v>0.1082440611526895</v>
      </c>
      <c r="Q100" s="140">
        <f t="shared" si="85"/>
        <v>0.10359299889146906</v>
      </c>
      <c r="R100" s="140">
        <f t="shared" ref="R100:V100" si="86">IF(R8=0,0,R8/R$4)</f>
        <v>9.9796339760159655E-2</v>
      </c>
      <c r="S100" s="140">
        <f t="shared" si="86"/>
        <v>9.5513575403940357E-2</v>
      </c>
      <c r="T100" s="140">
        <f t="shared" si="86"/>
        <v>9.6654662290916071E-2</v>
      </c>
      <c r="U100" s="140">
        <f t="shared" si="86"/>
        <v>9.571408380897381E-2</v>
      </c>
      <c r="V100" s="140">
        <f t="shared" si="86"/>
        <v>8.9653482626695341E-2</v>
      </c>
      <c r="W100" s="140">
        <f t="shared" ref="W100" si="87">IF(W8=0,0,W8/W$4)</f>
        <v>0.11190200790057904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5.6497053939731673E-2</v>
      </c>
      <c r="C101" s="124">
        <f t="shared" si="88"/>
        <v>5.6849699795658633E-2</v>
      </c>
      <c r="D101" s="124">
        <f t="shared" si="88"/>
        <v>5.6115996521923867E-2</v>
      </c>
      <c r="E101" s="124">
        <f t="shared" si="88"/>
        <v>5.4996092744171082E-2</v>
      </c>
      <c r="F101" s="124">
        <f t="shared" si="88"/>
        <v>5.4566325718978126E-2</v>
      </c>
      <c r="G101" s="124">
        <f t="shared" si="88"/>
        <v>5.7873794375419216E-2</v>
      </c>
      <c r="H101" s="124">
        <f t="shared" si="88"/>
        <v>5.787043342890992E-2</v>
      </c>
      <c r="I101" s="124">
        <f t="shared" si="88"/>
        <v>5.7706742858074381E-2</v>
      </c>
      <c r="J101" s="124">
        <f t="shared" si="88"/>
        <v>5.7757312271674952E-2</v>
      </c>
      <c r="K101" s="124">
        <f t="shared" si="88"/>
        <v>5.4531709159995133E-2</v>
      </c>
      <c r="L101" s="124">
        <f t="shared" si="88"/>
        <v>5.4487962782225424E-2</v>
      </c>
      <c r="M101" s="124">
        <f t="shared" si="88"/>
        <v>5.5610965141041892E-2</v>
      </c>
      <c r="N101" s="124">
        <f t="shared" si="88"/>
        <v>6.0528341188366329E-2</v>
      </c>
      <c r="O101" s="124">
        <f t="shared" si="88"/>
        <v>5.9974660875048033E-2</v>
      </c>
      <c r="P101" s="124">
        <f t="shared" si="88"/>
        <v>5.9605514716212137E-2</v>
      </c>
      <c r="Q101" s="124">
        <f t="shared" si="88"/>
        <v>5.9659275669042486E-2</v>
      </c>
      <c r="R101" s="124">
        <f t="shared" ref="R101:V101" si="89">IF(R9=0,0,R9/R$4)</f>
        <v>5.7672677643711402E-2</v>
      </c>
      <c r="S101" s="124">
        <f t="shared" si="89"/>
        <v>5.6287326986944081E-2</v>
      </c>
      <c r="T101" s="124">
        <f t="shared" si="89"/>
        <v>5.892494013815746E-2</v>
      </c>
      <c r="U101" s="124">
        <f t="shared" si="89"/>
        <v>5.8919047112808327E-2</v>
      </c>
      <c r="V101" s="124">
        <f t="shared" si="89"/>
        <v>4.1371130080531532E-2</v>
      </c>
      <c r="W101" s="124">
        <f t="shared" ref="W101" si="90">IF(W9=0,0,W9/W$4)</f>
        <v>4.6541537391297974E-2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5.7424974027472115E-3</v>
      </c>
      <c r="C102" s="140">
        <f t="shared" si="91"/>
        <v>5.7079488396287814E-3</v>
      </c>
      <c r="D102" s="140">
        <f t="shared" si="91"/>
        <v>5.983848946919168E-3</v>
      </c>
      <c r="E102" s="140">
        <f t="shared" si="91"/>
        <v>6.0193777673432551E-3</v>
      </c>
      <c r="F102" s="140">
        <f t="shared" si="91"/>
        <v>5.9297270298496836E-3</v>
      </c>
      <c r="G102" s="140">
        <f t="shared" si="91"/>
        <v>6.223265845654277E-3</v>
      </c>
      <c r="H102" s="140">
        <f t="shared" si="91"/>
        <v>6.4354004587015689E-3</v>
      </c>
      <c r="I102" s="140">
        <f t="shared" si="91"/>
        <v>6.8680266475630511E-3</v>
      </c>
      <c r="J102" s="140">
        <f t="shared" si="91"/>
        <v>7.0486692965219533E-3</v>
      </c>
      <c r="K102" s="140">
        <f t="shared" si="91"/>
        <v>6.879835764883175E-3</v>
      </c>
      <c r="L102" s="140">
        <f t="shared" si="91"/>
        <v>7.1134133330845581E-3</v>
      </c>
      <c r="M102" s="140">
        <f t="shared" si="91"/>
        <v>7.3147904648812063E-3</v>
      </c>
      <c r="N102" s="140">
        <f t="shared" si="91"/>
        <v>7.4250763586982205E-3</v>
      </c>
      <c r="O102" s="140">
        <f t="shared" si="91"/>
        <v>7.1375949822192622E-3</v>
      </c>
      <c r="P102" s="140">
        <f t="shared" si="91"/>
        <v>7.0059722478259629E-3</v>
      </c>
      <c r="Q102" s="140">
        <f t="shared" si="91"/>
        <v>6.9002038497200319E-3</v>
      </c>
      <c r="R102" s="140">
        <f t="shared" ref="R102:V102" si="92">IF(R10=0,0,R10/R$4)</f>
        <v>6.7780708706943358E-3</v>
      </c>
      <c r="S102" s="140">
        <f t="shared" si="92"/>
        <v>6.7710370705332335E-3</v>
      </c>
      <c r="T102" s="140">
        <f t="shared" si="92"/>
        <v>6.8328974585109307E-3</v>
      </c>
      <c r="U102" s="140">
        <f t="shared" si="92"/>
        <v>6.9876888585190438E-3</v>
      </c>
      <c r="V102" s="140">
        <f t="shared" si="92"/>
        <v>6.8165694412937903E-3</v>
      </c>
      <c r="W102" s="140">
        <f t="shared" ref="W102" si="93">IF(W10=0,0,W10/W$4)</f>
        <v>7.954782257557037E-3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4.5547228316474841E-2</v>
      </c>
      <c r="C103" s="140">
        <f t="shared" si="94"/>
        <v>4.4234816262451494E-2</v>
      </c>
      <c r="D103" s="140">
        <f t="shared" si="94"/>
        <v>4.2935260090502768E-2</v>
      </c>
      <c r="E103" s="140">
        <f t="shared" si="94"/>
        <v>4.150303140303873E-2</v>
      </c>
      <c r="F103" s="140">
        <f t="shared" si="94"/>
        <v>4.0810938953648221E-2</v>
      </c>
      <c r="G103" s="140">
        <f t="shared" si="94"/>
        <v>4.2833805583560459E-2</v>
      </c>
      <c r="H103" s="140">
        <f t="shared" si="94"/>
        <v>4.2301048436373605E-2</v>
      </c>
      <c r="I103" s="140">
        <f t="shared" si="94"/>
        <v>4.1833175842004119E-2</v>
      </c>
      <c r="J103" s="140">
        <f t="shared" si="94"/>
        <v>4.1618276035216638E-2</v>
      </c>
      <c r="K103" s="140">
        <f t="shared" si="94"/>
        <v>3.7011298390875545E-2</v>
      </c>
      <c r="L103" s="140">
        <f t="shared" si="94"/>
        <v>3.5718514177865139E-2</v>
      </c>
      <c r="M103" s="140">
        <f t="shared" si="94"/>
        <v>3.5632669210320538E-2</v>
      </c>
      <c r="N103" s="140">
        <f t="shared" si="94"/>
        <v>3.8573373894644394E-2</v>
      </c>
      <c r="O103" s="140">
        <f t="shared" si="94"/>
        <v>3.8967322544937934E-2</v>
      </c>
      <c r="P103" s="140">
        <f t="shared" si="94"/>
        <v>3.9128786691607492E-2</v>
      </c>
      <c r="Q103" s="140">
        <f t="shared" si="94"/>
        <v>3.982977948579608E-2</v>
      </c>
      <c r="R103" s="140">
        <f t="shared" ref="R103:V103" si="95">IF(R11=0,0,R11/R$4)</f>
        <v>3.8415309216582573E-2</v>
      </c>
      <c r="S103" s="140">
        <f t="shared" si="95"/>
        <v>3.7618836401900606E-2</v>
      </c>
      <c r="T103" s="140">
        <f t="shared" si="95"/>
        <v>4.0085893690176164E-2</v>
      </c>
      <c r="U103" s="140">
        <f t="shared" si="95"/>
        <v>4.0193435940070923E-2</v>
      </c>
      <c r="V103" s="140">
        <f t="shared" si="95"/>
        <v>2.6744274869332636E-2</v>
      </c>
      <c r="W103" s="140">
        <f t="shared" ref="W103" si="96">IF(W11=0,0,W11/W$4)</f>
        <v>2.9865081960861666E-2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5.2073282205096225E-3</v>
      </c>
      <c r="C104" s="140">
        <f t="shared" si="97"/>
        <v>6.9069346935783588E-3</v>
      </c>
      <c r="D104" s="140">
        <f t="shared" si="97"/>
        <v>7.1968874845019324E-3</v>
      </c>
      <c r="E104" s="140">
        <f t="shared" si="97"/>
        <v>7.4736835737890953E-3</v>
      </c>
      <c r="F104" s="140">
        <f t="shared" si="97"/>
        <v>7.8256597354802223E-3</v>
      </c>
      <c r="G104" s="140">
        <f t="shared" si="97"/>
        <v>8.8167229462044854E-3</v>
      </c>
      <c r="H104" s="140">
        <f t="shared" si="97"/>
        <v>9.1339845338347485E-3</v>
      </c>
      <c r="I104" s="140">
        <f t="shared" si="97"/>
        <v>9.0055403685072102E-3</v>
      </c>
      <c r="J104" s="140">
        <f t="shared" si="97"/>
        <v>9.0903669399363604E-3</v>
      </c>
      <c r="K104" s="140">
        <f t="shared" si="97"/>
        <v>1.0640575004236413E-2</v>
      </c>
      <c r="L104" s="140">
        <f t="shared" si="97"/>
        <v>1.1656035271275728E-2</v>
      </c>
      <c r="M104" s="140">
        <f t="shared" si="97"/>
        <v>1.2663505465840148E-2</v>
      </c>
      <c r="N104" s="140">
        <f t="shared" si="97"/>
        <v>1.4529890935023713E-2</v>
      </c>
      <c r="O104" s="140">
        <f t="shared" si="97"/>
        <v>1.3869743347890831E-2</v>
      </c>
      <c r="P104" s="140">
        <f t="shared" si="97"/>
        <v>1.3470755776778684E-2</v>
      </c>
      <c r="Q104" s="140">
        <f t="shared" si="97"/>
        <v>1.2929292333526375E-2</v>
      </c>
      <c r="R104" s="140">
        <f t="shared" ref="R104:V104" si="98">IF(R12=0,0,R12/R$4)</f>
        <v>1.2479297556434499E-2</v>
      </c>
      <c r="S104" s="140">
        <f t="shared" si="98"/>
        <v>1.1897453514510242E-2</v>
      </c>
      <c r="T104" s="140">
        <f t="shared" si="98"/>
        <v>1.2006148989470368E-2</v>
      </c>
      <c r="U104" s="140">
        <f t="shared" si="98"/>
        <v>1.1737922314218356E-2</v>
      </c>
      <c r="V104" s="140">
        <f t="shared" si="98"/>
        <v>7.8102857699051112E-3</v>
      </c>
      <c r="W104" s="140">
        <f t="shared" ref="W104" si="99">IF(W12=0,0,W12/W$4)</f>
        <v>8.7216731728792709E-3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7.0237260771044974E-2</v>
      </c>
      <c r="C105" s="124">
        <f t="shared" si="100"/>
        <v>6.4681917346898973E-2</v>
      </c>
      <c r="D105" s="124">
        <f t="shared" si="100"/>
        <v>6.489733302376742E-2</v>
      </c>
      <c r="E105" s="124">
        <f t="shared" si="100"/>
        <v>7.0142012257992922E-2</v>
      </c>
      <c r="F105" s="124">
        <f t="shared" si="100"/>
        <v>7.931509387001974E-2</v>
      </c>
      <c r="G105" s="124">
        <f t="shared" si="100"/>
        <v>8.854772053441598E-2</v>
      </c>
      <c r="H105" s="124">
        <f t="shared" si="100"/>
        <v>9.4414115278319652E-2</v>
      </c>
      <c r="I105" s="124">
        <f t="shared" si="100"/>
        <v>0.10323541224129963</v>
      </c>
      <c r="J105" s="124">
        <f t="shared" si="100"/>
        <v>9.9316353865250714E-2</v>
      </c>
      <c r="K105" s="124">
        <f t="shared" si="100"/>
        <v>9.2364628624733908E-2</v>
      </c>
      <c r="L105" s="124">
        <f t="shared" si="100"/>
        <v>0.10123759313383159</v>
      </c>
      <c r="M105" s="124">
        <f t="shared" si="100"/>
        <v>0.10822772185574894</v>
      </c>
      <c r="N105" s="124">
        <f t="shared" si="100"/>
        <v>0.11894970389376916</v>
      </c>
      <c r="O105" s="124">
        <f t="shared" si="100"/>
        <v>0.11240154310757072</v>
      </c>
      <c r="P105" s="124">
        <f t="shared" si="100"/>
        <v>0.11224259191301504</v>
      </c>
      <c r="Q105" s="124">
        <f t="shared" si="100"/>
        <v>0.11394293069466863</v>
      </c>
      <c r="R105" s="124">
        <f t="shared" ref="R105:V105" si="101">IF(R13=0,0,R13/R$4)</f>
        <v>0.11665055864582305</v>
      </c>
      <c r="S105" s="124">
        <f t="shared" si="101"/>
        <v>0.12051095464664226</v>
      </c>
      <c r="T105" s="124">
        <f t="shared" si="101"/>
        <v>0.13244711931614764</v>
      </c>
      <c r="U105" s="124">
        <f t="shared" si="101"/>
        <v>0.13851951456577852</v>
      </c>
      <c r="V105" s="124">
        <f t="shared" si="101"/>
        <v>5.8983083521853365E-2</v>
      </c>
      <c r="W105" s="124">
        <f t="shared" ref="W105" si="102">IF(W13=0,0,W13/W$4)</f>
        <v>7.0184380198089868E-2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1.4727082310632102E-2</v>
      </c>
      <c r="C106" s="140">
        <f t="shared" si="103"/>
        <v>1.3669356011014246E-2</v>
      </c>
      <c r="D106" s="140">
        <f t="shared" si="103"/>
        <v>1.3814687670426646E-2</v>
      </c>
      <c r="E106" s="140">
        <f t="shared" si="103"/>
        <v>1.5226520073777906E-2</v>
      </c>
      <c r="F106" s="140">
        <f t="shared" si="103"/>
        <v>1.5191615289033622E-2</v>
      </c>
      <c r="G106" s="140">
        <f t="shared" si="103"/>
        <v>1.591189134206842E-2</v>
      </c>
      <c r="H106" s="140">
        <f t="shared" si="103"/>
        <v>1.6768312246321151E-2</v>
      </c>
      <c r="I106" s="140">
        <f t="shared" si="103"/>
        <v>1.8733505081083623E-2</v>
      </c>
      <c r="J106" s="140">
        <f t="shared" si="103"/>
        <v>1.828994435148628E-2</v>
      </c>
      <c r="K106" s="140">
        <f t="shared" si="103"/>
        <v>1.8456724026670545E-2</v>
      </c>
      <c r="L106" s="140">
        <f t="shared" si="103"/>
        <v>1.9976963020179192E-2</v>
      </c>
      <c r="M106" s="140">
        <f t="shared" si="103"/>
        <v>2.1968763135324764E-2</v>
      </c>
      <c r="N106" s="140">
        <f t="shared" si="103"/>
        <v>2.2644148693343791E-2</v>
      </c>
      <c r="O106" s="140">
        <f t="shared" si="103"/>
        <v>2.0552707427711567E-2</v>
      </c>
      <c r="P106" s="140">
        <f t="shared" si="103"/>
        <v>1.8879936574512642E-2</v>
      </c>
      <c r="Q106" s="140">
        <f t="shared" si="103"/>
        <v>1.9859435122601868E-2</v>
      </c>
      <c r="R106" s="140">
        <f t="shared" ref="R106:V106" si="104">IF(R14=0,0,R14/R$4)</f>
        <v>1.9909761428349586E-2</v>
      </c>
      <c r="S106" s="140">
        <f t="shared" si="104"/>
        <v>1.9852141848356833E-2</v>
      </c>
      <c r="T106" s="140">
        <f t="shared" si="104"/>
        <v>2.0850364456966652E-2</v>
      </c>
      <c r="U106" s="140">
        <f t="shared" si="104"/>
        <v>2.0841638489205522E-2</v>
      </c>
      <c r="V106" s="140">
        <f t="shared" si="104"/>
        <v>1.3814299612632513E-2</v>
      </c>
      <c r="W106" s="140">
        <f t="shared" ref="W106" si="105">IF(W14=0,0,W14/W$4)</f>
        <v>2.1782273536898513E-2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2.4326012779561999E-2</v>
      </c>
      <c r="C107" s="140">
        <f t="shared" si="106"/>
        <v>2.2473355646334337E-2</v>
      </c>
      <c r="D107" s="140">
        <f t="shared" si="106"/>
        <v>2.2501004674866792E-2</v>
      </c>
      <c r="E107" s="140">
        <f t="shared" si="106"/>
        <v>2.5737040261396386E-2</v>
      </c>
      <c r="F107" s="140">
        <f t="shared" si="106"/>
        <v>2.8344411416975718E-2</v>
      </c>
      <c r="G107" s="140">
        <f t="shared" si="106"/>
        <v>3.3202745360429962E-2</v>
      </c>
      <c r="H107" s="140">
        <f t="shared" si="106"/>
        <v>3.5239833013602229E-2</v>
      </c>
      <c r="I107" s="140">
        <f t="shared" si="106"/>
        <v>3.7443141269758735E-2</v>
      </c>
      <c r="J107" s="140">
        <f t="shared" si="106"/>
        <v>3.5195022115127123E-2</v>
      </c>
      <c r="K107" s="140">
        <f t="shared" si="106"/>
        <v>3.2435065466699504E-2</v>
      </c>
      <c r="L107" s="140">
        <f t="shared" si="106"/>
        <v>3.5030360264610191E-2</v>
      </c>
      <c r="M107" s="140">
        <f t="shared" si="106"/>
        <v>3.9498473765488963E-2</v>
      </c>
      <c r="N107" s="140">
        <f t="shared" si="106"/>
        <v>4.3095819576394134E-2</v>
      </c>
      <c r="O107" s="140">
        <f t="shared" si="106"/>
        <v>4.1089276844495953E-2</v>
      </c>
      <c r="P107" s="140">
        <f t="shared" si="106"/>
        <v>4.2106259064156638E-2</v>
      </c>
      <c r="Q107" s="140">
        <f t="shared" si="106"/>
        <v>4.3783163381508838E-2</v>
      </c>
      <c r="R107" s="140">
        <f t="shared" ref="R107:V107" si="107">IF(R15=0,0,R15/R$4)</f>
        <v>4.6110582456344217E-2</v>
      </c>
      <c r="S107" s="140">
        <f t="shared" si="107"/>
        <v>4.745342700380005E-2</v>
      </c>
      <c r="T107" s="140">
        <f t="shared" si="107"/>
        <v>5.0812818938613648E-2</v>
      </c>
      <c r="U107" s="140">
        <f t="shared" si="107"/>
        <v>5.19159262461577E-2</v>
      </c>
      <c r="V107" s="140">
        <f t="shared" si="107"/>
        <v>2.0827037963826664E-2</v>
      </c>
      <c r="W107" s="140">
        <f t="shared" ref="W107" si="108">IF(W15=0,0,W15/W$4)</f>
        <v>2.6180807647637232E-2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3.1184165680850886E-2</v>
      </c>
      <c r="C108" s="140">
        <f t="shared" si="109"/>
        <v>2.8539205689550394E-2</v>
      </c>
      <c r="D108" s="140">
        <f t="shared" si="109"/>
        <v>2.8581640678473987E-2</v>
      </c>
      <c r="E108" s="140">
        <f t="shared" si="109"/>
        <v>2.9178451922818635E-2</v>
      </c>
      <c r="F108" s="140">
        <f t="shared" si="109"/>
        <v>3.5779067164010407E-2</v>
      </c>
      <c r="G108" s="140">
        <f t="shared" si="109"/>
        <v>3.9433083831917591E-2</v>
      </c>
      <c r="H108" s="140">
        <f t="shared" si="109"/>
        <v>4.2405970018396258E-2</v>
      </c>
      <c r="I108" s="140">
        <f t="shared" si="109"/>
        <v>4.7058765890457266E-2</v>
      </c>
      <c r="J108" s="140">
        <f t="shared" si="109"/>
        <v>4.5831387398637319E-2</v>
      </c>
      <c r="K108" s="140">
        <f t="shared" si="109"/>
        <v>4.1472839131363862E-2</v>
      </c>
      <c r="L108" s="140">
        <f t="shared" si="109"/>
        <v>4.6230269849042202E-2</v>
      </c>
      <c r="M108" s="140">
        <f t="shared" si="109"/>
        <v>4.6760484954935212E-2</v>
      </c>
      <c r="N108" s="140">
        <f t="shared" si="109"/>
        <v>5.3209735624031231E-2</v>
      </c>
      <c r="O108" s="140">
        <f t="shared" si="109"/>
        <v>5.0759558835363199E-2</v>
      </c>
      <c r="P108" s="140">
        <f t="shared" si="109"/>
        <v>5.1256396274345757E-2</v>
      </c>
      <c r="Q108" s="140">
        <f t="shared" si="109"/>
        <v>5.0300332190557934E-2</v>
      </c>
      <c r="R108" s="140">
        <f t="shared" ref="R108:V108" si="110">IF(R16=0,0,R16/R$4)</f>
        <v>5.0630214761129236E-2</v>
      </c>
      <c r="S108" s="140">
        <f t="shared" si="110"/>
        <v>5.3205385794485381E-2</v>
      </c>
      <c r="T108" s="140">
        <f t="shared" si="110"/>
        <v>6.0783935920567356E-2</v>
      </c>
      <c r="U108" s="140">
        <f t="shared" si="110"/>
        <v>6.5761949830415306E-2</v>
      </c>
      <c r="V108" s="140">
        <f t="shared" si="110"/>
        <v>2.4341745945394188E-2</v>
      </c>
      <c r="W108" s="140">
        <f t="shared" ref="W108" si="111">IF(W16=0,0,W16/W$4)</f>
        <v>2.222129901355412E-2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0.78800397151811374</v>
      </c>
      <c r="C110" s="139">
        <f t="shared" si="115"/>
        <v>0.79615843748589077</v>
      </c>
      <c r="D110" s="139">
        <f t="shared" si="115"/>
        <v>0.79458109244284625</v>
      </c>
      <c r="E110" s="139">
        <f t="shared" si="115"/>
        <v>0.77193002078468609</v>
      </c>
      <c r="F110" s="139">
        <f t="shared" si="115"/>
        <v>0.7841213468842998</v>
      </c>
      <c r="G110" s="139">
        <f t="shared" si="115"/>
        <v>0.78212483361482399</v>
      </c>
      <c r="H110" s="139">
        <f t="shared" si="115"/>
        <v>0.76557492323787313</v>
      </c>
      <c r="I110" s="139">
        <f t="shared" si="115"/>
        <v>0.74655086851958619</v>
      </c>
      <c r="J110" s="139">
        <f t="shared" si="115"/>
        <v>0.76170099644773626</v>
      </c>
      <c r="K110" s="139">
        <f t="shared" si="115"/>
        <v>0.76265877324863551</v>
      </c>
      <c r="L110" s="139">
        <f t="shared" si="115"/>
        <v>0.76471334278709235</v>
      </c>
      <c r="M110" s="139">
        <f t="shared" si="115"/>
        <v>0.72931132906664464</v>
      </c>
      <c r="N110" s="139">
        <f t="shared" si="115"/>
        <v>0.7164587748816581</v>
      </c>
      <c r="O110" s="139">
        <f t="shared" si="115"/>
        <v>0.72298563561482265</v>
      </c>
      <c r="P110" s="139">
        <f t="shared" si="115"/>
        <v>0.69636774971472593</v>
      </c>
      <c r="Q110" s="139">
        <f t="shared" si="115"/>
        <v>0.69538803848272623</v>
      </c>
      <c r="R110" s="139">
        <f t="shared" ref="R110:V110" si="116">IF(R18=0,0,R18/R$17)</f>
        <v>0.66815174003089284</v>
      </c>
      <c r="S110" s="139">
        <f t="shared" si="116"/>
        <v>0.67954168759986977</v>
      </c>
      <c r="T110" s="139">
        <f t="shared" si="116"/>
        <v>0.68927576608820296</v>
      </c>
      <c r="U110" s="139">
        <f t="shared" si="116"/>
        <v>0.71032500826864353</v>
      </c>
      <c r="V110" s="139">
        <f t="shared" si="116"/>
        <v>0.71188592017221697</v>
      </c>
      <c r="W110" s="139">
        <f t="shared" ref="W110" si="117">IF(W18=0,0,W18/W$17)</f>
        <v>0.72341613809358252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4.6436682169986199E-2</v>
      </c>
      <c r="C111" s="140">
        <f t="shared" si="118"/>
        <v>4.5979234092254406E-2</v>
      </c>
      <c r="D111" s="140">
        <f t="shared" si="118"/>
        <v>4.6505997153348591E-2</v>
      </c>
      <c r="E111" s="140">
        <f t="shared" si="118"/>
        <v>5.3433455106106087E-2</v>
      </c>
      <c r="F111" s="140">
        <f t="shared" si="118"/>
        <v>5.2284850527428206E-2</v>
      </c>
      <c r="G111" s="140">
        <f t="shared" si="118"/>
        <v>5.3097631780025557E-2</v>
      </c>
      <c r="H111" s="140">
        <f t="shared" si="118"/>
        <v>5.1227833549624985E-2</v>
      </c>
      <c r="I111" s="140">
        <f t="shared" si="118"/>
        <v>5.4270625964327295E-2</v>
      </c>
      <c r="J111" s="140">
        <f t="shared" si="118"/>
        <v>5.5238802890046811E-2</v>
      </c>
      <c r="K111" s="140">
        <f t="shared" si="118"/>
        <v>5.8308625708744781E-2</v>
      </c>
      <c r="L111" s="140">
        <f t="shared" si="118"/>
        <v>6.0167290800166723E-2</v>
      </c>
      <c r="M111" s="140">
        <f t="shared" si="118"/>
        <v>6.816493756900413E-2</v>
      </c>
      <c r="N111" s="140">
        <f t="shared" si="118"/>
        <v>6.8334115315098642E-2</v>
      </c>
      <c r="O111" s="140">
        <f t="shared" si="118"/>
        <v>6.2190519510676688E-2</v>
      </c>
      <c r="P111" s="140">
        <f t="shared" si="118"/>
        <v>6.5438077734946518E-2</v>
      </c>
      <c r="Q111" s="140">
        <f t="shared" si="118"/>
        <v>5.5869342918011267E-2</v>
      </c>
      <c r="R111" s="140">
        <f t="shared" ref="R111:V111" si="119">IF(R19=0,0,R19/R$17)</f>
        <v>5.2222904695440567E-2</v>
      </c>
      <c r="S111" s="140">
        <f t="shared" si="119"/>
        <v>5.0550466437507401E-2</v>
      </c>
      <c r="T111" s="140">
        <f t="shared" si="119"/>
        <v>5.1521193810945866E-2</v>
      </c>
      <c r="U111" s="140">
        <f t="shared" si="119"/>
        <v>5.0298826423754085E-2</v>
      </c>
      <c r="V111" s="140">
        <f t="shared" si="119"/>
        <v>5.1214224542321621E-2</v>
      </c>
      <c r="W111" s="140">
        <f t="shared" ref="W111" si="120">IF(W19=0,0,W19/W$17)</f>
        <v>5.4949095943059086E-2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0.74156728934812755</v>
      </c>
      <c r="C112" s="140">
        <f t="shared" si="121"/>
        <v>0.75017920339363642</v>
      </c>
      <c r="D112" s="140">
        <f t="shared" si="121"/>
        <v>0.74807509528949767</v>
      </c>
      <c r="E112" s="140">
        <f t="shared" si="121"/>
        <v>0.71849656567858011</v>
      </c>
      <c r="F112" s="140">
        <f t="shared" si="121"/>
        <v>0.73183649635687165</v>
      </c>
      <c r="G112" s="140">
        <f t="shared" si="121"/>
        <v>0.72902720183479841</v>
      </c>
      <c r="H112" s="140">
        <f t="shared" si="121"/>
        <v>0.71434708968824823</v>
      </c>
      <c r="I112" s="140">
        <f t="shared" si="121"/>
        <v>0.69228024255525877</v>
      </c>
      <c r="J112" s="140">
        <f t="shared" si="121"/>
        <v>0.70646219355768947</v>
      </c>
      <c r="K112" s="140">
        <f t="shared" si="121"/>
        <v>0.70435014753989067</v>
      </c>
      <c r="L112" s="140">
        <f t="shared" si="121"/>
        <v>0.70454605198692566</v>
      </c>
      <c r="M112" s="140">
        <f t="shared" si="121"/>
        <v>0.66114639149764054</v>
      </c>
      <c r="N112" s="140">
        <f t="shared" si="121"/>
        <v>0.64812465956655951</v>
      </c>
      <c r="O112" s="140">
        <f t="shared" si="121"/>
        <v>0.66079511610414587</v>
      </c>
      <c r="P112" s="140">
        <f t="shared" si="121"/>
        <v>0.63092967197977945</v>
      </c>
      <c r="Q112" s="140">
        <f t="shared" si="121"/>
        <v>0.63951869556471497</v>
      </c>
      <c r="R112" s="140">
        <f t="shared" ref="R112:V112" si="122">IF(R20=0,0,R20/R$17)</f>
        <v>0.61592883533545217</v>
      </c>
      <c r="S112" s="140">
        <f t="shared" si="122"/>
        <v>0.62899122116236239</v>
      </c>
      <c r="T112" s="140">
        <f t="shared" si="122"/>
        <v>0.63775457227725707</v>
      </c>
      <c r="U112" s="140">
        <f t="shared" si="122"/>
        <v>0.66002618184488948</v>
      </c>
      <c r="V112" s="140">
        <f t="shared" si="122"/>
        <v>0.66067169562989525</v>
      </c>
      <c r="W112" s="140">
        <f t="shared" ref="W112" si="123">IF(W20=0,0,W20/W$17)</f>
        <v>0.66846704215052344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9.3159257577021787E-2</v>
      </c>
      <c r="C113" s="124">
        <f t="shared" si="124"/>
        <v>9.0803127459275282E-2</v>
      </c>
      <c r="D113" s="124">
        <f t="shared" si="124"/>
        <v>8.2902891685708552E-2</v>
      </c>
      <c r="E113" s="124">
        <f t="shared" si="124"/>
        <v>8.5730575127686948E-2</v>
      </c>
      <c r="F113" s="124">
        <f t="shared" si="124"/>
        <v>8.5697164881334248E-2</v>
      </c>
      <c r="G113" s="124">
        <f t="shared" si="124"/>
        <v>8.1358905194454115E-2</v>
      </c>
      <c r="H113" s="124">
        <f t="shared" si="124"/>
        <v>9.0767215662457768E-2</v>
      </c>
      <c r="I113" s="124">
        <f t="shared" si="124"/>
        <v>9.3707413241562829E-2</v>
      </c>
      <c r="J113" s="124">
        <f t="shared" si="124"/>
        <v>8.9788625732579216E-2</v>
      </c>
      <c r="K113" s="124">
        <f t="shared" si="124"/>
        <v>7.1027087472785203E-2</v>
      </c>
      <c r="L113" s="124">
        <f t="shared" si="124"/>
        <v>7.143432812809386E-2</v>
      </c>
      <c r="M113" s="124">
        <f t="shared" si="124"/>
        <v>8.3155561455989166E-2</v>
      </c>
      <c r="N113" s="124">
        <f t="shared" si="124"/>
        <v>9.4081405077307861E-2</v>
      </c>
      <c r="O113" s="124">
        <f t="shared" si="124"/>
        <v>8.8717728691529218E-2</v>
      </c>
      <c r="P113" s="124">
        <f t="shared" si="124"/>
        <v>9.5601991819313045E-2</v>
      </c>
      <c r="Q113" s="124">
        <f t="shared" si="124"/>
        <v>9.9200075889106509E-2</v>
      </c>
      <c r="R113" s="124">
        <f t="shared" ref="R113:V113" si="125">IF(R21=0,0,R21/R$17)</f>
        <v>0.10622241187018315</v>
      </c>
      <c r="S113" s="124">
        <f t="shared" si="125"/>
        <v>9.8879743817170226E-2</v>
      </c>
      <c r="T113" s="124">
        <f t="shared" si="125"/>
        <v>9.6231110724773958E-2</v>
      </c>
      <c r="U113" s="124">
        <f t="shared" si="125"/>
        <v>8.8843183870155773E-2</v>
      </c>
      <c r="V113" s="124">
        <f t="shared" si="125"/>
        <v>8.9680616000630153E-2</v>
      </c>
      <c r="W113" s="124">
        <f t="shared" ref="W113" si="126">IF(W21=0,0,W21/W$17)</f>
        <v>9.6603909680173919E-2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7.2019955974504321E-3</v>
      </c>
      <c r="C114" s="124">
        <f t="shared" si="127"/>
        <v>2.5133414790657616E-3</v>
      </c>
      <c r="D114" s="124">
        <f t="shared" si="127"/>
        <v>5.9169654324084907E-3</v>
      </c>
      <c r="E114" s="124">
        <f t="shared" si="127"/>
        <v>6.7398657052610382E-3</v>
      </c>
      <c r="F114" s="124">
        <f t="shared" si="127"/>
        <v>6.5491055555526468E-3</v>
      </c>
      <c r="G114" s="124">
        <f t="shared" si="127"/>
        <v>6.6631448176766228E-3</v>
      </c>
      <c r="H114" s="124">
        <f t="shared" si="127"/>
        <v>7.7313191828061569E-3</v>
      </c>
      <c r="I114" s="124">
        <f t="shared" si="127"/>
        <v>8.6106245257137216E-3</v>
      </c>
      <c r="J114" s="124">
        <f t="shared" si="127"/>
        <v>7.5683909581122479E-3</v>
      </c>
      <c r="K114" s="124">
        <f t="shared" si="127"/>
        <v>6.883439496814369E-3</v>
      </c>
      <c r="L114" s="124">
        <f t="shared" si="127"/>
        <v>8.4537248334366159E-3</v>
      </c>
      <c r="M114" s="124">
        <f t="shared" si="127"/>
        <v>1.0025979261633186E-2</v>
      </c>
      <c r="N114" s="124">
        <f t="shared" si="127"/>
        <v>9.9881584412779383E-3</v>
      </c>
      <c r="O114" s="124">
        <f t="shared" si="127"/>
        <v>1.0548389713945346E-2</v>
      </c>
      <c r="P114" s="124">
        <f t="shared" si="127"/>
        <v>1.2228059484237408E-2</v>
      </c>
      <c r="Q114" s="124">
        <f t="shared" si="127"/>
        <v>1.4322613799237962E-2</v>
      </c>
      <c r="R114" s="124">
        <f t="shared" ref="R114:V114" si="128">IF(R22=0,0,R22/R$17)</f>
        <v>1.5951206831699819E-2</v>
      </c>
      <c r="S114" s="124">
        <f t="shared" si="128"/>
        <v>1.6921099862581182E-2</v>
      </c>
      <c r="T114" s="124">
        <f t="shared" si="128"/>
        <v>1.6763733096485642E-2</v>
      </c>
      <c r="U114" s="124">
        <f t="shared" si="128"/>
        <v>1.6479320358265676E-2</v>
      </c>
      <c r="V114" s="124">
        <f t="shared" si="128"/>
        <v>1.1214066173368245E-2</v>
      </c>
      <c r="W114" s="124">
        <f t="shared" ref="W114" si="129">IF(W22=0,0,W22/W$17)</f>
        <v>1.117502423193065E-2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8.9774823270195829E-5</v>
      </c>
      <c r="C115" s="140">
        <f t="shared" si="130"/>
        <v>1.65461567586056E-4</v>
      </c>
      <c r="D115" s="140">
        <f t="shared" si="130"/>
        <v>1.3844686447786589E-4</v>
      </c>
      <c r="E115" s="140">
        <f t="shared" si="130"/>
        <v>1.7232764623177868E-4</v>
      </c>
      <c r="F115" s="140">
        <f t="shared" si="130"/>
        <v>1.4476169950477976E-4</v>
      </c>
      <c r="G115" s="140">
        <f t="shared" si="130"/>
        <v>1.2234093018113936E-4</v>
      </c>
      <c r="H115" s="140">
        <f t="shared" si="130"/>
        <v>1.244951358391705E-4</v>
      </c>
      <c r="I115" s="140">
        <f t="shared" si="130"/>
        <v>1.3379058189206744E-4</v>
      </c>
      <c r="J115" s="140">
        <f t="shared" si="130"/>
        <v>1.1747721348090023E-4</v>
      </c>
      <c r="K115" s="140">
        <f t="shared" si="130"/>
        <v>1.1584027734364962E-4</v>
      </c>
      <c r="L115" s="140">
        <f t="shared" si="130"/>
        <v>1.1561596795022287E-4</v>
      </c>
      <c r="M115" s="140">
        <f t="shared" si="130"/>
        <v>1.2492972882954513E-4</v>
      </c>
      <c r="N115" s="140">
        <f t="shared" si="130"/>
        <v>1.1401006885927969E-4</v>
      </c>
      <c r="O115" s="140">
        <f t="shared" si="130"/>
        <v>1.0860394223964443E-4</v>
      </c>
      <c r="P115" s="140">
        <f t="shared" si="130"/>
        <v>1.042174801076568E-4</v>
      </c>
      <c r="Q115" s="140">
        <f t="shared" si="130"/>
        <v>1.0179428639636167E-4</v>
      </c>
      <c r="R115" s="140">
        <f t="shared" ref="R115:V116" si="131">IF(R23=0,0,R23/R$17)</f>
        <v>9.1168540085023055E-5</v>
      </c>
      <c r="S115" s="140">
        <f t="shared" si="131"/>
        <v>8.6046681478166496E-5</v>
      </c>
      <c r="T115" s="140">
        <f t="shared" si="131"/>
        <v>8.8386746170592779E-5</v>
      </c>
      <c r="U115" s="140">
        <f t="shared" si="131"/>
        <v>1.0032019852486898E-4</v>
      </c>
      <c r="V115" s="140">
        <f t="shared" si="131"/>
        <v>9.6509954709963951E-5</v>
      </c>
      <c r="W115" s="140">
        <f t="shared" ref="W115" si="132">IF(W23=0,0,W23/W$17)</f>
        <v>1.232961002763899E-4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3.5116258352820001E-4</v>
      </c>
      <c r="C116" s="140">
        <f t="shared" si="133"/>
        <v>1.6920233854659345E-4</v>
      </c>
      <c r="D116" s="140">
        <f t="shared" si="133"/>
        <v>6.5530772468730153E-4</v>
      </c>
      <c r="E116" s="140">
        <f t="shared" si="133"/>
        <v>7.9886542000627927E-4</v>
      </c>
      <c r="F116" s="140">
        <f t="shared" si="133"/>
        <v>8.0369180825086699E-4</v>
      </c>
      <c r="G116" s="140">
        <f t="shared" si="133"/>
        <v>7.8101359080489871E-4</v>
      </c>
      <c r="H116" s="140">
        <f t="shared" si="133"/>
        <v>7.4401789634222432E-4</v>
      </c>
      <c r="I116" s="140">
        <f t="shared" si="133"/>
        <v>7.7952773463839191E-4</v>
      </c>
      <c r="J116" s="140">
        <f t="shared" si="133"/>
        <v>7.0726898756339092E-4</v>
      </c>
      <c r="K116" s="140">
        <f t="shared" si="133"/>
        <v>7.0491625620912703E-4</v>
      </c>
      <c r="L116" s="140">
        <f t="shared" si="133"/>
        <v>6.3825308725898951E-4</v>
      </c>
      <c r="M116" s="140">
        <f t="shared" si="133"/>
        <v>6.758825911782763E-4</v>
      </c>
      <c r="N116" s="140">
        <f t="shared" si="133"/>
        <v>7.6275381416979074E-4</v>
      </c>
      <c r="O116" s="140">
        <f t="shared" si="133"/>
        <v>7.5016068345264608E-4</v>
      </c>
      <c r="P116" s="140">
        <f t="shared" si="133"/>
        <v>7.9288248430443528E-4</v>
      </c>
      <c r="Q116" s="140">
        <f t="shared" si="133"/>
        <v>8.6933598098357817E-4</v>
      </c>
      <c r="R116" s="140">
        <f t="shared" si="131"/>
        <v>8.4135989591327149E-4</v>
      </c>
      <c r="S116" s="140">
        <f t="shared" si="131"/>
        <v>8.0193556513741694E-4</v>
      </c>
      <c r="T116" s="140">
        <f t="shared" si="131"/>
        <v>8.0482628282662E-4</v>
      </c>
      <c r="U116" s="140">
        <f t="shared" si="131"/>
        <v>8.0277730567495547E-4</v>
      </c>
      <c r="V116" s="140">
        <f t="shared" si="131"/>
        <v>7.5596795295867602E-4</v>
      </c>
      <c r="W116" s="140">
        <f t="shared" ref="W116" si="134">IF(W24=0,0,W24/W$17)</f>
        <v>8.1116630499624581E-4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6.7610581906520362E-3</v>
      </c>
      <c r="C117" s="140">
        <f t="shared" si="135"/>
        <v>2.1786775729331119E-3</v>
      </c>
      <c r="D117" s="140">
        <f t="shared" si="135"/>
        <v>5.1232108432433228E-3</v>
      </c>
      <c r="E117" s="140">
        <f t="shared" si="135"/>
        <v>5.7686726390229802E-3</v>
      </c>
      <c r="F117" s="140">
        <f t="shared" si="135"/>
        <v>5.6006520477970001E-3</v>
      </c>
      <c r="G117" s="140">
        <f t="shared" si="135"/>
        <v>5.7597902966905843E-3</v>
      </c>
      <c r="H117" s="140">
        <f t="shared" si="135"/>
        <v>6.8628061506247626E-3</v>
      </c>
      <c r="I117" s="140">
        <f t="shared" si="135"/>
        <v>7.6973062091832611E-3</v>
      </c>
      <c r="J117" s="140">
        <f t="shared" si="135"/>
        <v>6.743644757067957E-3</v>
      </c>
      <c r="K117" s="140">
        <f t="shared" si="135"/>
        <v>6.0626829632615927E-3</v>
      </c>
      <c r="L117" s="140">
        <f t="shared" si="135"/>
        <v>7.6998557782274029E-3</v>
      </c>
      <c r="M117" s="140">
        <f t="shared" si="135"/>
        <v>9.2251669416253644E-3</v>
      </c>
      <c r="N117" s="140">
        <f t="shared" si="135"/>
        <v>9.1113945582488674E-3</v>
      </c>
      <c r="O117" s="140">
        <f t="shared" si="135"/>
        <v>9.6896250882530545E-3</v>
      </c>
      <c r="P117" s="140">
        <f t="shared" si="135"/>
        <v>1.1330959519825316E-2</v>
      </c>
      <c r="Q117" s="140">
        <f t="shared" si="135"/>
        <v>1.335148353185802E-2</v>
      </c>
      <c r="R117" s="140">
        <f t="shared" ref="R117:V117" si="136">IF(R25=0,0,R25/R$17)</f>
        <v>1.5018678395701524E-2</v>
      </c>
      <c r="S117" s="140">
        <f t="shared" si="136"/>
        <v>1.6033117615965597E-2</v>
      </c>
      <c r="T117" s="140">
        <f t="shared" si="136"/>
        <v>1.5870520067488431E-2</v>
      </c>
      <c r="U117" s="140">
        <f t="shared" si="136"/>
        <v>1.5576222854065852E-2</v>
      </c>
      <c r="V117" s="140">
        <f t="shared" si="136"/>
        <v>1.0361588265699606E-2</v>
      </c>
      <c r="W117" s="140">
        <f t="shared" ref="W117" si="137">IF(W25=0,0,W25/W$17)</f>
        <v>1.0240561826658015E-2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0.11163477530741391</v>
      </c>
      <c r="C118" s="124">
        <f t="shared" si="138"/>
        <v>0.11052509357576817</v>
      </c>
      <c r="D118" s="124">
        <f t="shared" si="138"/>
        <v>0.11659905043903671</v>
      </c>
      <c r="E118" s="124">
        <f t="shared" si="138"/>
        <v>0.13559953838236591</v>
      </c>
      <c r="F118" s="124">
        <f t="shared" si="138"/>
        <v>0.12363238267881331</v>
      </c>
      <c r="G118" s="124">
        <f t="shared" si="138"/>
        <v>0.12985311637304525</v>
      </c>
      <c r="H118" s="124">
        <f t="shared" si="138"/>
        <v>0.13592654191686282</v>
      </c>
      <c r="I118" s="124">
        <f t="shared" si="138"/>
        <v>0.15113109371313732</v>
      </c>
      <c r="J118" s="124">
        <f t="shared" si="138"/>
        <v>0.14094198686157208</v>
      </c>
      <c r="K118" s="124">
        <f t="shared" si="138"/>
        <v>0.1594306997817648</v>
      </c>
      <c r="L118" s="124">
        <f t="shared" si="138"/>
        <v>0.15539860425137714</v>
      </c>
      <c r="M118" s="124">
        <f t="shared" si="138"/>
        <v>0.17750713021573294</v>
      </c>
      <c r="N118" s="124">
        <f t="shared" si="138"/>
        <v>0.17947166159975603</v>
      </c>
      <c r="O118" s="124">
        <f t="shared" si="138"/>
        <v>0.17774824597970279</v>
      </c>
      <c r="P118" s="124">
        <f t="shared" si="138"/>
        <v>0.19580219898172357</v>
      </c>
      <c r="Q118" s="124">
        <f t="shared" si="138"/>
        <v>0.19108927182892935</v>
      </c>
      <c r="R118" s="124">
        <f t="shared" ref="R118:V118" si="139">IF(R26=0,0,R26/R$17)</f>
        <v>0.20967464126722415</v>
      </c>
      <c r="S118" s="124">
        <f t="shared" si="139"/>
        <v>0.20465746872037874</v>
      </c>
      <c r="T118" s="124">
        <f t="shared" si="139"/>
        <v>0.19772939009053753</v>
      </c>
      <c r="U118" s="124">
        <f t="shared" si="139"/>
        <v>0.1843524875029349</v>
      </c>
      <c r="V118" s="124">
        <f t="shared" si="139"/>
        <v>0.18721939765378473</v>
      </c>
      <c r="W118" s="124">
        <f t="shared" ref="W118" si="140">IF(W26=0,0,W26/W$17)</f>
        <v>0.1688049279943129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0.11094245630534066</v>
      </c>
      <c r="C119" s="140">
        <f t="shared" si="141"/>
        <v>0.10985321218637371</v>
      </c>
      <c r="D119" s="140">
        <f t="shared" si="141"/>
        <v>0.11623798447192563</v>
      </c>
      <c r="E119" s="140">
        <f t="shared" si="141"/>
        <v>0.13521597018525786</v>
      </c>
      <c r="F119" s="140">
        <f t="shared" si="141"/>
        <v>0.12320808841658921</v>
      </c>
      <c r="G119" s="140">
        <f t="shared" si="141"/>
        <v>0.12953588062610935</v>
      </c>
      <c r="H119" s="140">
        <f t="shared" si="141"/>
        <v>0.13564100722087755</v>
      </c>
      <c r="I119" s="140">
        <f t="shared" si="141"/>
        <v>0.15078643128753061</v>
      </c>
      <c r="J119" s="140">
        <f t="shared" si="141"/>
        <v>0.14070085253876208</v>
      </c>
      <c r="K119" s="140">
        <f t="shared" si="141"/>
        <v>0.15921511534449145</v>
      </c>
      <c r="L119" s="140">
        <f t="shared" si="141"/>
        <v>0.15498418077491419</v>
      </c>
      <c r="M119" s="140">
        <f t="shared" si="141"/>
        <v>0.17690196516546447</v>
      </c>
      <c r="N119" s="140">
        <f t="shared" si="141"/>
        <v>0.1790952244425113</v>
      </c>
      <c r="O119" s="140">
        <f t="shared" si="141"/>
        <v>0.1773334811610052</v>
      </c>
      <c r="P119" s="140">
        <f t="shared" si="141"/>
        <v>0.19549865542482342</v>
      </c>
      <c r="Q119" s="140">
        <f t="shared" si="141"/>
        <v>0.19079330894431723</v>
      </c>
      <c r="R119" s="140">
        <f t="shared" ref="R119:V119" si="142">IF(R27=0,0,R27/R$17)</f>
        <v>0.20936128702297874</v>
      </c>
      <c r="S119" s="140">
        <f t="shared" si="142"/>
        <v>0.20438741434953267</v>
      </c>
      <c r="T119" s="140">
        <f t="shared" si="142"/>
        <v>0.19740673027206751</v>
      </c>
      <c r="U119" s="140">
        <f t="shared" si="142"/>
        <v>0.1841231771123554</v>
      </c>
      <c r="V119" s="140">
        <f t="shared" si="142"/>
        <v>0.18668347493647977</v>
      </c>
      <c r="W119" s="140">
        <f t="shared" ref="W119" si="143">IF(W27=0,0,W27/W$17)</f>
        <v>0.16824749054664889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6.9231900207324701E-4</v>
      </c>
      <c r="C120" s="127">
        <f t="shared" si="144"/>
        <v>6.7188138939446485E-4</v>
      </c>
      <c r="D120" s="127">
        <f t="shared" si="144"/>
        <v>3.6106596711107741E-4</v>
      </c>
      <c r="E120" s="127">
        <f t="shared" si="144"/>
        <v>3.8356819710806092E-4</v>
      </c>
      <c r="F120" s="127">
        <f t="shared" si="144"/>
        <v>4.2429426222408779E-4</v>
      </c>
      <c r="G120" s="127">
        <f t="shared" si="144"/>
        <v>3.1723574693589049E-4</v>
      </c>
      <c r="H120" s="127">
        <f t="shared" si="144"/>
        <v>2.8553469598524149E-4</v>
      </c>
      <c r="I120" s="127">
        <f t="shared" si="144"/>
        <v>3.4466242560669737E-4</v>
      </c>
      <c r="J120" s="127">
        <f t="shared" si="144"/>
        <v>2.4113432280999832E-4</v>
      </c>
      <c r="K120" s="127">
        <f t="shared" si="144"/>
        <v>2.1558443727336297E-4</v>
      </c>
      <c r="L120" s="127">
        <f t="shared" si="144"/>
        <v>4.1442347646294248E-4</v>
      </c>
      <c r="M120" s="127">
        <f t="shared" si="144"/>
        <v>6.0516505026848128E-4</v>
      </c>
      <c r="N120" s="127">
        <f t="shared" si="144"/>
        <v>3.7643715724471137E-4</v>
      </c>
      <c r="O120" s="127">
        <f t="shared" si="144"/>
        <v>4.1476481869759423E-4</v>
      </c>
      <c r="P120" s="127">
        <f t="shared" si="144"/>
        <v>3.0354355690013568E-4</v>
      </c>
      <c r="Q120" s="127">
        <f t="shared" si="144"/>
        <v>2.9596288461212664E-4</v>
      </c>
      <c r="R120" s="127">
        <f t="shared" ref="R120:V120" si="145">IF(R28=0,0,R28/R$17)</f>
        <v>3.1335424424543286E-4</v>
      </c>
      <c r="S120" s="127">
        <f t="shared" si="145"/>
        <v>2.7005437084608836E-4</v>
      </c>
      <c r="T120" s="127">
        <f t="shared" si="145"/>
        <v>3.226598184700169E-4</v>
      </c>
      <c r="U120" s="127">
        <f t="shared" si="145"/>
        <v>2.293103905795001E-4</v>
      </c>
      <c r="V120" s="127">
        <f t="shared" si="145"/>
        <v>5.359227173049705E-4</v>
      </c>
      <c r="W120" s="127">
        <f t="shared" ref="W120" si="146">IF(W28=0,0,W28/W$17)</f>
        <v>5.574374476640157E-4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0.14075624620043309</v>
      </c>
      <c r="C122" s="140">
        <f>IF(C30=0,0,C30/C$29)</f>
        <v>0.1323983241397908</v>
      </c>
      <c r="D122" s="140">
        <f t="shared" ref="D122:W122" si="150">IF(D30=0,0,D30/D$29)</f>
        <v>0.14013441256291906</v>
      </c>
      <c r="E122" s="140">
        <f t="shared" si="150"/>
        <v>0.13725873823734588</v>
      </c>
      <c r="F122" s="140">
        <f t="shared" si="150"/>
        <v>0.12947594390959499</v>
      </c>
      <c r="G122" s="140">
        <f t="shared" si="150"/>
        <v>0.12420467939619274</v>
      </c>
      <c r="H122" s="140">
        <f t="shared" si="150"/>
        <v>0.12195881597083356</v>
      </c>
      <c r="I122" s="140">
        <f t="shared" si="150"/>
        <v>0.11660164042328522</v>
      </c>
      <c r="J122" s="140">
        <f t="shared" si="150"/>
        <v>0.13608574959097447</v>
      </c>
      <c r="K122" s="140">
        <f t="shared" si="150"/>
        <v>0.12971323041008878</v>
      </c>
      <c r="L122" s="140">
        <f t="shared" si="150"/>
        <v>0.13465033076271188</v>
      </c>
      <c r="M122" s="140">
        <f t="shared" si="150"/>
        <v>0.13250736988869219</v>
      </c>
      <c r="N122" s="140">
        <f t="shared" si="150"/>
        <v>0.13691647619952063</v>
      </c>
      <c r="O122" s="140">
        <f t="shared" si="150"/>
        <v>0.15347018603242638</v>
      </c>
      <c r="P122" s="140">
        <f t="shared" si="150"/>
        <v>0.14933606044703576</v>
      </c>
      <c r="Q122" s="140">
        <f t="shared" si="150"/>
        <v>0.13969976528285943</v>
      </c>
      <c r="R122" s="140">
        <f t="shared" si="150"/>
        <v>0.15721521122569537</v>
      </c>
      <c r="S122" s="140">
        <f t="shared" si="150"/>
        <v>0.1600647767189067</v>
      </c>
      <c r="T122" s="140">
        <f t="shared" si="150"/>
        <v>0.18644156792879396</v>
      </c>
      <c r="U122" s="140">
        <f t="shared" si="150"/>
        <v>0.16933980457901229</v>
      </c>
      <c r="V122" s="140">
        <f t="shared" si="150"/>
        <v>0.16780094664133841</v>
      </c>
      <c r="W122" s="140">
        <f t="shared" si="150"/>
        <v>0.15632638954536091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0.85924375379956697</v>
      </c>
      <c r="C123" s="127">
        <f>IF(C31=0,0,C31/C$29)</f>
        <v>0.8676016758602092</v>
      </c>
      <c r="D123" s="127">
        <f t="shared" ref="D123:W123" si="152">IF(D31=0,0,D31/D$29)</f>
        <v>0.85986558743708097</v>
      </c>
      <c r="E123" s="127">
        <f t="shared" si="152"/>
        <v>0.8627412617626542</v>
      </c>
      <c r="F123" s="127">
        <f t="shared" si="152"/>
        <v>0.87052405609040506</v>
      </c>
      <c r="G123" s="127">
        <f t="shared" si="152"/>
        <v>0.87579532060380727</v>
      </c>
      <c r="H123" s="127">
        <f t="shared" si="152"/>
        <v>0.87804118402916642</v>
      </c>
      <c r="I123" s="127">
        <f t="shared" si="152"/>
        <v>0.88339835957671475</v>
      </c>
      <c r="J123" s="127">
        <f t="shared" si="152"/>
        <v>0.86391425040902547</v>
      </c>
      <c r="K123" s="127">
        <f t="shared" si="152"/>
        <v>0.87028676958991125</v>
      </c>
      <c r="L123" s="127">
        <f t="shared" si="152"/>
        <v>0.86534966923728807</v>
      </c>
      <c r="M123" s="127">
        <f t="shared" si="152"/>
        <v>0.86749263011130795</v>
      </c>
      <c r="N123" s="127">
        <f t="shared" si="152"/>
        <v>0.86308352380047937</v>
      </c>
      <c r="O123" s="127">
        <f t="shared" si="152"/>
        <v>0.84652981396757365</v>
      </c>
      <c r="P123" s="127">
        <f t="shared" si="152"/>
        <v>0.85066393955296415</v>
      </c>
      <c r="Q123" s="127">
        <f t="shared" si="152"/>
        <v>0.86030023471714068</v>
      </c>
      <c r="R123" s="127">
        <f t="shared" si="152"/>
        <v>0.84278478877430452</v>
      </c>
      <c r="S123" s="127">
        <f t="shared" si="152"/>
        <v>0.83993522328109338</v>
      </c>
      <c r="T123" s="127">
        <f t="shared" si="152"/>
        <v>0.81355843207120604</v>
      </c>
      <c r="U123" s="127">
        <f t="shared" si="152"/>
        <v>0.83066019542098779</v>
      </c>
      <c r="V123" s="127">
        <f t="shared" si="152"/>
        <v>0.83219905335866162</v>
      </c>
      <c r="W123" s="127">
        <f t="shared" si="152"/>
        <v>0.84367361045463907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0.87740468924151982</v>
      </c>
      <c r="C127" s="139">
        <f t="shared" ref="C127:W127" si="155">IF(C35=0,0,C35/C$34)</f>
        <v>0.88436355886120666</v>
      </c>
      <c r="D127" s="139">
        <f t="shared" si="155"/>
        <v>0.88906860065950466</v>
      </c>
      <c r="E127" s="139">
        <f t="shared" si="155"/>
        <v>0.87732703758030228</v>
      </c>
      <c r="F127" s="139">
        <f t="shared" si="155"/>
        <v>0.88028306716041693</v>
      </c>
      <c r="G127" s="139">
        <f t="shared" si="155"/>
        <v>0.87293378616401507</v>
      </c>
      <c r="H127" s="139">
        <f t="shared" si="155"/>
        <v>0.86912798766346366</v>
      </c>
      <c r="I127" s="139">
        <f t="shared" si="155"/>
        <v>0.86258017177835355</v>
      </c>
      <c r="J127" s="139">
        <f t="shared" si="155"/>
        <v>0.86483725446907178</v>
      </c>
      <c r="K127" s="139">
        <f t="shared" si="155"/>
        <v>0.87216235628831029</v>
      </c>
      <c r="L127" s="139">
        <f t="shared" si="155"/>
        <v>0.86579780859576194</v>
      </c>
      <c r="M127" s="139">
        <f t="shared" si="155"/>
        <v>0.86139271521003358</v>
      </c>
      <c r="N127" s="139">
        <f t="shared" si="155"/>
        <v>0.85638862825907103</v>
      </c>
      <c r="O127" s="139">
        <f t="shared" si="155"/>
        <v>0.86314052856068213</v>
      </c>
      <c r="P127" s="139">
        <f t="shared" si="155"/>
        <v>0.86991221805173236</v>
      </c>
      <c r="Q127" s="139">
        <f t="shared" si="155"/>
        <v>0.86694457086283294</v>
      </c>
      <c r="R127" s="139">
        <f t="shared" si="155"/>
        <v>0.86098874563367422</v>
      </c>
      <c r="S127" s="139">
        <f t="shared" si="155"/>
        <v>0.85445851051330202</v>
      </c>
      <c r="T127" s="139">
        <f t="shared" si="155"/>
        <v>0.83870330594700149</v>
      </c>
      <c r="U127" s="139">
        <f t="shared" si="155"/>
        <v>0.83506394150888963</v>
      </c>
      <c r="V127" s="139">
        <f t="shared" si="155"/>
        <v>0.91171027971776841</v>
      </c>
      <c r="W127" s="139">
        <f t="shared" si="155"/>
        <v>0.91192155063256986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4.642709056166712E-2</v>
      </c>
      <c r="C128" s="140">
        <f t="shared" ref="C128:W128" si="156">IF(C36=0,0,C36/C$34)</f>
        <v>4.7048435878736951E-2</v>
      </c>
      <c r="D128" s="140">
        <f t="shared" si="156"/>
        <v>4.5236070439814723E-2</v>
      </c>
      <c r="E128" s="140">
        <f t="shared" si="156"/>
        <v>4.524200840527616E-2</v>
      </c>
      <c r="F128" s="140">
        <f t="shared" si="156"/>
        <v>4.6170760565421139E-2</v>
      </c>
      <c r="G128" s="140">
        <f t="shared" si="156"/>
        <v>4.7194599111812438E-2</v>
      </c>
      <c r="H128" s="140">
        <f t="shared" si="156"/>
        <v>4.313098280310796E-2</v>
      </c>
      <c r="I128" s="140">
        <f t="shared" si="156"/>
        <v>3.7701353096087388E-2</v>
      </c>
      <c r="J128" s="140">
        <f t="shared" si="156"/>
        <v>3.9867839768177649E-2</v>
      </c>
      <c r="K128" s="140">
        <f t="shared" si="156"/>
        <v>3.7487628383558118E-2</v>
      </c>
      <c r="L128" s="140">
        <f t="shared" si="156"/>
        <v>3.8034851042593083E-2</v>
      </c>
      <c r="M128" s="140">
        <f t="shared" si="156"/>
        <v>3.9309174131525106E-2</v>
      </c>
      <c r="N128" s="140">
        <f t="shared" si="156"/>
        <v>4.0020656265600835E-2</v>
      </c>
      <c r="O128" s="140">
        <f t="shared" si="156"/>
        <v>3.7672428305368127E-2</v>
      </c>
      <c r="P128" s="140">
        <f t="shared" si="156"/>
        <v>3.581452039577572E-2</v>
      </c>
      <c r="Q128" s="140">
        <f t="shared" si="156"/>
        <v>3.4954524059963861E-2</v>
      </c>
      <c r="R128" s="140">
        <f t="shared" si="156"/>
        <v>3.5518908168819342E-2</v>
      </c>
      <c r="S128" s="140">
        <f t="shared" si="156"/>
        <v>3.3464458581560337E-2</v>
      </c>
      <c r="T128" s="140">
        <f t="shared" si="156"/>
        <v>3.1309788014572869E-2</v>
      </c>
      <c r="U128" s="140">
        <f t="shared" si="156"/>
        <v>3.2809384176290528E-2</v>
      </c>
      <c r="V128" s="140">
        <f t="shared" si="156"/>
        <v>4.0564093446003494E-2</v>
      </c>
      <c r="W128" s="140">
        <f t="shared" si="156"/>
        <v>3.4834920434536031E-2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0.76220208233085451</v>
      </c>
      <c r="C129" s="140">
        <f t="shared" ref="C129:W129" si="157">IF(C37=0,0,C37/C$34)</f>
        <v>0.76807870088646035</v>
      </c>
      <c r="D129" s="140">
        <f t="shared" si="157"/>
        <v>0.77551553018382346</v>
      </c>
      <c r="E129" s="140">
        <f t="shared" si="157"/>
        <v>0.76431682956644886</v>
      </c>
      <c r="F129" s="140">
        <f t="shared" si="157"/>
        <v>0.76633304483134668</v>
      </c>
      <c r="G129" s="140">
        <f t="shared" si="157"/>
        <v>0.75594480370732786</v>
      </c>
      <c r="H129" s="140">
        <f t="shared" si="157"/>
        <v>0.75743007223443304</v>
      </c>
      <c r="I129" s="140">
        <f t="shared" si="157"/>
        <v>0.75662815379951087</v>
      </c>
      <c r="J129" s="140">
        <f t="shared" si="157"/>
        <v>0.75484453143894192</v>
      </c>
      <c r="K129" s="140">
        <f t="shared" si="157"/>
        <v>0.76290727547469495</v>
      </c>
      <c r="L129" s="140">
        <f t="shared" si="157"/>
        <v>0.75445112347290078</v>
      </c>
      <c r="M129" s="140">
        <f t="shared" si="157"/>
        <v>0.74554588748140316</v>
      </c>
      <c r="N129" s="140">
        <f t="shared" si="157"/>
        <v>0.73762155786375094</v>
      </c>
      <c r="O129" s="140">
        <f t="shared" si="157"/>
        <v>0.74809212733322072</v>
      </c>
      <c r="P129" s="140">
        <f t="shared" si="157"/>
        <v>0.7602820297813816</v>
      </c>
      <c r="Q129" s="140">
        <f t="shared" si="157"/>
        <v>0.75720162488325893</v>
      </c>
      <c r="R129" s="140">
        <f t="shared" si="157"/>
        <v>0.75068499622333806</v>
      </c>
      <c r="S129" s="140">
        <f t="shared" si="157"/>
        <v>0.74544712970428928</v>
      </c>
      <c r="T129" s="140">
        <f t="shared" si="157"/>
        <v>0.73226975005379713</v>
      </c>
      <c r="U129" s="140">
        <f t="shared" si="157"/>
        <v>0.72629544217255904</v>
      </c>
      <c r="V129" s="140">
        <f t="shared" si="157"/>
        <v>0.76759458993654039</v>
      </c>
      <c r="W129" s="140">
        <f t="shared" si="157"/>
        <v>0.78398891646347102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6.8775516348998131E-2</v>
      </c>
      <c r="C130" s="140">
        <f t="shared" ref="C130:W130" si="158">IF(C38=0,0,C38/C$34)</f>
        <v>6.9236422096009456E-2</v>
      </c>
      <c r="D130" s="140">
        <f t="shared" si="158"/>
        <v>6.8317000035866507E-2</v>
      </c>
      <c r="E130" s="140">
        <f t="shared" si="158"/>
        <v>6.7768199608577162E-2</v>
      </c>
      <c r="F130" s="140">
        <f t="shared" si="158"/>
        <v>6.7779261763649234E-2</v>
      </c>
      <c r="G130" s="140">
        <f t="shared" si="158"/>
        <v>6.9794383344874769E-2</v>
      </c>
      <c r="H130" s="140">
        <f t="shared" si="158"/>
        <v>6.8566932625922741E-2</v>
      </c>
      <c r="I130" s="140">
        <f t="shared" si="158"/>
        <v>6.8250664882755302E-2</v>
      </c>
      <c r="J130" s="140">
        <f t="shared" si="158"/>
        <v>7.0124883261952264E-2</v>
      </c>
      <c r="K130" s="140">
        <f t="shared" si="158"/>
        <v>7.1767452430057305E-2</v>
      </c>
      <c r="L130" s="140">
        <f t="shared" si="158"/>
        <v>7.3311834080267951E-2</v>
      </c>
      <c r="M130" s="140">
        <f t="shared" si="158"/>
        <v>7.6537653597105251E-2</v>
      </c>
      <c r="N130" s="140">
        <f t="shared" si="158"/>
        <v>7.8746414129719278E-2</v>
      </c>
      <c r="O130" s="140">
        <f t="shared" si="158"/>
        <v>7.737597292209325E-2</v>
      </c>
      <c r="P130" s="140">
        <f t="shared" si="158"/>
        <v>7.3815667874574928E-2</v>
      </c>
      <c r="Q130" s="140">
        <f t="shared" si="158"/>
        <v>7.4788421919610104E-2</v>
      </c>
      <c r="R130" s="140">
        <f t="shared" si="158"/>
        <v>7.4784841241516811E-2</v>
      </c>
      <c r="S130" s="140">
        <f t="shared" si="158"/>
        <v>7.5546922227452504E-2</v>
      </c>
      <c r="T130" s="140">
        <f t="shared" si="158"/>
        <v>7.5123767878631453E-2</v>
      </c>
      <c r="U130" s="140">
        <f t="shared" si="158"/>
        <v>7.5959115160040058E-2</v>
      </c>
      <c r="V130" s="140">
        <f t="shared" si="158"/>
        <v>0.10355159633522447</v>
      </c>
      <c r="W130" s="140">
        <f t="shared" si="158"/>
        <v>9.3097713734562729E-2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1.473491005633187E-2</v>
      </c>
      <c r="C131" s="124">
        <f t="shared" ref="C131:W131" si="159">IF(C39=0,0,C39/C$34)</f>
        <v>1.4104327936881269E-2</v>
      </c>
      <c r="D131" s="124">
        <f t="shared" si="159"/>
        <v>1.4150858691560799E-2</v>
      </c>
      <c r="E131" s="124">
        <f t="shared" si="159"/>
        <v>1.4558561464904212E-2</v>
      </c>
      <c r="F131" s="124">
        <f t="shared" si="159"/>
        <v>1.3538792811086197E-2</v>
      </c>
      <c r="G131" s="124">
        <f t="shared" si="159"/>
        <v>1.3707571602720143E-2</v>
      </c>
      <c r="H131" s="124">
        <f t="shared" si="159"/>
        <v>1.3041057704262766E-2</v>
      </c>
      <c r="I131" s="124">
        <f t="shared" si="159"/>
        <v>1.2780565926804604E-2</v>
      </c>
      <c r="J131" s="124">
        <f t="shared" si="159"/>
        <v>1.2403823900530297E-2</v>
      </c>
      <c r="K131" s="124">
        <f t="shared" si="159"/>
        <v>1.2926934574302629E-2</v>
      </c>
      <c r="L131" s="124">
        <f t="shared" si="159"/>
        <v>1.3419389918924165E-2</v>
      </c>
      <c r="M131" s="124">
        <f t="shared" si="159"/>
        <v>1.337919139134775E-2</v>
      </c>
      <c r="N131" s="124">
        <f t="shared" si="159"/>
        <v>1.4895886724596685E-2</v>
      </c>
      <c r="O131" s="124">
        <f t="shared" si="159"/>
        <v>1.4883215697500512E-2</v>
      </c>
      <c r="P131" s="124">
        <f t="shared" si="159"/>
        <v>1.3230283062287355E-2</v>
      </c>
      <c r="Q131" s="124">
        <f t="shared" si="159"/>
        <v>1.3870636144417752E-2</v>
      </c>
      <c r="R131" s="124">
        <f t="shared" si="159"/>
        <v>1.4495788832930064E-2</v>
      </c>
      <c r="S131" s="124">
        <f t="shared" si="159"/>
        <v>1.5027401114891982E-2</v>
      </c>
      <c r="T131" s="124">
        <f t="shared" si="159"/>
        <v>1.5907913170721003E-2</v>
      </c>
      <c r="U131" s="124">
        <f t="shared" si="159"/>
        <v>1.5333480154659074E-2</v>
      </c>
      <c r="V131" s="124">
        <f t="shared" si="159"/>
        <v>1.7759990371690113E-2</v>
      </c>
      <c r="W131" s="124">
        <f t="shared" si="159"/>
        <v>1.6851488534928107E-2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7.8754435101627989E-4</v>
      </c>
      <c r="C132" s="140">
        <f t="shared" ref="C132:W132" si="160">IF(C40=0,0,C40/C$34)</f>
        <v>7.8461026130322053E-4</v>
      </c>
      <c r="D132" s="140">
        <f t="shared" si="160"/>
        <v>7.9577232808681058E-4</v>
      </c>
      <c r="E132" s="140">
        <f t="shared" si="160"/>
        <v>8.0527718418140187E-4</v>
      </c>
      <c r="F132" s="140">
        <f t="shared" si="160"/>
        <v>8.2157149497497106E-4</v>
      </c>
      <c r="G132" s="140">
        <f t="shared" si="160"/>
        <v>8.3823476880601992E-4</v>
      </c>
      <c r="H132" s="140">
        <f t="shared" si="160"/>
        <v>8.3055005636042598E-4</v>
      </c>
      <c r="I132" s="140">
        <f t="shared" si="160"/>
        <v>8.8808180250266858E-4</v>
      </c>
      <c r="J132" s="140">
        <f t="shared" si="160"/>
        <v>9.1342447841008631E-4</v>
      </c>
      <c r="K132" s="140">
        <f t="shared" si="160"/>
        <v>9.4391601203354879E-4</v>
      </c>
      <c r="L132" s="140">
        <f t="shared" si="160"/>
        <v>9.4979099192637562E-4</v>
      </c>
      <c r="M132" s="140">
        <f t="shared" si="160"/>
        <v>9.5140941156527542E-4</v>
      </c>
      <c r="N132" s="140">
        <f t="shared" si="160"/>
        <v>9.2140501988592801E-4</v>
      </c>
      <c r="O132" s="140">
        <f t="shared" si="160"/>
        <v>8.9744840172575587E-4</v>
      </c>
      <c r="P132" s="140">
        <f t="shared" si="160"/>
        <v>8.3433629840089002E-4</v>
      </c>
      <c r="Q132" s="140">
        <f t="shared" si="160"/>
        <v>8.2298998988710988E-4</v>
      </c>
      <c r="R132" s="140">
        <f t="shared" si="160"/>
        <v>8.3353288908659016E-4</v>
      </c>
      <c r="S132" s="140">
        <f t="shared" si="160"/>
        <v>8.6168119225158899E-4</v>
      </c>
      <c r="T132" s="140">
        <f t="shared" si="160"/>
        <v>8.3941952071212131E-4</v>
      </c>
      <c r="U132" s="140">
        <f t="shared" si="160"/>
        <v>8.6358308252865081E-4</v>
      </c>
      <c r="V132" s="140">
        <f t="shared" si="160"/>
        <v>9.7887576992043267E-4</v>
      </c>
      <c r="W132" s="140">
        <f t="shared" si="160"/>
        <v>1.0220197666665513E-3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1.2871327856294933E-2</v>
      </c>
      <c r="C133" s="140">
        <f t="shared" ref="C133:W133" si="161">IF(C41=0,0,C41/C$34)</f>
        <v>1.1899120837864641E-2</v>
      </c>
      <c r="D133" s="140">
        <f t="shared" si="161"/>
        <v>1.1914094745635463E-2</v>
      </c>
      <c r="E133" s="140">
        <f t="shared" si="161"/>
        <v>1.2292507865168136E-2</v>
      </c>
      <c r="F133" s="140">
        <f t="shared" si="161"/>
        <v>1.1226091300929962E-2</v>
      </c>
      <c r="G133" s="140">
        <f t="shared" si="161"/>
        <v>1.1291682253616889E-2</v>
      </c>
      <c r="H133" s="140">
        <f t="shared" si="161"/>
        <v>1.0773468823910231E-2</v>
      </c>
      <c r="I133" s="140">
        <f t="shared" si="161"/>
        <v>1.0553267050505076E-2</v>
      </c>
      <c r="J133" s="140">
        <f t="shared" si="161"/>
        <v>9.996977581597349E-3</v>
      </c>
      <c r="K133" s="140">
        <f t="shared" si="161"/>
        <v>1.0165261777863893E-2</v>
      </c>
      <c r="L133" s="140">
        <f t="shared" si="161"/>
        <v>1.0492645353029009E-2</v>
      </c>
      <c r="M133" s="140">
        <f t="shared" si="161"/>
        <v>1.0331478235658702E-2</v>
      </c>
      <c r="N133" s="140">
        <f t="shared" si="161"/>
        <v>1.1743703836194759E-2</v>
      </c>
      <c r="O133" s="140">
        <f t="shared" si="161"/>
        <v>1.1827991779667852E-2</v>
      </c>
      <c r="P133" s="140">
        <f t="shared" si="161"/>
        <v>1.0404615271932149E-2</v>
      </c>
      <c r="Q133" s="140">
        <f t="shared" si="161"/>
        <v>1.1095089504483818E-2</v>
      </c>
      <c r="R133" s="140">
        <f t="shared" si="161"/>
        <v>1.1710408269278621E-2</v>
      </c>
      <c r="S133" s="140">
        <f t="shared" si="161"/>
        <v>1.2218438809172505E-2</v>
      </c>
      <c r="T133" s="140">
        <f t="shared" si="161"/>
        <v>1.3154794861965406E-2</v>
      </c>
      <c r="U133" s="140">
        <f t="shared" si="161"/>
        <v>1.2424997398277612E-2</v>
      </c>
      <c r="V133" s="140">
        <f t="shared" si="161"/>
        <v>1.4187029769167504E-2</v>
      </c>
      <c r="W133" s="140">
        <f t="shared" si="161"/>
        <v>1.3392314086797572E-2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1.0760378490206578E-3</v>
      </c>
      <c r="C134" s="140">
        <f t="shared" ref="C134:W134" si="162">IF(C42=0,0,C42/C$34)</f>
        <v>1.4205968377134079E-3</v>
      </c>
      <c r="D134" s="140">
        <f t="shared" si="162"/>
        <v>1.440991617838524E-3</v>
      </c>
      <c r="E134" s="140">
        <f t="shared" si="162"/>
        <v>1.4607764155546749E-3</v>
      </c>
      <c r="F134" s="140">
        <f t="shared" si="162"/>
        <v>1.4911300151812655E-3</v>
      </c>
      <c r="G134" s="140">
        <f t="shared" si="162"/>
        <v>1.5776545802972349E-3</v>
      </c>
      <c r="H134" s="140">
        <f t="shared" si="162"/>
        <v>1.4370388239921114E-3</v>
      </c>
      <c r="I134" s="140">
        <f t="shared" si="162"/>
        <v>1.3392170737968583E-3</v>
      </c>
      <c r="J134" s="140">
        <f t="shared" si="162"/>
        <v>1.4934218405228633E-3</v>
      </c>
      <c r="K134" s="140">
        <f t="shared" si="162"/>
        <v>1.8177567844051864E-3</v>
      </c>
      <c r="L134" s="140">
        <f t="shared" si="162"/>
        <v>1.9769535739687805E-3</v>
      </c>
      <c r="M134" s="140">
        <f t="shared" si="162"/>
        <v>2.0963037441237712E-3</v>
      </c>
      <c r="N134" s="140">
        <f t="shared" si="162"/>
        <v>2.2307778685159989E-3</v>
      </c>
      <c r="O134" s="140">
        <f t="shared" si="162"/>
        <v>2.1577755161069048E-3</v>
      </c>
      <c r="P134" s="140">
        <f t="shared" si="162"/>
        <v>1.9913314919543139E-3</v>
      </c>
      <c r="Q134" s="140">
        <f t="shared" si="162"/>
        <v>1.9525566500468241E-3</v>
      </c>
      <c r="R134" s="140">
        <f t="shared" si="162"/>
        <v>1.9518476745648524E-3</v>
      </c>
      <c r="S134" s="140">
        <f t="shared" si="162"/>
        <v>1.9472811134678856E-3</v>
      </c>
      <c r="T134" s="140">
        <f t="shared" si="162"/>
        <v>1.9136987880434761E-3</v>
      </c>
      <c r="U134" s="140">
        <f t="shared" si="162"/>
        <v>2.044899673852811E-3</v>
      </c>
      <c r="V134" s="140">
        <f t="shared" si="162"/>
        <v>2.594084832602176E-3</v>
      </c>
      <c r="W134" s="140">
        <f t="shared" si="162"/>
        <v>2.4371546814639846E-3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0.10786040070214822</v>
      </c>
      <c r="C135" s="124">
        <f t="shared" ref="C135:W135" si="163">IF(C43=0,0,C43/C$34)</f>
        <v>0.10153211320191206</v>
      </c>
      <c r="D135" s="124">
        <f t="shared" si="163"/>
        <v>9.6780540648934557E-2</v>
      </c>
      <c r="E135" s="124">
        <f t="shared" si="163"/>
        <v>0.10811440095479351</v>
      </c>
      <c r="F135" s="124">
        <f t="shared" si="163"/>
        <v>0.10617814002849685</v>
      </c>
      <c r="G135" s="124">
        <f t="shared" si="163"/>
        <v>0.11335864223326468</v>
      </c>
      <c r="H135" s="124">
        <f t="shared" si="163"/>
        <v>0.11783095463227368</v>
      </c>
      <c r="I135" s="124">
        <f t="shared" si="163"/>
        <v>0.1246392622948418</v>
      </c>
      <c r="J135" s="124">
        <f t="shared" si="163"/>
        <v>0.12275892163039784</v>
      </c>
      <c r="K135" s="124">
        <f t="shared" si="163"/>
        <v>0.11491070913738706</v>
      </c>
      <c r="L135" s="124">
        <f t="shared" si="163"/>
        <v>0.12078280148531385</v>
      </c>
      <c r="M135" s="124">
        <f t="shared" si="163"/>
        <v>0.12522809339861868</v>
      </c>
      <c r="N135" s="124">
        <f t="shared" si="163"/>
        <v>0.12871548501633229</v>
      </c>
      <c r="O135" s="124">
        <f t="shared" si="163"/>
        <v>0.12197625574181743</v>
      </c>
      <c r="P135" s="124">
        <f t="shared" si="163"/>
        <v>0.11685749888598036</v>
      </c>
      <c r="Q135" s="124">
        <f t="shared" si="163"/>
        <v>0.11918479299274927</v>
      </c>
      <c r="R135" s="124">
        <f t="shared" si="163"/>
        <v>0.12451546553339567</v>
      </c>
      <c r="S135" s="124">
        <f t="shared" si="163"/>
        <v>0.13051408837180586</v>
      </c>
      <c r="T135" s="124">
        <f t="shared" si="163"/>
        <v>0.14538878088227758</v>
      </c>
      <c r="U135" s="124">
        <f t="shared" si="163"/>
        <v>0.14960257833645124</v>
      </c>
      <c r="V135" s="124">
        <f t="shared" si="163"/>
        <v>7.0529729910541475E-2</v>
      </c>
      <c r="W135" s="124">
        <f t="shared" si="163"/>
        <v>7.1226960832502073E-2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2.1362404891661729E-2</v>
      </c>
      <c r="C136" s="140">
        <f t="shared" ref="C136:W136" si="164">IF(C44=0,0,C44/C$34)</f>
        <v>1.9453829028705256E-2</v>
      </c>
      <c r="D136" s="140">
        <f t="shared" si="164"/>
        <v>1.9179255494488859E-2</v>
      </c>
      <c r="E136" s="140">
        <f t="shared" si="164"/>
        <v>2.148168892115342E-2</v>
      </c>
      <c r="F136" s="140">
        <f t="shared" si="164"/>
        <v>2.1084468059944805E-2</v>
      </c>
      <c r="G136" s="140">
        <f t="shared" si="164"/>
        <v>2.2617732660847989E-2</v>
      </c>
      <c r="H136" s="140">
        <f t="shared" si="164"/>
        <v>2.3639035118974826E-2</v>
      </c>
      <c r="I136" s="140">
        <f t="shared" si="164"/>
        <v>2.5026359621835376E-2</v>
      </c>
      <c r="J136" s="140">
        <f t="shared" si="164"/>
        <v>2.4455686956462452E-2</v>
      </c>
      <c r="K136" s="140">
        <f t="shared" si="164"/>
        <v>2.222074913868536E-2</v>
      </c>
      <c r="L136" s="140">
        <f t="shared" si="164"/>
        <v>2.3198733323588631E-2</v>
      </c>
      <c r="M136" s="140">
        <f t="shared" si="164"/>
        <v>2.3739298354163683E-2</v>
      </c>
      <c r="N136" s="140">
        <f t="shared" si="164"/>
        <v>2.4205909192798136E-2</v>
      </c>
      <c r="O136" s="140">
        <f t="shared" si="164"/>
        <v>2.3570430060287164E-2</v>
      </c>
      <c r="P136" s="140">
        <f t="shared" si="164"/>
        <v>2.114329745471848E-2</v>
      </c>
      <c r="Q136" s="140">
        <f t="shared" si="164"/>
        <v>2.2599223696316149E-2</v>
      </c>
      <c r="R136" s="140">
        <f t="shared" si="164"/>
        <v>2.3196637757658813E-2</v>
      </c>
      <c r="S136" s="140">
        <f t="shared" si="164"/>
        <v>2.5566549313432461E-2</v>
      </c>
      <c r="T136" s="140">
        <f t="shared" si="164"/>
        <v>2.8411128172540191E-2</v>
      </c>
      <c r="U136" s="140">
        <f t="shared" si="164"/>
        <v>2.9066481139417927E-2</v>
      </c>
      <c r="V136" s="140">
        <f t="shared" si="164"/>
        <v>1.5182858506402224E-2</v>
      </c>
      <c r="W136" s="140">
        <f t="shared" si="164"/>
        <v>2.346345000649265E-2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3.8131633980417606E-2</v>
      </c>
      <c r="C137" s="140">
        <f t="shared" ref="C137:W137" si="165">IF(C45=0,0,C45/C$34)</f>
        <v>3.6183148178648483E-2</v>
      </c>
      <c r="D137" s="140">
        <f t="shared" si="165"/>
        <v>3.4209495304615034E-2</v>
      </c>
      <c r="E137" s="140">
        <f t="shared" si="165"/>
        <v>4.0109483771272984E-2</v>
      </c>
      <c r="F137" s="140">
        <f t="shared" si="165"/>
        <v>3.7894533932622362E-2</v>
      </c>
      <c r="G137" s="140">
        <f t="shared" si="165"/>
        <v>4.0922596097480231E-2</v>
      </c>
      <c r="H137" s="140">
        <f t="shared" si="165"/>
        <v>4.2759881737656623E-2</v>
      </c>
      <c r="I137" s="140">
        <f t="shared" si="165"/>
        <v>4.6296074928372295E-2</v>
      </c>
      <c r="J137" s="140">
        <f t="shared" si="165"/>
        <v>4.4610913682504971E-2</v>
      </c>
      <c r="K137" s="140">
        <f t="shared" si="165"/>
        <v>4.0740162050542407E-2</v>
      </c>
      <c r="L137" s="140">
        <f t="shared" si="165"/>
        <v>4.2478563205477569E-2</v>
      </c>
      <c r="M137" s="140">
        <f t="shared" si="165"/>
        <v>4.4182484748414526E-2</v>
      </c>
      <c r="N137" s="140">
        <f t="shared" si="165"/>
        <v>4.5185401021284585E-2</v>
      </c>
      <c r="O137" s="140">
        <f t="shared" si="165"/>
        <v>4.2320776446520249E-2</v>
      </c>
      <c r="P137" s="140">
        <f t="shared" si="165"/>
        <v>4.1576309858982245E-2</v>
      </c>
      <c r="Q137" s="140">
        <f t="shared" si="165"/>
        <v>4.2260538774325611E-2</v>
      </c>
      <c r="R137" s="140">
        <f t="shared" si="165"/>
        <v>4.6120932056634451E-2</v>
      </c>
      <c r="S137" s="140">
        <f t="shared" si="165"/>
        <v>4.8853239842899403E-2</v>
      </c>
      <c r="T137" s="140">
        <f t="shared" si="165"/>
        <v>5.4307741884982871E-2</v>
      </c>
      <c r="U137" s="140">
        <f t="shared" si="165"/>
        <v>5.4740206272937839E-2</v>
      </c>
      <c r="V137" s="140">
        <f t="shared" si="165"/>
        <v>2.1027967077828568E-2</v>
      </c>
      <c r="W137" s="140">
        <f t="shared" si="165"/>
        <v>1.9565462710142457E-2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4.8366361830068892E-2</v>
      </c>
      <c r="C138" s="140">
        <f t="shared" ref="C138:W138" si="166">IF(C46=0,0,C46/C$34)</f>
        <v>4.5895135994558321E-2</v>
      </c>
      <c r="D138" s="140">
        <f t="shared" si="166"/>
        <v>4.3391789849830664E-2</v>
      </c>
      <c r="E138" s="140">
        <f t="shared" si="166"/>
        <v>4.65232282623671E-2</v>
      </c>
      <c r="F138" s="140">
        <f t="shared" si="166"/>
        <v>4.7199138035929691E-2</v>
      </c>
      <c r="G138" s="140">
        <f t="shared" si="166"/>
        <v>4.9818313474936454E-2</v>
      </c>
      <c r="H138" s="140">
        <f t="shared" si="166"/>
        <v>5.1432037775642224E-2</v>
      </c>
      <c r="I138" s="140">
        <f t="shared" si="166"/>
        <v>5.3316827744634143E-2</v>
      </c>
      <c r="J138" s="140">
        <f t="shared" si="166"/>
        <v>5.3692320991430412E-2</v>
      </c>
      <c r="K138" s="140">
        <f t="shared" si="166"/>
        <v>5.19497979481593E-2</v>
      </c>
      <c r="L138" s="140">
        <f t="shared" si="166"/>
        <v>5.510550495624765E-2</v>
      </c>
      <c r="M138" s="140">
        <f t="shared" si="166"/>
        <v>5.7306310296040469E-2</v>
      </c>
      <c r="N138" s="140">
        <f t="shared" si="166"/>
        <v>5.9324174802249559E-2</v>
      </c>
      <c r="O138" s="140">
        <f t="shared" si="166"/>
        <v>5.6085049235010009E-2</v>
      </c>
      <c r="P138" s="140">
        <f t="shared" si="166"/>
        <v>5.4137891572279641E-2</v>
      </c>
      <c r="Q138" s="140">
        <f t="shared" si="166"/>
        <v>5.4325030522107513E-2</v>
      </c>
      <c r="R138" s="140">
        <f t="shared" si="166"/>
        <v>5.5197895719102406E-2</v>
      </c>
      <c r="S138" s="140">
        <f t="shared" si="166"/>
        <v>5.6094299215474E-2</v>
      </c>
      <c r="T138" s="140">
        <f t="shared" si="166"/>
        <v>6.2669910824754496E-2</v>
      </c>
      <c r="U138" s="140">
        <f t="shared" si="166"/>
        <v>6.579589092409549E-2</v>
      </c>
      <c r="V138" s="140">
        <f t="shared" si="166"/>
        <v>3.4318904326310684E-2</v>
      </c>
      <c r="W138" s="140">
        <f t="shared" si="166"/>
        <v>2.8198048115866958E-2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0.86655266445940649</v>
      </c>
      <c r="C140" s="139">
        <f t="shared" ref="C140:W140" si="169">IF(C48=0,0,C48/C$47)</f>
        <v>0.87679211322030259</v>
      </c>
      <c r="D140" s="139">
        <f t="shared" si="169"/>
        <v>0.87099965057399831</v>
      </c>
      <c r="E140" s="139">
        <f t="shared" si="169"/>
        <v>0.86534464251024334</v>
      </c>
      <c r="F140" s="139">
        <f t="shared" si="169"/>
        <v>0.8709284425850855</v>
      </c>
      <c r="G140" s="139">
        <f t="shared" si="169"/>
        <v>0.87628937640477278</v>
      </c>
      <c r="H140" s="139">
        <f t="shared" si="169"/>
        <v>0.87091545321815933</v>
      </c>
      <c r="I140" s="139">
        <f t="shared" si="169"/>
        <v>0.87525589508429835</v>
      </c>
      <c r="J140" s="139">
        <f t="shared" si="169"/>
        <v>0.85849013299391208</v>
      </c>
      <c r="K140" s="139">
        <f t="shared" si="169"/>
        <v>0.87199890068516461</v>
      </c>
      <c r="L140" s="139">
        <f t="shared" si="169"/>
        <v>0.87147908733620594</v>
      </c>
      <c r="M140" s="139">
        <f t="shared" si="169"/>
        <v>0.88013793145607311</v>
      </c>
      <c r="N140" s="139">
        <f t="shared" si="169"/>
        <v>0.88797659926979755</v>
      </c>
      <c r="O140" s="139">
        <f t="shared" si="169"/>
        <v>0.8695632986360744</v>
      </c>
      <c r="P140" s="139">
        <f t="shared" si="169"/>
        <v>0.86890860260464331</v>
      </c>
      <c r="Q140" s="139">
        <f t="shared" si="169"/>
        <v>0.85675796818622396</v>
      </c>
      <c r="R140" s="139">
        <f t="shared" si="169"/>
        <v>0.84768726825383334</v>
      </c>
      <c r="S140" s="139">
        <f t="shared" si="169"/>
        <v>0.83206659002744099</v>
      </c>
      <c r="T140" s="139">
        <f t="shared" si="169"/>
        <v>0.88359898631226863</v>
      </c>
      <c r="U140" s="139">
        <f t="shared" si="169"/>
        <v>0.89062593861599393</v>
      </c>
      <c r="V140" s="139">
        <f t="shared" si="169"/>
        <v>0.88453657288407761</v>
      </c>
      <c r="W140" s="139">
        <f t="shared" si="169"/>
        <v>0.91440540632076861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0.64672358137163088</v>
      </c>
      <c r="C141" s="140">
        <f t="shared" ref="C141:W141" si="170">IF(C49=0,0,C49/C$47)</f>
        <v>0.55841355927266578</v>
      </c>
      <c r="D141" s="140">
        <f t="shared" si="170"/>
        <v>0.55221828623400049</v>
      </c>
      <c r="E141" s="140">
        <f t="shared" si="170"/>
        <v>0.5637499998021327</v>
      </c>
      <c r="F141" s="140">
        <f t="shared" si="170"/>
        <v>0.56506944088103606</v>
      </c>
      <c r="G141" s="140">
        <f t="shared" si="170"/>
        <v>0.58109256670383669</v>
      </c>
      <c r="H141" s="140">
        <f t="shared" si="170"/>
        <v>0.51111746880582754</v>
      </c>
      <c r="I141" s="140">
        <f t="shared" si="170"/>
        <v>0.52938942903944342</v>
      </c>
      <c r="J141" s="140">
        <f t="shared" si="170"/>
        <v>0.56552696609879138</v>
      </c>
      <c r="K141" s="140">
        <f t="shared" si="170"/>
        <v>0.59768141593823154</v>
      </c>
      <c r="L141" s="140">
        <f t="shared" si="170"/>
        <v>0.65122366647193231</v>
      </c>
      <c r="M141" s="140">
        <f t="shared" si="170"/>
        <v>0.64233166343382531</v>
      </c>
      <c r="N141" s="140">
        <f t="shared" si="170"/>
        <v>0.58239878543123758</v>
      </c>
      <c r="O141" s="140">
        <f t="shared" si="170"/>
        <v>0.58389372789691141</v>
      </c>
      <c r="P141" s="140">
        <f t="shared" si="170"/>
        <v>0.60589657127469421</v>
      </c>
      <c r="Q141" s="140">
        <f t="shared" si="170"/>
        <v>0.54091126515953769</v>
      </c>
      <c r="R141" s="140">
        <f t="shared" si="170"/>
        <v>0.51243461851036387</v>
      </c>
      <c r="S141" s="140">
        <f t="shared" si="170"/>
        <v>0.59501352639371574</v>
      </c>
      <c r="T141" s="140">
        <f t="shared" si="170"/>
        <v>0.53237910131851385</v>
      </c>
      <c r="U141" s="140">
        <f t="shared" si="170"/>
        <v>0.52907910318059626</v>
      </c>
      <c r="V141" s="140">
        <f t="shared" si="170"/>
        <v>0.56043743250747158</v>
      </c>
      <c r="W141" s="140">
        <f t="shared" si="170"/>
        <v>0.50901048275663319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0.2198290830877756</v>
      </c>
      <c r="C142" s="140">
        <f t="shared" ref="C142:W142" si="171">IF(C50=0,0,C50/C$47)</f>
        <v>0.31837855394763681</v>
      </c>
      <c r="D142" s="140">
        <f t="shared" si="171"/>
        <v>0.31878136433999782</v>
      </c>
      <c r="E142" s="140">
        <f t="shared" si="171"/>
        <v>0.30159464270811054</v>
      </c>
      <c r="F142" s="140">
        <f t="shared" si="171"/>
        <v>0.3058590017040495</v>
      </c>
      <c r="G142" s="140">
        <f t="shared" si="171"/>
        <v>0.29519680970093615</v>
      </c>
      <c r="H142" s="140">
        <f t="shared" si="171"/>
        <v>0.35979798441233174</v>
      </c>
      <c r="I142" s="140">
        <f t="shared" si="171"/>
        <v>0.34586646604485488</v>
      </c>
      <c r="J142" s="140">
        <f t="shared" si="171"/>
        <v>0.29296316689512075</v>
      </c>
      <c r="K142" s="140">
        <f t="shared" si="171"/>
        <v>0.27431748474693296</v>
      </c>
      <c r="L142" s="140">
        <f t="shared" si="171"/>
        <v>0.22025542086427374</v>
      </c>
      <c r="M142" s="140">
        <f t="shared" si="171"/>
        <v>0.23780626802224772</v>
      </c>
      <c r="N142" s="140">
        <f t="shared" si="171"/>
        <v>0.30557781383855998</v>
      </c>
      <c r="O142" s="140">
        <f t="shared" si="171"/>
        <v>0.28566957073916305</v>
      </c>
      <c r="P142" s="140">
        <f t="shared" si="171"/>
        <v>0.2630120313299491</v>
      </c>
      <c r="Q142" s="140">
        <f t="shared" si="171"/>
        <v>0.31584670302668638</v>
      </c>
      <c r="R142" s="140">
        <f t="shared" si="171"/>
        <v>0.33525264974346941</v>
      </c>
      <c r="S142" s="140">
        <f t="shared" si="171"/>
        <v>0.23705306363372533</v>
      </c>
      <c r="T142" s="140">
        <f t="shared" si="171"/>
        <v>0.35121988499375478</v>
      </c>
      <c r="U142" s="140">
        <f t="shared" si="171"/>
        <v>0.36154683543539767</v>
      </c>
      <c r="V142" s="140">
        <f t="shared" si="171"/>
        <v>0.32409914037660603</v>
      </c>
      <c r="W142" s="140">
        <f t="shared" si="171"/>
        <v>0.40539492356413553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6.2847437839233444E-3</v>
      </c>
      <c r="C143" s="124">
        <f t="shared" ref="C143:W143" si="172">IF(C51=0,0,C51/C$47)</f>
        <v>5.4755335670035148E-3</v>
      </c>
      <c r="D143" s="124">
        <f t="shared" si="172"/>
        <v>5.1712419416776942E-3</v>
      </c>
      <c r="E143" s="124">
        <f t="shared" si="172"/>
        <v>5.1460978632346744E-3</v>
      </c>
      <c r="F143" s="124">
        <f t="shared" si="172"/>
        <v>5.3800310396752539E-3</v>
      </c>
      <c r="G143" s="124">
        <f t="shared" si="172"/>
        <v>5.0037305252398669E-3</v>
      </c>
      <c r="H143" s="124">
        <f t="shared" si="172"/>
        <v>5.7171952953745551E-3</v>
      </c>
      <c r="I143" s="124">
        <f t="shared" si="172"/>
        <v>5.8593309856541168E-3</v>
      </c>
      <c r="J143" s="124">
        <f t="shared" si="172"/>
        <v>6.047056487025998E-3</v>
      </c>
      <c r="K143" s="124">
        <f t="shared" si="172"/>
        <v>4.5318713140321794E-3</v>
      </c>
      <c r="L143" s="124">
        <f t="shared" si="172"/>
        <v>4.7031877029380734E-3</v>
      </c>
      <c r="M143" s="124">
        <f t="shared" si="172"/>
        <v>4.4279113030532896E-3</v>
      </c>
      <c r="N143" s="124">
        <f t="shared" si="172"/>
        <v>4.6590248176062244E-3</v>
      </c>
      <c r="O143" s="124">
        <f t="shared" si="172"/>
        <v>4.877370359314584E-3</v>
      </c>
      <c r="P143" s="124">
        <f t="shared" si="172"/>
        <v>5.0252565420845653E-3</v>
      </c>
      <c r="Q143" s="124">
        <f t="shared" si="172"/>
        <v>4.5740744333826345E-3</v>
      </c>
      <c r="R143" s="124">
        <f t="shared" si="172"/>
        <v>5.43484283735451E-3</v>
      </c>
      <c r="S143" s="124">
        <f t="shared" si="172"/>
        <v>7.6305337675614121E-3</v>
      </c>
      <c r="T143" s="124">
        <f t="shared" si="172"/>
        <v>5.8943985465780462E-3</v>
      </c>
      <c r="U143" s="124">
        <f t="shared" si="172"/>
        <v>5.713517503210053E-3</v>
      </c>
      <c r="V143" s="124">
        <f t="shared" si="172"/>
        <v>6.3407041480072531E-3</v>
      </c>
      <c r="W143" s="124">
        <f t="shared" si="172"/>
        <v>4.9930314452782979E-3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1.4584585252624346E-2</v>
      </c>
      <c r="C144" s="124">
        <f t="shared" ref="C144:W144" si="173">IF(C52=0,0,C52/C$47)</f>
        <v>5.8110202856607104E-3</v>
      </c>
      <c r="D144" s="124">
        <f t="shared" si="173"/>
        <v>1.3064232323166235E-2</v>
      </c>
      <c r="E144" s="124">
        <f t="shared" si="173"/>
        <v>1.4126720364374925E-2</v>
      </c>
      <c r="F144" s="124">
        <f t="shared" si="173"/>
        <v>1.3697910534907572E-2</v>
      </c>
      <c r="G144" s="124">
        <f t="shared" si="173"/>
        <v>1.4705352572917059E-2</v>
      </c>
      <c r="H144" s="124">
        <f t="shared" si="173"/>
        <v>1.7339646234991502E-2</v>
      </c>
      <c r="I144" s="124">
        <f t="shared" si="173"/>
        <v>1.8719608484048321E-2</v>
      </c>
      <c r="J144" s="124">
        <f t="shared" si="173"/>
        <v>1.8742878125215322E-2</v>
      </c>
      <c r="K144" s="124">
        <f t="shared" si="173"/>
        <v>1.6513594241736849E-2</v>
      </c>
      <c r="L144" s="124">
        <f t="shared" si="173"/>
        <v>2.0356153544386881E-2</v>
      </c>
      <c r="M144" s="124">
        <f t="shared" si="173"/>
        <v>2.0199811465351453E-2</v>
      </c>
      <c r="N144" s="124">
        <f t="shared" si="173"/>
        <v>1.711681828849012E-2</v>
      </c>
      <c r="O144" s="124">
        <f t="shared" si="173"/>
        <v>2.0882381033789758E-2</v>
      </c>
      <c r="P144" s="124">
        <f t="shared" si="173"/>
        <v>2.1193523974763703E-2</v>
      </c>
      <c r="Q144" s="124">
        <f t="shared" si="173"/>
        <v>2.7220733255479853E-2</v>
      </c>
      <c r="R144" s="124">
        <f t="shared" si="173"/>
        <v>2.841021804542972E-2</v>
      </c>
      <c r="S144" s="124">
        <f t="shared" si="173"/>
        <v>3.6218511685191065E-2</v>
      </c>
      <c r="T144" s="124">
        <f t="shared" si="173"/>
        <v>3.206022932766369E-2</v>
      </c>
      <c r="U144" s="124">
        <f t="shared" si="173"/>
        <v>3.055589754045019E-2</v>
      </c>
      <c r="V144" s="124">
        <f t="shared" si="173"/>
        <v>3.5538293242096439E-2</v>
      </c>
      <c r="W144" s="124">
        <f t="shared" si="173"/>
        <v>2.7004577578312008E-2</v>
      </c>
      <c r="DA144" s="176"/>
    </row>
    <row r="145" spans="1:105" ht="11.45" customHeight="1" x14ac:dyDescent="0.25">
      <c r="A145" s="128" t="s">
        <v>27</v>
      </c>
      <c r="B145" s="140">
        <f t="shared" si="167"/>
        <v>8.6013512664145149E-4</v>
      </c>
      <c r="C145" s="140">
        <f t="shared" ref="C145:W145" si="174">IF(C53=0,0,C53/C$47)</f>
        <v>1.4734221909001367E-3</v>
      </c>
      <c r="D145" s="140">
        <f t="shared" si="174"/>
        <v>1.2457514054414599E-3</v>
      </c>
      <c r="E145" s="140">
        <f t="shared" si="174"/>
        <v>1.3312717763907943E-3</v>
      </c>
      <c r="F145" s="140">
        <f t="shared" si="174"/>
        <v>1.2613224671929662E-3</v>
      </c>
      <c r="G145" s="140">
        <f t="shared" si="174"/>
        <v>1.2073146511871143E-3</v>
      </c>
      <c r="H145" s="140">
        <f t="shared" si="174"/>
        <v>1.2533364145876425E-3</v>
      </c>
      <c r="I145" s="140">
        <f t="shared" si="174"/>
        <v>1.2718909705954368E-3</v>
      </c>
      <c r="J145" s="140">
        <f t="shared" si="174"/>
        <v>1.2653605874185455E-3</v>
      </c>
      <c r="K145" s="140">
        <f t="shared" si="174"/>
        <v>1.0973328789729273E-3</v>
      </c>
      <c r="L145" s="140">
        <f t="shared" si="174"/>
        <v>1.1152248286457847E-3</v>
      </c>
      <c r="M145" s="140">
        <f t="shared" si="174"/>
        <v>9.594508234996099E-4</v>
      </c>
      <c r="N145" s="140">
        <f t="shared" si="174"/>
        <v>8.2211272519007168E-4</v>
      </c>
      <c r="O145" s="140">
        <f t="shared" si="174"/>
        <v>9.6617025759807051E-4</v>
      </c>
      <c r="P145" s="140">
        <f t="shared" si="174"/>
        <v>8.7092323392812395E-4</v>
      </c>
      <c r="Q145" s="140">
        <f t="shared" si="174"/>
        <v>9.5000450072272647E-4</v>
      </c>
      <c r="R145" s="140">
        <f t="shared" si="174"/>
        <v>7.8605202132168192E-4</v>
      </c>
      <c r="S145" s="140">
        <f t="shared" si="174"/>
        <v>1.0600790358554354E-3</v>
      </c>
      <c r="T145" s="140">
        <f t="shared" si="174"/>
        <v>1.0572422804073075E-3</v>
      </c>
      <c r="U145" s="140">
        <f t="shared" si="174"/>
        <v>1.0138253526560338E-3</v>
      </c>
      <c r="V145" s="140">
        <f t="shared" si="174"/>
        <v>8.2061852840590265E-4</v>
      </c>
      <c r="W145" s="140">
        <f t="shared" si="174"/>
        <v>1.0244234573511426E-3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1.6943526243747499E-3</v>
      </c>
      <c r="C146" s="140">
        <f t="shared" ref="C146:W146" si="175">IF(C54=0,0,C54/C$47)</f>
        <v>7.4853524845395699E-4</v>
      </c>
      <c r="D146" s="140">
        <f t="shared" si="175"/>
        <v>2.8984079010119217E-3</v>
      </c>
      <c r="E146" s="140">
        <f t="shared" si="175"/>
        <v>3.0164626594307406E-3</v>
      </c>
      <c r="F146" s="140">
        <f t="shared" si="175"/>
        <v>3.1779504052122068E-3</v>
      </c>
      <c r="G146" s="140">
        <f t="shared" si="175"/>
        <v>3.156305545001372E-3</v>
      </c>
      <c r="H146" s="140">
        <f t="shared" si="175"/>
        <v>3.5295869194907335E-3</v>
      </c>
      <c r="I146" s="140">
        <f t="shared" si="175"/>
        <v>3.7127771493770285E-3</v>
      </c>
      <c r="J146" s="140">
        <f t="shared" si="175"/>
        <v>3.7909321381609474E-3</v>
      </c>
      <c r="K146" s="140">
        <f t="shared" si="175"/>
        <v>3.6403703487089033E-3</v>
      </c>
      <c r="L146" s="140">
        <f t="shared" si="175"/>
        <v>3.4583441697059749E-3</v>
      </c>
      <c r="M146" s="140">
        <f t="shared" si="175"/>
        <v>3.0886063921882587E-3</v>
      </c>
      <c r="N146" s="140">
        <f t="shared" si="175"/>
        <v>2.9788498018774806E-3</v>
      </c>
      <c r="O146" s="140">
        <f t="shared" si="175"/>
        <v>3.3885897385573997E-3</v>
      </c>
      <c r="P146" s="140">
        <f t="shared" si="175"/>
        <v>3.1357766965234447E-3</v>
      </c>
      <c r="Q146" s="140">
        <f t="shared" si="175"/>
        <v>3.638057946156206E-3</v>
      </c>
      <c r="R146" s="140">
        <f t="shared" si="175"/>
        <v>3.3983471990650864E-3</v>
      </c>
      <c r="S146" s="140">
        <f t="shared" si="175"/>
        <v>4.3823658313092116E-3</v>
      </c>
      <c r="T146" s="140">
        <f t="shared" si="175"/>
        <v>4.1470988993382854E-3</v>
      </c>
      <c r="U146" s="140">
        <f t="shared" si="175"/>
        <v>3.9851636376672219E-3</v>
      </c>
      <c r="V146" s="140">
        <f t="shared" si="175"/>
        <v>4.2001076162779078E-3</v>
      </c>
      <c r="W146" s="140">
        <f t="shared" si="175"/>
        <v>3.1089690732939517E-3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1.2030097501608144E-2</v>
      </c>
      <c r="C147" s="140">
        <f t="shared" ref="C147:W147" si="176">IF(C55=0,0,C55/C$47)</f>
        <v>3.589062846306616E-3</v>
      </c>
      <c r="D147" s="140">
        <f t="shared" si="176"/>
        <v>8.9200730167128539E-3</v>
      </c>
      <c r="E147" s="140">
        <f t="shared" si="176"/>
        <v>9.7789859285533891E-3</v>
      </c>
      <c r="F147" s="140">
        <f t="shared" si="176"/>
        <v>9.2586376625023985E-3</v>
      </c>
      <c r="G147" s="140">
        <f t="shared" si="176"/>
        <v>1.0341732376728571E-2</v>
      </c>
      <c r="H147" s="140">
        <f t="shared" si="176"/>
        <v>1.2556722900913126E-2</v>
      </c>
      <c r="I147" s="140">
        <f t="shared" si="176"/>
        <v>1.3734940364075854E-2</v>
      </c>
      <c r="J147" s="140">
        <f t="shared" si="176"/>
        <v>1.3686585399635829E-2</v>
      </c>
      <c r="K147" s="140">
        <f t="shared" si="176"/>
        <v>1.1775891014055016E-2</v>
      </c>
      <c r="L147" s="140">
        <f t="shared" si="176"/>
        <v>1.5782584546035122E-2</v>
      </c>
      <c r="M147" s="140">
        <f t="shared" si="176"/>
        <v>1.6151754249663586E-2</v>
      </c>
      <c r="N147" s="140">
        <f t="shared" si="176"/>
        <v>1.3315855761422569E-2</v>
      </c>
      <c r="O147" s="140">
        <f t="shared" si="176"/>
        <v>1.6527621037634287E-2</v>
      </c>
      <c r="P147" s="140">
        <f t="shared" si="176"/>
        <v>1.7186824044312134E-2</v>
      </c>
      <c r="Q147" s="140">
        <f t="shared" si="176"/>
        <v>2.2632670808600919E-2</v>
      </c>
      <c r="R147" s="140">
        <f t="shared" si="176"/>
        <v>2.422581882504295E-2</v>
      </c>
      <c r="S147" s="140">
        <f t="shared" si="176"/>
        <v>3.0776066818026415E-2</v>
      </c>
      <c r="T147" s="140">
        <f t="shared" si="176"/>
        <v>2.6855888147918099E-2</v>
      </c>
      <c r="U147" s="140">
        <f t="shared" si="176"/>
        <v>2.5556908550126933E-2</v>
      </c>
      <c r="V147" s="140">
        <f t="shared" si="176"/>
        <v>3.0517567097412625E-2</v>
      </c>
      <c r="W147" s="140">
        <f t="shared" si="176"/>
        <v>2.2871185047666911E-2</v>
      </c>
      <c r="DA147" s="175"/>
    </row>
    <row r="148" spans="1:105" ht="11.45" customHeight="1" x14ac:dyDescent="0.25">
      <c r="A148" s="109" t="s">
        <v>142</v>
      </c>
      <c r="B148" s="124">
        <f t="shared" si="167"/>
        <v>0.11257800650404565</v>
      </c>
      <c r="C148" s="124">
        <f t="shared" ref="C148:W148" si="177">IF(C56=0,0,C56/C$47)</f>
        <v>0.11192133292703314</v>
      </c>
      <c r="D148" s="124">
        <f t="shared" si="177"/>
        <v>0.11076487516115777</v>
      </c>
      <c r="E148" s="124">
        <f t="shared" si="177"/>
        <v>0.11538253926214709</v>
      </c>
      <c r="F148" s="124">
        <f t="shared" si="177"/>
        <v>0.10999361584033177</v>
      </c>
      <c r="G148" s="124">
        <f t="shared" si="177"/>
        <v>0.10400154049707022</v>
      </c>
      <c r="H148" s="124">
        <f t="shared" si="177"/>
        <v>0.10602770525147467</v>
      </c>
      <c r="I148" s="124">
        <f t="shared" si="177"/>
        <v>0.10016516544599922</v>
      </c>
      <c r="J148" s="124">
        <f t="shared" si="177"/>
        <v>0.11671993239384654</v>
      </c>
      <c r="K148" s="124">
        <f t="shared" si="177"/>
        <v>0.10695563375906628</v>
      </c>
      <c r="L148" s="124">
        <f t="shared" si="177"/>
        <v>0.10346157141646914</v>
      </c>
      <c r="M148" s="124">
        <f t="shared" si="177"/>
        <v>9.5234345775522172E-2</v>
      </c>
      <c r="N148" s="124">
        <f t="shared" si="177"/>
        <v>9.0247557624106092E-2</v>
      </c>
      <c r="O148" s="124">
        <f t="shared" si="177"/>
        <v>0.10467694997082122</v>
      </c>
      <c r="P148" s="124">
        <f t="shared" si="177"/>
        <v>0.10487261687850837</v>
      </c>
      <c r="Q148" s="124">
        <f t="shared" si="177"/>
        <v>0.11144722412491354</v>
      </c>
      <c r="R148" s="124">
        <f t="shared" si="177"/>
        <v>0.11846767086338236</v>
      </c>
      <c r="S148" s="124">
        <f t="shared" si="177"/>
        <v>0.12408436451980648</v>
      </c>
      <c r="T148" s="124">
        <f t="shared" si="177"/>
        <v>7.8446385813489602E-2</v>
      </c>
      <c r="U148" s="124">
        <f t="shared" si="177"/>
        <v>7.3104646340345886E-2</v>
      </c>
      <c r="V148" s="124">
        <f t="shared" si="177"/>
        <v>7.3584429725818717E-2</v>
      </c>
      <c r="W148" s="124">
        <f t="shared" si="177"/>
        <v>5.3596984655641042E-2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0.1117471755156005</v>
      </c>
      <c r="C149" s="140">
        <f t="shared" ref="C149:W149" si="178">IF(C57=0,0,C57/C$47)</f>
        <v>0.11103179730953015</v>
      </c>
      <c r="D149" s="140">
        <f t="shared" si="178"/>
        <v>0.11035193470618292</v>
      </c>
      <c r="E149" s="140">
        <f t="shared" si="178"/>
        <v>0.11498532891945717</v>
      </c>
      <c r="F149" s="140">
        <f t="shared" si="178"/>
        <v>0.10951367594856162</v>
      </c>
      <c r="G149" s="140">
        <f t="shared" si="178"/>
        <v>0.1037180513133307</v>
      </c>
      <c r="H149" s="140">
        <f t="shared" si="178"/>
        <v>0.10572209171241743</v>
      </c>
      <c r="I149" s="140">
        <f t="shared" si="178"/>
        <v>9.986725078651558E-2</v>
      </c>
      <c r="J149" s="140">
        <f t="shared" si="178"/>
        <v>0.11648927129139193</v>
      </c>
      <c r="K149" s="140">
        <f t="shared" si="178"/>
        <v>0.10683452097729099</v>
      </c>
      <c r="L149" s="140">
        <f t="shared" si="178"/>
        <v>0.10325162690772753</v>
      </c>
      <c r="M149" s="140">
        <f t="shared" si="178"/>
        <v>9.4972461731492555E-2</v>
      </c>
      <c r="N149" s="140">
        <f t="shared" si="178"/>
        <v>9.0090869820857858E-2</v>
      </c>
      <c r="O149" s="140">
        <f t="shared" si="178"/>
        <v>0.10447002011688881</v>
      </c>
      <c r="P149" s="140">
        <f t="shared" si="178"/>
        <v>0.10474807594389862</v>
      </c>
      <c r="Q149" s="140">
        <f t="shared" si="178"/>
        <v>0.11132839665249168</v>
      </c>
      <c r="R149" s="140">
        <f t="shared" si="178"/>
        <v>0.118346895251366</v>
      </c>
      <c r="S149" s="140">
        <f t="shared" si="178"/>
        <v>0.12397836150962421</v>
      </c>
      <c r="T149" s="140">
        <f t="shared" si="178"/>
        <v>7.8364689943264551E-2</v>
      </c>
      <c r="U149" s="140">
        <f t="shared" si="178"/>
        <v>7.3047601332774451E-2</v>
      </c>
      <c r="V149" s="140">
        <f t="shared" si="178"/>
        <v>7.3439437898747406E-2</v>
      </c>
      <c r="W149" s="140">
        <f t="shared" si="178"/>
        <v>5.3476780079495051E-2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8.3083098844515609E-4</v>
      </c>
      <c r="C150" s="127">
        <f t="shared" ref="C150:W150" si="179">IF(C58=0,0,C58/C$47)</f>
        <v>8.8953561750299611E-4</v>
      </c>
      <c r="D150" s="127">
        <f t="shared" si="179"/>
        <v>4.1294045497485812E-4</v>
      </c>
      <c r="E150" s="127">
        <f t="shared" si="179"/>
        <v>3.9721034268990396E-4</v>
      </c>
      <c r="F150" s="127">
        <f t="shared" si="179"/>
        <v>4.7993989177015785E-4</v>
      </c>
      <c r="G150" s="127">
        <f t="shared" si="179"/>
        <v>2.8348918373952815E-4</v>
      </c>
      <c r="H150" s="127">
        <f t="shared" si="179"/>
        <v>3.0561353905724577E-4</v>
      </c>
      <c r="I150" s="127">
        <f t="shared" si="179"/>
        <v>2.9791465948365511E-4</v>
      </c>
      <c r="J150" s="127">
        <f t="shared" si="179"/>
        <v>2.3066110245460503E-4</v>
      </c>
      <c r="K150" s="127">
        <f t="shared" si="179"/>
        <v>1.2111278177529935E-4</v>
      </c>
      <c r="L150" s="127">
        <f t="shared" si="179"/>
        <v>2.0994450874162432E-4</v>
      </c>
      <c r="M150" s="127">
        <f t="shared" si="179"/>
        <v>2.6188404402962401E-4</v>
      </c>
      <c r="N150" s="127">
        <f t="shared" si="179"/>
        <v>1.5668780324822713E-4</v>
      </c>
      <c r="O150" s="127">
        <f t="shared" si="179"/>
        <v>2.0692985393240909E-4</v>
      </c>
      <c r="P150" s="127">
        <f t="shared" si="179"/>
        <v>1.2454093460975059E-4</v>
      </c>
      <c r="Q150" s="127">
        <f t="shared" si="179"/>
        <v>1.1882747242184362E-4</v>
      </c>
      <c r="R150" s="127">
        <f t="shared" si="179"/>
        <v>1.207756120163674E-4</v>
      </c>
      <c r="S150" s="127">
        <f t="shared" si="179"/>
        <v>1.06003010182272E-4</v>
      </c>
      <c r="T150" s="127">
        <f t="shared" si="179"/>
        <v>8.1695870225062972E-5</v>
      </c>
      <c r="U150" s="127">
        <f t="shared" si="179"/>
        <v>5.7045007571426979E-5</v>
      </c>
      <c r="V150" s="127">
        <f t="shared" si="179"/>
        <v>1.4499182707130537E-4</v>
      </c>
      <c r="W150" s="127">
        <f t="shared" si="179"/>
        <v>1.2020457614599504E-4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0.3219849841371667</v>
      </c>
      <c r="C152" s="140">
        <f t="shared" ref="C152:W152" si="181">IF(C60=0,0,C60/C$59)</f>
        <v>0.31462677358904134</v>
      </c>
      <c r="D152" s="140">
        <f t="shared" si="181"/>
        <v>0.32779577269118554</v>
      </c>
      <c r="E152" s="140">
        <f t="shared" si="181"/>
        <v>0.32293075897077994</v>
      </c>
      <c r="F152" s="140">
        <f t="shared" si="181"/>
        <v>0.31036992420567228</v>
      </c>
      <c r="G152" s="140">
        <f t="shared" si="181"/>
        <v>0.30373748321704003</v>
      </c>
      <c r="H152" s="140">
        <f t="shared" si="181"/>
        <v>0.30111359472621452</v>
      </c>
      <c r="I152" s="140">
        <f t="shared" si="181"/>
        <v>0.2958824798208074</v>
      </c>
      <c r="J152" s="140">
        <f t="shared" si="181"/>
        <v>0.32441858888056219</v>
      </c>
      <c r="K152" s="140">
        <f t="shared" si="181"/>
        <v>0.3134597615900715</v>
      </c>
      <c r="L152" s="140">
        <f t="shared" si="181"/>
        <v>0.32954137938410211</v>
      </c>
      <c r="M152" s="140">
        <f t="shared" si="181"/>
        <v>0.32397149038039813</v>
      </c>
      <c r="N152" s="140">
        <f t="shared" si="181"/>
        <v>0.33294792681580732</v>
      </c>
      <c r="O152" s="140">
        <f t="shared" si="181"/>
        <v>0.35837535506240664</v>
      </c>
      <c r="P152" s="140">
        <f t="shared" si="181"/>
        <v>0.3507720138283783</v>
      </c>
      <c r="Q152" s="140">
        <f t="shared" si="181"/>
        <v>0.33934917716495799</v>
      </c>
      <c r="R152" s="140">
        <f t="shared" si="181"/>
        <v>0.35772205783986605</v>
      </c>
      <c r="S152" s="140">
        <f t="shared" si="181"/>
        <v>0.36360265081112608</v>
      </c>
      <c r="T152" s="140">
        <f t="shared" si="181"/>
        <v>0.3917916737772153</v>
      </c>
      <c r="U152" s="140">
        <f t="shared" si="181"/>
        <v>0.37604549547526356</v>
      </c>
      <c r="V152" s="140">
        <f t="shared" si="181"/>
        <v>0.33555314575130296</v>
      </c>
      <c r="W152" s="140">
        <f t="shared" si="181"/>
        <v>0.32473850600889032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0.67801501586283341</v>
      </c>
      <c r="C153" s="127">
        <f t="shared" ref="C153:W153" si="182">IF(C61=0,0,C61/C$59)</f>
        <v>0.68537322641095866</v>
      </c>
      <c r="D153" s="127">
        <f t="shared" si="182"/>
        <v>0.67220422730881435</v>
      </c>
      <c r="E153" s="127">
        <f t="shared" si="182"/>
        <v>0.67706924102922006</v>
      </c>
      <c r="F153" s="127">
        <f t="shared" si="182"/>
        <v>0.68963007579432789</v>
      </c>
      <c r="G153" s="127">
        <f t="shared" si="182"/>
        <v>0.69626251678296003</v>
      </c>
      <c r="H153" s="127">
        <f t="shared" si="182"/>
        <v>0.69888640527378554</v>
      </c>
      <c r="I153" s="127">
        <f t="shared" si="182"/>
        <v>0.7041175201791926</v>
      </c>
      <c r="J153" s="127">
        <f t="shared" si="182"/>
        <v>0.67558141111943781</v>
      </c>
      <c r="K153" s="127">
        <f t="shared" si="182"/>
        <v>0.68654023840992862</v>
      </c>
      <c r="L153" s="127">
        <f t="shared" si="182"/>
        <v>0.67045862061589789</v>
      </c>
      <c r="M153" s="127">
        <f t="shared" si="182"/>
        <v>0.67602850961960192</v>
      </c>
      <c r="N153" s="127">
        <f t="shared" si="182"/>
        <v>0.6670520731841928</v>
      </c>
      <c r="O153" s="127">
        <f t="shared" si="182"/>
        <v>0.6416246449375933</v>
      </c>
      <c r="P153" s="127">
        <f t="shared" si="182"/>
        <v>0.6492279861716217</v>
      </c>
      <c r="Q153" s="127">
        <f t="shared" si="182"/>
        <v>0.66065082283504206</v>
      </c>
      <c r="R153" s="127">
        <f t="shared" si="182"/>
        <v>0.64227794216013401</v>
      </c>
      <c r="S153" s="127">
        <f t="shared" si="182"/>
        <v>0.63639734918887392</v>
      </c>
      <c r="T153" s="127">
        <f t="shared" si="182"/>
        <v>0.60820832622278476</v>
      </c>
      <c r="U153" s="127">
        <f t="shared" si="182"/>
        <v>0.62395450452473644</v>
      </c>
      <c r="V153" s="127">
        <f t="shared" si="182"/>
        <v>0.66444685424869709</v>
      </c>
      <c r="W153" s="127">
        <f t="shared" si="182"/>
        <v>0.67526149399110957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0.88412832651589535</v>
      </c>
      <c r="C157" s="139">
        <f t="shared" ref="C157:W157" si="185">IF(C65=0,0,C65/C$64)</f>
        <v>0.89131021688732393</v>
      </c>
      <c r="D157" s="139">
        <f t="shared" si="185"/>
        <v>0.89643363194357151</v>
      </c>
      <c r="E157" s="139">
        <f t="shared" si="185"/>
        <v>0.88468470063728144</v>
      </c>
      <c r="F157" s="139">
        <f t="shared" si="185"/>
        <v>0.88723278177110876</v>
      </c>
      <c r="G157" s="139">
        <f t="shared" si="185"/>
        <v>0.880516664100639</v>
      </c>
      <c r="H157" s="139">
        <f t="shared" si="185"/>
        <v>0.87636511839746178</v>
      </c>
      <c r="I157" s="139">
        <f t="shared" si="185"/>
        <v>0.87000813261351018</v>
      </c>
      <c r="J157" s="139">
        <f t="shared" si="185"/>
        <v>0.87145076450186498</v>
      </c>
      <c r="K157" s="139">
        <f t="shared" si="185"/>
        <v>0.87821697648752262</v>
      </c>
      <c r="L157" s="139">
        <f t="shared" si="185"/>
        <v>0.87100032627408053</v>
      </c>
      <c r="M157" s="139">
        <f t="shared" si="185"/>
        <v>0.86673108826231537</v>
      </c>
      <c r="N157" s="139">
        <f t="shared" si="185"/>
        <v>0.86223665995608556</v>
      </c>
      <c r="O157" s="139">
        <f t="shared" si="185"/>
        <v>0.87003321436279668</v>
      </c>
      <c r="P157" s="139">
        <f t="shared" si="185"/>
        <v>0.87716027711128974</v>
      </c>
      <c r="Q157" s="139">
        <f t="shared" si="185"/>
        <v>0.87410422370910434</v>
      </c>
      <c r="R157" s="139">
        <f t="shared" si="185"/>
        <v>0.86909322287857593</v>
      </c>
      <c r="S157" s="139">
        <f t="shared" si="185"/>
        <v>0.86197445029711428</v>
      </c>
      <c r="T157" s="139">
        <f t="shared" si="185"/>
        <v>0.84547634215713019</v>
      </c>
      <c r="U157" s="139">
        <f t="shared" si="185"/>
        <v>0.8409890377644319</v>
      </c>
      <c r="V157" s="139">
        <f t="shared" si="185"/>
        <v>0.92276561153450976</v>
      </c>
      <c r="W157" s="139">
        <f t="shared" si="185"/>
        <v>0.92279691180013157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4.6178586358602842E-2</v>
      </c>
      <c r="C158" s="140">
        <f t="shared" ref="C158:W158" si="186">IF(C66=0,0,C66/C$64)</f>
        <v>4.6760382568942438E-2</v>
      </c>
      <c r="D158" s="140">
        <f t="shared" si="186"/>
        <v>4.4848990850487325E-2</v>
      </c>
      <c r="E158" s="140">
        <f t="shared" si="186"/>
        <v>4.4775924344326645E-2</v>
      </c>
      <c r="F158" s="140">
        <f t="shared" si="186"/>
        <v>4.5730026186760864E-2</v>
      </c>
      <c r="G158" s="140">
        <f t="shared" si="186"/>
        <v>4.6657623100193807E-2</v>
      </c>
      <c r="H158" s="140">
        <f t="shared" si="186"/>
        <v>4.249536404029048E-2</v>
      </c>
      <c r="I158" s="140">
        <f t="shared" si="186"/>
        <v>3.7081786959123321E-2</v>
      </c>
      <c r="J158" s="140">
        <f t="shared" si="186"/>
        <v>3.947542976841914E-2</v>
      </c>
      <c r="K158" s="140">
        <f t="shared" si="186"/>
        <v>3.7436558930426515E-2</v>
      </c>
      <c r="L158" s="140">
        <f t="shared" si="186"/>
        <v>3.8129784320107961E-2</v>
      </c>
      <c r="M158" s="140">
        <f t="shared" si="186"/>
        <v>3.9421424599610767E-2</v>
      </c>
      <c r="N158" s="140">
        <f t="shared" si="186"/>
        <v>4.0219907080436532E-2</v>
      </c>
      <c r="O158" s="140">
        <f t="shared" si="186"/>
        <v>3.795079621244199E-2</v>
      </c>
      <c r="P158" s="140">
        <f t="shared" si="186"/>
        <v>3.6067974872334138E-2</v>
      </c>
      <c r="Q158" s="140">
        <f t="shared" si="186"/>
        <v>3.5275943877370118E-2</v>
      </c>
      <c r="R158" s="140">
        <f t="shared" si="186"/>
        <v>3.5703472157295219E-2</v>
      </c>
      <c r="S158" s="140">
        <f t="shared" si="186"/>
        <v>3.3688308961055284E-2</v>
      </c>
      <c r="T158" s="140">
        <f t="shared" si="186"/>
        <v>3.1634960545413093E-2</v>
      </c>
      <c r="U158" s="140">
        <f t="shared" si="186"/>
        <v>3.3179506204887188E-2</v>
      </c>
      <c r="V158" s="140">
        <f t="shared" si="186"/>
        <v>4.158307876734664E-2</v>
      </c>
      <c r="W158" s="140">
        <f t="shared" si="186"/>
        <v>3.556687119596362E-2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0.76482619092875981</v>
      </c>
      <c r="C159" s="140">
        <f t="shared" ref="C159:W159" si="187">IF(C67=0,0,C67/C$64)</f>
        <v>0.77099240860589613</v>
      </c>
      <c r="D159" s="140">
        <f t="shared" si="187"/>
        <v>0.7791793208783363</v>
      </c>
      <c r="E159" s="140">
        <f t="shared" si="187"/>
        <v>0.76821694438565391</v>
      </c>
      <c r="F159" s="140">
        <f t="shared" si="187"/>
        <v>0.77055296697096354</v>
      </c>
      <c r="G159" s="140">
        <f t="shared" si="187"/>
        <v>0.76068158117161155</v>
      </c>
      <c r="H159" s="140">
        <f t="shared" si="187"/>
        <v>0.76215869482547793</v>
      </c>
      <c r="I159" s="140">
        <f t="shared" si="187"/>
        <v>0.76169832226827383</v>
      </c>
      <c r="J159" s="140">
        <f t="shared" si="187"/>
        <v>0.7596149742063667</v>
      </c>
      <c r="K159" s="140">
        <f t="shared" si="187"/>
        <v>0.76722571555553809</v>
      </c>
      <c r="L159" s="140">
        <f t="shared" si="187"/>
        <v>0.75805272101788146</v>
      </c>
      <c r="M159" s="140">
        <f t="shared" si="187"/>
        <v>0.74933914278588798</v>
      </c>
      <c r="N159" s="140">
        <f t="shared" si="187"/>
        <v>0.74188709142459486</v>
      </c>
      <c r="O159" s="140">
        <f t="shared" si="187"/>
        <v>0.75346515152474058</v>
      </c>
      <c r="P159" s="140">
        <f t="shared" si="187"/>
        <v>0.76593842417226643</v>
      </c>
      <c r="Q159" s="140">
        <f t="shared" si="187"/>
        <v>0.76274532041538012</v>
      </c>
      <c r="R159" s="140">
        <f t="shared" si="187"/>
        <v>0.75682549640618058</v>
      </c>
      <c r="S159" s="140">
        <f t="shared" si="187"/>
        <v>0.75117225337067373</v>
      </c>
      <c r="T159" s="140">
        <f t="shared" si="187"/>
        <v>0.73741730991273824</v>
      </c>
      <c r="U159" s="140">
        <f t="shared" si="187"/>
        <v>0.73066133028374614</v>
      </c>
      <c r="V159" s="140">
        <f t="shared" si="187"/>
        <v>0.77560107621769681</v>
      </c>
      <c r="W159" s="140">
        <f t="shared" si="187"/>
        <v>0.79280423223992291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7.3123549228532689E-2</v>
      </c>
      <c r="C160" s="140">
        <f t="shared" ref="C160:W160" si="188">IF(C68=0,0,C68/C$64)</f>
        <v>7.3557425712485414E-2</v>
      </c>
      <c r="D160" s="140">
        <f t="shared" si="188"/>
        <v>7.2405320214747965E-2</v>
      </c>
      <c r="E160" s="140">
        <f t="shared" si="188"/>
        <v>7.1691831907300885E-2</v>
      </c>
      <c r="F160" s="140">
        <f t="shared" si="188"/>
        <v>7.0949788613384426E-2</v>
      </c>
      <c r="G160" s="140">
        <f t="shared" si="188"/>
        <v>7.317745982883371E-2</v>
      </c>
      <c r="H160" s="140">
        <f t="shared" si="188"/>
        <v>7.1711059531693308E-2</v>
      </c>
      <c r="I160" s="140">
        <f t="shared" si="188"/>
        <v>7.122802338611306E-2</v>
      </c>
      <c r="J160" s="140">
        <f t="shared" si="188"/>
        <v>7.2360360527079087E-2</v>
      </c>
      <c r="K160" s="140">
        <f t="shared" si="188"/>
        <v>7.3554702001558045E-2</v>
      </c>
      <c r="L160" s="140">
        <f t="shared" si="188"/>
        <v>7.4817820936091073E-2</v>
      </c>
      <c r="M160" s="140">
        <f t="shared" si="188"/>
        <v>7.7970520876816787E-2</v>
      </c>
      <c r="N160" s="140">
        <f t="shared" si="188"/>
        <v>8.0129661451054171E-2</v>
      </c>
      <c r="O160" s="140">
        <f t="shared" si="188"/>
        <v>7.8617266625614149E-2</v>
      </c>
      <c r="P160" s="140">
        <f t="shared" si="188"/>
        <v>7.515387806668912E-2</v>
      </c>
      <c r="Q160" s="140">
        <f t="shared" si="188"/>
        <v>7.608295941635411E-2</v>
      </c>
      <c r="R160" s="140">
        <f t="shared" si="188"/>
        <v>7.6564254315100277E-2</v>
      </c>
      <c r="S160" s="140">
        <f t="shared" si="188"/>
        <v>7.7113887965385319E-2</v>
      </c>
      <c r="T160" s="140">
        <f t="shared" si="188"/>
        <v>7.6424071698978774E-2</v>
      </c>
      <c r="U160" s="140">
        <f t="shared" si="188"/>
        <v>7.7148201275798509E-2</v>
      </c>
      <c r="V160" s="140">
        <f t="shared" si="188"/>
        <v>0.10558145654946628</v>
      </c>
      <c r="W160" s="140">
        <f t="shared" si="188"/>
        <v>9.4425808364244995E-2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4.5690371947290781E-3</v>
      </c>
      <c r="C161" s="124">
        <f t="shared" ref="C161:W161" si="189">IF(C69=0,0,C69/C$64)</f>
        <v>4.0032755913318174E-3</v>
      </c>
      <c r="D161" s="124">
        <f t="shared" si="189"/>
        <v>4.0246675936457636E-3</v>
      </c>
      <c r="E161" s="124">
        <f t="shared" si="189"/>
        <v>4.3134314456140938E-3</v>
      </c>
      <c r="F161" s="124">
        <f t="shared" si="189"/>
        <v>3.6692766564538778E-3</v>
      </c>
      <c r="G161" s="124">
        <f t="shared" si="189"/>
        <v>3.2224331013704518E-3</v>
      </c>
      <c r="H161" s="124">
        <f t="shared" si="189"/>
        <v>3.1987086729208048E-3</v>
      </c>
      <c r="I161" s="124">
        <f t="shared" si="189"/>
        <v>2.8145340498558404E-3</v>
      </c>
      <c r="J161" s="124">
        <f t="shared" si="189"/>
        <v>1.6694712646159035E-3</v>
      </c>
      <c r="K161" s="124">
        <f t="shared" si="189"/>
        <v>1.7303360840858653E-3</v>
      </c>
      <c r="L161" s="124">
        <f t="shared" si="189"/>
        <v>1.8980406606626035E-3</v>
      </c>
      <c r="M161" s="124">
        <f t="shared" si="189"/>
        <v>1.4755510675045374E-3</v>
      </c>
      <c r="N161" s="124">
        <f t="shared" si="189"/>
        <v>1.950880300605394E-3</v>
      </c>
      <c r="O161" s="124">
        <f t="shared" si="189"/>
        <v>1.3530488243217516E-3</v>
      </c>
      <c r="P161" s="124">
        <f t="shared" si="189"/>
        <v>5.9810330129920488E-4</v>
      </c>
      <c r="Q161" s="124">
        <f t="shared" si="189"/>
        <v>7.2640860300703482E-4</v>
      </c>
      <c r="R161" s="124">
        <f t="shared" si="189"/>
        <v>4.9695503683427607E-4</v>
      </c>
      <c r="S161" s="124">
        <f t="shared" si="189"/>
        <v>1.1036506745645289E-3</v>
      </c>
      <c r="T161" s="124">
        <f t="shared" si="189"/>
        <v>1.4677271659725745E-3</v>
      </c>
      <c r="U161" s="124">
        <f t="shared" si="189"/>
        <v>1.4269306259303387E-3</v>
      </c>
      <c r="V161" s="124">
        <f t="shared" si="189"/>
        <v>1.9812384828435058E-3</v>
      </c>
      <c r="W161" s="124">
        <f t="shared" si="189"/>
        <v>1.4794787526108155E-3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4.5690371947290781E-3</v>
      </c>
      <c r="C163" s="140">
        <f t="shared" ref="C163:W163" si="191">IF(C71=0,0,C71/C$64)</f>
        <v>4.0032755913318174E-3</v>
      </c>
      <c r="D163" s="140">
        <f t="shared" si="191"/>
        <v>4.0246675936457636E-3</v>
      </c>
      <c r="E163" s="140">
        <f t="shared" si="191"/>
        <v>4.3134314456140938E-3</v>
      </c>
      <c r="F163" s="140">
        <f t="shared" si="191"/>
        <v>3.6692766564538778E-3</v>
      </c>
      <c r="G163" s="140">
        <f t="shared" si="191"/>
        <v>3.2224331013704518E-3</v>
      </c>
      <c r="H163" s="140">
        <f t="shared" si="191"/>
        <v>3.1987086729208048E-3</v>
      </c>
      <c r="I163" s="140">
        <f t="shared" si="191"/>
        <v>2.8145340498558404E-3</v>
      </c>
      <c r="J163" s="140">
        <f t="shared" si="191"/>
        <v>1.6694712646159035E-3</v>
      </c>
      <c r="K163" s="140">
        <f t="shared" si="191"/>
        <v>1.7303360840858653E-3</v>
      </c>
      <c r="L163" s="140">
        <f t="shared" si="191"/>
        <v>1.8980406606626035E-3</v>
      </c>
      <c r="M163" s="140">
        <f t="shared" si="191"/>
        <v>1.4755510675045374E-3</v>
      </c>
      <c r="N163" s="140">
        <f t="shared" si="191"/>
        <v>1.950880300605394E-3</v>
      </c>
      <c r="O163" s="140">
        <f t="shared" si="191"/>
        <v>1.3530488243217516E-3</v>
      </c>
      <c r="P163" s="140">
        <f t="shared" si="191"/>
        <v>5.9810330129920488E-4</v>
      </c>
      <c r="Q163" s="140">
        <f t="shared" si="191"/>
        <v>7.2640860300703482E-4</v>
      </c>
      <c r="R163" s="140">
        <f t="shared" si="191"/>
        <v>4.9695503683427607E-4</v>
      </c>
      <c r="S163" s="140">
        <f t="shared" si="191"/>
        <v>1.1036506745645289E-3</v>
      </c>
      <c r="T163" s="140">
        <f t="shared" si="191"/>
        <v>1.4677271659725745E-3</v>
      </c>
      <c r="U163" s="140">
        <f t="shared" si="191"/>
        <v>1.4269306259303387E-3</v>
      </c>
      <c r="V163" s="140">
        <f t="shared" si="191"/>
        <v>1.9812384828435058E-3</v>
      </c>
      <c r="W163" s="140">
        <f t="shared" si="191"/>
        <v>1.4794787526108155E-3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0.11130263628937559</v>
      </c>
      <c r="C165" s="124">
        <f t="shared" ref="C165:W165" si="193">IF(C73=0,0,C73/C$64)</f>
        <v>0.10468650752134417</v>
      </c>
      <c r="D165" s="124">
        <f t="shared" si="193"/>
        <v>9.9541700462782726E-2</v>
      </c>
      <c r="E165" s="124">
        <f t="shared" si="193"/>
        <v>0.11100186791710455</v>
      </c>
      <c r="F165" s="124">
        <f t="shared" si="193"/>
        <v>0.10909794157243738</v>
      </c>
      <c r="G165" s="124">
        <f t="shared" si="193"/>
        <v>0.11626090279799055</v>
      </c>
      <c r="H165" s="124">
        <f t="shared" si="193"/>
        <v>0.12043617292961731</v>
      </c>
      <c r="I165" s="124">
        <f t="shared" si="193"/>
        <v>0.12717733333663395</v>
      </c>
      <c r="J165" s="124">
        <f t="shared" si="193"/>
        <v>0.12687976423351913</v>
      </c>
      <c r="K165" s="124">
        <f t="shared" si="193"/>
        <v>0.12005268742839165</v>
      </c>
      <c r="L165" s="124">
        <f t="shared" si="193"/>
        <v>0.12710163306525679</v>
      </c>
      <c r="M165" s="124">
        <f t="shared" si="193"/>
        <v>0.13179336067018008</v>
      </c>
      <c r="N165" s="124">
        <f t="shared" si="193"/>
        <v>0.13581245974330897</v>
      </c>
      <c r="O165" s="124">
        <f t="shared" si="193"/>
        <v>0.12861373681288149</v>
      </c>
      <c r="P165" s="124">
        <f t="shared" si="193"/>
        <v>0.12224161958741113</v>
      </c>
      <c r="Q165" s="124">
        <f t="shared" si="193"/>
        <v>0.12516936768788867</v>
      </c>
      <c r="R165" s="124">
        <f t="shared" si="193"/>
        <v>0.13040982208458976</v>
      </c>
      <c r="S165" s="124">
        <f t="shared" si="193"/>
        <v>0.13692189902832128</v>
      </c>
      <c r="T165" s="124">
        <f t="shared" si="193"/>
        <v>0.15305593067689729</v>
      </c>
      <c r="U165" s="124">
        <f t="shared" si="193"/>
        <v>0.15758403160963777</v>
      </c>
      <c r="V165" s="124">
        <f t="shared" si="193"/>
        <v>7.5253149982646816E-2</v>
      </c>
      <c r="W165" s="124">
        <f t="shared" si="193"/>
        <v>7.572360944725777E-2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2.2039762257214934E-2</v>
      </c>
      <c r="C166" s="140">
        <f t="shared" ref="C166:W166" si="194">IF(C74=0,0,C74/C$64)</f>
        <v>2.0050183885948477E-2</v>
      </c>
      <c r="D166" s="140">
        <f t="shared" si="194"/>
        <v>1.9717905109894327E-2</v>
      </c>
      <c r="E166" s="140">
        <f t="shared" si="194"/>
        <v>2.2044842992140806E-2</v>
      </c>
      <c r="F166" s="140">
        <f t="shared" si="194"/>
        <v>2.1654479902604835E-2</v>
      </c>
      <c r="G166" s="140">
        <f t="shared" si="194"/>
        <v>2.3186749692584857E-2</v>
      </c>
      <c r="H166" s="140">
        <f t="shared" si="194"/>
        <v>2.415053705474654E-2</v>
      </c>
      <c r="I166" s="140">
        <f t="shared" si="194"/>
        <v>2.5525557887580461E-2</v>
      </c>
      <c r="J166" s="140">
        <f t="shared" si="194"/>
        <v>2.5270158065615861E-2</v>
      </c>
      <c r="K166" s="140">
        <f t="shared" si="194"/>
        <v>2.3202251595113056E-2</v>
      </c>
      <c r="L166" s="140">
        <f t="shared" si="194"/>
        <v>2.4397838284593548E-2</v>
      </c>
      <c r="M166" s="140">
        <f t="shared" si="194"/>
        <v>2.4978399802728552E-2</v>
      </c>
      <c r="N166" s="140">
        <f t="shared" si="194"/>
        <v>2.5536351739718924E-2</v>
      </c>
      <c r="O166" s="140">
        <f t="shared" si="194"/>
        <v>2.4851412204338473E-2</v>
      </c>
      <c r="P166" s="140">
        <f t="shared" si="194"/>
        <v>2.2115901426175488E-2</v>
      </c>
      <c r="Q166" s="140">
        <f t="shared" si="194"/>
        <v>2.3732456992135689E-2</v>
      </c>
      <c r="R166" s="140">
        <f t="shared" si="194"/>
        <v>2.429395473555207E-2</v>
      </c>
      <c r="S166" s="140">
        <f t="shared" si="194"/>
        <v>2.6821014953302389E-2</v>
      </c>
      <c r="T166" s="140">
        <f t="shared" si="194"/>
        <v>2.9905603121295053E-2</v>
      </c>
      <c r="U166" s="140">
        <f t="shared" si="194"/>
        <v>3.0615733135631578E-2</v>
      </c>
      <c r="V166" s="140">
        <f t="shared" si="194"/>
        <v>1.619712632259419E-2</v>
      </c>
      <c r="W166" s="140">
        <f t="shared" si="194"/>
        <v>2.4940737879196727E-2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3.9350498340931801E-2</v>
      </c>
      <c r="C167" s="140">
        <f t="shared" ref="C167:W167" si="195">IF(C75=0,0,C75/C$64)</f>
        <v>3.7310826733817706E-2</v>
      </c>
      <c r="D167" s="140">
        <f t="shared" si="195"/>
        <v>3.5189259390309806E-2</v>
      </c>
      <c r="E167" s="140">
        <f t="shared" si="195"/>
        <v>4.1185601417892494E-2</v>
      </c>
      <c r="F167" s="140">
        <f t="shared" si="195"/>
        <v>3.8940959401282456E-2</v>
      </c>
      <c r="G167" s="140">
        <f t="shared" si="195"/>
        <v>4.1974848969393158E-2</v>
      </c>
      <c r="H167" s="140">
        <f t="shared" si="195"/>
        <v>4.3710356730369479E-2</v>
      </c>
      <c r="I167" s="140">
        <f t="shared" si="195"/>
        <v>4.7243661077117978E-2</v>
      </c>
      <c r="J167" s="140">
        <f t="shared" si="195"/>
        <v>4.6111375532096627E-2</v>
      </c>
      <c r="K167" s="140">
        <f t="shared" si="195"/>
        <v>4.256882245465092E-2</v>
      </c>
      <c r="L167" s="140">
        <f t="shared" si="195"/>
        <v>4.4707191657582065E-2</v>
      </c>
      <c r="M167" s="140">
        <f t="shared" si="195"/>
        <v>4.650119628833372E-2</v>
      </c>
      <c r="N167" s="140">
        <f t="shared" si="195"/>
        <v>4.7678599056055412E-2</v>
      </c>
      <c r="O167" s="140">
        <f t="shared" si="195"/>
        <v>4.4624412354822784E-2</v>
      </c>
      <c r="P167" s="140">
        <f t="shared" si="195"/>
        <v>4.349258334578758E-2</v>
      </c>
      <c r="Q167" s="140">
        <f t="shared" si="195"/>
        <v>4.4383219241054692E-2</v>
      </c>
      <c r="R167" s="140">
        <f t="shared" si="195"/>
        <v>4.8304572956259791E-2</v>
      </c>
      <c r="S167" s="140">
        <f t="shared" si="195"/>
        <v>5.1252129824982368E-2</v>
      </c>
      <c r="T167" s="140">
        <f t="shared" si="195"/>
        <v>5.717345191167459E-2</v>
      </c>
      <c r="U167" s="140">
        <f t="shared" si="195"/>
        <v>5.7661323124058299E-2</v>
      </c>
      <c r="V167" s="140">
        <f t="shared" si="195"/>
        <v>2.2437187320007726E-2</v>
      </c>
      <c r="W167" s="140">
        <f t="shared" si="195"/>
        <v>2.0802289505020988E-2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4.9912375691228875E-2</v>
      </c>
      <c r="C168" s="140">
        <f t="shared" ref="C168:W168" si="196">IF(C76=0,0,C76/C$64)</f>
        <v>4.7325496901577981E-2</v>
      </c>
      <c r="D168" s="140">
        <f t="shared" si="196"/>
        <v>4.4634535962578596E-2</v>
      </c>
      <c r="E168" s="140">
        <f t="shared" si="196"/>
        <v>4.7771423507071233E-2</v>
      </c>
      <c r="F168" s="140">
        <f t="shared" si="196"/>
        <v>4.8502502268550088E-2</v>
      </c>
      <c r="G168" s="140">
        <f t="shared" si="196"/>
        <v>5.1099304136012533E-2</v>
      </c>
      <c r="H168" s="140">
        <f t="shared" si="196"/>
        <v>5.2575279144501302E-2</v>
      </c>
      <c r="I168" s="140">
        <f t="shared" si="196"/>
        <v>5.4408114371935504E-2</v>
      </c>
      <c r="J168" s="140">
        <f t="shared" si="196"/>
        <v>5.5498230635806632E-2</v>
      </c>
      <c r="K168" s="140">
        <f t="shared" si="196"/>
        <v>5.428161337862767E-2</v>
      </c>
      <c r="L168" s="140">
        <f t="shared" si="196"/>
        <v>5.7996603123081178E-2</v>
      </c>
      <c r="M168" s="140">
        <f t="shared" si="196"/>
        <v>6.0313764579117815E-2</v>
      </c>
      <c r="N168" s="140">
        <f t="shared" si="196"/>
        <v>6.2597508947534616E-2</v>
      </c>
      <c r="O168" s="140">
        <f t="shared" si="196"/>
        <v>5.9137912253720233E-2</v>
      </c>
      <c r="P168" s="140">
        <f t="shared" si="196"/>
        <v>5.6633134815448058E-2</v>
      </c>
      <c r="Q168" s="140">
        <f t="shared" si="196"/>
        <v>5.7053691454698283E-2</v>
      </c>
      <c r="R168" s="140">
        <f t="shared" si="196"/>
        <v>5.78112943927779E-2</v>
      </c>
      <c r="S168" s="140">
        <f t="shared" si="196"/>
        <v>5.8848754250036529E-2</v>
      </c>
      <c r="T168" s="140">
        <f t="shared" si="196"/>
        <v>6.5976875643927638E-2</v>
      </c>
      <c r="U168" s="140">
        <f t="shared" si="196"/>
        <v>6.9306975349947883E-2</v>
      </c>
      <c r="V168" s="140">
        <f t="shared" si="196"/>
        <v>3.6618836340044904E-2</v>
      </c>
      <c r="W168" s="140">
        <f t="shared" si="196"/>
        <v>2.9980582063040054E-2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0.87012928110699483</v>
      </c>
      <c r="C170" s="139">
        <f t="shared" ref="C170:W170" si="199">IF(C78=0,0,C78/C$77)</f>
        <v>0.87958128129332336</v>
      </c>
      <c r="D170" s="139">
        <f t="shared" si="199"/>
        <v>0.87354750247051027</v>
      </c>
      <c r="E170" s="139">
        <f t="shared" si="199"/>
        <v>0.86773540469555577</v>
      </c>
      <c r="F170" s="139">
        <f t="shared" si="199"/>
        <v>0.87225832209745224</v>
      </c>
      <c r="G170" s="139">
        <f t="shared" si="199"/>
        <v>0.87795714520293777</v>
      </c>
      <c r="H170" s="139">
        <f t="shared" si="199"/>
        <v>0.87231746369276997</v>
      </c>
      <c r="I170" s="139">
        <f t="shared" si="199"/>
        <v>0.87668296961562575</v>
      </c>
      <c r="J170" s="139">
        <f t="shared" si="199"/>
        <v>0.85681251308432571</v>
      </c>
      <c r="K170" s="139">
        <f t="shared" si="199"/>
        <v>0.8678751979324183</v>
      </c>
      <c r="L170" s="139">
        <f t="shared" si="199"/>
        <v>0.86668589245047256</v>
      </c>
      <c r="M170" s="139">
        <f t="shared" si="199"/>
        <v>0.87638767135547746</v>
      </c>
      <c r="N170" s="139">
        <f t="shared" si="199"/>
        <v>0.88499444373995173</v>
      </c>
      <c r="O170" s="139">
        <f t="shared" si="199"/>
        <v>0.86624258572406421</v>
      </c>
      <c r="P170" s="139">
        <f t="shared" si="199"/>
        <v>0.86657339302403358</v>
      </c>
      <c r="Q170" s="139">
        <f t="shared" si="199"/>
        <v>0.85256303761097618</v>
      </c>
      <c r="R170" s="139">
        <f t="shared" si="199"/>
        <v>0.84432109874464067</v>
      </c>
      <c r="S170" s="139">
        <f t="shared" si="199"/>
        <v>0.82952814885160642</v>
      </c>
      <c r="T170" s="139">
        <f t="shared" si="199"/>
        <v>0.88157836620310415</v>
      </c>
      <c r="U170" s="139">
        <f t="shared" si="199"/>
        <v>0.88862050130051329</v>
      </c>
      <c r="V170" s="139">
        <f t="shared" si="199"/>
        <v>0.88132919860027736</v>
      </c>
      <c r="W170" s="139">
        <f t="shared" si="199"/>
        <v>0.91302467457538983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0.64884628537362443</v>
      </c>
      <c r="C171" s="140">
        <f t="shared" ref="C171:W171" si="200">IF(C79=0,0,C79/C$77)</f>
        <v>0.55942776731663968</v>
      </c>
      <c r="D171" s="140">
        <f t="shared" si="200"/>
        <v>0.55304321483846608</v>
      </c>
      <c r="E171" s="140">
        <f t="shared" si="200"/>
        <v>0.56455741607113785</v>
      </c>
      <c r="F171" s="140">
        <f t="shared" si="200"/>
        <v>0.56530445450620848</v>
      </c>
      <c r="G171" s="140">
        <f t="shared" si="200"/>
        <v>0.58157138252296803</v>
      </c>
      <c r="H171" s="140">
        <f t="shared" si="200"/>
        <v>0.51113449255045984</v>
      </c>
      <c r="I171" s="140">
        <f t="shared" si="200"/>
        <v>0.52955882418216105</v>
      </c>
      <c r="J171" s="140">
        <f t="shared" si="200"/>
        <v>0.56384175268749004</v>
      </c>
      <c r="K171" s="140">
        <f t="shared" si="200"/>
        <v>0.59433540536252205</v>
      </c>
      <c r="L171" s="140">
        <f t="shared" si="200"/>
        <v>0.64712760905896138</v>
      </c>
      <c r="M171" s="140">
        <f t="shared" si="200"/>
        <v>0.63906136795627089</v>
      </c>
      <c r="N171" s="140">
        <f t="shared" si="200"/>
        <v>0.57961693494867184</v>
      </c>
      <c r="O171" s="140">
        <f t="shared" si="200"/>
        <v>0.58073562079491325</v>
      </c>
      <c r="P171" s="140">
        <f t="shared" si="200"/>
        <v>0.60334100472829233</v>
      </c>
      <c r="Q171" s="140">
        <f t="shared" si="200"/>
        <v>0.53707307457866882</v>
      </c>
      <c r="R171" s="140">
        <f t="shared" si="200"/>
        <v>0.50899067863239733</v>
      </c>
      <c r="S171" s="140">
        <f t="shared" si="200"/>
        <v>0.59213894956566016</v>
      </c>
      <c r="T171" s="140">
        <f t="shared" si="200"/>
        <v>0.5299158655723154</v>
      </c>
      <c r="U171" s="140">
        <f t="shared" si="200"/>
        <v>0.52651271317534931</v>
      </c>
      <c r="V171" s="140">
        <f t="shared" si="200"/>
        <v>0.55719190893755632</v>
      </c>
      <c r="W171" s="140">
        <f t="shared" si="200"/>
        <v>0.50690275641183058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0.2212829957333704</v>
      </c>
      <c r="C172" s="140">
        <f t="shared" ref="C172:W172" si="201">IF(C80=0,0,C80/C$77)</f>
        <v>0.32015351397668357</v>
      </c>
      <c r="D172" s="140">
        <f t="shared" si="201"/>
        <v>0.3205042876320443</v>
      </c>
      <c r="E172" s="140">
        <f t="shared" si="201"/>
        <v>0.30317798862441797</v>
      </c>
      <c r="F172" s="140">
        <f t="shared" si="201"/>
        <v>0.30695386759124377</v>
      </c>
      <c r="G172" s="140">
        <f t="shared" si="201"/>
        <v>0.29638576267996974</v>
      </c>
      <c r="H172" s="140">
        <f t="shared" si="201"/>
        <v>0.36118297114231013</v>
      </c>
      <c r="I172" s="140">
        <f t="shared" si="201"/>
        <v>0.34712414543346481</v>
      </c>
      <c r="J172" s="140">
        <f t="shared" si="201"/>
        <v>0.29297076039683573</v>
      </c>
      <c r="K172" s="140">
        <f t="shared" si="201"/>
        <v>0.27353979256989619</v>
      </c>
      <c r="L172" s="140">
        <f t="shared" si="201"/>
        <v>0.21955828339151129</v>
      </c>
      <c r="M172" s="140">
        <f t="shared" si="201"/>
        <v>0.2373263033992066</v>
      </c>
      <c r="N172" s="140">
        <f t="shared" si="201"/>
        <v>0.30537750879127984</v>
      </c>
      <c r="O172" s="140">
        <f t="shared" si="201"/>
        <v>0.28550696492915095</v>
      </c>
      <c r="P172" s="140">
        <f t="shared" si="201"/>
        <v>0.26323238829574125</v>
      </c>
      <c r="Q172" s="140">
        <f t="shared" si="201"/>
        <v>0.31548996303230747</v>
      </c>
      <c r="R172" s="140">
        <f t="shared" si="201"/>
        <v>0.33533042011224329</v>
      </c>
      <c r="S172" s="140">
        <f t="shared" si="201"/>
        <v>0.23738919928594626</v>
      </c>
      <c r="T172" s="140">
        <f t="shared" si="201"/>
        <v>0.3516625006307888</v>
      </c>
      <c r="U172" s="140">
        <f t="shared" si="201"/>
        <v>0.36210778812516403</v>
      </c>
      <c r="V172" s="140">
        <f t="shared" si="201"/>
        <v>0.32413728966272104</v>
      </c>
      <c r="W172" s="140">
        <f t="shared" si="201"/>
        <v>0.40612191816355925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5.9386293093329282E-4</v>
      </c>
      <c r="C173" s="124">
        <f t="shared" ref="C173:W173" si="202">IF(C81=0,0,C81/C$77)</f>
        <v>4.3240393258405733E-4</v>
      </c>
      <c r="D173" s="124">
        <f t="shared" si="202"/>
        <v>4.0875651694435096E-4</v>
      </c>
      <c r="E173" s="124">
        <f t="shared" si="202"/>
        <v>4.2805801822169346E-4</v>
      </c>
      <c r="F173" s="124">
        <f t="shared" si="202"/>
        <v>5.0460766255838708E-4</v>
      </c>
      <c r="G173" s="124">
        <f t="shared" si="202"/>
        <v>3.0833711687205966E-4</v>
      </c>
      <c r="H173" s="124">
        <f t="shared" si="202"/>
        <v>1.3313021093972702E-3</v>
      </c>
      <c r="I173" s="124">
        <f t="shared" si="202"/>
        <v>1.6255661596347901E-3</v>
      </c>
      <c r="J173" s="124">
        <f t="shared" si="202"/>
        <v>1.8750327141549949E-3</v>
      </c>
      <c r="K173" s="124">
        <f t="shared" si="202"/>
        <v>1.132748291785525E-3</v>
      </c>
      <c r="L173" s="124">
        <f t="shared" si="202"/>
        <v>1.0713233606330346E-3</v>
      </c>
      <c r="M173" s="124">
        <f t="shared" si="202"/>
        <v>4.8076099651879966E-4</v>
      </c>
      <c r="N173" s="124">
        <f t="shared" si="202"/>
        <v>4.6434285389123161E-4</v>
      </c>
      <c r="O173" s="124">
        <f t="shared" si="202"/>
        <v>3.4407039901558184E-4</v>
      </c>
      <c r="P173" s="124">
        <f t="shared" si="202"/>
        <v>1.7865059817345825E-4</v>
      </c>
      <c r="Q173" s="124">
        <f t="shared" si="202"/>
        <v>2.4017394327073002E-4</v>
      </c>
      <c r="R173" s="124">
        <f t="shared" si="202"/>
        <v>1.6838590415580717E-4</v>
      </c>
      <c r="S173" s="124">
        <f t="shared" si="202"/>
        <v>4.0784351759305535E-4</v>
      </c>
      <c r="T173" s="124">
        <f t="shared" si="202"/>
        <v>4.3504833648262383E-4</v>
      </c>
      <c r="U173" s="124">
        <f t="shared" si="202"/>
        <v>4.0266406359268841E-4</v>
      </c>
      <c r="V173" s="124">
        <f t="shared" si="202"/>
        <v>5.6763167792619681E-4</v>
      </c>
      <c r="W173" s="124">
        <f t="shared" si="202"/>
        <v>3.6005901689259423E-4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1.4244961757196169E-2</v>
      </c>
      <c r="C174" s="124">
        <f t="shared" ref="C174:W174" si="203">IF(C82=0,0,C82/C$77)</f>
        <v>5.6692155735644208E-3</v>
      </c>
      <c r="D174" s="124">
        <f t="shared" si="203"/>
        <v>1.2744216687848768E-2</v>
      </c>
      <c r="E174" s="124">
        <f t="shared" si="203"/>
        <v>1.3778489307494883E-2</v>
      </c>
      <c r="F174" s="124">
        <f t="shared" si="203"/>
        <v>1.3489910291937119E-2</v>
      </c>
      <c r="G174" s="124">
        <f t="shared" si="203"/>
        <v>1.4436056133260785E-2</v>
      </c>
      <c r="H174" s="124">
        <f t="shared" si="203"/>
        <v>1.7000424680432114E-2</v>
      </c>
      <c r="I174" s="124">
        <f t="shared" si="203"/>
        <v>1.8330715943070258E-2</v>
      </c>
      <c r="J174" s="124">
        <f t="shared" si="203"/>
        <v>1.8692088795364391E-2</v>
      </c>
      <c r="K174" s="124">
        <f t="shared" si="203"/>
        <v>1.6727976531046261E-2</v>
      </c>
      <c r="L174" s="124">
        <f t="shared" si="203"/>
        <v>2.0848568255615648E-2</v>
      </c>
      <c r="M174" s="124">
        <f t="shared" si="203"/>
        <v>2.0691477003161259E-2</v>
      </c>
      <c r="N174" s="124">
        <f t="shared" si="203"/>
        <v>1.7586351015595067E-2</v>
      </c>
      <c r="O174" s="124">
        <f t="shared" si="203"/>
        <v>2.1403359831102215E-2</v>
      </c>
      <c r="P174" s="124">
        <f t="shared" si="203"/>
        <v>2.1562959372580907E-2</v>
      </c>
      <c r="Q174" s="124">
        <f t="shared" si="203"/>
        <v>2.7782047379928985E-2</v>
      </c>
      <c r="R174" s="124">
        <f t="shared" si="203"/>
        <v>2.8859167824688958E-2</v>
      </c>
      <c r="S174" s="124">
        <f t="shared" si="203"/>
        <v>3.6961251453612988E-2</v>
      </c>
      <c r="T174" s="124">
        <f t="shared" si="203"/>
        <v>3.2929146170112444E-2</v>
      </c>
      <c r="U174" s="124">
        <f t="shared" si="203"/>
        <v>3.1425981555456478E-2</v>
      </c>
      <c r="V174" s="124">
        <f t="shared" si="203"/>
        <v>3.6953176553426871E-2</v>
      </c>
      <c r="W174" s="124">
        <f t="shared" si="203"/>
        <v>2.7951720509032267E-2</v>
      </c>
      <c r="DA174" s="176"/>
    </row>
    <row r="175" spans="1:105" ht="11.45" customHeight="1" x14ac:dyDescent="0.25">
      <c r="A175" s="128" t="s">
        <v>27</v>
      </c>
      <c r="B175" s="140">
        <f t="shared" si="197"/>
        <v>8.399089371171109E-4</v>
      </c>
      <c r="C175" s="140">
        <f t="shared" ref="C175:W175" si="204">IF(C83=0,0,C83/C$77)</f>
        <v>1.4369349220565374E-3</v>
      </c>
      <c r="D175" s="140">
        <f t="shared" si="204"/>
        <v>1.2146427300704313E-3</v>
      </c>
      <c r="E175" s="140">
        <f t="shared" si="204"/>
        <v>1.2977519761983715E-3</v>
      </c>
      <c r="F175" s="140">
        <f t="shared" si="204"/>
        <v>1.2415335231566848E-3</v>
      </c>
      <c r="G175" s="140">
        <f t="shared" si="204"/>
        <v>1.1846163858458456E-3</v>
      </c>
      <c r="H175" s="140">
        <f t="shared" si="204"/>
        <v>1.2281587627012039E-3</v>
      </c>
      <c r="I175" s="140">
        <f t="shared" si="204"/>
        <v>1.2448751750979935E-3</v>
      </c>
      <c r="J175" s="140">
        <f t="shared" si="204"/>
        <v>1.2615555065272862E-3</v>
      </c>
      <c r="K175" s="140">
        <f t="shared" si="204"/>
        <v>1.1108681193238285E-3</v>
      </c>
      <c r="L175" s="140">
        <f t="shared" si="204"/>
        <v>1.1414056145064434E-3</v>
      </c>
      <c r="M175" s="140">
        <f t="shared" si="204"/>
        <v>9.8255124389580841E-4</v>
      </c>
      <c r="N175" s="140">
        <f t="shared" si="204"/>
        <v>8.4450144221264454E-4</v>
      </c>
      <c r="O175" s="140">
        <f t="shared" si="204"/>
        <v>9.9019771139937816E-4</v>
      </c>
      <c r="P175" s="140">
        <f t="shared" si="204"/>
        <v>8.8603170374931968E-4</v>
      </c>
      <c r="Q175" s="140">
        <f t="shared" si="204"/>
        <v>9.6951985861036245E-4</v>
      </c>
      <c r="R175" s="140">
        <f t="shared" si="204"/>
        <v>7.9844315418880433E-4</v>
      </c>
      <c r="S175" s="140">
        <f t="shared" si="204"/>
        <v>1.081780904566269E-3</v>
      </c>
      <c r="T175" s="140">
        <f t="shared" si="204"/>
        <v>1.0857305219851871E-3</v>
      </c>
      <c r="U175" s="140">
        <f t="shared" si="204"/>
        <v>1.0426339124267724E-3</v>
      </c>
      <c r="V175" s="140">
        <f t="shared" si="204"/>
        <v>8.5312335231326007E-4</v>
      </c>
      <c r="W175" s="140">
        <f t="shared" si="204"/>
        <v>1.0601102055961681E-3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1.6549214152181912E-3</v>
      </c>
      <c r="C176" s="140">
        <f t="shared" ref="C176:W176" si="205">IF(C84=0,0,C84/C$77)</f>
        <v>7.3036071572191077E-4</v>
      </c>
      <c r="D176" s="140">
        <f t="shared" si="205"/>
        <v>2.8275552913410596E-3</v>
      </c>
      <c r="E176" s="140">
        <f t="shared" si="205"/>
        <v>2.9422710632726972E-3</v>
      </c>
      <c r="F176" s="140">
        <f t="shared" si="205"/>
        <v>3.1298563322673858E-3</v>
      </c>
      <c r="G176" s="140">
        <f t="shared" si="205"/>
        <v>3.0986424098486216E-3</v>
      </c>
      <c r="H176" s="140">
        <f t="shared" si="205"/>
        <v>3.4606807959984263E-3</v>
      </c>
      <c r="I176" s="140">
        <f t="shared" si="205"/>
        <v>3.6357717926319161E-3</v>
      </c>
      <c r="J176" s="140">
        <f t="shared" si="205"/>
        <v>3.7807410970715364E-3</v>
      </c>
      <c r="K176" s="140">
        <f t="shared" si="205"/>
        <v>3.6877980372028388E-3</v>
      </c>
      <c r="L176" s="140">
        <f t="shared" si="205"/>
        <v>3.5421445621577601E-3</v>
      </c>
      <c r="M176" s="140">
        <f t="shared" si="205"/>
        <v>3.163823964443745E-3</v>
      </c>
      <c r="N176" s="140">
        <f t="shared" si="205"/>
        <v>3.0605926011364332E-3</v>
      </c>
      <c r="O176" s="140">
        <f t="shared" si="205"/>
        <v>3.4731421788839127E-3</v>
      </c>
      <c r="P176" s="140">
        <f t="shared" si="205"/>
        <v>3.1904493310907335E-3</v>
      </c>
      <c r="Q176" s="140">
        <f t="shared" si="205"/>
        <v>3.7130880424396883E-3</v>
      </c>
      <c r="R176" s="140">
        <f t="shared" si="205"/>
        <v>3.452052996079901E-3</v>
      </c>
      <c r="S176" s="140">
        <f t="shared" si="205"/>
        <v>4.4722404820448872E-3</v>
      </c>
      <c r="T176" s="140">
        <f t="shared" si="205"/>
        <v>4.2595184065403312E-3</v>
      </c>
      <c r="U176" s="140">
        <f t="shared" si="205"/>
        <v>4.0986499338266317E-3</v>
      </c>
      <c r="V176" s="140">
        <f t="shared" si="205"/>
        <v>4.3673463055474626E-3</v>
      </c>
      <c r="W176" s="140">
        <f t="shared" si="205"/>
        <v>3.2180403693988445E-3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1.1750131404860866E-2</v>
      </c>
      <c r="C177" s="140">
        <f t="shared" ref="C177:W177" si="206">IF(C85=0,0,C85/C$77)</f>
        <v>3.5019199357859726E-3</v>
      </c>
      <c r="D177" s="140">
        <f t="shared" si="206"/>
        <v>8.7020186664372775E-3</v>
      </c>
      <c r="E177" s="140">
        <f t="shared" si="206"/>
        <v>9.5384662680238156E-3</v>
      </c>
      <c r="F177" s="140">
        <f t="shared" si="206"/>
        <v>9.1185204365130494E-3</v>
      </c>
      <c r="G177" s="140">
        <f t="shared" si="206"/>
        <v>1.0152797337566319E-2</v>
      </c>
      <c r="H177" s="140">
        <f t="shared" si="206"/>
        <v>1.2311585121732483E-2</v>
      </c>
      <c r="I177" s="140">
        <f t="shared" si="206"/>
        <v>1.3450068975340347E-2</v>
      </c>
      <c r="J177" s="140">
        <f t="shared" si="206"/>
        <v>1.3649792191765566E-2</v>
      </c>
      <c r="K177" s="140">
        <f t="shared" si="206"/>
        <v>1.1929310374519596E-2</v>
      </c>
      <c r="L177" s="140">
        <f t="shared" si="206"/>
        <v>1.6165018078951442E-2</v>
      </c>
      <c r="M177" s="140">
        <f t="shared" si="206"/>
        <v>1.6545101794821705E-2</v>
      </c>
      <c r="N177" s="140">
        <f t="shared" si="206"/>
        <v>1.3681256972245988E-2</v>
      </c>
      <c r="O177" s="140">
        <f t="shared" si="206"/>
        <v>1.6940019940818927E-2</v>
      </c>
      <c r="P177" s="140">
        <f t="shared" si="206"/>
        <v>1.7486478337740852E-2</v>
      </c>
      <c r="Q177" s="140">
        <f t="shared" si="206"/>
        <v>2.3099439478878932E-2</v>
      </c>
      <c r="R177" s="140">
        <f t="shared" si="206"/>
        <v>2.4608671674420247E-2</v>
      </c>
      <c r="S177" s="140">
        <f t="shared" si="206"/>
        <v>3.1407230067001829E-2</v>
      </c>
      <c r="T177" s="140">
        <f t="shared" si="206"/>
        <v>2.7583897241586924E-2</v>
      </c>
      <c r="U177" s="140">
        <f t="shared" si="206"/>
        <v>2.6284697709203077E-2</v>
      </c>
      <c r="V177" s="140">
        <f t="shared" si="206"/>
        <v>3.1732706895566141E-2</v>
      </c>
      <c r="W177" s="140">
        <f t="shared" si="206"/>
        <v>2.3673569934037256E-2</v>
      </c>
      <c r="DA177" s="175"/>
    </row>
    <row r="178" spans="1:105" ht="11.45" customHeight="1" x14ac:dyDescent="0.25">
      <c r="A178" s="109" t="s">
        <v>142</v>
      </c>
      <c r="B178" s="124">
        <f t="shared" si="197"/>
        <v>0.11503189420487579</v>
      </c>
      <c r="C178" s="124">
        <f t="shared" ref="C178:W178" si="207">IF(C86=0,0,C86/C$77)</f>
        <v>0.11431709920052811</v>
      </c>
      <c r="D178" s="124">
        <f t="shared" si="207"/>
        <v>0.1132995243246965</v>
      </c>
      <c r="E178" s="124">
        <f t="shared" si="207"/>
        <v>0.11805804797872761</v>
      </c>
      <c r="F178" s="124">
        <f t="shared" si="207"/>
        <v>0.11374715994805218</v>
      </c>
      <c r="G178" s="124">
        <f t="shared" si="207"/>
        <v>0.10729846154692935</v>
      </c>
      <c r="H178" s="124">
        <f t="shared" si="207"/>
        <v>0.10935080951740052</v>
      </c>
      <c r="I178" s="124">
        <f t="shared" si="207"/>
        <v>0.10336074828166912</v>
      </c>
      <c r="J178" s="124">
        <f t="shared" si="207"/>
        <v>0.1226203654061549</v>
      </c>
      <c r="K178" s="124">
        <f t="shared" si="207"/>
        <v>0.11426407724474981</v>
      </c>
      <c r="L178" s="124">
        <f t="shared" si="207"/>
        <v>0.11139421593327879</v>
      </c>
      <c r="M178" s="124">
        <f t="shared" si="207"/>
        <v>0.10244009064484247</v>
      </c>
      <c r="N178" s="124">
        <f t="shared" si="207"/>
        <v>9.6954862390562002E-2</v>
      </c>
      <c r="O178" s="124">
        <f t="shared" si="207"/>
        <v>0.1120099840458179</v>
      </c>
      <c r="P178" s="124">
        <f t="shared" si="207"/>
        <v>0.11168499700521209</v>
      </c>
      <c r="Q178" s="124">
        <f t="shared" si="207"/>
        <v>0.11941474106582417</v>
      </c>
      <c r="R178" s="124">
        <f t="shared" si="207"/>
        <v>0.12665134752651466</v>
      </c>
      <c r="S178" s="124">
        <f t="shared" si="207"/>
        <v>0.13310275617718756</v>
      </c>
      <c r="T178" s="124">
        <f t="shared" si="207"/>
        <v>8.5057439290300837E-2</v>
      </c>
      <c r="U178" s="124">
        <f t="shared" si="207"/>
        <v>7.9550853080437411E-2</v>
      </c>
      <c r="V178" s="124">
        <f t="shared" si="207"/>
        <v>8.1149993168369711E-2</v>
      </c>
      <c r="W178" s="124">
        <f t="shared" si="207"/>
        <v>5.866354589868527E-2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0.11418295340966353</v>
      </c>
      <c r="C179" s="140">
        <f t="shared" ref="C179:W179" si="208">IF(C87=0,0,C87/C$77)</f>
        <v>0.1134085223566945</v>
      </c>
      <c r="D179" s="140">
        <f t="shared" si="208"/>
        <v>0.11287713449168306</v>
      </c>
      <c r="E179" s="140">
        <f t="shared" si="208"/>
        <v>0.11765162705928166</v>
      </c>
      <c r="F179" s="140">
        <f t="shared" si="208"/>
        <v>0.1132508420552585</v>
      </c>
      <c r="G179" s="140">
        <f t="shared" si="208"/>
        <v>0.10700598555921739</v>
      </c>
      <c r="H179" s="140">
        <f t="shared" si="208"/>
        <v>0.10903561748512816</v>
      </c>
      <c r="I179" s="140">
        <f t="shared" si="208"/>
        <v>0.10305332921046605</v>
      </c>
      <c r="J179" s="140">
        <f t="shared" si="208"/>
        <v>0.12237804390983555</v>
      </c>
      <c r="K179" s="140">
        <f t="shared" si="208"/>
        <v>0.11413468863972061</v>
      </c>
      <c r="L179" s="140">
        <f t="shared" si="208"/>
        <v>0.11116817448020022</v>
      </c>
      <c r="M179" s="140">
        <f t="shared" si="208"/>
        <v>0.10215839158983905</v>
      </c>
      <c r="N179" s="140">
        <f t="shared" si="208"/>
        <v>9.6786529365246385E-2</v>
      </c>
      <c r="O179" s="140">
        <f t="shared" si="208"/>
        <v>0.11178855793773934</v>
      </c>
      <c r="P179" s="140">
        <f t="shared" si="208"/>
        <v>0.11155236606376215</v>
      </c>
      <c r="Q179" s="140">
        <f t="shared" si="208"/>
        <v>0.11928741845225367</v>
      </c>
      <c r="R179" s="140">
        <f t="shared" si="208"/>
        <v>0.12652222880662481</v>
      </c>
      <c r="S179" s="140">
        <f t="shared" si="208"/>
        <v>0.13298904891944449</v>
      </c>
      <c r="T179" s="140">
        <f t="shared" si="208"/>
        <v>8.4968858516950005E-2</v>
      </c>
      <c r="U179" s="140">
        <f t="shared" si="208"/>
        <v>7.9488777969709698E-2</v>
      </c>
      <c r="V179" s="140">
        <f t="shared" si="208"/>
        <v>8.0990094045414657E-2</v>
      </c>
      <c r="W179" s="140">
        <f t="shared" si="208"/>
        <v>5.853197829809581E-2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8.4894079521226058E-4</v>
      </c>
      <c r="C180" s="127">
        <f t="shared" ref="C180:W180" si="209">IF(C88=0,0,C88/C$77)</f>
        <v>9.085768438335971E-4</v>
      </c>
      <c r="D180" s="127">
        <f t="shared" si="209"/>
        <v>4.2238983301343293E-4</v>
      </c>
      <c r="E180" s="127">
        <f t="shared" si="209"/>
        <v>4.064209194459611E-4</v>
      </c>
      <c r="F180" s="127">
        <f t="shared" si="209"/>
        <v>4.9631789279367983E-4</v>
      </c>
      <c r="G180" s="127">
        <f t="shared" si="209"/>
        <v>2.9247598771196115E-4</v>
      </c>
      <c r="H180" s="127">
        <f t="shared" si="209"/>
        <v>3.1519203227236425E-4</v>
      </c>
      <c r="I180" s="127">
        <f t="shared" si="209"/>
        <v>3.0741907120305318E-4</v>
      </c>
      <c r="J180" s="127">
        <f t="shared" si="209"/>
        <v>2.4232149631934948E-4</v>
      </c>
      <c r="K180" s="127">
        <f t="shared" si="209"/>
        <v>1.2938860502919753E-4</v>
      </c>
      <c r="L180" s="127">
        <f t="shared" si="209"/>
        <v>2.2604145307856708E-4</v>
      </c>
      <c r="M180" s="127">
        <f t="shared" si="209"/>
        <v>2.8169905500341014E-4</v>
      </c>
      <c r="N180" s="127">
        <f t="shared" si="209"/>
        <v>1.6833302531561766E-4</v>
      </c>
      <c r="O180" s="127">
        <f t="shared" si="209"/>
        <v>2.2142610807855518E-4</v>
      </c>
      <c r="P180" s="127">
        <f t="shared" si="209"/>
        <v>1.3263094144994836E-4</v>
      </c>
      <c r="Q180" s="127">
        <f t="shared" si="209"/>
        <v>1.2732261357049595E-4</v>
      </c>
      <c r="R180" s="127">
        <f t="shared" si="209"/>
        <v>1.2911871988985368E-4</v>
      </c>
      <c r="S180" s="127">
        <f t="shared" si="209"/>
        <v>1.1370725774307156E-4</v>
      </c>
      <c r="T180" s="127">
        <f t="shared" si="209"/>
        <v>8.8580773350831286E-5</v>
      </c>
      <c r="U180" s="127">
        <f t="shared" si="209"/>
        <v>6.207511072770968E-5</v>
      </c>
      <c r="V180" s="127">
        <f t="shared" si="209"/>
        <v>1.5989912295504938E-4</v>
      </c>
      <c r="W180" s="127">
        <f t="shared" si="209"/>
        <v>1.3156760058945609E-4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0.32054577780383098</v>
      </c>
      <c r="C182" s="140">
        <f t="shared" ref="C182:W182" si="211">IF(C90=0,0,C90/C$89)</f>
        <v>0.31334802094615116</v>
      </c>
      <c r="D182" s="140">
        <f t="shared" si="211"/>
        <v>0.32666341076863409</v>
      </c>
      <c r="E182" s="140">
        <f t="shared" si="211"/>
        <v>0.32190000300209748</v>
      </c>
      <c r="F182" s="140">
        <f t="shared" si="211"/>
        <v>0.30938853829710733</v>
      </c>
      <c r="G182" s="140">
        <f t="shared" si="211"/>
        <v>0.30284885494924324</v>
      </c>
      <c r="H182" s="140">
        <f t="shared" si="211"/>
        <v>0.30029133221436038</v>
      </c>
      <c r="I182" s="140">
        <f t="shared" si="211"/>
        <v>0.29519576034945105</v>
      </c>
      <c r="J182" s="140">
        <f t="shared" si="211"/>
        <v>0.32367176867378061</v>
      </c>
      <c r="K182" s="140">
        <f t="shared" si="211"/>
        <v>0.31189450769680199</v>
      </c>
      <c r="L182" s="140">
        <f t="shared" si="211"/>
        <v>0.32820565621811343</v>
      </c>
      <c r="M182" s="140">
        <f t="shared" si="211"/>
        <v>0.3225451509923814</v>
      </c>
      <c r="N182" s="140">
        <f t="shared" si="211"/>
        <v>0.33196357968316265</v>
      </c>
      <c r="O182" s="140">
        <f t="shared" si="211"/>
        <v>0.35743189599405317</v>
      </c>
      <c r="P182" s="140">
        <f t="shared" si="211"/>
        <v>0.34979365091790038</v>
      </c>
      <c r="Q182" s="140">
        <f t="shared" si="211"/>
        <v>0.33741078322662682</v>
      </c>
      <c r="R182" s="140">
        <f t="shared" si="211"/>
        <v>0.35574236269063003</v>
      </c>
      <c r="S182" s="140">
        <f t="shared" si="211"/>
        <v>0.36159430971162315</v>
      </c>
      <c r="T182" s="140">
        <f t="shared" si="211"/>
        <v>0.38893590094007163</v>
      </c>
      <c r="U182" s="140">
        <f t="shared" si="211"/>
        <v>0.37289691271952441</v>
      </c>
      <c r="V182" s="140">
        <f t="shared" si="211"/>
        <v>0.33166944749660532</v>
      </c>
      <c r="W182" s="140">
        <f t="shared" si="211"/>
        <v>0.32005843706096859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0.67945422219616902</v>
      </c>
      <c r="C183" s="127">
        <f t="shared" ref="C183:W183" si="212">IF(C91=0,0,C91/C$89)</f>
        <v>0.68665197905384878</v>
      </c>
      <c r="D183" s="127">
        <f t="shared" si="212"/>
        <v>0.67333658923136586</v>
      </c>
      <c r="E183" s="127">
        <f t="shared" si="212"/>
        <v>0.67809999699790247</v>
      </c>
      <c r="F183" s="127">
        <f t="shared" si="212"/>
        <v>0.69061146170289267</v>
      </c>
      <c r="G183" s="127">
        <f t="shared" si="212"/>
        <v>0.69715114505075682</v>
      </c>
      <c r="H183" s="127">
        <f t="shared" si="212"/>
        <v>0.69970866778563956</v>
      </c>
      <c r="I183" s="127">
        <f t="shared" si="212"/>
        <v>0.70480423965054895</v>
      </c>
      <c r="J183" s="127">
        <f t="shared" si="212"/>
        <v>0.67632823132621933</v>
      </c>
      <c r="K183" s="127">
        <f t="shared" si="212"/>
        <v>0.68810549230319806</v>
      </c>
      <c r="L183" s="127">
        <f t="shared" si="212"/>
        <v>0.67179434378188663</v>
      </c>
      <c r="M183" s="127">
        <f t="shared" si="212"/>
        <v>0.67745484900761865</v>
      </c>
      <c r="N183" s="127">
        <f t="shared" si="212"/>
        <v>0.6680364203168373</v>
      </c>
      <c r="O183" s="127">
        <f t="shared" si="212"/>
        <v>0.64256810400594677</v>
      </c>
      <c r="P183" s="127">
        <f t="shared" si="212"/>
        <v>0.65020634908209962</v>
      </c>
      <c r="Q183" s="127">
        <f t="shared" si="212"/>
        <v>0.66258921677337324</v>
      </c>
      <c r="R183" s="127">
        <f t="shared" si="212"/>
        <v>0.64425763730936991</v>
      </c>
      <c r="S183" s="127">
        <f t="shared" si="212"/>
        <v>0.6384056902883769</v>
      </c>
      <c r="T183" s="127">
        <f t="shared" si="212"/>
        <v>0.61106409905992831</v>
      </c>
      <c r="U183" s="127">
        <f t="shared" si="212"/>
        <v>0.62710308728047559</v>
      </c>
      <c r="V183" s="127">
        <f t="shared" si="212"/>
        <v>0.66833055250339468</v>
      </c>
      <c r="W183" s="127">
        <f t="shared" si="212"/>
        <v>0.67994156293903141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31.635934691023042</v>
      </c>
      <c r="C186" s="32">
        <f t="shared" si="213"/>
        <v>31.45258831208664</v>
      </c>
      <c r="D186" s="32">
        <f t="shared" si="213"/>
        <v>31.956768507671534</v>
      </c>
      <c r="E186" s="32">
        <f t="shared" si="213"/>
        <v>31.856873047474725</v>
      </c>
      <c r="F186" s="32">
        <f t="shared" si="213"/>
        <v>31.533997527278423</v>
      </c>
      <c r="G186" s="32">
        <f t="shared" si="213"/>
        <v>32.012052179607835</v>
      </c>
      <c r="H186" s="32">
        <f t="shared" si="213"/>
        <v>32.658972290184003</v>
      </c>
      <c r="I186" s="32">
        <f t="shared" si="213"/>
        <v>32.602298713541352</v>
      </c>
      <c r="J186" s="32">
        <f t="shared" si="213"/>
        <v>32.090304988185103</v>
      </c>
      <c r="K186" s="32">
        <f t="shared" si="213"/>
        <v>30.183362508292461</v>
      </c>
      <c r="L186" s="32">
        <f t="shared" si="213"/>
        <v>30.438369719011217</v>
      </c>
      <c r="M186" s="32">
        <f t="shared" si="213"/>
        <v>30.803755644245943</v>
      </c>
      <c r="N186" s="32">
        <f t="shared" si="213"/>
        <v>31.776135240846354</v>
      </c>
      <c r="O186" s="32">
        <f t="shared" si="213"/>
        <v>30.996734625577641</v>
      </c>
      <c r="P186" s="32">
        <f t="shared" si="213"/>
        <v>31.771583713495261</v>
      </c>
      <c r="Q186" s="32">
        <f t="shared" si="213"/>
        <v>30.830787827046134</v>
      </c>
      <c r="R186" s="32">
        <f t="shared" si="213"/>
        <v>29.575017798854173</v>
      </c>
      <c r="S186" s="32">
        <f t="shared" si="213"/>
        <v>28.124419335770209</v>
      </c>
      <c r="T186" s="32">
        <f t="shared" si="213"/>
        <v>28.773649195951723</v>
      </c>
      <c r="U186" s="32">
        <f t="shared" si="213"/>
        <v>28.36186897217646</v>
      </c>
      <c r="V186" s="32">
        <f t="shared" si="213"/>
        <v>34.541580953273005</v>
      </c>
      <c r="W186" s="32">
        <f t="shared" ref="W186" si="214">IF(W34=0,0,W34/W4*1000)</f>
        <v>35.867327435975803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31.785879044644783</v>
      </c>
      <c r="C187" s="141">
        <f t="shared" si="215"/>
        <v>31.663658565145226</v>
      </c>
      <c r="D187" s="141">
        <f t="shared" si="215"/>
        <v>32.323310937161878</v>
      </c>
      <c r="E187" s="141">
        <f t="shared" si="215"/>
        <v>31.946637768903983</v>
      </c>
      <c r="F187" s="141">
        <f t="shared" si="215"/>
        <v>32.049703921568288</v>
      </c>
      <c r="G187" s="141">
        <f t="shared" si="215"/>
        <v>32.737940798816254</v>
      </c>
      <c r="H187" s="141">
        <f t="shared" si="215"/>
        <v>33.48390880741578</v>
      </c>
      <c r="I187" s="141">
        <f t="shared" si="215"/>
        <v>33.516278520733387</v>
      </c>
      <c r="J187" s="141">
        <f t="shared" si="215"/>
        <v>32.924456320954576</v>
      </c>
      <c r="K187" s="141">
        <f t="shared" si="215"/>
        <v>30.857671502169492</v>
      </c>
      <c r="L187" s="141">
        <f t="shared" si="215"/>
        <v>31.214345032724079</v>
      </c>
      <c r="M187" s="141">
        <f t="shared" si="215"/>
        <v>31.733267612874567</v>
      </c>
      <c r="N187" s="141">
        <f t="shared" si="215"/>
        <v>33.165134347937304</v>
      </c>
      <c r="O187" s="141">
        <f t="shared" si="215"/>
        <v>32.326931677317795</v>
      </c>
      <c r="P187" s="141">
        <f t="shared" si="215"/>
        <v>33.373695188605815</v>
      </c>
      <c r="Q187" s="141">
        <f t="shared" si="215"/>
        <v>32.343484370246586</v>
      </c>
      <c r="R187" s="141">
        <f t="shared" si="215"/>
        <v>30.839862033053706</v>
      </c>
      <c r="S187" s="141">
        <f t="shared" si="215"/>
        <v>29.192297487403042</v>
      </c>
      <c r="T187" s="141">
        <f t="shared" si="215"/>
        <v>29.843829893533439</v>
      </c>
      <c r="U187" s="141">
        <f t="shared" si="215"/>
        <v>29.510481019372502</v>
      </c>
      <c r="V187" s="141">
        <f t="shared" si="215"/>
        <v>35.004792896216642</v>
      </c>
      <c r="W187" s="141">
        <f t="shared" ref="W187" si="216">IF(W35=0,0,W35/W5*1000)</f>
        <v>37.030622208674686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31.482044492145462</v>
      </c>
      <c r="C188" s="97">
        <f t="shared" si="217"/>
        <v>30.658706335229748</v>
      </c>
      <c r="D188" s="97">
        <f t="shared" si="217"/>
        <v>30.484442857701509</v>
      </c>
      <c r="E188" s="97">
        <f t="shared" si="217"/>
        <v>30.177148891288923</v>
      </c>
      <c r="F188" s="97">
        <f t="shared" si="217"/>
        <v>29.536828787379079</v>
      </c>
      <c r="G188" s="97">
        <f t="shared" si="217"/>
        <v>29.426549243385566</v>
      </c>
      <c r="H188" s="97">
        <f t="shared" si="217"/>
        <v>28.747122362309618</v>
      </c>
      <c r="I188" s="97">
        <f t="shared" si="217"/>
        <v>28.744006879342056</v>
      </c>
      <c r="J188" s="97">
        <f t="shared" si="217"/>
        <v>28.118012845659074</v>
      </c>
      <c r="K188" s="97">
        <f t="shared" si="217"/>
        <v>28.612135988688639</v>
      </c>
      <c r="L188" s="97">
        <f t="shared" si="217"/>
        <v>28.779110496317241</v>
      </c>
      <c r="M188" s="97">
        <f t="shared" si="217"/>
        <v>27.146449471117595</v>
      </c>
      <c r="N188" s="97">
        <f t="shared" si="217"/>
        <v>26.463421227444464</v>
      </c>
      <c r="O188" s="97">
        <f t="shared" si="217"/>
        <v>26.084391766298374</v>
      </c>
      <c r="P188" s="97">
        <f t="shared" si="217"/>
        <v>26.474907421580443</v>
      </c>
      <c r="Q188" s="97">
        <f t="shared" si="217"/>
        <v>27.419943344212005</v>
      </c>
      <c r="R188" s="97">
        <f t="shared" si="217"/>
        <v>27.166094816611441</v>
      </c>
      <c r="S188" s="97">
        <f t="shared" si="217"/>
        <v>27.081567205174665</v>
      </c>
      <c r="T188" s="97">
        <f t="shared" si="217"/>
        <v>26.986910976356697</v>
      </c>
      <c r="U188" s="97">
        <f t="shared" si="217"/>
        <v>26.842593204594252</v>
      </c>
      <c r="V188" s="97">
        <f t="shared" si="217"/>
        <v>26.788463408718613</v>
      </c>
      <c r="W188" s="97">
        <f t="shared" ref="W188" si="218">IF(W36=0,0,W36/W6*1000)</f>
        <v>25.384583272440082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32.987998385217253</v>
      </c>
      <c r="C189" s="97">
        <f t="shared" si="219"/>
        <v>32.976996877231251</v>
      </c>
      <c r="D189" s="97">
        <f t="shared" si="219"/>
        <v>33.820106197650134</v>
      </c>
      <c r="E189" s="97">
        <f t="shared" si="219"/>
        <v>33.436070396753003</v>
      </c>
      <c r="F189" s="97">
        <f t="shared" si="219"/>
        <v>33.641920932420327</v>
      </c>
      <c r="G189" s="97">
        <f t="shared" si="219"/>
        <v>34.662898342413165</v>
      </c>
      <c r="H189" s="97">
        <f t="shared" si="219"/>
        <v>35.690240540210304</v>
      </c>
      <c r="I189" s="97">
        <f t="shared" si="219"/>
        <v>35.675202377537808</v>
      </c>
      <c r="J189" s="97">
        <f t="shared" si="219"/>
        <v>34.97742313575182</v>
      </c>
      <c r="K189" s="97">
        <f t="shared" si="219"/>
        <v>32.302914090857016</v>
      </c>
      <c r="L189" s="97">
        <f t="shared" si="219"/>
        <v>32.741131373397053</v>
      </c>
      <c r="M189" s="97">
        <f t="shared" si="219"/>
        <v>33.480563384557463</v>
      </c>
      <c r="N189" s="97">
        <f t="shared" si="219"/>
        <v>35.665572642407923</v>
      </c>
      <c r="O189" s="97">
        <f t="shared" si="219"/>
        <v>34.479389171553002</v>
      </c>
      <c r="P189" s="97">
        <f t="shared" si="219"/>
        <v>35.683795100049153</v>
      </c>
      <c r="Q189" s="97">
        <f t="shared" si="219"/>
        <v>34.155154699732854</v>
      </c>
      <c r="R189" s="97">
        <f t="shared" si="219"/>
        <v>32.306660570537851</v>
      </c>
      <c r="S189" s="97">
        <f t="shared" si="219"/>
        <v>30.255747548507944</v>
      </c>
      <c r="T189" s="97">
        <f t="shared" si="219"/>
        <v>31.049759044359956</v>
      </c>
      <c r="U189" s="97">
        <f t="shared" si="219"/>
        <v>30.645163809169784</v>
      </c>
      <c r="V189" s="97">
        <f t="shared" si="219"/>
        <v>34.993196974542933</v>
      </c>
      <c r="W189" s="97">
        <f t="shared" ref="W189" si="220">IF(W37=0,0,W37/W7*1000)</f>
        <v>38.938608421719735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22.74738204473832</v>
      </c>
      <c r="C190" s="97">
        <f t="shared" si="221"/>
        <v>22.30562572055598</v>
      </c>
      <c r="D190" s="97">
        <f t="shared" si="221"/>
        <v>22.102050454147406</v>
      </c>
      <c r="E190" s="97">
        <f t="shared" si="221"/>
        <v>21.832536501746709</v>
      </c>
      <c r="F190" s="97">
        <f t="shared" si="221"/>
        <v>21.696902298637973</v>
      </c>
      <c r="G190" s="97">
        <f t="shared" si="221"/>
        <v>21.461959955437667</v>
      </c>
      <c r="H190" s="97">
        <f t="shared" si="221"/>
        <v>21.20256288895035</v>
      </c>
      <c r="I190" s="97">
        <f t="shared" si="221"/>
        <v>21.223981452318093</v>
      </c>
      <c r="J190" s="97">
        <f t="shared" si="221"/>
        <v>21.454511561063416</v>
      </c>
      <c r="K190" s="97">
        <f t="shared" si="221"/>
        <v>21.509499967475424</v>
      </c>
      <c r="L190" s="97">
        <f t="shared" si="221"/>
        <v>21.737171993618205</v>
      </c>
      <c r="M190" s="97">
        <f t="shared" si="221"/>
        <v>22.32249816013428</v>
      </c>
      <c r="N190" s="97">
        <f t="shared" si="221"/>
        <v>21.704933985452723</v>
      </c>
      <c r="O190" s="97">
        <f t="shared" si="221"/>
        <v>21.739032665682018</v>
      </c>
      <c r="P190" s="97">
        <f t="shared" si="221"/>
        <v>21.666229502756874</v>
      </c>
      <c r="Q190" s="97">
        <f t="shared" si="221"/>
        <v>22.258125479491149</v>
      </c>
      <c r="R190" s="97">
        <f t="shared" si="221"/>
        <v>22.16276685214978</v>
      </c>
      <c r="S190" s="97">
        <f t="shared" si="221"/>
        <v>22.245144852613688</v>
      </c>
      <c r="T190" s="97">
        <f t="shared" si="221"/>
        <v>22.364000783653875</v>
      </c>
      <c r="U190" s="97">
        <f t="shared" si="221"/>
        <v>22.508103151372747</v>
      </c>
      <c r="V190" s="97">
        <f t="shared" si="221"/>
        <v>39.896228711462918</v>
      </c>
      <c r="W190" s="97">
        <f t="shared" ref="W190" si="222">IF(W38=0,0,W38/W8*1000)</f>
        <v>29.840091743706996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8.2509196447213498</v>
      </c>
      <c r="C191" s="130">
        <f t="shared" si="223"/>
        <v>7.8033414707893671</v>
      </c>
      <c r="D191" s="130">
        <f t="shared" si="223"/>
        <v>8.0585883423509141</v>
      </c>
      <c r="E191" s="130">
        <f t="shared" si="223"/>
        <v>8.4331489965797122</v>
      </c>
      <c r="F191" s="130">
        <f t="shared" si="223"/>
        <v>7.8240976170151093</v>
      </c>
      <c r="G191" s="130">
        <f t="shared" si="223"/>
        <v>7.5821449437979629</v>
      </c>
      <c r="H191" s="130">
        <f t="shared" si="223"/>
        <v>7.3596743097044213</v>
      </c>
      <c r="I191" s="130">
        <f t="shared" si="223"/>
        <v>7.2205743633560573</v>
      </c>
      <c r="J191" s="130">
        <f t="shared" si="223"/>
        <v>6.8916380685353156</v>
      </c>
      <c r="K191" s="130">
        <f t="shared" si="223"/>
        <v>7.1550728628801767</v>
      </c>
      <c r="L191" s="130">
        <f t="shared" si="223"/>
        <v>7.4964144537448423</v>
      </c>
      <c r="M191" s="130">
        <f t="shared" si="223"/>
        <v>7.4109366973118052</v>
      </c>
      <c r="N191" s="130">
        <f t="shared" si="223"/>
        <v>7.8200344136324649</v>
      </c>
      <c r="O191" s="130">
        <f t="shared" si="223"/>
        <v>7.6920999738839351</v>
      </c>
      <c r="P191" s="130">
        <f t="shared" si="223"/>
        <v>7.0521502560294262</v>
      </c>
      <c r="Q191" s="130">
        <f t="shared" si="223"/>
        <v>7.1680830046786337</v>
      </c>
      <c r="R191" s="130">
        <f t="shared" si="223"/>
        <v>7.4335583201256963</v>
      </c>
      <c r="S191" s="130">
        <f t="shared" si="223"/>
        <v>7.5085628169920735</v>
      </c>
      <c r="T191" s="130">
        <f t="shared" si="223"/>
        <v>7.7679962328477483</v>
      </c>
      <c r="U191" s="130">
        <f t="shared" si="223"/>
        <v>7.3810792323450434</v>
      </c>
      <c r="V191" s="130">
        <f t="shared" si="223"/>
        <v>14.828169884626016</v>
      </c>
      <c r="W191" s="130">
        <f t="shared" ref="W191" si="224">IF(W39=0,0,W39/W9*1000)</f>
        <v>12.986632821864379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4.3386526641032459</v>
      </c>
      <c r="C192" s="97">
        <f t="shared" si="225"/>
        <v>4.3234486200850153</v>
      </c>
      <c r="D192" s="97">
        <f t="shared" si="225"/>
        <v>4.2498252043233897</v>
      </c>
      <c r="E192" s="97">
        <f t="shared" si="225"/>
        <v>4.2618380198153707</v>
      </c>
      <c r="F192" s="97">
        <f t="shared" si="225"/>
        <v>4.3690769171342305</v>
      </c>
      <c r="G192" s="97">
        <f t="shared" si="225"/>
        <v>4.3118220920158512</v>
      </c>
      <c r="H192" s="97">
        <f t="shared" si="225"/>
        <v>4.2149531253504522</v>
      </c>
      <c r="I192" s="97">
        <f t="shared" si="225"/>
        <v>4.2156953799131909</v>
      </c>
      <c r="J192" s="97">
        <f t="shared" si="225"/>
        <v>4.1585253702166334</v>
      </c>
      <c r="K192" s="97">
        <f t="shared" si="225"/>
        <v>4.141168502017889</v>
      </c>
      <c r="L192" s="97">
        <f t="shared" si="225"/>
        <v>4.0641655439281585</v>
      </c>
      <c r="M192" s="97">
        <f t="shared" si="225"/>
        <v>4.0065375997025932</v>
      </c>
      <c r="N192" s="97">
        <f t="shared" si="225"/>
        <v>3.9432174309144976</v>
      </c>
      <c r="O192" s="97">
        <f t="shared" si="225"/>
        <v>3.8973870074920849</v>
      </c>
      <c r="P192" s="97">
        <f t="shared" si="225"/>
        <v>3.7836555173448554</v>
      </c>
      <c r="Q192" s="97">
        <f t="shared" si="225"/>
        <v>3.6772000240285405</v>
      </c>
      <c r="R192" s="97">
        <f t="shared" si="225"/>
        <v>3.6369861721644927</v>
      </c>
      <c r="S192" s="97">
        <f t="shared" si="225"/>
        <v>3.5791095119084337</v>
      </c>
      <c r="T192" s="97">
        <f t="shared" si="225"/>
        <v>3.5348346677030511</v>
      </c>
      <c r="U192" s="97">
        <f t="shared" si="225"/>
        <v>3.5051403588763685</v>
      </c>
      <c r="V192" s="97">
        <f t="shared" si="225"/>
        <v>4.9602541191873399</v>
      </c>
      <c r="W192" s="97">
        <f t="shared" ref="W192" si="226">IF(W40=0,0,W40/W10*1000)</f>
        <v>4.6081861740771792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8.9400936675921834</v>
      </c>
      <c r="C193" s="97">
        <f t="shared" si="227"/>
        <v>8.4607144464803667</v>
      </c>
      <c r="D193" s="97">
        <f t="shared" si="227"/>
        <v>8.8676758208099606</v>
      </c>
      <c r="E193" s="97">
        <f t="shared" si="227"/>
        <v>9.4354761389085908</v>
      </c>
      <c r="F193" s="97">
        <f t="shared" si="227"/>
        <v>8.6742315761613185</v>
      </c>
      <c r="G193" s="97">
        <f t="shared" si="227"/>
        <v>8.4388934528167905</v>
      </c>
      <c r="H193" s="97">
        <f t="shared" si="227"/>
        <v>8.3177706651520769</v>
      </c>
      <c r="I193" s="97">
        <f t="shared" si="227"/>
        <v>8.2245910777558819</v>
      </c>
      <c r="J193" s="97">
        <f t="shared" si="227"/>
        <v>7.708297654666131</v>
      </c>
      <c r="K193" s="97">
        <f t="shared" si="227"/>
        <v>8.2899491391146825</v>
      </c>
      <c r="L193" s="97">
        <f t="shared" si="227"/>
        <v>8.9415538674305211</v>
      </c>
      <c r="M193" s="97">
        <f t="shared" si="227"/>
        <v>8.931363775658415</v>
      </c>
      <c r="N193" s="97">
        <f t="shared" si="227"/>
        <v>9.6742774522812063</v>
      </c>
      <c r="O193" s="97">
        <f t="shared" si="227"/>
        <v>9.4086300624086707</v>
      </c>
      <c r="P193" s="97">
        <f t="shared" si="227"/>
        <v>8.44828406575167</v>
      </c>
      <c r="Q193" s="97">
        <f t="shared" si="227"/>
        <v>8.588306409198541</v>
      </c>
      <c r="R193" s="97">
        <f t="shared" si="227"/>
        <v>9.0155602039580387</v>
      </c>
      <c r="S193" s="97">
        <f t="shared" si="227"/>
        <v>9.1346923394008765</v>
      </c>
      <c r="T193" s="97">
        <f t="shared" si="227"/>
        <v>9.4425100143311127</v>
      </c>
      <c r="U193" s="97">
        <f t="shared" si="227"/>
        <v>8.7675049407323993</v>
      </c>
      <c r="V193" s="97">
        <f t="shared" si="227"/>
        <v>18.323265059622898</v>
      </c>
      <c r="W193" s="97">
        <f t="shared" ref="W193" si="228">IF(W41=0,0,W41/W11*1000)</f>
        <v>16.083884019005747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6.5372224824643244</v>
      </c>
      <c r="C194" s="97">
        <f t="shared" si="229"/>
        <v>6.4690705032427802</v>
      </c>
      <c r="D194" s="97">
        <f t="shared" si="229"/>
        <v>6.3985209789545143</v>
      </c>
      <c r="E194" s="97">
        <f t="shared" si="229"/>
        <v>6.2266174854225476</v>
      </c>
      <c r="F194" s="97">
        <f t="shared" si="229"/>
        <v>6.0086039772966444</v>
      </c>
      <c r="G194" s="97">
        <f t="shared" si="229"/>
        <v>5.7282009488132841</v>
      </c>
      <c r="H194" s="97">
        <f t="shared" si="229"/>
        <v>5.1381969127304048</v>
      </c>
      <c r="I194" s="97">
        <f t="shared" si="229"/>
        <v>4.8482993019371055</v>
      </c>
      <c r="J194" s="97">
        <f t="shared" si="229"/>
        <v>5.2719942610733517</v>
      </c>
      <c r="K194" s="97">
        <f t="shared" si="229"/>
        <v>5.1563014173355803</v>
      </c>
      <c r="L194" s="97">
        <f t="shared" si="229"/>
        <v>5.1625825077995211</v>
      </c>
      <c r="M194" s="97">
        <f t="shared" si="229"/>
        <v>5.0992222070180482</v>
      </c>
      <c r="N194" s="97">
        <f t="shared" si="229"/>
        <v>4.878598164242562</v>
      </c>
      <c r="O194" s="97">
        <f t="shared" si="229"/>
        <v>4.8222950761742522</v>
      </c>
      <c r="P194" s="97">
        <f t="shared" si="229"/>
        <v>4.6966745033718791</v>
      </c>
      <c r="Q194" s="97">
        <f t="shared" si="229"/>
        <v>4.6560057770356549</v>
      </c>
      <c r="R194" s="97">
        <f t="shared" si="229"/>
        <v>4.6257354995228352</v>
      </c>
      <c r="S194" s="97">
        <f t="shared" si="229"/>
        <v>4.603182566168722</v>
      </c>
      <c r="T194" s="97">
        <f t="shared" si="229"/>
        <v>4.5863246943023324</v>
      </c>
      <c r="U194" s="97">
        <f t="shared" si="229"/>
        <v>4.9410087286748157</v>
      </c>
      <c r="V194" s="97">
        <f t="shared" si="229"/>
        <v>11.472536842409843</v>
      </c>
      <c r="W194" s="97">
        <f t="shared" ref="W194" si="230">IF(W42=0,0,W42/W12*1000)</f>
        <v>10.022643962859267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48.581971376757181</v>
      </c>
      <c r="C195" s="130">
        <f t="shared" si="231"/>
        <v>49.37156918013067</v>
      </c>
      <c r="D195" s="130">
        <f t="shared" si="231"/>
        <v>47.656709289311159</v>
      </c>
      <c r="E195" s="130">
        <f t="shared" si="231"/>
        <v>49.103050154198556</v>
      </c>
      <c r="F195" s="130">
        <f t="shared" si="231"/>
        <v>42.214174399095469</v>
      </c>
      <c r="G195" s="130">
        <f t="shared" si="231"/>
        <v>40.981775118314175</v>
      </c>
      <c r="H195" s="130">
        <f t="shared" si="231"/>
        <v>40.759137242532908</v>
      </c>
      <c r="I195" s="130">
        <f t="shared" si="231"/>
        <v>39.361749738296076</v>
      </c>
      <c r="J195" s="130">
        <f t="shared" si="231"/>
        <v>39.664879768794108</v>
      </c>
      <c r="K195" s="130">
        <f t="shared" si="231"/>
        <v>37.551080339102057</v>
      </c>
      <c r="L195" s="130">
        <f t="shared" si="231"/>
        <v>36.314885147929594</v>
      </c>
      <c r="M195" s="130">
        <f t="shared" si="231"/>
        <v>35.642398478897228</v>
      </c>
      <c r="N195" s="130">
        <f t="shared" si="231"/>
        <v>34.384958731152878</v>
      </c>
      <c r="O195" s="130">
        <f t="shared" si="231"/>
        <v>33.63713277701477</v>
      </c>
      <c r="P195" s="130">
        <f t="shared" si="231"/>
        <v>33.077887325364713</v>
      </c>
      <c r="Q195" s="130">
        <f t="shared" si="231"/>
        <v>32.249135971555269</v>
      </c>
      <c r="R195" s="130">
        <f t="shared" si="231"/>
        <v>31.569048208022899</v>
      </c>
      <c r="S195" s="130">
        <f t="shared" si="231"/>
        <v>30.458915219428242</v>
      </c>
      <c r="T195" s="130">
        <f t="shared" si="231"/>
        <v>31.585177539031008</v>
      </c>
      <c r="U195" s="130">
        <f t="shared" si="231"/>
        <v>30.631126148390624</v>
      </c>
      <c r="V195" s="130">
        <f t="shared" si="231"/>
        <v>41.303509919328448</v>
      </c>
      <c r="W195" s="130">
        <f t="shared" ref="W195" si="232">IF(W43=0,0,W43/W13*1000)</f>
        <v>36.40013232628511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45.889581638849066</v>
      </c>
      <c r="C196" s="97">
        <f t="shared" si="233"/>
        <v>44.762406878609539</v>
      </c>
      <c r="D196" s="97">
        <f t="shared" si="233"/>
        <v>44.366332602576975</v>
      </c>
      <c r="E196" s="97">
        <f t="shared" si="233"/>
        <v>44.943915844898299</v>
      </c>
      <c r="F196" s="97">
        <f t="shared" si="233"/>
        <v>43.766087477625625</v>
      </c>
      <c r="G196" s="97">
        <f t="shared" si="233"/>
        <v>45.503078330433524</v>
      </c>
      <c r="H196" s="97">
        <f t="shared" si="233"/>
        <v>46.04080491682533</v>
      </c>
      <c r="I196" s="97">
        <f t="shared" si="233"/>
        <v>43.55388105814049</v>
      </c>
      <c r="J196" s="97">
        <f t="shared" si="233"/>
        <v>42.908301854110718</v>
      </c>
      <c r="K196" s="97">
        <f t="shared" si="233"/>
        <v>36.338893375096774</v>
      </c>
      <c r="L196" s="97">
        <f t="shared" si="233"/>
        <v>35.347295842859431</v>
      </c>
      <c r="M196" s="97">
        <f t="shared" si="233"/>
        <v>33.28633210540999</v>
      </c>
      <c r="N196" s="97">
        <f t="shared" si="233"/>
        <v>33.96772625698646</v>
      </c>
      <c r="O196" s="97">
        <f t="shared" si="233"/>
        <v>35.54793781593807</v>
      </c>
      <c r="P196" s="97">
        <f t="shared" si="233"/>
        <v>35.580418525810643</v>
      </c>
      <c r="Q196" s="97">
        <f t="shared" si="233"/>
        <v>35.084173670383436</v>
      </c>
      <c r="R196" s="97">
        <f t="shared" si="233"/>
        <v>34.457518590829302</v>
      </c>
      <c r="S196" s="97">
        <f t="shared" si="233"/>
        <v>36.219988722231392</v>
      </c>
      <c r="T196" s="97">
        <f t="shared" si="233"/>
        <v>39.207556154959534</v>
      </c>
      <c r="U196" s="97">
        <f t="shared" si="233"/>
        <v>39.554458733433037</v>
      </c>
      <c r="V196" s="97">
        <f t="shared" si="233"/>
        <v>37.963555946144893</v>
      </c>
      <c r="W196" s="97">
        <f t="shared" ref="W196" si="234">IF(W44=0,0,W44/W14*1000)</f>
        <v>38.635601684779338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49.590119564518581</v>
      </c>
      <c r="C197" s="97">
        <f t="shared" si="235"/>
        <v>50.640130535374141</v>
      </c>
      <c r="D197" s="97">
        <f t="shared" si="235"/>
        <v>48.585604865678334</v>
      </c>
      <c r="E197" s="97">
        <f t="shared" si="235"/>
        <v>49.646840488404514</v>
      </c>
      <c r="F197" s="97">
        <f t="shared" si="235"/>
        <v>42.158791789657919</v>
      </c>
      <c r="G197" s="97">
        <f t="shared" si="235"/>
        <v>39.455059133718244</v>
      </c>
      <c r="H197" s="97">
        <f t="shared" si="235"/>
        <v>39.628274976860411</v>
      </c>
      <c r="I197" s="97">
        <f t="shared" si="235"/>
        <v>40.310679416695521</v>
      </c>
      <c r="J197" s="97">
        <f t="shared" si="235"/>
        <v>40.675576824197535</v>
      </c>
      <c r="K197" s="97">
        <f t="shared" si="235"/>
        <v>37.911903741356284</v>
      </c>
      <c r="L197" s="97">
        <f t="shared" si="235"/>
        <v>36.910217371842386</v>
      </c>
      <c r="M197" s="97">
        <f t="shared" si="235"/>
        <v>34.456684884237738</v>
      </c>
      <c r="N197" s="97">
        <f t="shared" si="235"/>
        <v>33.316860611480031</v>
      </c>
      <c r="O197" s="97">
        <f t="shared" si="235"/>
        <v>31.925747479707855</v>
      </c>
      <c r="P197" s="97">
        <f t="shared" si="235"/>
        <v>31.371706690213671</v>
      </c>
      <c r="Q197" s="97">
        <f t="shared" si="235"/>
        <v>29.75860133848073</v>
      </c>
      <c r="R197" s="97">
        <f t="shared" si="235"/>
        <v>29.581655962947732</v>
      </c>
      <c r="S197" s="97">
        <f t="shared" si="235"/>
        <v>28.954052215083067</v>
      </c>
      <c r="T197" s="97">
        <f t="shared" si="235"/>
        <v>30.752710561297292</v>
      </c>
      <c r="U197" s="97">
        <f t="shared" si="235"/>
        <v>29.904783947447683</v>
      </c>
      <c r="V197" s="97">
        <f t="shared" si="235"/>
        <v>34.874821295429221</v>
      </c>
      <c r="W197" s="97">
        <f t="shared" ref="W197" si="236">IF(W45=0,0,W45/W15*1000)</f>
        <v>26.804400647448578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49.067051520895419</v>
      </c>
      <c r="C198" s="97">
        <f t="shared" si="237"/>
        <v>50.580273104538989</v>
      </c>
      <c r="D198" s="97">
        <f t="shared" si="237"/>
        <v>48.515807715997276</v>
      </c>
      <c r="E198" s="97">
        <f t="shared" si="237"/>
        <v>50.793804292059491</v>
      </c>
      <c r="F198" s="97">
        <f t="shared" si="237"/>
        <v>41.599114233246837</v>
      </c>
      <c r="G198" s="97">
        <f t="shared" si="237"/>
        <v>40.442853956273325</v>
      </c>
      <c r="H198" s="97">
        <f t="shared" si="237"/>
        <v>39.610401455590164</v>
      </c>
      <c r="I198" s="97">
        <f t="shared" si="237"/>
        <v>36.937882065060272</v>
      </c>
      <c r="J198" s="97">
        <f t="shared" si="237"/>
        <v>37.594387906087356</v>
      </c>
      <c r="K198" s="97">
        <f t="shared" si="237"/>
        <v>37.808349188132247</v>
      </c>
      <c r="L198" s="97">
        <f t="shared" si="237"/>
        <v>36.281893635665668</v>
      </c>
      <c r="M198" s="97">
        <f t="shared" si="237"/>
        <v>37.750882629506549</v>
      </c>
      <c r="N198" s="97">
        <f t="shared" si="237"/>
        <v>35.427595710821812</v>
      </c>
      <c r="O198" s="97">
        <f t="shared" si="237"/>
        <v>34.248788356074414</v>
      </c>
      <c r="P198" s="97">
        <f t="shared" si="237"/>
        <v>33.557695803552022</v>
      </c>
      <c r="Q198" s="97">
        <f t="shared" si="237"/>
        <v>33.297662595542477</v>
      </c>
      <c r="R198" s="97">
        <f t="shared" si="237"/>
        <v>32.243172501908226</v>
      </c>
      <c r="S198" s="97">
        <f t="shared" si="237"/>
        <v>29.651501815548777</v>
      </c>
      <c r="T198" s="97">
        <f t="shared" si="237"/>
        <v>29.666424227110692</v>
      </c>
      <c r="U198" s="97">
        <f t="shared" si="237"/>
        <v>28.376507115574157</v>
      </c>
      <c r="V198" s="97">
        <f t="shared" si="237"/>
        <v>48.699432434886297</v>
      </c>
      <c r="W198" s="97">
        <f t="shared" ref="W198" si="238">IF(W46=0,0,W46/W16*1000)</f>
        <v>45.514378984338116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46.035632903525567</v>
      </c>
      <c r="C199" s="32">
        <f t="shared" si="239"/>
        <v>49.169281301972475</v>
      </c>
      <c r="D199" s="32">
        <f t="shared" si="239"/>
        <v>47.480455464632826</v>
      </c>
      <c r="E199" s="32">
        <f t="shared" si="239"/>
        <v>51.579377089992413</v>
      </c>
      <c r="F199" s="32">
        <f t="shared" si="239"/>
        <v>49.491354044403657</v>
      </c>
      <c r="G199" s="32">
        <f t="shared" si="239"/>
        <v>47.658334539226004</v>
      </c>
      <c r="H199" s="32">
        <f t="shared" si="239"/>
        <v>49.085763186709016</v>
      </c>
      <c r="I199" s="32">
        <f t="shared" si="239"/>
        <v>49.244822757225947</v>
      </c>
      <c r="J199" s="32">
        <f t="shared" si="239"/>
        <v>45.6583505388856</v>
      </c>
      <c r="K199" s="32">
        <f t="shared" si="239"/>
        <v>44.408005920496343</v>
      </c>
      <c r="L199" s="32">
        <f t="shared" si="239"/>
        <v>41.837371828370436</v>
      </c>
      <c r="M199" s="32">
        <f t="shared" si="239"/>
        <v>47.451368706791662</v>
      </c>
      <c r="N199" s="32">
        <f t="shared" si="239"/>
        <v>50.329330327908892</v>
      </c>
      <c r="O199" s="32">
        <f t="shared" si="239"/>
        <v>43.832588994206581</v>
      </c>
      <c r="P199" s="32">
        <f t="shared" si="239"/>
        <v>43.819507528890654</v>
      </c>
      <c r="Q199" s="32">
        <f t="shared" si="239"/>
        <v>39.922427362832842</v>
      </c>
      <c r="R199" s="32">
        <f t="shared" si="239"/>
        <v>37.87215389575492</v>
      </c>
      <c r="S199" s="32">
        <f t="shared" si="239"/>
        <v>30.995511675018765</v>
      </c>
      <c r="T199" s="32">
        <f t="shared" si="239"/>
        <v>35.052409657969875</v>
      </c>
      <c r="U199" s="32">
        <f t="shared" si="239"/>
        <v>34.361044704499271</v>
      </c>
      <c r="V199" s="32">
        <f t="shared" si="239"/>
        <v>32.725020337756703</v>
      </c>
      <c r="W199" s="32">
        <f t="shared" ref="W199" si="240">IF(W47=0,0,W47/W17*1000)</f>
        <v>39.973004921100106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50.624491493071368</v>
      </c>
      <c r="C200" s="141">
        <f t="shared" si="241"/>
        <v>54.149068864253486</v>
      </c>
      <c r="D200" s="141">
        <f t="shared" si="241"/>
        <v>52.046871630996115</v>
      </c>
      <c r="E200" s="141">
        <f t="shared" si="241"/>
        <v>57.82122268475711</v>
      </c>
      <c r="F200" s="141">
        <f t="shared" si="241"/>
        <v>54.970353849682439</v>
      </c>
      <c r="G200" s="141">
        <f t="shared" si="241"/>
        <v>53.396197715460005</v>
      </c>
      <c r="H200" s="141">
        <f t="shared" si="241"/>
        <v>55.839798816175602</v>
      </c>
      <c r="I200" s="141">
        <f t="shared" si="241"/>
        <v>57.734607564136297</v>
      </c>
      <c r="J200" s="141">
        <f t="shared" si="241"/>
        <v>51.460144609512867</v>
      </c>
      <c r="K200" s="141">
        <f t="shared" si="241"/>
        <v>50.774650082821132</v>
      </c>
      <c r="L200" s="141">
        <f t="shared" si="241"/>
        <v>47.678512427479482</v>
      </c>
      <c r="M200" s="141">
        <f t="shared" si="241"/>
        <v>57.264638342864231</v>
      </c>
      <c r="N200" s="141">
        <f t="shared" si="241"/>
        <v>62.378002970910309</v>
      </c>
      <c r="O200" s="141">
        <f t="shared" si="241"/>
        <v>52.719181123354716</v>
      </c>
      <c r="P200" s="141">
        <f t="shared" si="241"/>
        <v>54.676781153851387</v>
      </c>
      <c r="Q200" s="141">
        <f t="shared" si="241"/>
        <v>49.186721455653021</v>
      </c>
      <c r="R200" s="141">
        <f t="shared" si="241"/>
        <v>48.048580517498763</v>
      </c>
      <c r="S200" s="141">
        <f t="shared" si="241"/>
        <v>37.952535033839681</v>
      </c>
      <c r="T200" s="141">
        <f t="shared" si="241"/>
        <v>44.934517018289021</v>
      </c>
      <c r="U200" s="141">
        <f t="shared" si="241"/>
        <v>43.082866765964766</v>
      </c>
      <c r="V200" s="141">
        <f t="shared" si="241"/>
        <v>40.661679795715621</v>
      </c>
      <c r="W200" s="141">
        <f t="shared" ref="W200" si="242">IF(W48=0,0,W48/W18*1000)</f>
        <v>50.526287543245608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641.13816902536462</v>
      </c>
      <c r="C201" s="97">
        <f t="shared" si="243"/>
        <v>597.15638854755775</v>
      </c>
      <c r="D201" s="97">
        <f t="shared" si="243"/>
        <v>563.78913153572557</v>
      </c>
      <c r="E201" s="97">
        <f t="shared" si="243"/>
        <v>544.18853818334662</v>
      </c>
      <c r="F201" s="97">
        <f t="shared" si="243"/>
        <v>534.87867855041134</v>
      </c>
      <c r="G201" s="97">
        <f t="shared" si="243"/>
        <v>521.56570856041321</v>
      </c>
      <c r="H201" s="97">
        <f t="shared" si="243"/>
        <v>489.74530633018821</v>
      </c>
      <c r="I201" s="97">
        <f t="shared" si="243"/>
        <v>480.36461970665937</v>
      </c>
      <c r="J201" s="97">
        <f t="shared" si="243"/>
        <v>467.443664713879</v>
      </c>
      <c r="K201" s="97">
        <f t="shared" si="243"/>
        <v>455.19577137924279</v>
      </c>
      <c r="L201" s="97">
        <f t="shared" si="243"/>
        <v>452.82887620968683</v>
      </c>
      <c r="M201" s="97">
        <f t="shared" si="243"/>
        <v>447.14361489424817</v>
      </c>
      <c r="N201" s="97">
        <f t="shared" si="243"/>
        <v>428.94739647072259</v>
      </c>
      <c r="O201" s="97">
        <f t="shared" si="243"/>
        <v>411.53497337816225</v>
      </c>
      <c r="P201" s="97">
        <f t="shared" si="243"/>
        <v>405.72844260860217</v>
      </c>
      <c r="Q201" s="97">
        <f t="shared" si="243"/>
        <v>386.51771374436527</v>
      </c>
      <c r="R201" s="97">
        <f t="shared" si="243"/>
        <v>371.61860005522317</v>
      </c>
      <c r="S201" s="97">
        <f t="shared" si="243"/>
        <v>364.83834876044517</v>
      </c>
      <c r="T201" s="97">
        <f t="shared" si="243"/>
        <v>362.20376455628178</v>
      </c>
      <c r="U201" s="97">
        <f t="shared" si="243"/>
        <v>361.43409318232756</v>
      </c>
      <c r="V201" s="97">
        <f t="shared" si="243"/>
        <v>358.11000831793058</v>
      </c>
      <c r="W201" s="97">
        <f t="shared" ref="W201" si="244">IF(W49=0,0,W49/W19*1000)</f>
        <v>370.28231644077738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13.646733230970026</v>
      </c>
      <c r="C202" s="97">
        <f t="shared" si="245"/>
        <v>20.867606844803888</v>
      </c>
      <c r="D202" s="97">
        <f t="shared" si="245"/>
        <v>20.233108237138573</v>
      </c>
      <c r="E202" s="97">
        <f t="shared" si="245"/>
        <v>21.650853389774142</v>
      </c>
      <c r="F202" s="97">
        <f t="shared" si="245"/>
        <v>20.684095718589866</v>
      </c>
      <c r="G202" s="97">
        <f t="shared" si="245"/>
        <v>19.297754975715527</v>
      </c>
      <c r="H202" s="97">
        <f t="shared" si="245"/>
        <v>24.723217764667378</v>
      </c>
      <c r="I202" s="97">
        <f t="shared" si="245"/>
        <v>24.602945124044123</v>
      </c>
      <c r="J202" s="97">
        <f t="shared" si="245"/>
        <v>18.934084641837487</v>
      </c>
      <c r="K202" s="97">
        <f t="shared" si="245"/>
        <v>17.295222453328932</v>
      </c>
      <c r="L202" s="97">
        <f t="shared" si="245"/>
        <v>13.079213081849534</v>
      </c>
      <c r="M202" s="97">
        <f t="shared" si="245"/>
        <v>17.067676765426416</v>
      </c>
      <c r="N202" s="97">
        <f t="shared" si="245"/>
        <v>23.729272612226115</v>
      </c>
      <c r="O202" s="97">
        <f t="shared" si="245"/>
        <v>18.949348409511643</v>
      </c>
      <c r="P202" s="97">
        <f t="shared" si="245"/>
        <v>18.266786614881056</v>
      </c>
      <c r="Q202" s="97">
        <f t="shared" si="245"/>
        <v>19.71696393994965</v>
      </c>
      <c r="R202" s="97">
        <f t="shared" si="245"/>
        <v>20.613972291343192</v>
      </c>
      <c r="S202" s="97">
        <f t="shared" si="245"/>
        <v>11.681531878743755</v>
      </c>
      <c r="T202" s="97">
        <f t="shared" si="245"/>
        <v>19.303825991974289</v>
      </c>
      <c r="U202" s="97">
        <f t="shared" si="245"/>
        <v>18.822172993866868</v>
      </c>
      <c r="V202" s="97">
        <f t="shared" si="245"/>
        <v>16.053587629725563</v>
      </c>
      <c r="W202" s="97">
        <f t="shared" ref="W202" si="246">IF(W50=0,0,W50/W20*1000)</f>
        <v>24.241813362234886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3.1056726433248443</v>
      </c>
      <c r="C203" s="130">
        <f t="shared" si="247"/>
        <v>2.9649645091259211</v>
      </c>
      <c r="D203" s="130">
        <f t="shared" si="247"/>
        <v>2.961693105223687</v>
      </c>
      <c r="E203" s="130">
        <f t="shared" si="247"/>
        <v>3.0961243621012784</v>
      </c>
      <c r="F203" s="130">
        <f t="shared" si="247"/>
        <v>3.107045855287617</v>
      </c>
      <c r="G203" s="130">
        <f t="shared" si="247"/>
        <v>2.9310800427569421</v>
      </c>
      <c r="H203" s="130">
        <f t="shared" si="247"/>
        <v>3.0917869663924793</v>
      </c>
      <c r="I203" s="130">
        <f t="shared" si="247"/>
        <v>3.0791770456905505</v>
      </c>
      <c r="J203" s="130">
        <f t="shared" si="247"/>
        <v>3.0749844154580326</v>
      </c>
      <c r="K203" s="130">
        <f t="shared" si="247"/>
        <v>2.8334453136851518</v>
      </c>
      <c r="L203" s="130">
        <f t="shared" si="247"/>
        <v>2.7545441787259395</v>
      </c>
      <c r="M203" s="130">
        <f t="shared" si="247"/>
        <v>2.5267155697500137</v>
      </c>
      <c r="N203" s="130">
        <f t="shared" si="247"/>
        <v>2.4923692291643542</v>
      </c>
      <c r="O203" s="130">
        <f t="shared" si="247"/>
        <v>2.4097525205553909</v>
      </c>
      <c r="P203" s="130">
        <f t="shared" si="247"/>
        <v>2.3033439229662265</v>
      </c>
      <c r="Q203" s="130">
        <f t="shared" si="247"/>
        <v>1.840806599009486</v>
      </c>
      <c r="R203" s="130">
        <f t="shared" si="247"/>
        <v>1.937719175375908</v>
      </c>
      <c r="S203" s="130">
        <f t="shared" si="247"/>
        <v>2.3919186008045146</v>
      </c>
      <c r="T203" s="130">
        <f t="shared" si="247"/>
        <v>2.1470486102246045</v>
      </c>
      <c r="U203" s="130">
        <f t="shared" si="247"/>
        <v>2.2097635608677053</v>
      </c>
      <c r="V203" s="130">
        <f t="shared" si="247"/>
        <v>2.3137627890265344</v>
      </c>
      <c r="W203" s="130">
        <f t="shared" ref="W203" si="248">IF(W51=0,0,W51/W21*1000)</f>
        <v>2.0660289132612428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93.225634986179685</v>
      </c>
      <c r="C204" s="130">
        <f t="shared" si="249"/>
        <v>113.68279776424441</v>
      </c>
      <c r="D204" s="130">
        <f t="shared" si="249"/>
        <v>104.83341639993674</v>
      </c>
      <c r="E204" s="130">
        <f t="shared" si="249"/>
        <v>108.11008239380763</v>
      </c>
      <c r="F204" s="130">
        <f t="shared" si="249"/>
        <v>103.51461496553482</v>
      </c>
      <c r="G204" s="130">
        <f t="shared" si="249"/>
        <v>105.18045631818083</v>
      </c>
      <c r="H204" s="130">
        <f t="shared" si="249"/>
        <v>110.08855652020534</v>
      </c>
      <c r="I204" s="130">
        <f t="shared" si="249"/>
        <v>107.05887814858731</v>
      </c>
      <c r="J204" s="130">
        <f t="shared" si="249"/>
        <v>113.07144468157114</v>
      </c>
      <c r="K204" s="130">
        <f t="shared" si="249"/>
        <v>106.53624415455522</v>
      </c>
      <c r="L204" s="130">
        <f t="shared" si="249"/>
        <v>100.74233330418232</v>
      </c>
      <c r="M204" s="130">
        <f t="shared" si="249"/>
        <v>95.602501923979901</v>
      </c>
      <c r="N204" s="130">
        <f t="shared" si="249"/>
        <v>86.249933545706682</v>
      </c>
      <c r="O204" s="130">
        <f t="shared" si="249"/>
        <v>86.774270755698765</v>
      </c>
      <c r="P204" s="130">
        <f t="shared" si="249"/>
        <v>75.947437495950282</v>
      </c>
      <c r="Q204" s="130">
        <f t="shared" si="249"/>
        <v>75.874261596913399</v>
      </c>
      <c r="R204" s="130">
        <f t="shared" si="249"/>
        <v>67.452962110065627</v>
      </c>
      <c r="S204" s="130">
        <f t="shared" si="249"/>
        <v>66.343873087863074</v>
      </c>
      <c r="T204" s="130">
        <f t="shared" si="249"/>
        <v>67.036875715786678</v>
      </c>
      <c r="U204" s="130">
        <f t="shared" si="249"/>
        <v>63.712127596747919</v>
      </c>
      <c r="V204" s="130">
        <f t="shared" si="249"/>
        <v>103.70826702259889</v>
      </c>
      <c r="W204" s="130">
        <f t="shared" ref="W204" si="250">IF(W52=0,0,W52/W22*1000)</f>
        <v>96.595236844833536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441.06870384270661</v>
      </c>
      <c r="C205" s="97">
        <f t="shared" si="251"/>
        <v>437.84856651535046</v>
      </c>
      <c r="D205" s="97">
        <f t="shared" si="251"/>
        <v>427.23137392196679</v>
      </c>
      <c r="E205" s="97">
        <f t="shared" si="251"/>
        <v>398.46287270337132</v>
      </c>
      <c r="F205" s="97">
        <f t="shared" si="251"/>
        <v>431.22287871417711</v>
      </c>
      <c r="G205" s="97">
        <f t="shared" si="251"/>
        <v>470.3136183057635</v>
      </c>
      <c r="H205" s="97">
        <f t="shared" si="251"/>
        <v>494.16367976981894</v>
      </c>
      <c r="I205" s="97">
        <f t="shared" si="251"/>
        <v>468.14988415266021</v>
      </c>
      <c r="J205" s="97">
        <f t="shared" si="251"/>
        <v>491.79134869281904</v>
      </c>
      <c r="K205" s="97">
        <f t="shared" si="251"/>
        <v>420.66858007964242</v>
      </c>
      <c r="L205" s="97">
        <f t="shared" si="251"/>
        <v>403.56082862509527</v>
      </c>
      <c r="M205" s="97">
        <f t="shared" si="251"/>
        <v>364.42290564828278</v>
      </c>
      <c r="N205" s="97">
        <f t="shared" si="251"/>
        <v>362.91867312121821</v>
      </c>
      <c r="O205" s="97">
        <f t="shared" si="251"/>
        <v>389.9466531912293</v>
      </c>
      <c r="P205" s="97">
        <f t="shared" si="251"/>
        <v>366.19027025769907</v>
      </c>
      <c r="Q205" s="97">
        <f t="shared" si="251"/>
        <v>372.579709697959</v>
      </c>
      <c r="R205" s="97">
        <f t="shared" si="251"/>
        <v>326.53241012526013</v>
      </c>
      <c r="S205" s="97">
        <f t="shared" si="251"/>
        <v>381.85891155648</v>
      </c>
      <c r="T205" s="97">
        <f t="shared" si="251"/>
        <v>419.28107013959851</v>
      </c>
      <c r="U205" s="97">
        <f t="shared" si="251"/>
        <v>347.24909616813596</v>
      </c>
      <c r="V205" s="97">
        <f t="shared" si="251"/>
        <v>278.25894346679848</v>
      </c>
      <c r="W205" s="97">
        <f t="shared" ref="W205" si="252">IF(W53=0,0,W53/W23*1000)</f>
        <v>332.12148486604679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222.1210319196131</v>
      </c>
      <c r="C206" s="97">
        <f t="shared" si="253"/>
        <v>217.52028081774679</v>
      </c>
      <c r="D206" s="97">
        <f t="shared" si="253"/>
        <v>210.0047383509856</v>
      </c>
      <c r="E206" s="97">
        <f t="shared" si="253"/>
        <v>194.76029515389035</v>
      </c>
      <c r="F206" s="97">
        <f t="shared" si="253"/>
        <v>195.69823534996036</v>
      </c>
      <c r="G206" s="97">
        <f t="shared" si="253"/>
        <v>192.60134182385335</v>
      </c>
      <c r="H206" s="97">
        <f t="shared" si="253"/>
        <v>232.86061871465702</v>
      </c>
      <c r="I206" s="97">
        <f t="shared" si="253"/>
        <v>234.54592381240175</v>
      </c>
      <c r="J206" s="97">
        <f t="shared" si="253"/>
        <v>244.72684576427324</v>
      </c>
      <c r="K206" s="97">
        <f t="shared" si="253"/>
        <v>229.33445863150061</v>
      </c>
      <c r="L206" s="97">
        <f t="shared" si="253"/>
        <v>226.69382072217783</v>
      </c>
      <c r="M206" s="97">
        <f t="shared" si="253"/>
        <v>216.84032495996212</v>
      </c>
      <c r="N206" s="97">
        <f t="shared" si="253"/>
        <v>196.55557650550713</v>
      </c>
      <c r="O206" s="97">
        <f t="shared" si="253"/>
        <v>197.99846160499087</v>
      </c>
      <c r="P206" s="97">
        <f t="shared" si="253"/>
        <v>173.30208862259303</v>
      </c>
      <c r="Q206" s="97">
        <f t="shared" si="253"/>
        <v>167.07016306039858</v>
      </c>
      <c r="R206" s="97">
        <f t="shared" si="253"/>
        <v>152.96988689304902</v>
      </c>
      <c r="S206" s="97">
        <f t="shared" si="253"/>
        <v>169.38227607510086</v>
      </c>
      <c r="T206" s="97">
        <f t="shared" si="253"/>
        <v>180.61762222921467</v>
      </c>
      <c r="U206" s="97">
        <f t="shared" si="253"/>
        <v>170.57580594346433</v>
      </c>
      <c r="V206" s="97">
        <f t="shared" si="253"/>
        <v>181.8180342506858</v>
      </c>
      <c r="W206" s="97">
        <f t="shared" ref="W206" si="254">IF(W54=0,0,W54/W24*1000)</f>
        <v>153.20512612626621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81.912200244536393</v>
      </c>
      <c r="C207" s="97">
        <f t="shared" si="255"/>
        <v>80.999429604871551</v>
      </c>
      <c r="D207" s="97">
        <f t="shared" si="255"/>
        <v>82.668690118399724</v>
      </c>
      <c r="E207" s="97">
        <f t="shared" si="255"/>
        <v>87.43675266898353</v>
      </c>
      <c r="F207" s="97">
        <f t="shared" si="255"/>
        <v>81.815922612795887</v>
      </c>
      <c r="G207" s="97">
        <f t="shared" si="255"/>
        <v>85.570778784856856</v>
      </c>
      <c r="H207" s="97">
        <f t="shared" si="255"/>
        <v>89.811122912052085</v>
      </c>
      <c r="I207" s="97">
        <f t="shared" si="255"/>
        <v>87.871611889759038</v>
      </c>
      <c r="J207" s="97">
        <f t="shared" si="255"/>
        <v>92.66604875679532</v>
      </c>
      <c r="K207" s="97">
        <f t="shared" si="255"/>
        <v>86.256174212009668</v>
      </c>
      <c r="L207" s="97">
        <f t="shared" si="255"/>
        <v>85.755094261930935</v>
      </c>
      <c r="M207" s="97">
        <f t="shared" si="255"/>
        <v>83.079563872612297</v>
      </c>
      <c r="N207" s="97">
        <f t="shared" si="255"/>
        <v>73.553845015820258</v>
      </c>
      <c r="O207" s="97">
        <f t="shared" si="255"/>
        <v>74.765371559410539</v>
      </c>
      <c r="P207" s="97">
        <f t="shared" si="255"/>
        <v>66.465524326492769</v>
      </c>
      <c r="Q207" s="97">
        <f t="shared" si="255"/>
        <v>67.674214197044918</v>
      </c>
      <c r="R207" s="97">
        <f t="shared" si="255"/>
        <v>61.089525630650371</v>
      </c>
      <c r="S207" s="97">
        <f t="shared" si="255"/>
        <v>59.496846540899362</v>
      </c>
      <c r="T207" s="97">
        <f t="shared" si="255"/>
        <v>59.315232839651834</v>
      </c>
      <c r="U207" s="97">
        <f t="shared" si="255"/>
        <v>56.378371407962057</v>
      </c>
      <c r="V207" s="97">
        <f t="shared" si="255"/>
        <v>96.383679636034302</v>
      </c>
      <c r="W207" s="97">
        <f t="shared" ref="W207" si="256">IF(W55=0,0,W55/W25*1000)</f>
        <v>89.275374528951744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46.424599916642386</v>
      </c>
      <c r="C208" s="130">
        <f t="shared" si="257"/>
        <v>49.790426086438707</v>
      </c>
      <c r="D208" s="130">
        <f t="shared" si="257"/>
        <v>45.104713137305502</v>
      </c>
      <c r="E208" s="130">
        <f t="shared" si="257"/>
        <v>43.88923128500182</v>
      </c>
      <c r="F208" s="130">
        <f t="shared" si="257"/>
        <v>44.031611024761638</v>
      </c>
      <c r="G208" s="130">
        <f t="shared" si="257"/>
        <v>38.17036008103927</v>
      </c>
      <c r="H208" s="130">
        <f t="shared" si="257"/>
        <v>38.288701807681413</v>
      </c>
      <c r="I208" s="130">
        <f t="shared" si="257"/>
        <v>32.637994588982913</v>
      </c>
      <c r="J208" s="130">
        <f t="shared" si="257"/>
        <v>37.811582671581412</v>
      </c>
      <c r="K208" s="130">
        <f t="shared" si="257"/>
        <v>29.791542179170118</v>
      </c>
      <c r="L208" s="130">
        <f t="shared" si="257"/>
        <v>27.854563135562799</v>
      </c>
      <c r="M208" s="130">
        <f t="shared" si="257"/>
        <v>25.458132580095413</v>
      </c>
      <c r="N208" s="130">
        <f t="shared" si="257"/>
        <v>25.308168980348945</v>
      </c>
      <c r="O208" s="130">
        <f t="shared" si="257"/>
        <v>25.813260209397896</v>
      </c>
      <c r="P208" s="130">
        <f t="shared" si="257"/>
        <v>23.46994287490719</v>
      </c>
      <c r="Q208" s="130">
        <f t="shared" si="257"/>
        <v>23.283587128320583</v>
      </c>
      <c r="R208" s="130">
        <f t="shared" si="257"/>
        <v>21.398037623880256</v>
      </c>
      <c r="S208" s="130">
        <f t="shared" si="257"/>
        <v>18.792660698915284</v>
      </c>
      <c r="T208" s="130">
        <f t="shared" si="257"/>
        <v>13.906556078803098</v>
      </c>
      <c r="U208" s="130">
        <f t="shared" si="257"/>
        <v>13.625810288929483</v>
      </c>
      <c r="V208" s="130">
        <f t="shared" si="257"/>
        <v>12.862192644016162</v>
      </c>
      <c r="W208" s="130">
        <f t="shared" ref="W208" si="258">IF(W56=0,0,W56/W26*1000)</f>
        <v>12.691765322563601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46.369551579816424</v>
      </c>
      <c r="C209" s="97">
        <f t="shared" si="259"/>
        <v>49.696805097639754</v>
      </c>
      <c r="D209" s="97">
        <f t="shared" si="259"/>
        <v>45.07614395635423</v>
      </c>
      <c r="E209" s="97">
        <f t="shared" si="259"/>
        <v>43.862212666356442</v>
      </c>
      <c r="F209" s="97">
        <f t="shared" si="259"/>
        <v>43.990456947504995</v>
      </c>
      <c r="G209" s="97">
        <f t="shared" si="259"/>
        <v>38.159539761147869</v>
      </c>
      <c r="H209" s="97">
        <f t="shared" si="259"/>
        <v>38.258707036499395</v>
      </c>
      <c r="I209" s="97">
        <f t="shared" si="259"/>
        <v>32.615302466144946</v>
      </c>
      <c r="J209" s="97">
        <f t="shared" si="259"/>
        <v>37.801533442567091</v>
      </c>
      <c r="K209" s="97">
        <f t="shared" si="259"/>
        <v>29.798100700475189</v>
      </c>
      <c r="L209" s="97">
        <f t="shared" si="259"/>
        <v>27.872371781584917</v>
      </c>
      <c r="M209" s="97">
        <f t="shared" si="259"/>
        <v>25.474975896381427</v>
      </c>
      <c r="N209" s="97">
        <f t="shared" si="259"/>
        <v>25.317331385338274</v>
      </c>
      <c r="O209" s="97">
        <f t="shared" si="259"/>
        <v>25.822486673244331</v>
      </c>
      <c r="P209" s="97">
        <f t="shared" si="259"/>
        <v>23.478468905508695</v>
      </c>
      <c r="Q209" s="97">
        <f t="shared" si="259"/>
        <v>23.294841173266008</v>
      </c>
      <c r="R209" s="97">
        <f t="shared" si="259"/>
        <v>21.408216837875031</v>
      </c>
      <c r="S209" s="97">
        <f t="shared" si="259"/>
        <v>18.801415751801358</v>
      </c>
      <c r="T209" s="97">
        <f t="shared" si="259"/>
        <v>13.914779961277619</v>
      </c>
      <c r="U209" s="97">
        <f t="shared" si="259"/>
        <v>13.63213439131707</v>
      </c>
      <c r="V209" s="97">
        <f t="shared" si="259"/>
        <v>12.873700254656551</v>
      </c>
      <c r="W209" s="97">
        <f t="shared" ref="W209" si="260">IF(W57=0,0,W57/W27*1000)</f>
        <v>12.705256918465345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55.245963601166466</v>
      </c>
      <c r="C210" s="98">
        <f t="shared" si="261"/>
        <v>65.097542059540388</v>
      </c>
      <c r="D210" s="98">
        <f t="shared" si="261"/>
        <v>54.301990959860376</v>
      </c>
      <c r="E210" s="98">
        <f t="shared" si="261"/>
        <v>53.413870607931855</v>
      </c>
      <c r="F210" s="98">
        <f t="shared" si="261"/>
        <v>55.982079463249377</v>
      </c>
      <c r="G210" s="98">
        <f t="shared" si="261"/>
        <v>42.588587469749662</v>
      </c>
      <c r="H210" s="98">
        <f t="shared" si="261"/>
        <v>52.537481489084556</v>
      </c>
      <c r="I210" s="98">
        <f t="shared" si="261"/>
        <v>42.565575801387389</v>
      </c>
      <c r="J210" s="98">
        <f t="shared" si="261"/>
        <v>43.67526509221392</v>
      </c>
      <c r="K210" s="98">
        <f t="shared" si="261"/>
        <v>24.9478914069546</v>
      </c>
      <c r="L210" s="98">
        <f t="shared" si="261"/>
        <v>21.194567813856271</v>
      </c>
      <c r="M210" s="98">
        <f t="shared" si="261"/>
        <v>20.534491088277857</v>
      </c>
      <c r="N210" s="98">
        <f t="shared" si="261"/>
        <v>20.949027098586747</v>
      </c>
      <c r="O210" s="98">
        <f t="shared" si="261"/>
        <v>21.868468175608793</v>
      </c>
      <c r="P210" s="98">
        <f t="shared" si="261"/>
        <v>17.978712767019715</v>
      </c>
      <c r="Q210" s="98">
        <f t="shared" si="261"/>
        <v>16.028635288803713</v>
      </c>
      <c r="R210" s="98">
        <f t="shared" si="261"/>
        <v>14.597002112265216</v>
      </c>
      <c r="S210" s="98">
        <f t="shared" si="261"/>
        <v>12.16650383920026</v>
      </c>
      <c r="T210" s="98">
        <f t="shared" si="261"/>
        <v>8.8750967631234623</v>
      </c>
      <c r="U210" s="98">
        <f t="shared" si="261"/>
        <v>8.5479164305498028</v>
      </c>
      <c r="V210" s="98">
        <f t="shared" si="261"/>
        <v>8.8536282126231942</v>
      </c>
      <c r="W210" s="98">
        <f t="shared" ref="W210:W213" si="262">IF(W58=0,0,W58/W28*1000)</f>
        <v>8.6196902162889728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2.2097411795336686</v>
      </c>
      <c r="C211" s="32">
        <f t="shared" si="263"/>
        <v>2.2955884644017286</v>
      </c>
      <c r="D211" s="32">
        <f t="shared" si="263"/>
        <v>2.5082877810526827</v>
      </c>
      <c r="E211" s="32">
        <f t="shared" si="263"/>
        <v>2.6339432849515938</v>
      </c>
      <c r="F211" s="32">
        <f t="shared" si="263"/>
        <v>2.679732049774751</v>
      </c>
      <c r="G211" s="32">
        <f t="shared" si="263"/>
        <v>2.7460789311040465</v>
      </c>
      <c r="H211" s="32">
        <f t="shared" si="263"/>
        <v>2.6962419780616833</v>
      </c>
      <c r="I211" s="32">
        <f t="shared" si="263"/>
        <v>2.7854583205361809</v>
      </c>
      <c r="J211" s="32">
        <f t="shared" si="263"/>
        <v>3.0394432102323083</v>
      </c>
      <c r="K211" s="32">
        <f t="shared" si="263"/>
        <v>3.4082448634088038</v>
      </c>
      <c r="L211" s="32">
        <f t="shared" si="263"/>
        <v>4.1686148167174917</v>
      </c>
      <c r="M211" s="32">
        <f t="shared" si="263"/>
        <v>3.2768177595369097</v>
      </c>
      <c r="N211" s="32">
        <f t="shared" si="263"/>
        <v>3.4477317158951064</v>
      </c>
      <c r="O211" s="32">
        <f t="shared" si="263"/>
        <v>3.1850183956495473</v>
      </c>
      <c r="P211" s="32">
        <f t="shared" si="263"/>
        <v>3.0153119701909006</v>
      </c>
      <c r="Q211" s="32">
        <f t="shared" si="263"/>
        <v>2.8048093524926991</v>
      </c>
      <c r="R211" s="32">
        <f t="shared" si="263"/>
        <v>3.5164537408634735</v>
      </c>
      <c r="S211" s="32">
        <f t="shared" si="263"/>
        <v>3.6712662400329874</v>
      </c>
      <c r="T211" s="32">
        <f t="shared" si="263"/>
        <v>3.9856866739967263</v>
      </c>
      <c r="U211" s="32">
        <f t="shared" si="263"/>
        <v>3.6035836107015022</v>
      </c>
      <c r="V211" s="32">
        <f t="shared" si="263"/>
        <v>3.8004458717267582</v>
      </c>
      <c r="W211" s="32">
        <f t="shared" si="262"/>
        <v>3.5505175651341068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5.0548625574045971</v>
      </c>
      <c r="C212" s="97">
        <f t="shared" si="264"/>
        <v>5.4551566021361193</v>
      </c>
      <c r="D212" s="97">
        <f t="shared" si="264"/>
        <v>5.8672678343933571</v>
      </c>
      <c r="E212" s="97">
        <f t="shared" si="264"/>
        <v>6.1969191544263955</v>
      </c>
      <c r="F212" s="97">
        <f t="shared" si="264"/>
        <v>6.4236506648743221</v>
      </c>
      <c r="G212" s="97">
        <f t="shared" si="264"/>
        <v>6.7154241474935112</v>
      </c>
      <c r="H212" s="97">
        <f t="shared" si="264"/>
        <v>6.6569612684664996</v>
      </c>
      <c r="I212" s="97">
        <f t="shared" si="264"/>
        <v>7.0682394546583156</v>
      </c>
      <c r="J212" s="97">
        <f t="shared" si="264"/>
        <v>7.2458128805543112</v>
      </c>
      <c r="K212" s="97">
        <f t="shared" si="264"/>
        <v>8.2362270906917132</v>
      </c>
      <c r="L212" s="97">
        <f t="shared" si="264"/>
        <v>10.202210934356721</v>
      </c>
      <c r="M212" s="97">
        <f t="shared" si="264"/>
        <v>8.0115961410590444</v>
      </c>
      <c r="N212" s="97">
        <f t="shared" si="264"/>
        <v>8.384053978657688</v>
      </c>
      <c r="O212" s="97">
        <f t="shared" si="264"/>
        <v>7.4374842953538396</v>
      </c>
      <c r="P212" s="97">
        <f t="shared" si="264"/>
        <v>7.0825964535190176</v>
      </c>
      <c r="Q212" s="97">
        <f t="shared" si="264"/>
        <v>6.8132522910527689</v>
      </c>
      <c r="R212" s="97">
        <f t="shared" si="264"/>
        <v>8.0012173038049053</v>
      </c>
      <c r="S212" s="97">
        <f t="shared" si="264"/>
        <v>8.3396370149168177</v>
      </c>
      <c r="T212" s="97">
        <f t="shared" si="264"/>
        <v>8.3755938683862201</v>
      </c>
      <c r="U212" s="97">
        <f t="shared" si="264"/>
        <v>8.0023204688446672</v>
      </c>
      <c r="V212" s="97">
        <f t="shared" si="264"/>
        <v>7.5997876832078806</v>
      </c>
      <c r="W212" s="97">
        <f t="shared" si="262"/>
        <v>7.3755286808143934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1.7436701684115654</v>
      </c>
      <c r="C213" s="98">
        <f t="shared" si="265"/>
        <v>1.8134299600088508</v>
      </c>
      <c r="D213" s="98">
        <f t="shared" si="265"/>
        <v>1.9608665288678448</v>
      </c>
      <c r="E213" s="98">
        <f t="shared" si="265"/>
        <v>2.0670878511277242</v>
      </c>
      <c r="F213" s="98">
        <f t="shared" si="265"/>
        <v>2.1228865574310234</v>
      </c>
      <c r="G213" s="98">
        <f t="shared" si="265"/>
        <v>2.1831491706726212</v>
      </c>
      <c r="H213" s="98">
        <f t="shared" si="265"/>
        <v>2.146103050825936</v>
      </c>
      <c r="I213" s="98">
        <f t="shared" si="265"/>
        <v>2.2201648712118929</v>
      </c>
      <c r="J213" s="98">
        <f t="shared" si="265"/>
        <v>2.3768462344659165</v>
      </c>
      <c r="K213" s="98">
        <f t="shared" si="265"/>
        <v>2.6886508250454964</v>
      </c>
      <c r="L213" s="98">
        <f t="shared" si="265"/>
        <v>3.2297738581893611</v>
      </c>
      <c r="M213" s="98">
        <f t="shared" si="265"/>
        <v>2.5535919838195569</v>
      </c>
      <c r="N213" s="98">
        <f t="shared" si="265"/>
        <v>2.6646512480550819</v>
      </c>
      <c r="O213" s="98">
        <f t="shared" si="265"/>
        <v>2.4140748069466382</v>
      </c>
      <c r="P213" s="98">
        <f t="shared" si="265"/>
        <v>2.3012905885195774</v>
      </c>
      <c r="Q213" s="98">
        <f t="shared" si="265"/>
        <v>2.1538987574831641</v>
      </c>
      <c r="R213" s="98">
        <f t="shared" si="265"/>
        <v>2.679854575529041</v>
      </c>
      <c r="S213" s="98">
        <f t="shared" si="265"/>
        <v>2.7816241521540537</v>
      </c>
      <c r="T213" s="98">
        <f t="shared" si="265"/>
        <v>2.9796603726034969</v>
      </c>
      <c r="U213" s="98">
        <f t="shared" si="265"/>
        <v>2.7068496103742716</v>
      </c>
      <c r="V213" s="98">
        <f t="shared" si="265"/>
        <v>3.0343633461488473</v>
      </c>
      <c r="W213" s="98">
        <f t="shared" si="262"/>
        <v>2.8417717062196042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92.284115727306272</v>
      </c>
      <c r="C216" s="32">
        <f t="shared" si="266"/>
        <v>91.820356535207992</v>
      </c>
      <c r="D216" s="32">
        <f t="shared" si="266"/>
        <v>93.521293088535543</v>
      </c>
      <c r="E216" s="32">
        <f t="shared" si="266"/>
        <v>93.3933407949322</v>
      </c>
      <c r="F216" s="32">
        <f t="shared" si="266"/>
        <v>92.3761925288144</v>
      </c>
      <c r="G216" s="32">
        <f t="shared" si="266"/>
        <v>93.95040509897801</v>
      </c>
      <c r="H216" s="32">
        <f t="shared" si="266"/>
        <v>96.175790514492903</v>
      </c>
      <c r="I216" s="32">
        <f t="shared" si="266"/>
        <v>96.174503984756001</v>
      </c>
      <c r="J216" s="32">
        <f t="shared" si="266"/>
        <v>93.458324546018957</v>
      </c>
      <c r="K216" s="32">
        <f t="shared" si="266"/>
        <v>86.958059733285609</v>
      </c>
      <c r="L216" s="32">
        <f t="shared" si="266"/>
        <v>87.061254858869802</v>
      </c>
      <c r="M216" s="32">
        <f t="shared" si="266"/>
        <v>88.105046762405976</v>
      </c>
      <c r="N216" s="32">
        <f t="shared" si="266"/>
        <v>90.653971713660937</v>
      </c>
      <c r="O216" s="32">
        <f t="shared" si="266"/>
        <v>88.492847092930944</v>
      </c>
      <c r="P216" s="32">
        <f t="shared" si="266"/>
        <v>91.42831282943925</v>
      </c>
      <c r="Q216" s="32">
        <f t="shared" si="266"/>
        <v>88.371445378786035</v>
      </c>
      <c r="R216" s="32">
        <f t="shared" si="266"/>
        <v>85.00528913225088</v>
      </c>
      <c r="S216" s="32">
        <f t="shared" si="266"/>
        <v>80.700481036209013</v>
      </c>
      <c r="T216" s="32">
        <f t="shared" si="266"/>
        <v>82.276040163874626</v>
      </c>
      <c r="U216" s="32">
        <f t="shared" si="266"/>
        <v>81.052754420448636</v>
      </c>
      <c r="V216" s="32">
        <f t="shared" si="266"/>
        <v>97.450078143930568</v>
      </c>
      <c r="W216" s="32">
        <f t="shared" ref="W216" si="267">IF(W4=0,0,W64/W4*1000)</f>
        <v>101.55214717615615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93.432047286914482</v>
      </c>
      <c r="C217" s="141">
        <f t="shared" si="268"/>
        <v>93.162626561312109</v>
      </c>
      <c r="D217" s="141">
        <f t="shared" si="268"/>
        <v>95.377592454370543</v>
      </c>
      <c r="E217" s="141">
        <f t="shared" si="268"/>
        <v>94.441945883223724</v>
      </c>
      <c r="F217" s="141">
        <f t="shared" si="268"/>
        <v>94.628135362101517</v>
      </c>
      <c r="G217" s="141">
        <f t="shared" si="268"/>
        <v>96.915396455801513</v>
      </c>
      <c r="H217" s="141">
        <f t="shared" si="268"/>
        <v>99.426178811142137</v>
      </c>
      <c r="I217" s="141">
        <f t="shared" si="268"/>
        <v>99.722088441611504</v>
      </c>
      <c r="J217" s="141">
        <f t="shared" si="268"/>
        <v>96.620932462078613</v>
      </c>
      <c r="K217" s="141">
        <f t="shared" si="268"/>
        <v>89.517895283535736</v>
      </c>
      <c r="L217" s="141">
        <f t="shared" si="268"/>
        <v>89.817217516496271</v>
      </c>
      <c r="M217" s="141">
        <f t="shared" si="268"/>
        <v>91.326137521850697</v>
      </c>
      <c r="N217" s="141">
        <f t="shared" si="268"/>
        <v>95.262749904071626</v>
      </c>
      <c r="O217" s="141">
        <f t="shared" si="268"/>
        <v>93.027431756881541</v>
      </c>
      <c r="P217" s="141">
        <f t="shared" si="268"/>
        <v>96.838858739870574</v>
      </c>
      <c r="Q217" s="141">
        <f t="shared" si="268"/>
        <v>93.472966960597248</v>
      </c>
      <c r="R217" s="141">
        <f t="shared" si="268"/>
        <v>89.475111739464225</v>
      </c>
      <c r="S217" s="141">
        <f t="shared" si="268"/>
        <v>84.50146692834825</v>
      </c>
      <c r="T217" s="141">
        <f t="shared" si="268"/>
        <v>86.025280598123175</v>
      </c>
      <c r="U217" s="141">
        <f t="shared" si="268"/>
        <v>84.933657030393135</v>
      </c>
      <c r="V217" s="141">
        <f t="shared" si="268"/>
        <v>99.954429078853565</v>
      </c>
      <c r="W217" s="141">
        <f t="shared" ref="W217" si="269">IF(W5=0,0,W65/W5*1000)</f>
        <v>106.09618199718099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91.343653548642237</v>
      </c>
      <c r="C218" s="97">
        <f t="shared" si="270"/>
        <v>88.954777077247556</v>
      </c>
      <c r="D218" s="97">
        <f t="shared" si="270"/>
        <v>88.449159892140898</v>
      </c>
      <c r="E218" s="97">
        <f t="shared" si="270"/>
        <v>87.557561075787589</v>
      </c>
      <c r="F218" s="97">
        <f t="shared" si="270"/>
        <v>85.699702773530134</v>
      </c>
      <c r="G218" s="97">
        <f t="shared" si="270"/>
        <v>85.379731925939225</v>
      </c>
      <c r="H218" s="97">
        <f t="shared" si="270"/>
        <v>83.408407171216922</v>
      </c>
      <c r="I218" s="97">
        <f t="shared" si="270"/>
        <v>83.39936774568352</v>
      </c>
      <c r="J218" s="97">
        <f t="shared" si="270"/>
        <v>81.083583490134345</v>
      </c>
      <c r="K218" s="97">
        <f t="shared" si="270"/>
        <v>82.319070563421079</v>
      </c>
      <c r="L218" s="97">
        <f t="shared" si="270"/>
        <v>82.520819134838362</v>
      </c>
      <c r="M218" s="97">
        <f t="shared" si="270"/>
        <v>77.86612220242516</v>
      </c>
      <c r="N218" s="97">
        <f t="shared" si="270"/>
        <v>75.873236053723787</v>
      </c>
      <c r="O218" s="97">
        <f t="shared" si="270"/>
        <v>75.018817455256652</v>
      </c>
      <c r="P218" s="97">
        <f t="shared" si="270"/>
        <v>76.725355757852213</v>
      </c>
      <c r="Q218" s="97">
        <f t="shared" si="270"/>
        <v>79.317522173235176</v>
      </c>
      <c r="R218" s="97">
        <f t="shared" si="270"/>
        <v>78.487228228026737</v>
      </c>
      <c r="S218" s="97">
        <f t="shared" si="270"/>
        <v>78.227915957647696</v>
      </c>
      <c r="T218" s="97">
        <f t="shared" si="270"/>
        <v>77.968428963966403</v>
      </c>
      <c r="U218" s="97">
        <f t="shared" si="270"/>
        <v>77.576331960363092</v>
      </c>
      <c r="V218" s="97">
        <f t="shared" si="270"/>
        <v>77.475190011389756</v>
      </c>
      <c r="W218" s="97">
        <f t="shared" ref="W218" si="271">IF(W6=0,0,W66/W6*1000)</f>
        <v>73.382240975152754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96.559469295773454</v>
      </c>
      <c r="C219" s="97">
        <f t="shared" si="272"/>
        <v>96.635804657964258</v>
      </c>
      <c r="D219" s="97">
        <f t="shared" si="272"/>
        <v>99.441927129934896</v>
      </c>
      <c r="E219" s="97">
        <f t="shared" si="272"/>
        <v>98.523188092340405</v>
      </c>
      <c r="F219" s="97">
        <f t="shared" si="272"/>
        <v>99.09386288822445</v>
      </c>
      <c r="G219" s="97">
        <f t="shared" si="272"/>
        <v>102.36767247461822</v>
      </c>
      <c r="H219" s="97">
        <f t="shared" si="272"/>
        <v>105.75857487243098</v>
      </c>
      <c r="I219" s="97">
        <f t="shared" si="272"/>
        <v>105.94456452137266</v>
      </c>
      <c r="J219" s="97">
        <f t="shared" si="272"/>
        <v>102.51040786927238</v>
      </c>
      <c r="K219" s="97">
        <f t="shared" si="272"/>
        <v>93.591265132235606</v>
      </c>
      <c r="L219" s="97">
        <f t="shared" si="272"/>
        <v>94.094777253296741</v>
      </c>
      <c r="M219" s="97">
        <f t="shared" si="272"/>
        <v>96.248487611298657</v>
      </c>
      <c r="N219" s="97">
        <f t="shared" si="272"/>
        <v>102.33853033141426</v>
      </c>
      <c r="O219" s="97">
        <f t="shared" si="272"/>
        <v>99.142501450868878</v>
      </c>
      <c r="P219" s="97">
        <f t="shared" si="272"/>
        <v>103.45036097027452</v>
      </c>
      <c r="Q219" s="97">
        <f t="shared" si="272"/>
        <v>98.616959179203377</v>
      </c>
      <c r="R219" s="97">
        <f t="shared" si="272"/>
        <v>93.616202811809018</v>
      </c>
      <c r="S219" s="97">
        <f t="shared" si="272"/>
        <v>87.482893200659973</v>
      </c>
      <c r="T219" s="97">
        <f t="shared" si="272"/>
        <v>89.408519873467185</v>
      </c>
      <c r="U219" s="97">
        <f t="shared" si="272"/>
        <v>88.104417332857537</v>
      </c>
      <c r="V219" s="97">
        <f t="shared" si="272"/>
        <v>99.753949585012279</v>
      </c>
      <c r="W219" s="97">
        <f t="shared" ref="W219" si="273">IF(W7=0,0,W67/W7*1000)</f>
        <v>111.4875974518884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70.550664665401456</v>
      </c>
      <c r="C220" s="97">
        <f t="shared" si="274"/>
        <v>69.181328871456188</v>
      </c>
      <c r="D220" s="97">
        <f t="shared" si="274"/>
        <v>68.552280004120462</v>
      </c>
      <c r="E220" s="97">
        <f t="shared" si="274"/>
        <v>67.711228122581105</v>
      </c>
      <c r="F220" s="97">
        <f t="shared" si="274"/>
        <v>66.532376067116232</v>
      </c>
      <c r="G220" s="97">
        <f t="shared" si="274"/>
        <v>66.040655703762823</v>
      </c>
      <c r="H220" s="97">
        <f t="shared" si="274"/>
        <v>65.301480582801901</v>
      </c>
      <c r="I220" s="97">
        <f t="shared" si="274"/>
        <v>65.340521504596197</v>
      </c>
      <c r="J220" s="97">
        <f t="shared" si="274"/>
        <v>64.474999703058145</v>
      </c>
      <c r="K220" s="97">
        <f t="shared" si="274"/>
        <v>63.511949827376235</v>
      </c>
      <c r="L220" s="97">
        <f t="shared" si="274"/>
        <v>63.450865001028049</v>
      </c>
      <c r="M220" s="97">
        <f t="shared" si="274"/>
        <v>65.042197194419359</v>
      </c>
      <c r="N220" s="97">
        <f t="shared" si="274"/>
        <v>63.009604195301137</v>
      </c>
      <c r="O220" s="97">
        <f t="shared" si="274"/>
        <v>63.058589936668078</v>
      </c>
      <c r="P220" s="97">
        <f t="shared" si="274"/>
        <v>63.478699903306982</v>
      </c>
      <c r="Q220" s="97">
        <f t="shared" si="274"/>
        <v>64.903624417348738</v>
      </c>
      <c r="R220" s="97">
        <f t="shared" si="274"/>
        <v>65.216485803906522</v>
      </c>
      <c r="S220" s="97">
        <f t="shared" si="274"/>
        <v>65.154380694685969</v>
      </c>
      <c r="T220" s="97">
        <f t="shared" si="274"/>
        <v>65.055009696960767</v>
      </c>
      <c r="U220" s="97">
        <f t="shared" si="274"/>
        <v>65.330763907916875</v>
      </c>
      <c r="V220" s="97">
        <f t="shared" si="274"/>
        <v>114.76320707068501</v>
      </c>
      <c r="W220" s="97">
        <f t="shared" ref="W220" si="275">IF(W8=0,0,W68/W8*1000)</f>
        <v>85.692328208739013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7.4632131737442524</v>
      </c>
      <c r="C221" s="130">
        <f t="shared" si="276"/>
        <v>6.465859862515118</v>
      </c>
      <c r="D221" s="130">
        <f t="shared" si="276"/>
        <v>6.7073943427561611</v>
      </c>
      <c r="E221" s="130">
        <f t="shared" si="276"/>
        <v>7.3249889745760308</v>
      </c>
      <c r="F221" s="130">
        <f t="shared" si="276"/>
        <v>6.2117762629595559</v>
      </c>
      <c r="G221" s="130">
        <f t="shared" si="276"/>
        <v>5.2311913975126672</v>
      </c>
      <c r="H221" s="130">
        <f t="shared" si="276"/>
        <v>5.3159846404405577</v>
      </c>
      <c r="I221" s="130">
        <f t="shared" si="276"/>
        <v>4.6907242167319332</v>
      </c>
      <c r="J221" s="130">
        <f t="shared" si="276"/>
        <v>2.7014066467432087</v>
      </c>
      <c r="K221" s="130">
        <f t="shared" si="276"/>
        <v>2.759250917977492</v>
      </c>
      <c r="L221" s="130">
        <f t="shared" si="276"/>
        <v>3.0327028806507252</v>
      </c>
      <c r="M221" s="130">
        <f t="shared" si="276"/>
        <v>2.3377313354135691</v>
      </c>
      <c r="N221" s="130">
        <f t="shared" si="276"/>
        <v>2.92185518577885</v>
      </c>
      <c r="O221" s="130">
        <f t="shared" si="276"/>
        <v>1.9964288413307159</v>
      </c>
      <c r="P221" s="130">
        <f t="shared" si="276"/>
        <v>0.91742477178257875</v>
      </c>
      <c r="Q221" s="130">
        <f t="shared" si="276"/>
        <v>1.0760066638996582</v>
      </c>
      <c r="R221" s="130">
        <f t="shared" si="276"/>
        <v>0.7324752086733094</v>
      </c>
      <c r="S221" s="130">
        <f t="shared" si="276"/>
        <v>1.5823302526686482</v>
      </c>
      <c r="T221" s="130">
        <f t="shared" si="276"/>
        <v>2.0493661762580362</v>
      </c>
      <c r="U221" s="130">
        <f t="shared" si="276"/>
        <v>1.9629756974363279</v>
      </c>
      <c r="V221" s="130">
        <f t="shared" si="276"/>
        <v>4.6668255036552164</v>
      </c>
      <c r="W221" s="130">
        <f t="shared" ref="W221" si="277">IF(W9=0,0,W69/W9*1000)</f>
        <v>3.2281753558321675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9.2574141792120983</v>
      </c>
      <c r="C223" s="97">
        <f t="shared" si="280"/>
        <v>8.3097935780690353</v>
      </c>
      <c r="D223" s="97">
        <f t="shared" si="280"/>
        <v>8.7665037271436983</v>
      </c>
      <c r="E223" s="97">
        <f t="shared" si="280"/>
        <v>9.7064180465217493</v>
      </c>
      <c r="F223" s="97">
        <f t="shared" si="280"/>
        <v>8.3054645530954545</v>
      </c>
      <c r="G223" s="97">
        <f t="shared" si="280"/>
        <v>7.0679896673552758</v>
      </c>
      <c r="H223" s="97">
        <f t="shared" si="280"/>
        <v>7.2725936262892361</v>
      </c>
      <c r="I223" s="97">
        <f t="shared" si="280"/>
        <v>6.4706159822869456</v>
      </c>
      <c r="J223" s="97">
        <f t="shared" si="280"/>
        <v>3.7489776639642503</v>
      </c>
      <c r="K223" s="97">
        <f t="shared" si="280"/>
        <v>4.0654252917453162</v>
      </c>
      <c r="L223" s="97">
        <f t="shared" si="280"/>
        <v>4.6263347032740745</v>
      </c>
      <c r="M223" s="97">
        <f t="shared" si="280"/>
        <v>3.6484355139230349</v>
      </c>
      <c r="N223" s="97">
        <f t="shared" si="280"/>
        <v>4.5848996271589986</v>
      </c>
      <c r="O223" s="97">
        <f t="shared" si="280"/>
        <v>3.0727064345232771</v>
      </c>
      <c r="P223" s="97">
        <f t="shared" si="280"/>
        <v>1.3975280186040839</v>
      </c>
      <c r="Q223" s="97">
        <f t="shared" si="280"/>
        <v>1.6117030777488728</v>
      </c>
      <c r="R223" s="97">
        <f t="shared" si="280"/>
        <v>1.0996607199920916</v>
      </c>
      <c r="S223" s="97">
        <f t="shared" si="280"/>
        <v>2.3675676563136396</v>
      </c>
      <c r="T223" s="97">
        <f t="shared" si="280"/>
        <v>3.0125006115745836</v>
      </c>
      <c r="U223" s="97">
        <f t="shared" si="280"/>
        <v>2.8775011365287297</v>
      </c>
      <c r="V223" s="97">
        <f t="shared" si="280"/>
        <v>7.2191841400888173</v>
      </c>
      <c r="W223" s="97">
        <f t="shared" ref="W223" si="281">IF(W11=0,0,W71/W11*1000)</f>
        <v>5.0307661712104217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146.23954942612716</v>
      </c>
      <c r="C225" s="130">
        <f t="shared" si="284"/>
        <v>148.60957806001707</v>
      </c>
      <c r="D225" s="130">
        <f t="shared" si="284"/>
        <v>143.446087994121</v>
      </c>
      <c r="E225" s="130">
        <f t="shared" si="284"/>
        <v>147.79780256553528</v>
      </c>
      <c r="F225" s="130">
        <f t="shared" si="284"/>
        <v>127.06348771027825</v>
      </c>
      <c r="G225" s="130">
        <f t="shared" si="284"/>
        <v>123.35449008875111</v>
      </c>
      <c r="H225" s="130">
        <f t="shared" si="284"/>
        <v>122.68339436217684</v>
      </c>
      <c r="I225" s="130">
        <f t="shared" si="284"/>
        <v>118.47888903824816</v>
      </c>
      <c r="J225" s="130">
        <f t="shared" si="284"/>
        <v>119.39594762154798</v>
      </c>
      <c r="K225" s="130">
        <f t="shared" si="284"/>
        <v>113.02539640963799</v>
      </c>
      <c r="L225" s="130">
        <f t="shared" si="284"/>
        <v>109.30354354280833</v>
      </c>
      <c r="M225" s="130">
        <f t="shared" si="284"/>
        <v>107.28914926526335</v>
      </c>
      <c r="N225" s="130">
        <f t="shared" si="284"/>
        <v>103.50541851645222</v>
      </c>
      <c r="O225" s="130">
        <f t="shared" si="284"/>
        <v>101.25657914625374</v>
      </c>
      <c r="P225" s="130">
        <f t="shared" si="284"/>
        <v>99.573119668124704</v>
      </c>
      <c r="Q225" s="130">
        <f t="shared" si="284"/>
        <v>97.078404709183076</v>
      </c>
      <c r="R225" s="130">
        <f t="shared" si="284"/>
        <v>95.031903496013754</v>
      </c>
      <c r="S225" s="130">
        <f t="shared" si="284"/>
        <v>91.690113553379263</v>
      </c>
      <c r="T225" s="130">
        <f t="shared" si="284"/>
        <v>95.078216609852106</v>
      </c>
      <c r="U225" s="130">
        <f t="shared" si="284"/>
        <v>92.20808963039552</v>
      </c>
      <c r="V225" s="130">
        <f t="shared" si="284"/>
        <v>124.33099303241428</v>
      </c>
      <c r="W225" s="130">
        <f t="shared" ref="W225" si="285">IF(W13=0,0,W73/W13*1000)</f>
        <v>109.56704482669176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138.10746268992924</v>
      </c>
      <c r="C226" s="97">
        <f t="shared" si="286"/>
        <v>134.68191416778168</v>
      </c>
      <c r="D226" s="97">
        <f t="shared" si="286"/>
        <v>133.48430502862098</v>
      </c>
      <c r="E226" s="97">
        <f t="shared" si="286"/>
        <v>135.21418711300805</v>
      </c>
      <c r="F226" s="97">
        <f t="shared" si="286"/>
        <v>131.67516202430204</v>
      </c>
      <c r="G226" s="97">
        <f t="shared" si="286"/>
        <v>136.90418566318439</v>
      </c>
      <c r="H226" s="97">
        <f t="shared" si="286"/>
        <v>138.51704086076907</v>
      </c>
      <c r="I226" s="97">
        <f t="shared" si="286"/>
        <v>131.04370261447227</v>
      </c>
      <c r="J226" s="97">
        <f t="shared" si="286"/>
        <v>129.12596060652359</v>
      </c>
      <c r="K226" s="97">
        <f t="shared" si="286"/>
        <v>109.31640833113364</v>
      </c>
      <c r="L226" s="97">
        <f t="shared" si="286"/>
        <v>106.32779440773257</v>
      </c>
      <c r="M226" s="97">
        <f t="shared" si="286"/>
        <v>100.17510176213834</v>
      </c>
      <c r="N226" s="97">
        <f t="shared" si="286"/>
        <v>102.23266679762872</v>
      </c>
      <c r="O226" s="97">
        <f t="shared" si="286"/>
        <v>107.0015825397651</v>
      </c>
      <c r="P226" s="97">
        <f t="shared" si="286"/>
        <v>107.09885311940512</v>
      </c>
      <c r="Q226" s="97">
        <f t="shared" si="286"/>
        <v>105.60579965328519</v>
      </c>
      <c r="R226" s="97">
        <f t="shared" si="286"/>
        <v>103.7237263687597</v>
      </c>
      <c r="S226" s="97">
        <f t="shared" si="286"/>
        <v>109.02948533938726</v>
      </c>
      <c r="T226" s="97">
        <f t="shared" si="286"/>
        <v>118.00822995736384</v>
      </c>
      <c r="U226" s="97">
        <f t="shared" si="286"/>
        <v>119.06403138743494</v>
      </c>
      <c r="V226" s="97">
        <f t="shared" si="286"/>
        <v>114.25922921206498</v>
      </c>
      <c r="W226" s="97">
        <f t="shared" ref="W226" si="287">IF(W14=0,0,W74/W14*1000)</f>
        <v>116.27737019736057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149.28159315417037</v>
      </c>
      <c r="C227" s="97">
        <f t="shared" si="288"/>
        <v>152.44245083983776</v>
      </c>
      <c r="D227" s="97">
        <f t="shared" si="288"/>
        <v>146.25769331471631</v>
      </c>
      <c r="E227" s="97">
        <f t="shared" si="288"/>
        <v>149.45234067317665</v>
      </c>
      <c r="F227" s="97">
        <f t="shared" si="288"/>
        <v>126.9109987852917</v>
      </c>
      <c r="G227" s="97">
        <f t="shared" si="288"/>
        <v>118.77192749677609</v>
      </c>
      <c r="H227" s="97">
        <f t="shared" si="288"/>
        <v>119.29336074297271</v>
      </c>
      <c r="I227" s="97">
        <f t="shared" si="288"/>
        <v>121.34760910632917</v>
      </c>
      <c r="J227" s="97">
        <f t="shared" si="288"/>
        <v>122.44606312918862</v>
      </c>
      <c r="K227" s="97">
        <f t="shared" si="288"/>
        <v>114.12655262211925</v>
      </c>
      <c r="L227" s="97">
        <f t="shared" si="288"/>
        <v>111.111166928457</v>
      </c>
      <c r="M227" s="97">
        <f t="shared" si="288"/>
        <v>103.72527550852178</v>
      </c>
      <c r="N227" s="97">
        <f t="shared" si="288"/>
        <v>100.29405201385602</v>
      </c>
      <c r="O227" s="97">
        <f t="shared" si="288"/>
        <v>96.106371355041389</v>
      </c>
      <c r="P227" s="97">
        <f t="shared" si="288"/>
        <v>94.438537269251768</v>
      </c>
      <c r="Q227" s="97">
        <f t="shared" si="288"/>
        <v>89.582591388360868</v>
      </c>
      <c r="R227" s="97">
        <f t="shared" si="288"/>
        <v>89.049931096496437</v>
      </c>
      <c r="S227" s="97">
        <f t="shared" si="288"/>
        <v>87.160649760344967</v>
      </c>
      <c r="T227" s="97">
        <f t="shared" si="288"/>
        <v>92.575167527610418</v>
      </c>
      <c r="U227" s="97">
        <f t="shared" si="288"/>
        <v>90.022646241014101</v>
      </c>
      <c r="V227" s="97">
        <f t="shared" si="288"/>
        <v>104.98399539398653</v>
      </c>
      <c r="W227" s="97">
        <f t="shared" ref="W227" si="289">IF(W15=0,0,W75/W15*1000)</f>
        <v>80.689533869500409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147.70699661022553</v>
      </c>
      <c r="C228" s="97">
        <f t="shared" si="290"/>
        <v>152.26226146510632</v>
      </c>
      <c r="D228" s="97">
        <f t="shared" si="290"/>
        <v>146.04758231289765</v>
      </c>
      <c r="E228" s="97">
        <f t="shared" si="290"/>
        <v>152.90505636338622</v>
      </c>
      <c r="F228" s="97">
        <f t="shared" si="290"/>
        <v>125.22619628819392</v>
      </c>
      <c r="G228" s="97">
        <f t="shared" si="290"/>
        <v>121.74549533882603</v>
      </c>
      <c r="H228" s="97">
        <f t="shared" si="290"/>
        <v>119.2395559174565</v>
      </c>
      <c r="I228" s="97">
        <f t="shared" si="290"/>
        <v>111.19444620896594</v>
      </c>
      <c r="J228" s="97">
        <f t="shared" si="290"/>
        <v>113.1707317820635</v>
      </c>
      <c r="K228" s="97">
        <f t="shared" si="290"/>
        <v>113.81482139784706</v>
      </c>
      <c r="L228" s="97">
        <f t="shared" si="290"/>
        <v>109.21971820486583</v>
      </c>
      <c r="M228" s="97">
        <f t="shared" si="290"/>
        <v>113.64182928772372</v>
      </c>
      <c r="N228" s="97">
        <f t="shared" si="290"/>
        <v>106.64801730216749</v>
      </c>
      <c r="O228" s="97">
        <f t="shared" si="290"/>
        <v>103.09944267714371</v>
      </c>
      <c r="P228" s="97">
        <f t="shared" si="290"/>
        <v>101.01904040823408</v>
      </c>
      <c r="Q228" s="97">
        <f t="shared" si="290"/>
        <v>100.23626004985745</v>
      </c>
      <c r="R228" s="97">
        <f t="shared" si="290"/>
        <v>97.061918819681381</v>
      </c>
      <c r="S228" s="97">
        <f t="shared" si="290"/>
        <v>89.260188709163216</v>
      </c>
      <c r="T228" s="97">
        <f t="shared" si="290"/>
        <v>89.305109781974195</v>
      </c>
      <c r="U228" s="97">
        <f t="shared" si="290"/>
        <v>85.422060433878372</v>
      </c>
      <c r="V228" s="97">
        <f t="shared" si="290"/>
        <v>146.60034949351666</v>
      </c>
      <c r="W228" s="97">
        <f t="shared" ref="W228" si="291">IF(W16=0,0,W76/W16*1000)</f>
        <v>137.0123537888397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141.88341987339595</v>
      </c>
      <c r="C229" s="32">
        <f t="shared" si="292"/>
        <v>151.69798661333567</v>
      </c>
      <c r="D229" s="32">
        <f t="shared" si="292"/>
        <v>146.5123995026886</v>
      </c>
      <c r="E229" s="32">
        <f t="shared" si="292"/>
        <v>159.18512099195746</v>
      </c>
      <c r="F229" s="32">
        <f t="shared" si="292"/>
        <v>151.27360416877897</v>
      </c>
      <c r="G229" s="32">
        <f t="shared" si="292"/>
        <v>146.13611080596488</v>
      </c>
      <c r="H229" s="32">
        <f t="shared" si="292"/>
        <v>150.7054617617201</v>
      </c>
      <c r="I229" s="32">
        <f t="shared" si="292"/>
        <v>151.38189977014207</v>
      </c>
      <c r="J229" s="32">
        <f t="shared" si="292"/>
        <v>137.81623965396864</v>
      </c>
      <c r="K229" s="32">
        <f t="shared" si="292"/>
        <v>131.9625860007522</v>
      </c>
      <c r="L229" s="32">
        <f t="shared" si="292"/>
        <v>122.96384380162682</v>
      </c>
      <c r="M229" s="32">
        <f t="shared" si="292"/>
        <v>139.44729827014919</v>
      </c>
      <c r="N229" s="32">
        <f t="shared" si="292"/>
        <v>147.46037691131468</v>
      </c>
      <c r="O229" s="32">
        <f t="shared" si="292"/>
        <v>128.7373775977893</v>
      </c>
      <c r="P229" s="32">
        <f t="shared" si="292"/>
        <v>129.64980705818562</v>
      </c>
      <c r="Q229" s="32">
        <f t="shared" si="292"/>
        <v>117.75040520867334</v>
      </c>
      <c r="R229" s="32">
        <f t="shared" si="292"/>
        <v>112.23321511785662</v>
      </c>
      <c r="S229" s="32">
        <f t="shared" si="292"/>
        <v>91.430984534786447</v>
      </c>
      <c r="T229" s="32">
        <f t="shared" si="292"/>
        <v>102.7336877020347</v>
      </c>
      <c r="U229" s="32">
        <f t="shared" si="292"/>
        <v>100.57332252140824</v>
      </c>
      <c r="V229" s="32">
        <f t="shared" si="292"/>
        <v>94.740095637890363</v>
      </c>
      <c r="W229" s="32">
        <f t="shared" ref="W229" si="293">IF(W17=0,0,W77/W17*1000)</f>
        <v>116.25263806396637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156.67042628934519</v>
      </c>
      <c r="C230" s="141">
        <f t="shared" si="294"/>
        <v>167.59316130131421</v>
      </c>
      <c r="D230" s="141">
        <f t="shared" si="294"/>
        <v>161.07297528696378</v>
      </c>
      <c r="E230" s="141">
        <f t="shared" si="294"/>
        <v>178.9418233080948</v>
      </c>
      <c r="F230" s="141">
        <f t="shared" si="294"/>
        <v>168.27709215441496</v>
      </c>
      <c r="G230" s="141">
        <f t="shared" si="294"/>
        <v>164.04189860751833</v>
      </c>
      <c r="H230" s="141">
        <f t="shared" si="294"/>
        <v>171.71801502148247</v>
      </c>
      <c r="I230" s="141">
        <f t="shared" si="294"/>
        <v>177.76944483329785</v>
      </c>
      <c r="J230" s="141">
        <f t="shared" si="294"/>
        <v>155.02497593207593</v>
      </c>
      <c r="K230" s="141">
        <f t="shared" si="294"/>
        <v>150.16814788248615</v>
      </c>
      <c r="L230" s="141">
        <f t="shared" si="294"/>
        <v>139.36075486265503</v>
      </c>
      <c r="M230" s="141">
        <f t="shared" si="294"/>
        <v>167.56889429400482</v>
      </c>
      <c r="N230" s="141">
        <f t="shared" si="294"/>
        <v>182.14811349036563</v>
      </c>
      <c r="O230" s="141">
        <f t="shared" si="294"/>
        <v>154.24621646156245</v>
      </c>
      <c r="P230" s="141">
        <f t="shared" si="294"/>
        <v>161.33870825199611</v>
      </c>
      <c r="Q230" s="141">
        <f t="shared" si="294"/>
        <v>144.36492661517585</v>
      </c>
      <c r="R230" s="141">
        <f t="shared" si="294"/>
        <v>141.82537562436178</v>
      </c>
      <c r="S230" s="141">
        <f t="shared" si="294"/>
        <v>111.61136503148623</v>
      </c>
      <c r="T230" s="141">
        <f t="shared" si="294"/>
        <v>131.39559087123078</v>
      </c>
      <c r="U230" s="141">
        <f t="shared" si="294"/>
        <v>125.8177809257588</v>
      </c>
      <c r="V230" s="141">
        <f t="shared" si="294"/>
        <v>117.2901587148348</v>
      </c>
      <c r="W230" s="141">
        <f t="shared" ref="W230" si="295">IF(W18=0,0,W78/W18*1000)</f>
        <v>146.72264198666909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1982.4958554093573</v>
      </c>
      <c r="C231" s="97">
        <f t="shared" si="296"/>
        <v>1845.7042104540828</v>
      </c>
      <c r="D231" s="97">
        <f t="shared" si="296"/>
        <v>1742.3062270331368</v>
      </c>
      <c r="E231" s="97">
        <f t="shared" si="296"/>
        <v>1681.889003915848</v>
      </c>
      <c r="F231" s="97">
        <f t="shared" si="296"/>
        <v>1635.5720906375909</v>
      </c>
      <c r="G231" s="97">
        <f t="shared" si="296"/>
        <v>1600.609615699017</v>
      </c>
      <c r="H231" s="97">
        <f t="shared" si="296"/>
        <v>1503.6895840527582</v>
      </c>
      <c r="I231" s="97">
        <f t="shared" si="296"/>
        <v>1477.1456827756504</v>
      </c>
      <c r="J231" s="97">
        <f t="shared" si="296"/>
        <v>1406.7384890648016</v>
      </c>
      <c r="K231" s="97">
        <f t="shared" si="296"/>
        <v>1345.0846438262265</v>
      </c>
      <c r="L231" s="97">
        <f t="shared" si="296"/>
        <v>1322.5341739971757</v>
      </c>
      <c r="M231" s="97">
        <f t="shared" si="296"/>
        <v>1307.3492673577991</v>
      </c>
      <c r="N231" s="97">
        <f t="shared" si="296"/>
        <v>1250.7739552578525</v>
      </c>
      <c r="O231" s="97">
        <f t="shared" si="296"/>
        <v>1202.150769715412</v>
      </c>
      <c r="P231" s="97">
        <f t="shared" si="296"/>
        <v>1195.3750409685517</v>
      </c>
      <c r="Q231" s="97">
        <f t="shared" si="296"/>
        <v>1131.9369238172778</v>
      </c>
      <c r="R231" s="97">
        <f t="shared" si="296"/>
        <v>1093.8813277638531</v>
      </c>
      <c r="S231" s="97">
        <f t="shared" si="296"/>
        <v>1071.0058869014099</v>
      </c>
      <c r="T231" s="97">
        <f t="shared" si="296"/>
        <v>1056.6566303146033</v>
      </c>
      <c r="U231" s="97">
        <f t="shared" si="296"/>
        <v>1052.7707439471892</v>
      </c>
      <c r="V231" s="97">
        <f t="shared" si="296"/>
        <v>1030.7373627766308</v>
      </c>
      <c r="W231" s="97">
        <f t="shared" ref="W231" si="297">IF(W19=0,0,W79/W19*1000)</f>
        <v>1072.4249719383247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42.337881734346155</v>
      </c>
      <c r="C232" s="97">
        <f t="shared" si="298"/>
        <v>64.740055786328256</v>
      </c>
      <c r="D232" s="97">
        <f t="shared" si="298"/>
        <v>62.771575377333562</v>
      </c>
      <c r="E232" s="97">
        <f t="shared" si="298"/>
        <v>67.170014592479021</v>
      </c>
      <c r="F232" s="97">
        <f t="shared" si="298"/>
        <v>63.448622875772216</v>
      </c>
      <c r="G232" s="97">
        <f t="shared" si="298"/>
        <v>59.411586491288908</v>
      </c>
      <c r="H232" s="97">
        <f t="shared" si="298"/>
        <v>76.198597617618802</v>
      </c>
      <c r="I232" s="97">
        <f t="shared" si="298"/>
        <v>75.906127838987842</v>
      </c>
      <c r="J232" s="97">
        <f t="shared" si="298"/>
        <v>57.152567957139567</v>
      </c>
      <c r="K232" s="97">
        <f t="shared" si="298"/>
        <v>51.248684376244128</v>
      </c>
      <c r="L232" s="97">
        <f t="shared" si="298"/>
        <v>38.319326874615875</v>
      </c>
      <c r="M232" s="97">
        <f t="shared" si="298"/>
        <v>50.056254171628773</v>
      </c>
      <c r="N232" s="97">
        <f t="shared" si="298"/>
        <v>69.47904524527037</v>
      </c>
      <c r="O232" s="97">
        <f t="shared" si="298"/>
        <v>55.623016961115056</v>
      </c>
      <c r="P232" s="97">
        <f t="shared" si="298"/>
        <v>54.091652159770391</v>
      </c>
      <c r="Q232" s="97">
        <f t="shared" si="298"/>
        <v>58.089108643680518</v>
      </c>
      <c r="R232" s="97">
        <f t="shared" si="298"/>
        <v>61.103181109423844</v>
      </c>
      <c r="S232" s="97">
        <f t="shared" si="298"/>
        <v>34.507203723016694</v>
      </c>
      <c r="T232" s="97">
        <f t="shared" si="298"/>
        <v>56.648101145426139</v>
      </c>
      <c r="U232" s="97">
        <f t="shared" si="298"/>
        <v>55.177179882213281</v>
      </c>
      <c r="V232" s="97">
        <f t="shared" si="298"/>
        <v>46.481176695748246</v>
      </c>
      <c r="W232" s="97">
        <f t="shared" ref="W232" si="299">IF(W20=0,0,W80/W20*1000)</f>
        <v>70.628380137073094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0.90446516823290923</v>
      </c>
      <c r="C233" s="130">
        <f t="shared" si="300"/>
        <v>0.72238487607278667</v>
      </c>
      <c r="D233" s="130">
        <f t="shared" si="300"/>
        <v>0.7223861181696537</v>
      </c>
      <c r="E233" s="130">
        <f t="shared" si="300"/>
        <v>0.79482106962083876</v>
      </c>
      <c r="F233" s="130">
        <f t="shared" si="300"/>
        <v>0.8907391500301145</v>
      </c>
      <c r="G233" s="130">
        <f t="shared" si="300"/>
        <v>0.55383226911807715</v>
      </c>
      <c r="H233" s="130">
        <f t="shared" si="300"/>
        <v>2.2104291475369342</v>
      </c>
      <c r="I233" s="130">
        <f t="shared" si="300"/>
        <v>2.6260600408764891</v>
      </c>
      <c r="J233" s="130">
        <f t="shared" si="300"/>
        <v>2.8779809890692394</v>
      </c>
      <c r="K233" s="130">
        <f t="shared" si="300"/>
        <v>2.1045547436986984</v>
      </c>
      <c r="L233" s="130">
        <f t="shared" si="300"/>
        <v>1.8441279120270151</v>
      </c>
      <c r="M233" s="130">
        <f t="shared" si="300"/>
        <v>0.80620972192813789</v>
      </c>
      <c r="N233" s="130">
        <f t="shared" si="300"/>
        <v>0.72779708375541485</v>
      </c>
      <c r="O233" s="130">
        <f t="shared" si="300"/>
        <v>0.49927699380473728</v>
      </c>
      <c r="P233" s="130">
        <f t="shared" si="300"/>
        <v>0.24227544994872416</v>
      </c>
      <c r="Q233" s="130">
        <f t="shared" si="300"/>
        <v>0.28508626517894603</v>
      </c>
      <c r="R233" s="130">
        <f t="shared" si="300"/>
        <v>0.17791435038238235</v>
      </c>
      <c r="S233" s="130">
        <f t="shared" si="300"/>
        <v>0.37712005422073419</v>
      </c>
      <c r="T233" s="130">
        <f t="shared" si="300"/>
        <v>0.464445641319917</v>
      </c>
      <c r="U233" s="130">
        <f t="shared" si="300"/>
        <v>0.45582858438161106</v>
      </c>
      <c r="V233" s="130">
        <f t="shared" si="300"/>
        <v>0.59965555380937829</v>
      </c>
      <c r="W233" s="130">
        <f t="shared" ref="W233" si="301">IF(W21=0,0,W81/W21*1000)</f>
        <v>0.43329313183142126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280.63386914485579</v>
      </c>
      <c r="C234" s="130">
        <f t="shared" si="302"/>
        <v>342.17737436393429</v>
      </c>
      <c r="D234" s="130">
        <f t="shared" si="302"/>
        <v>315.56475832898269</v>
      </c>
      <c r="E234" s="130">
        <f t="shared" si="302"/>
        <v>325.42643776832006</v>
      </c>
      <c r="F234" s="130">
        <f t="shared" si="302"/>
        <v>311.59481740902118</v>
      </c>
      <c r="G234" s="130">
        <f t="shared" si="302"/>
        <v>316.61162355269579</v>
      </c>
      <c r="H234" s="130">
        <f t="shared" si="302"/>
        <v>331.38676479787262</v>
      </c>
      <c r="I234" s="130">
        <f t="shared" si="302"/>
        <v>322.26914497572943</v>
      </c>
      <c r="J234" s="130">
        <f t="shared" si="302"/>
        <v>340.37266353081475</v>
      </c>
      <c r="K234" s="130">
        <f t="shared" si="302"/>
        <v>320.69244490612067</v>
      </c>
      <c r="L234" s="130">
        <f t="shared" si="302"/>
        <v>303.25331625785992</v>
      </c>
      <c r="M234" s="130">
        <f t="shared" si="302"/>
        <v>287.78940091680852</v>
      </c>
      <c r="N234" s="130">
        <f t="shared" si="302"/>
        <v>259.63644494635503</v>
      </c>
      <c r="O234" s="130">
        <f t="shared" si="302"/>
        <v>261.21640280271492</v>
      </c>
      <c r="P234" s="130">
        <f t="shared" si="302"/>
        <v>228.6244621121057</v>
      </c>
      <c r="Q234" s="130">
        <f t="shared" si="302"/>
        <v>228.40435289033991</v>
      </c>
      <c r="R234" s="130">
        <f t="shared" si="302"/>
        <v>203.05405257198879</v>
      </c>
      <c r="S234" s="130">
        <f t="shared" si="302"/>
        <v>199.71536350983629</v>
      </c>
      <c r="T234" s="130">
        <f t="shared" si="302"/>
        <v>201.80067288497833</v>
      </c>
      <c r="U234" s="130">
        <f t="shared" si="302"/>
        <v>191.79282335775784</v>
      </c>
      <c r="V234" s="130">
        <f t="shared" si="302"/>
        <v>312.19251132205227</v>
      </c>
      <c r="W234" s="130">
        <f t="shared" ref="W234" si="303">IF(W22=0,0,W82/W22*1000)</f>
        <v>290.7788994601832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1327.4228568709138</v>
      </c>
      <c r="C235" s="97">
        <f t="shared" si="304"/>
        <v>1317.4064391538925</v>
      </c>
      <c r="D235" s="97">
        <f t="shared" si="304"/>
        <v>1285.40448779587</v>
      </c>
      <c r="E235" s="97">
        <f t="shared" si="304"/>
        <v>1198.7792432958679</v>
      </c>
      <c r="F235" s="97">
        <f t="shared" si="304"/>
        <v>1297.3821900873218</v>
      </c>
      <c r="G235" s="97">
        <f t="shared" si="304"/>
        <v>1415.0230112539912</v>
      </c>
      <c r="H235" s="97">
        <f t="shared" si="304"/>
        <v>1486.726627526213</v>
      </c>
      <c r="I235" s="97">
        <f t="shared" si="304"/>
        <v>1408.5563147864293</v>
      </c>
      <c r="J235" s="97">
        <f t="shared" si="304"/>
        <v>1479.9707183437351</v>
      </c>
      <c r="K235" s="97">
        <f t="shared" si="304"/>
        <v>1265.4754727225347</v>
      </c>
      <c r="L235" s="97">
        <f t="shared" si="304"/>
        <v>1213.9466907970445</v>
      </c>
      <c r="M235" s="97">
        <f t="shared" si="304"/>
        <v>1096.7294786990835</v>
      </c>
      <c r="N235" s="97">
        <f t="shared" si="304"/>
        <v>1092.2763420530066</v>
      </c>
      <c r="O235" s="97">
        <f t="shared" si="304"/>
        <v>1173.7645433496548</v>
      </c>
      <c r="P235" s="97">
        <f t="shared" si="304"/>
        <v>1102.2511705317568</v>
      </c>
      <c r="Q235" s="97">
        <f t="shared" si="304"/>
        <v>1121.4908051391992</v>
      </c>
      <c r="R235" s="97">
        <f t="shared" si="304"/>
        <v>982.92505506703026</v>
      </c>
      <c r="S235" s="97">
        <f t="shared" si="304"/>
        <v>1149.472489308293</v>
      </c>
      <c r="T235" s="97">
        <f t="shared" si="304"/>
        <v>1261.9663604191403</v>
      </c>
      <c r="U235" s="97">
        <f t="shared" si="304"/>
        <v>1045.2646454867297</v>
      </c>
      <c r="V235" s="97">
        <f t="shared" si="304"/>
        <v>837.47825011393661</v>
      </c>
      <c r="W235" s="97">
        <f t="shared" ref="W235" si="305">IF(W23=0,0,W83/W23*1000)</f>
        <v>999.5499270684378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668.65298590110524</v>
      </c>
      <c r="C236" s="97">
        <f t="shared" si="306"/>
        <v>654.80330253224668</v>
      </c>
      <c r="D236" s="97">
        <f t="shared" si="306"/>
        <v>632.17919590156498</v>
      </c>
      <c r="E236" s="97">
        <f t="shared" si="306"/>
        <v>586.28870829647167</v>
      </c>
      <c r="F236" s="97">
        <f t="shared" si="306"/>
        <v>589.11219829775109</v>
      </c>
      <c r="G236" s="97">
        <f t="shared" si="306"/>
        <v>579.78959122469075</v>
      </c>
      <c r="H236" s="97">
        <f t="shared" si="306"/>
        <v>700.9824628344245</v>
      </c>
      <c r="I236" s="97">
        <f t="shared" si="306"/>
        <v>706.05575227497184</v>
      </c>
      <c r="J236" s="97">
        <f t="shared" si="306"/>
        <v>736.70347529117248</v>
      </c>
      <c r="K236" s="97">
        <f t="shared" si="306"/>
        <v>690.36763069542576</v>
      </c>
      <c r="L236" s="97">
        <f t="shared" si="306"/>
        <v>682.41849410312284</v>
      </c>
      <c r="M236" s="97">
        <f t="shared" si="306"/>
        <v>652.75642515796324</v>
      </c>
      <c r="N236" s="97">
        <f t="shared" si="306"/>
        <v>591.6930602658324</v>
      </c>
      <c r="O236" s="97">
        <f t="shared" si="306"/>
        <v>596.03659055535081</v>
      </c>
      <c r="P236" s="97">
        <f t="shared" si="306"/>
        <v>521.69287175980719</v>
      </c>
      <c r="Q236" s="97">
        <f t="shared" si="306"/>
        <v>502.93284890621834</v>
      </c>
      <c r="R236" s="97">
        <f t="shared" si="306"/>
        <v>460.48665783710504</v>
      </c>
      <c r="S236" s="97">
        <f t="shared" si="306"/>
        <v>509.89302398581617</v>
      </c>
      <c r="T236" s="97">
        <f t="shared" si="306"/>
        <v>543.71488987872954</v>
      </c>
      <c r="U236" s="97">
        <f t="shared" si="306"/>
        <v>513.4859179290255</v>
      </c>
      <c r="V236" s="97">
        <f t="shared" si="306"/>
        <v>547.32850123075457</v>
      </c>
      <c r="W236" s="97">
        <f t="shared" ref="W236" si="307">IF(W24=0,0,W84/W24*1000)</f>
        <v>461.19480066505963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246.58104998837027</v>
      </c>
      <c r="C237" s="97">
        <f t="shared" si="308"/>
        <v>243.83332813429723</v>
      </c>
      <c r="D237" s="97">
        <f t="shared" si="308"/>
        <v>248.85831841536785</v>
      </c>
      <c r="E237" s="97">
        <f t="shared" si="308"/>
        <v>263.21166097756577</v>
      </c>
      <c r="F237" s="97">
        <f t="shared" si="308"/>
        <v>246.29122454778746</v>
      </c>
      <c r="G237" s="97">
        <f t="shared" si="308"/>
        <v>257.59450262721958</v>
      </c>
      <c r="H237" s="97">
        <f t="shared" si="308"/>
        <v>270.35924956448122</v>
      </c>
      <c r="I237" s="97">
        <f t="shared" si="308"/>
        <v>264.52072169057107</v>
      </c>
      <c r="J237" s="97">
        <f t="shared" si="308"/>
        <v>278.95345910022945</v>
      </c>
      <c r="K237" s="97">
        <f t="shared" si="308"/>
        <v>259.65775478721548</v>
      </c>
      <c r="L237" s="97">
        <f t="shared" si="308"/>
        <v>258.1493492035579</v>
      </c>
      <c r="M237" s="97">
        <f t="shared" si="308"/>
        <v>250.09517545771232</v>
      </c>
      <c r="N237" s="97">
        <f t="shared" si="308"/>
        <v>221.41981634649798</v>
      </c>
      <c r="O237" s="97">
        <f t="shared" si="308"/>
        <v>225.06688584671198</v>
      </c>
      <c r="P237" s="97">
        <f t="shared" si="308"/>
        <v>200.08177936286503</v>
      </c>
      <c r="Q237" s="97">
        <f t="shared" si="308"/>
        <v>203.72030960013504</v>
      </c>
      <c r="R237" s="97">
        <f t="shared" si="308"/>
        <v>183.89836102958267</v>
      </c>
      <c r="S237" s="97">
        <f t="shared" si="308"/>
        <v>179.10390451305759</v>
      </c>
      <c r="T237" s="97">
        <f t="shared" si="308"/>
        <v>178.55719111734606</v>
      </c>
      <c r="U237" s="97">
        <f t="shared" si="308"/>
        <v>169.71633013040517</v>
      </c>
      <c r="V237" s="97">
        <f t="shared" si="308"/>
        <v>290.14467753820685</v>
      </c>
      <c r="W237" s="97">
        <f t="shared" ref="W237" si="309">IF(W25=0,0,W85/W25*1000)</f>
        <v>268.74648127794916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146.20102471974548</v>
      </c>
      <c r="C238" s="130">
        <f t="shared" si="310"/>
        <v>156.90259309582811</v>
      </c>
      <c r="D238" s="130">
        <f t="shared" si="310"/>
        <v>142.36638384978653</v>
      </c>
      <c r="E238" s="130">
        <f t="shared" si="310"/>
        <v>138.59254150685243</v>
      </c>
      <c r="F238" s="130">
        <f t="shared" si="310"/>
        <v>139.17828384822644</v>
      </c>
      <c r="G238" s="130">
        <f t="shared" si="310"/>
        <v>120.75320411167658</v>
      </c>
      <c r="H238" s="130">
        <f t="shared" si="310"/>
        <v>121.2402229170026</v>
      </c>
      <c r="I238" s="130">
        <f t="shared" si="310"/>
        <v>103.53227818387965</v>
      </c>
      <c r="J238" s="130">
        <f t="shared" si="310"/>
        <v>119.90094677655912</v>
      </c>
      <c r="K238" s="130">
        <f t="shared" si="310"/>
        <v>94.577663780232172</v>
      </c>
      <c r="L238" s="130">
        <f t="shared" si="310"/>
        <v>88.144041154108351</v>
      </c>
      <c r="M238" s="130">
        <f t="shared" si="310"/>
        <v>80.475606008678227</v>
      </c>
      <c r="N238" s="130">
        <f t="shared" si="310"/>
        <v>79.661604645868834</v>
      </c>
      <c r="O238" s="130">
        <f t="shared" si="310"/>
        <v>81.125254043156247</v>
      </c>
      <c r="P238" s="130">
        <f t="shared" si="310"/>
        <v>73.951867692616503</v>
      </c>
      <c r="Q238" s="130">
        <f t="shared" si="310"/>
        <v>73.584110786594465</v>
      </c>
      <c r="R238" s="130">
        <f t="shared" si="310"/>
        <v>67.793071427239468</v>
      </c>
      <c r="S238" s="130">
        <f t="shared" si="310"/>
        <v>59.463825667663443</v>
      </c>
      <c r="T238" s="130">
        <f t="shared" si="310"/>
        <v>44.193047886221734</v>
      </c>
      <c r="U238" s="130">
        <f t="shared" si="310"/>
        <v>43.398891504431816</v>
      </c>
      <c r="V238" s="130">
        <f t="shared" si="310"/>
        <v>41.064965543809805</v>
      </c>
      <c r="W238" s="130">
        <f t="shared" ref="W238" si="311">IF(W26=0,0,W86/W26*1000)</f>
        <v>40.400431728737793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146.02766569742707</v>
      </c>
      <c r="C239" s="97">
        <f t="shared" si="312"/>
        <v>156.60756899048602</v>
      </c>
      <c r="D239" s="97">
        <f t="shared" si="312"/>
        <v>142.27620943787525</v>
      </c>
      <c r="E239" s="97">
        <f t="shared" si="312"/>
        <v>138.50722265034861</v>
      </c>
      <c r="F239" s="97">
        <f t="shared" si="312"/>
        <v>139.04820108012794</v>
      </c>
      <c r="G239" s="97">
        <f t="shared" si="312"/>
        <v>120.71897366968896</v>
      </c>
      <c r="H239" s="97">
        <f t="shared" si="312"/>
        <v>121.14524521933295</v>
      </c>
      <c r="I239" s="97">
        <f t="shared" si="312"/>
        <v>103.46029560027335</v>
      </c>
      <c r="J239" s="97">
        <f t="shared" si="312"/>
        <v>119.86908056022915</v>
      </c>
      <c r="K239" s="97">
        <f t="shared" si="312"/>
        <v>94.598484777653397</v>
      </c>
      <c r="L239" s="97">
        <f t="shared" si="312"/>
        <v>88.20039551228777</v>
      </c>
      <c r="M239" s="97">
        <f t="shared" si="312"/>
        <v>80.528849351686546</v>
      </c>
      <c r="N239" s="97">
        <f t="shared" si="312"/>
        <v>79.690444815397953</v>
      </c>
      <c r="O239" s="97">
        <f t="shared" si="312"/>
        <v>81.154250737777161</v>
      </c>
      <c r="P239" s="97">
        <f t="shared" si="312"/>
        <v>73.978732516717102</v>
      </c>
      <c r="Q239" s="97">
        <f t="shared" si="312"/>
        <v>73.619677423534782</v>
      </c>
      <c r="R239" s="97">
        <f t="shared" si="312"/>
        <v>67.825321121980195</v>
      </c>
      <c r="S239" s="97">
        <f t="shared" si="312"/>
        <v>59.491528447321386</v>
      </c>
      <c r="T239" s="97">
        <f t="shared" si="312"/>
        <v>44.219182209482476</v>
      </c>
      <c r="U239" s="97">
        <f t="shared" si="312"/>
        <v>43.419034088803826</v>
      </c>
      <c r="V239" s="97">
        <f t="shared" si="312"/>
        <v>41.101705751915702</v>
      </c>
      <c r="W239" s="97">
        <f t="shared" ref="W239" si="313">IF(W27=0,0,W87/W27*1000)</f>
        <v>40.443378181440565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173.98139143090023</v>
      </c>
      <c r="C240" s="98">
        <f t="shared" si="314"/>
        <v>205.1392999845923</v>
      </c>
      <c r="D240" s="98">
        <f t="shared" si="314"/>
        <v>171.39623669183914</v>
      </c>
      <c r="E240" s="98">
        <f t="shared" si="314"/>
        <v>168.66925809660222</v>
      </c>
      <c r="F240" s="98">
        <f t="shared" si="314"/>
        <v>176.95218422892736</v>
      </c>
      <c r="G240" s="98">
        <f t="shared" si="314"/>
        <v>134.73041345809202</v>
      </c>
      <c r="H240" s="98">
        <f t="shared" si="314"/>
        <v>166.35862973961261</v>
      </c>
      <c r="I240" s="98">
        <f t="shared" si="314"/>
        <v>135.02395261790457</v>
      </c>
      <c r="J240" s="98">
        <f t="shared" si="314"/>
        <v>138.49474857368182</v>
      </c>
      <c r="K240" s="98">
        <f t="shared" si="314"/>
        <v>79.200776895747239</v>
      </c>
      <c r="L240" s="98">
        <f t="shared" si="314"/>
        <v>67.068898138378245</v>
      </c>
      <c r="M240" s="98">
        <f t="shared" si="314"/>
        <v>64.911501627617412</v>
      </c>
      <c r="N240" s="98">
        <f t="shared" si="314"/>
        <v>65.940492010267917</v>
      </c>
      <c r="O240" s="98">
        <f t="shared" si="314"/>
        <v>68.727662522653617</v>
      </c>
      <c r="P240" s="98">
        <f t="shared" si="314"/>
        <v>56.649451381992534</v>
      </c>
      <c r="Q240" s="98">
        <f t="shared" si="314"/>
        <v>50.655977893313668</v>
      </c>
      <c r="R240" s="98">
        <f t="shared" si="314"/>
        <v>46.246091544207424</v>
      </c>
      <c r="S240" s="98">
        <f t="shared" si="314"/>
        <v>38.497308862758359</v>
      </c>
      <c r="T240" s="98">
        <f t="shared" si="314"/>
        <v>28.203789207408413</v>
      </c>
      <c r="U240" s="98">
        <f t="shared" si="314"/>
        <v>27.22554401478655</v>
      </c>
      <c r="V240" s="98">
        <f t="shared" si="314"/>
        <v>28.2668707856913</v>
      </c>
      <c r="W240" s="98">
        <f t="shared" ref="W240:W243" si="315">IF(W28=0,0,W88/W28*1000)</f>
        <v>27.438200853505151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7.1198762791080012</v>
      </c>
      <c r="C241" s="32">
        <f t="shared" si="316"/>
        <v>7.4008278547901387</v>
      </c>
      <c r="D241" s="32">
        <f t="shared" si="316"/>
        <v>8.0889899486031211</v>
      </c>
      <c r="E241" s="32">
        <f t="shared" si="316"/>
        <v>8.4986842158738476</v>
      </c>
      <c r="F241" s="32">
        <f t="shared" si="316"/>
        <v>8.6486366577999103</v>
      </c>
      <c r="G241" s="32">
        <f t="shared" si="316"/>
        <v>8.864134164699335</v>
      </c>
      <c r="H241" s="32">
        <f t="shared" si="316"/>
        <v>8.7067283271439582</v>
      </c>
      <c r="I241" s="32">
        <f t="shared" si="316"/>
        <v>8.9994089382578704</v>
      </c>
      <c r="J241" s="32">
        <f t="shared" si="316"/>
        <v>9.8191972121120514</v>
      </c>
      <c r="K241" s="32">
        <f t="shared" si="316"/>
        <v>10.988602674640193</v>
      </c>
      <c r="L241" s="32">
        <f t="shared" si="316"/>
        <v>13.451435468684391</v>
      </c>
      <c r="M241" s="32">
        <f t="shared" si="316"/>
        <v>10.56922712708173</v>
      </c>
      <c r="N241" s="32">
        <f t="shared" si="316"/>
        <v>11.135119437045196</v>
      </c>
      <c r="O241" s="32">
        <f t="shared" si="316"/>
        <v>10.286368343856228</v>
      </c>
      <c r="P241" s="32">
        <f t="shared" si="316"/>
        <v>9.7368762147046635</v>
      </c>
      <c r="Q241" s="32">
        <f t="shared" si="316"/>
        <v>9.0324476793154389</v>
      </c>
      <c r="R241" s="32">
        <f t="shared" si="316"/>
        <v>11.326184646137111</v>
      </c>
      <c r="S241" s="32">
        <f t="shared" si="316"/>
        <v>11.824827121410376</v>
      </c>
      <c r="T241" s="32">
        <f t="shared" si="316"/>
        <v>12.808838834391324</v>
      </c>
      <c r="U241" s="32">
        <f t="shared" si="316"/>
        <v>11.572960206162058</v>
      </c>
      <c r="V241" s="32">
        <f t="shared" si="316"/>
        <v>12.185060240575742</v>
      </c>
      <c r="W241" s="32">
        <f t="shared" si="315"/>
        <v>11.36134846518449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16.214174087193712</v>
      </c>
      <c r="C242" s="97">
        <f t="shared" si="317"/>
        <v>17.515589995029856</v>
      </c>
      <c r="D242" s="97">
        <f t="shared" si="317"/>
        <v>18.85601828956532</v>
      </c>
      <c r="E242" s="97">
        <f t="shared" si="317"/>
        <v>19.931164381484336</v>
      </c>
      <c r="F242" s="97">
        <f t="shared" si="317"/>
        <v>20.666302735648181</v>
      </c>
      <c r="G242" s="97">
        <f t="shared" si="317"/>
        <v>21.613460096238114</v>
      </c>
      <c r="H242" s="97">
        <f t="shared" si="317"/>
        <v>21.438016003794587</v>
      </c>
      <c r="I242" s="97">
        <f t="shared" si="317"/>
        <v>22.783447596284081</v>
      </c>
      <c r="J242" s="97">
        <f t="shared" si="317"/>
        <v>23.354369859838354</v>
      </c>
      <c r="K242" s="97">
        <f t="shared" si="317"/>
        <v>26.422014243630297</v>
      </c>
      <c r="L242" s="97">
        <f t="shared" si="317"/>
        <v>32.787421910275384</v>
      </c>
      <c r="M242" s="97">
        <f t="shared" si="317"/>
        <v>25.727270584579532</v>
      </c>
      <c r="N242" s="97">
        <f t="shared" si="317"/>
        <v>26.997876450854985</v>
      </c>
      <c r="O242" s="97">
        <f t="shared" si="317"/>
        <v>23.956940661171181</v>
      </c>
      <c r="P242" s="97">
        <f t="shared" si="317"/>
        <v>22.806932695838473</v>
      </c>
      <c r="Q242" s="97">
        <f t="shared" si="317"/>
        <v>21.815679072621059</v>
      </c>
      <c r="R242" s="97">
        <f t="shared" si="317"/>
        <v>25.628586794333152</v>
      </c>
      <c r="S242" s="97">
        <f t="shared" si="317"/>
        <v>26.712873925626216</v>
      </c>
      <c r="T242" s="97">
        <f t="shared" si="317"/>
        <v>26.720528728619307</v>
      </c>
      <c r="U242" s="97">
        <f t="shared" si="317"/>
        <v>25.484387103388691</v>
      </c>
      <c r="V242" s="97">
        <f t="shared" si="317"/>
        <v>24.084561372247894</v>
      </c>
      <c r="W242" s="97">
        <f t="shared" si="315"/>
        <v>23.260918666690284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5.6301020263020032</v>
      </c>
      <c r="C243" s="98">
        <f t="shared" si="318"/>
        <v>5.8572882401247153</v>
      </c>
      <c r="D243" s="98">
        <f t="shared" si="318"/>
        <v>6.3342608215702931</v>
      </c>
      <c r="E243" s="98">
        <f t="shared" si="318"/>
        <v>6.6798216298313617</v>
      </c>
      <c r="F243" s="98">
        <f t="shared" si="318"/>
        <v>6.8612091328124389</v>
      </c>
      <c r="G243" s="98">
        <f t="shared" si="318"/>
        <v>7.0560336843809477</v>
      </c>
      <c r="H243" s="98">
        <f t="shared" si="318"/>
        <v>6.9383684835847319</v>
      </c>
      <c r="I243" s="98">
        <f t="shared" si="318"/>
        <v>7.1800241706045167</v>
      </c>
      <c r="J243" s="98">
        <f t="shared" si="318"/>
        <v>7.6871058445521241</v>
      </c>
      <c r="K243" s="98">
        <f t="shared" si="318"/>
        <v>8.688306104803253</v>
      </c>
      <c r="L243" s="98">
        <f t="shared" si="318"/>
        <v>10.44271302671671</v>
      </c>
      <c r="M243" s="98">
        <f t="shared" si="318"/>
        <v>8.2538731961165563</v>
      </c>
      <c r="N243" s="98">
        <f t="shared" si="318"/>
        <v>8.6187085298174662</v>
      </c>
      <c r="O243" s="98">
        <f t="shared" si="318"/>
        <v>7.8079851350299547</v>
      </c>
      <c r="P243" s="98">
        <f t="shared" si="318"/>
        <v>7.4423969803568637</v>
      </c>
      <c r="Q243" s="98">
        <f t="shared" si="318"/>
        <v>6.9566439620370923</v>
      </c>
      <c r="R243" s="98">
        <f t="shared" si="318"/>
        <v>8.6581782882700669</v>
      </c>
      <c r="S243" s="98">
        <f t="shared" si="318"/>
        <v>8.9876417987275499</v>
      </c>
      <c r="T243" s="98">
        <f t="shared" si="318"/>
        <v>9.6207245279415936</v>
      </c>
      <c r="U243" s="98">
        <f t="shared" si="318"/>
        <v>8.7369529854264485</v>
      </c>
      <c r="V243" s="98">
        <f t="shared" si="318"/>
        <v>9.7856973160499123</v>
      </c>
      <c r="W243" s="98">
        <f t="shared" si="315"/>
        <v>9.1564473948042888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852919.01860304165</v>
      </c>
      <c r="C4" s="29">
        <f t="shared" si="0"/>
        <v>860161.84267509193</v>
      </c>
      <c r="D4" s="29">
        <f t="shared" si="0"/>
        <v>864466.43314532237</v>
      </c>
      <c r="E4" s="29">
        <f t="shared" si="0"/>
        <v>869865.39870765712</v>
      </c>
      <c r="F4" s="29">
        <f t="shared" si="0"/>
        <v>877113.23795960855</v>
      </c>
      <c r="G4" s="29">
        <f t="shared" si="0"/>
        <v>827756.08262281504</v>
      </c>
      <c r="H4" s="29">
        <f t="shared" si="0"/>
        <v>827113.30131291552</v>
      </c>
      <c r="I4" s="29">
        <f t="shared" si="0"/>
        <v>821584.46618125297</v>
      </c>
      <c r="J4" s="29">
        <f t="shared" si="0"/>
        <v>823234.09401213506</v>
      </c>
      <c r="K4" s="29">
        <f t="shared" si="0"/>
        <v>861556.06727224751</v>
      </c>
      <c r="L4" s="29">
        <f t="shared" ref="L4" si="1">L5+L6+L13</f>
        <v>840664.75648667093</v>
      </c>
      <c r="M4" s="29">
        <f t="shared" ref="M4:V4" si="2">M5+M6+M13</f>
        <v>811036.83615277905</v>
      </c>
      <c r="N4" s="29">
        <f t="shared" si="2"/>
        <v>722493.92222998303</v>
      </c>
      <c r="O4" s="29">
        <f t="shared" si="2"/>
        <v>763432.93315925589</v>
      </c>
      <c r="P4" s="29">
        <f t="shared" si="2"/>
        <v>786546.46401134459</v>
      </c>
      <c r="Q4" s="29">
        <f t="shared" si="2"/>
        <v>817750.35315478744</v>
      </c>
      <c r="R4" s="29">
        <f t="shared" si="2"/>
        <v>846498.64843273186</v>
      </c>
      <c r="S4" s="29">
        <f t="shared" si="2"/>
        <v>884958.27826227434</v>
      </c>
      <c r="T4" s="29">
        <f t="shared" si="2"/>
        <v>861421.20747042913</v>
      </c>
      <c r="U4" s="29">
        <f t="shared" si="2"/>
        <v>874495.54711202881</v>
      </c>
      <c r="V4" s="29">
        <f t="shared" si="2"/>
        <v>579784.88647136895</v>
      </c>
      <c r="W4" s="29">
        <f t="shared" ref="W4" si="3">W5+W6+W13</f>
        <v>633909.46140501939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45567.018603041673</v>
      </c>
      <c r="C5" s="152">
        <f t="shared" si="4"/>
        <v>47260.878756765735</v>
      </c>
      <c r="D5" s="152">
        <f t="shared" si="4"/>
        <v>46637.505308669977</v>
      </c>
      <c r="E5" s="152">
        <f t="shared" si="4"/>
        <v>47487.506952678508</v>
      </c>
      <c r="F5" s="152">
        <f t="shared" si="4"/>
        <v>49918.382286303953</v>
      </c>
      <c r="G5" s="152">
        <f t="shared" si="4"/>
        <v>49788.082622815084</v>
      </c>
      <c r="H5" s="152">
        <f t="shared" si="4"/>
        <v>47809.301312915522</v>
      </c>
      <c r="I5" s="152">
        <f t="shared" si="4"/>
        <v>41871.466181252974</v>
      </c>
      <c r="J5" s="152">
        <f t="shared" si="4"/>
        <v>44437.094012135094</v>
      </c>
      <c r="K5" s="152">
        <f t="shared" si="4"/>
        <v>39938.067272247521</v>
      </c>
      <c r="L5" s="152">
        <f t="shared" ref="L5:L7" si="5">IF(L32=0,0,L32*L142)</f>
        <v>40055.756486670936</v>
      </c>
      <c r="M5" s="152">
        <f t="shared" ref="M5:V5" si="6">IF(M32=0,0,M32*M142)</f>
        <v>43264.836152779026</v>
      </c>
      <c r="N5" s="152">
        <f t="shared" si="6"/>
        <v>42313.922229983036</v>
      </c>
      <c r="O5" s="152">
        <f t="shared" si="6"/>
        <v>41294.933159255903</v>
      </c>
      <c r="P5" s="152">
        <f t="shared" si="6"/>
        <v>40820.464011344535</v>
      </c>
      <c r="Q5" s="152">
        <f t="shared" si="6"/>
        <v>38891.353154787328</v>
      </c>
      <c r="R5" s="152">
        <f t="shared" si="6"/>
        <v>39643.648432731919</v>
      </c>
      <c r="S5" s="152">
        <f t="shared" si="6"/>
        <v>37360.278262274165</v>
      </c>
      <c r="T5" s="152">
        <f t="shared" si="6"/>
        <v>35562.207470429115</v>
      </c>
      <c r="U5" s="152">
        <f t="shared" si="6"/>
        <v>37773.547112028806</v>
      </c>
      <c r="V5" s="152">
        <f t="shared" si="6"/>
        <v>33707.886471369013</v>
      </c>
      <c r="W5" s="152">
        <f t="shared" ref="W5" si="7">IF(W32=0,0,W32*W142)</f>
        <v>35324.461405019363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713931</v>
      </c>
      <c r="C6" s="116">
        <f t="shared" si="8"/>
        <v>717306.96391832619</v>
      </c>
      <c r="D6" s="116">
        <f t="shared" si="8"/>
        <v>720682.92783665238</v>
      </c>
      <c r="E6" s="116">
        <f t="shared" si="8"/>
        <v>724058.89175497857</v>
      </c>
      <c r="F6" s="116">
        <f t="shared" si="8"/>
        <v>727434.85567330464</v>
      </c>
      <c r="G6" s="116">
        <f t="shared" si="8"/>
        <v>677014</v>
      </c>
      <c r="H6" s="116">
        <f t="shared" si="8"/>
        <v>676255</v>
      </c>
      <c r="I6" s="116">
        <f t="shared" si="8"/>
        <v>677056</v>
      </c>
      <c r="J6" s="116">
        <f t="shared" si="8"/>
        <v>676359</v>
      </c>
      <c r="K6" s="116">
        <f t="shared" si="8"/>
        <v>719912</v>
      </c>
      <c r="L6" s="116">
        <f t="shared" ref="L6" si="9">SUM(L7:L12)</f>
        <v>698390</v>
      </c>
      <c r="M6" s="116">
        <f t="shared" ref="M6:V6" si="10">SUM(M7:M12)</f>
        <v>665328</v>
      </c>
      <c r="N6" s="116">
        <f t="shared" si="10"/>
        <v>578668</v>
      </c>
      <c r="O6" s="116">
        <f t="shared" si="10"/>
        <v>620368</v>
      </c>
      <c r="P6" s="116">
        <f t="shared" si="10"/>
        <v>642920</v>
      </c>
      <c r="Q6" s="116">
        <f t="shared" si="10"/>
        <v>676350.00000000012</v>
      </c>
      <c r="R6" s="116">
        <f t="shared" si="10"/>
        <v>704542</v>
      </c>
      <c r="S6" s="116">
        <f t="shared" si="10"/>
        <v>744919.00000000012</v>
      </c>
      <c r="T6" s="116">
        <f t="shared" si="10"/>
        <v>722894</v>
      </c>
      <c r="U6" s="116">
        <f t="shared" si="10"/>
        <v>732429</v>
      </c>
      <c r="V6" s="116">
        <f t="shared" si="10"/>
        <v>488298.99999999994</v>
      </c>
      <c r="W6" s="116">
        <f t="shared" ref="W6" si="11">SUM(W7:W12)</f>
        <v>518275.00000000006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490576.19958817214</v>
      </c>
      <c r="C7" s="87">
        <f t="shared" si="12"/>
        <v>473073.14646174427</v>
      </c>
      <c r="D7" s="87">
        <f t="shared" si="12"/>
        <v>445718.61982021935</v>
      </c>
      <c r="E7" s="87">
        <f t="shared" si="12"/>
        <v>431492.50333424768</v>
      </c>
      <c r="F7" s="87">
        <f t="shared" si="12"/>
        <v>387753.49408833816</v>
      </c>
      <c r="G7" s="87">
        <f t="shared" si="12"/>
        <v>341519.3549417762</v>
      </c>
      <c r="H7" s="87">
        <f t="shared" si="12"/>
        <v>290601.67249324807</v>
      </c>
      <c r="I7" s="87">
        <f t="shared" si="12"/>
        <v>279954.55376158754</v>
      </c>
      <c r="J7" s="87">
        <f t="shared" si="12"/>
        <v>278831.41412043141</v>
      </c>
      <c r="K7" s="87">
        <f t="shared" si="12"/>
        <v>301758.69916025858</v>
      </c>
      <c r="L7" s="87">
        <f t="shared" si="5"/>
        <v>288612.97340834129</v>
      </c>
      <c r="M7" s="87">
        <f t="shared" ref="M7:V7" si="13">IF(M34=0,0,M34*M144)</f>
        <v>271827.11066233949</v>
      </c>
      <c r="N7" s="87">
        <f t="shared" si="13"/>
        <v>217283.01950460198</v>
      </c>
      <c r="O7" s="87">
        <f t="shared" si="13"/>
        <v>219434.77719544127</v>
      </c>
      <c r="P7" s="87">
        <f t="shared" si="13"/>
        <v>213291.32360996201</v>
      </c>
      <c r="Q7" s="87">
        <f t="shared" si="13"/>
        <v>214442.69759242877</v>
      </c>
      <c r="R7" s="87">
        <f t="shared" si="13"/>
        <v>214051.34773282678</v>
      </c>
      <c r="S7" s="87">
        <f t="shared" si="13"/>
        <v>216788.2767939698</v>
      </c>
      <c r="T7" s="87">
        <f t="shared" si="13"/>
        <v>204384.49433212078</v>
      </c>
      <c r="U7" s="87">
        <f t="shared" si="13"/>
        <v>209051.1380908046</v>
      </c>
      <c r="V7" s="87">
        <f t="shared" si="13"/>
        <v>136925.94990608946</v>
      </c>
      <c r="W7" s="87">
        <f t="shared" ref="W7" si="14">IF(W34=0,0,W34*W144)</f>
        <v>147362.44333932674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171212.22380286804</v>
      </c>
      <c r="C8" s="87">
        <f t="shared" si="15"/>
        <v>193990.56286754366</v>
      </c>
      <c r="D8" s="87">
        <f t="shared" si="15"/>
        <v>227368.7864009242</v>
      </c>
      <c r="E8" s="87">
        <f t="shared" si="15"/>
        <v>247792.40711669635</v>
      </c>
      <c r="F8" s="87">
        <f t="shared" si="15"/>
        <v>295713.16026727547</v>
      </c>
      <c r="G8" s="87">
        <f t="shared" si="15"/>
        <v>292593.95892063668</v>
      </c>
      <c r="H8" s="87">
        <f t="shared" si="15"/>
        <v>342079.05850339221</v>
      </c>
      <c r="I8" s="87">
        <f t="shared" si="15"/>
        <v>353569.21191684727</v>
      </c>
      <c r="J8" s="87">
        <f t="shared" si="15"/>
        <v>355958.27010041883</v>
      </c>
      <c r="K8" s="87">
        <f t="shared" si="15"/>
        <v>368477.94162723958</v>
      </c>
      <c r="L8" s="87">
        <f t="shared" ref="L8" si="16">IF(L35=0,0,L35*L145)</f>
        <v>355704.59350966418</v>
      </c>
      <c r="M8" s="87">
        <f t="shared" ref="M8:V8" si="17">IF(M35=0,0,M35*M145)</f>
        <v>341313.88339575939</v>
      </c>
      <c r="N8" s="87">
        <f t="shared" si="17"/>
        <v>311284.28229330317</v>
      </c>
      <c r="O8" s="87">
        <f t="shared" si="17"/>
        <v>340937.0653481324</v>
      </c>
      <c r="P8" s="87">
        <f t="shared" si="17"/>
        <v>368282.54923594929</v>
      </c>
      <c r="Q8" s="87">
        <f t="shared" si="17"/>
        <v>392460.58770146384</v>
      </c>
      <c r="R8" s="87">
        <f t="shared" si="17"/>
        <v>418157.90229790361</v>
      </c>
      <c r="S8" s="87">
        <f t="shared" si="17"/>
        <v>449558.15276984294</v>
      </c>
      <c r="T8" s="87">
        <f t="shared" si="17"/>
        <v>439422.32522439683</v>
      </c>
      <c r="U8" s="87">
        <f t="shared" si="17"/>
        <v>440379.66188320506</v>
      </c>
      <c r="V8" s="87">
        <f t="shared" si="17"/>
        <v>294378.40530242387</v>
      </c>
      <c r="W8" s="87">
        <f t="shared" ref="W8" si="18">IF(W35=0,0,W35*W145)</f>
        <v>307735.89212713868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44564.207443178799</v>
      </c>
      <c r="C9" s="87">
        <f t="shared" si="19"/>
        <v>41827.206446978395</v>
      </c>
      <c r="D9" s="87">
        <f t="shared" si="19"/>
        <v>39259.752216290035</v>
      </c>
      <c r="E9" s="87">
        <f t="shared" si="19"/>
        <v>36449.512980547945</v>
      </c>
      <c r="F9" s="87">
        <f t="shared" si="19"/>
        <v>36093.428917229212</v>
      </c>
      <c r="G9" s="87">
        <f t="shared" si="19"/>
        <v>34873.492973674474</v>
      </c>
      <c r="H9" s="87">
        <f t="shared" si="19"/>
        <v>34603.737975969583</v>
      </c>
      <c r="I9" s="87">
        <f t="shared" si="19"/>
        <v>33573.894232943676</v>
      </c>
      <c r="J9" s="87">
        <f t="shared" si="19"/>
        <v>30605.496404162423</v>
      </c>
      <c r="K9" s="87">
        <f t="shared" si="19"/>
        <v>35630.872319984956</v>
      </c>
      <c r="L9" s="87">
        <f t="shared" ref="L9" si="20">IF(L36=0,0,L36*L146)</f>
        <v>39751.624068391626</v>
      </c>
      <c r="M9" s="87">
        <f t="shared" ref="M9:V9" si="21">IF(M36=0,0,M36*M146)</f>
        <v>38102.765344385552</v>
      </c>
      <c r="N9" s="87">
        <f t="shared" si="21"/>
        <v>37233.054950511825</v>
      </c>
      <c r="O9" s="87">
        <f t="shared" si="21"/>
        <v>44951.735483488905</v>
      </c>
      <c r="P9" s="87">
        <f t="shared" si="21"/>
        <v>44339.104506983094</v>
      </c>
      <c r="Q9" s="87">
        <f t="shared" si="21"/>
        <v>50717.19558878379</v>
      </c>
      <c r="R9" s="87">
        <f t="shared" si="21"/>
        <v>51994.441511719349</v>
      </c>
      <c r="S9" s="87">
        <f t="shared" si="21"/>
        <v>56191.191024814223</v>
      </c>
      <c r="T9" s="87">
        <f t="shared" si="21"/>
        <v>56769.596965722638</v>
      </c>
      <c r="U9" s="87">
        <f t="shared" si="21"/>
        <v>59652.919758402211</v>
      </c>
      <c r="V9" s="87">
        <f t="shared" si="21"/>
        <v>40020.837710651103</v>
      </c>
      <c r="W9" s="87">
        <f t="shared" ref="W9" si="22">IF(W36=0,0,W36*W146)</f>
        <v>43611.38406516215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7578.3691657811205</v>
      </c>
      <c r="C10" s="87">
        <f t="shared" si="23"/>
        <v>8416.0481420598753</v>
      </c>
      <c r="D10" s="87">
        <f t="shared" si="23"/>
        <v>8335.7693992187997</v>
      </c>
      <c r="E10" s="87">
        <f t="shared" si="23"/>
        <v>8324.4683234865661</v>
      </c>
      <c r="F10" s="87">
        <f t="shared" si="23"/>
        <v>7874.7724004618749</v>
      </c>
      <c r="G10" s="87">
        <f t="shared" si="23"/>
        <v>8027.1931639126115</v>
      </c>
      <c r="H10" s="87">
        <f t="shared" si="23"/>
        <v>8970.5310273901305</v>
      </c>
      <c r="I10" s="87">
        <f t="shared" si="23"/>
        <v>9958.3400886215295</v>
      </c>
      <c r="J10" s="87">
        <f t="shared" si="23"/>
        <v>10963.819374987344</v>
      </c>
      <c r="K10" s="87">
        <f t="shared" si="23"/>
        <v>14044.486892516914</v>
      </c>
      <c r="L10" s="87">
        <f t="shared" ref="L10" si="24">IF(L37=0,0,L37*L147)</f>
        <v>14229.836286543748</v>
      </c>
      <c r="M10" s="87">
        <f t="shared" ref="M10:V10" si="25">IF(M37=0,0,M37*M147)</f>
        <v>13870.308804412312</v>
      </c>
      <c r="N10" s="87">
        <f t="shared" si="25"/>
        <v>12663.198014646958</v>
      </c>
      <c r="O10" s="87">
        <f t="shared" si="25"/>
        <v>14625.273566174921</v>
      </c>
      <c r="P10" s="87">
        <f t="shared" si="25"/>
        <v>16269.25705373452</v>
      </c>
      <c r="Q10" s="87">
        <f t="shared" si="25"/>
        <v>17908.408559252817</v>
      </c>
      <c r="R10" s="87">
        <f t="shared" si="25"/>
        <v>19468.069156629521</v>
      </c>
      <c r="S10" s="87">
        <f t="shared" si="25"/>
        <v>21362.084457550973</v>
      </c>
      <c r="T10" s="87">
        <f t="shared" si="25"/>
        <v>21138.270301890254</v>
      </c>
      <c r="U10" s="87">
        <f t="shared" si="25"/>
        <v>21816.082742922459</v>
      </c>
      <c r="V10" s="87">
        <f t="shared" si="25"/>
        <v>15070.356823648983</v>
      </c>
      <c r="W10" s="87">
        <f t="shared" ref="W10" si="26">IF(W37=0,0,W37*W147)</f>
        <v>15316.096929295642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1.6558529612693054</v>
      </c>
      <c r="O11" s="87">
        <f t="shared" si="29"/>
        <v>186.67791245254483</v>
      </c>
      <c r="P11" s="87">
        <f t="shared" si="29"/>
        <v>492.72491149448632</v>
      </c>
      <c r="Q11" s="87">
        <f t="shared" si="29"/>
        <v>535.45868134862553</v>
      </c>
      <c r="R11" s="87">
        <f t="shared" si="29"/>
        <v>553.53862599279387</v>
      </c>
      <c r="S11" s="87">
        <f t="shared" si="29"/>
        <v>653.50658419421859</v>
      </c>
      <c r="T11" s="87">
        <f t="shared" si="29"/>
        <v>698.5629891975135</v>
      </c>
      <c r="U11" s="87">
        <f t="shared" si="29"/>
        <v>795.0404556129256</v>
      </c>
      <c r="V11" s="87">
        <f t="shared" si="29"/>
        <v>849.40986371082647</v>
      </c>
      <c r="W11" s="87">
        <f t="shared" ref="W11" si="30">IF(W38=0,0,W38*W148)</f>
        <v>1578.5126507067787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90.972727059164797</v>
      </c>
      <c r="M12" s="87">
        <f t="shared" ref="M12:V12" si="33">IF(M39=0,0,M39*M149)</f>
        <v>213.93179310329168</v>
      </c>
      <c r="N12" s="87">
        <f t="shared" si="33"/>
        <v>202.78938397480809</v>
      </c>
      <c r="O12" s="87">
        <f t="shared" si="33"/>
        <v>232.47049430999138</v>
      </c>
      <c r="P12" s="87">
        <f t="shared" si="33"/>
        <v>245.04068187661983</v>
      </c>
      <c r="Q12" s="87">
        <f t="shared" si="33"/>
        <v>285.65187672218002</v>
      </c>
      <c r="R12" s="87">
        <f t="shared" si="33"/>
        <v>316.70067492795027</v>
      </c>
      <c r="S12" s="87">
        <f t="shared" si="33"/>
        <v>365.78836962784601</v>
      </c>
      <c r="T12" s="87">
        <f t="shared" si="33"/>
        <v>480.75018667195405</v>
      </c>
      <c r="U12" s="87">
        <f t="shared" si="33"/>
        <v>734.1570690527534</v>
      </c>
      <c r="V12" s="87">
        <f t="shared" si="33"/>
        <v>1054.0403934757253</v>
      </c>
      <c r="W12" s="87">
        <f t="shared" ref="W12" si="34">IF(W39=0,0,W39*W149)</f>
        <v>2670.6708883700085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93421</v>
      </c>
      <c r="C13" s="116">
        <f t="shared" si="35"/>
        <v>95594</v>
      </c>
      <c r="D13" s="116">
        <f t="shared" si="35"/>
        <v>97146</v>
      </c>
      <c r="E13" s="116">
        <f t="shared" si="35"/>
        <v>98319</v>
      </c>
      <c r="F13" s="116">
        <f t="shared" si="35"/>
        <v>99759.999999999985</v>
      </c>
      <c r="G13" s="116">
        <f t="shared" si="35"/>
        <v>100954</v>
      </c>
      <c r="H13" s="116">
        <f t="shared" si="35"/>
        <v>103049</v>
      </c>
      <c r="I13" s="116">
        <f t="shared" si="35"/>
        <v>102657</v>
      </c>
      <c r="J13" s="116">
        <f t="shared" si="35"/>
        <v>102438</v>
      </c>
      <c r="K13" s="116">
        <f t="shared" si="35"/>
        <v>101706</v>
      </c>
      <c r="L13" s="116">
        <f t="shared" ref="L13" si="36">SUM(L14:L18)</f>
        <v>102219.00000000001</v>
      </c>
      <c r="M13" s="116">
        <f t="shared" ref="M13:V13" si="37">SUM(M14:M18)</f>
        <v>102443.99999999999</v>
      </c>
      <c r="N13" s="116">
        <f t="shared" si="37"/>
        <v>101512</v>
      </c>
      <c r="O13" s="116">
        <f t="shared" si="37"/>
        <v>101770.00000000001</v>
      </c>
      <c r="P13" s="116">
        <f t="shared" si="37"/>
        <v>102806</v>
      </c>
      <c r="Q13" s="116">
        <f t="shared" si="37"/>
        <v>102509</v>
      </c>
      <c r="R13" s="116">
        <f t="shared" si="37"/>
        <v>102312.99999999999</v>
      </c>
      <c r="S13" s="116">
        <f t="shared" si="37"/>
        <v>102678.99999999999</v>
      </c>
      <c r="T13" s="116">
        <f t="shared" si="37"/>
        <v>102965.00000000001</v>
      </c>
      <c r="U13" s="116">
        <f t="shared" si="37"/>
        <v>104293</v>
      </c>
      <c r="V13" s="116">
        <f t="shared" si="37"/>
        <v>57778</v>
      </c>
      <c r="W13" s="116">
        <f t="shared" ref="W13" si="38">SUM(W14:W18)</f>
        <v>80310.000000000015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100.07260513158843</v>
      </c>
      <c r="C14" s="101">
        <f t="shared" si="39"/>
        <v>89.779498057386036</v>
      </c>
      <c r="D14" s="101">
        <f t="shared" si="39"/>
        <v>84.488080482162786</v>
      </c>
      <c r="E14" s="101">
        <f t="shared" si="39"/>
        <v>67.772543766741165</v>
      </c>
      <c r="F14" s="101">
        <f t="shared" si="39"/>
        <v>58.548610220031783</v>
      </c>
      <c r="G14" s="101">
        <f t="shared" si="39"/>
        <v>55.489995360548171</v>
      </c>
      <c r="H14" s="101">
        <f t="shared" si="39"/>
        <v>52.185659141928646</v>
      </c>
      <c r="I14" s="101">
        <f t="shared" si="39"/>
        <v>48.454043861265085</v>
      </c>
      <c r="J14" s="101">
        <f t="shared" si="39"/>
        <v>49.3256540373607</v>
      </c>
      <c r="K14" s="101">
        <f t="shared" si="39"/>
        <v>52.231176505792064</v>
      </c>
      <c r="L14" s="101">
        <f t="shared" ref="L14" si="40">IF(L41=0,0,L41*L151)</f>
        <v>52.687532019013446</v>
      </c>
      <c r="M14" s="101">
        <f t="shared" ref="M14:V14" si="41">IF(M41=0,0,M41*M151)</f>
        <v>51.303232255012958</v>
      </c>
      <c r="N14" s="101">
        <f t="shared" si="41"/>
        <v>52.501748000296466</v>
      </c>
      <c r="O14" s="101">
        <f t="shared" si="41"/>
        <v>100.90950305060545</v>
      </c>
      <c r="P14" s="101">
        <f t="shared" si="41"/>
        <v>62.682919636672317</v>
      </c>
      <c r="Q14" s="101">
        <f t="shared" si="41"/>
        <v>61.596212829198258</v>
      </c>
      <c r="R14" s="101">
        <f t="shared" si="41"/>
        <v>59.232242274346376</v>
      </c>
      <c r="S14" s="101">
        <f t="shared" si="41"/>
        <v>56.284811849406942</v>
      </c>
      <c r="T14" s="101">
        <f t="shared" si="41"/>
        <v>53.03779863574335</v>
      </c>
      <c r="U14" s="101">
        <f t="shared" si="41"/>
        <v>96.538890939559053</v>
      </c>
      <c r="V14" s="101">
        <f t="shared" si="41"/>
        <v>66.689328716954137</v>
      </c>
      <c r="W14" s="101">
        <f t="shared" ref="W14" si="42">IF(W41=0,0,W41*W151)</f>
        <v>68.661375527641454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92342.366211093729</v>
      </c>
      <c r="C15" s="101">
        <f t="shared" si="43"/>
        <v>94569.646932419142</v>
      </c>
      <c r="D15" s="101">
        <f t="shared" si="43"/>
        <v>96263.273901286026</v>
      </c>
      <c r="E15" s="101">
        <f t="shared" si="43"/>
        <v>97000.908277556053</v>
      </c>
      <c r="F15" s="101">
        <f t="shared" si="43"/>
        <v>98404.8976286424</v>
      </c>
      <c r="G15" s="101">
        <f t="shared" si="43"/>
        <v>98894.034176742818</v>
      </c>
      <c r="H15" s="101">
        <f t="shared" si="43"/>
        <v>99928.291394106549</v>
      </c>
      <c r="I15" s="101">
        <f t="shared" si="43"/>
        <v>99056.030221004781</v>
      </c>
      <c r="J15" s="101">
        <f t="shared" si="43"/>
        <v>98588.707170176043</v>
      </c>
      <c r="K15" s="101">
        <f t="shared" si="43"/>
        <v>97286.789282371246</v>
      </c>
      <c r="L15" s="101">
        <f t="shared" ref="L15" si="44">IF(L42=0,0,L42*L152)</f>
        <v>97581.696319621027</v>
      </c>
      <c r="M15" s="101">
        <f t="shared" ref="M15:V15" si="45">IF(M42=0,0,M42*M152)</f>
        <v>97164.482338419039</v>
      </c>
      <c r="N15" s="101">
        <f t="shared" si="45"/>
        <v>95928.900182669124</v>
      </c>
      <c r="O15" s="101">
        <f t="shared" si="45"/>
        <v>95565.132486838091</v>
      </c>
      <c r="P15" s="101">
        <f t="shared" si="45"/>
        <v>96801.514879027643</v>
      </c>
      <c r="Q15" s="101">
        <f t="shared" si="45"/>
        <v>97219.58277599774</v>
      </c>
      <c r="R15" s="101">
        <f t="shared" si="45"/>
        <v>97579.753113660219</v>
      </c>
      <c r="S15" s="101">
        <f t="shared" si="45"/>
        <v>97058.126909567</v>
      </c>
      <c r="T15" s="101">
        <f t="shared" si="45"/>
        <v>96912.465425459377</v>
      </c>
      <c r="U15" s="101">
        <f t="shared" si="45"/>
        <v>97652.159003985449</v>
      </c>
      <c r="V15" s="101">
        <f t="shared" si="45"/>
        <v>53991.942387303556</v>
      </c>
      <c r="W15" s="101">
        <f t="shared" ref="W15" si="46">IF(W42=0,0,W42*W152)</f>
        <v>74380.19551897062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48.574287730938096</v>
      </c>
      <c r="C16" s="101">
        <f t="shared" si="47"/>
        <v>54.864953171315022</v>
      </c>
      <c r="D16" s="101">
        <f t="shared" si="47"/>
        <v>51.911669487167387</v>
      </c>
      <c r="E16" s="101">
        <f t="shared" si="47"/>
        <v>60.742955678153599</v>
      </c>
      <c r="F16" s="101">
        <f t="shared" si="47"/>
        <v>95.741617492093837</v>
      </c>
      <c r="G16" s="101">
        <f t="shared" si="47"/>
        <v>138.80458981641297</v>
      </c>
      <c r="H16" s="101">
        <f t="shared" si="47"/>
        <v>156.31961782646138</v>
      </c>
      <c r="I16" s="101">
        <f t="shared" si="47"/>
        <v>186.32890435264432</v>
      </c>
      <c r="J16" s="101">
        <f t="shared" si="47"/>
        <v>221.65404986310415</v>
      </c>
      <c r="K16" s="101">
        <f t="shared" si="47"/>
        <v>300.63169261991135</v>
      </c>
      <c r="L16" s="101">
        <f t="shared" ref="L16" si="48">IF(L43=0,0,L43*L153)</f>
        <v>305.34119475611891</v>
      </c>
      <c r="M16" s="101">
        <f t="shared" ref="M16:V16" si="49">IF(M43=0,0,M43*M153)</f>
        <v>291.02207723113349</v>
      </c>
      <c r="N16" s="101">
        <f t="shared" si="49"/>
        <v>282.26400515862662</v>
      </c>
      <c r="O16" s="101">
        <f t="shared" si="49"/>
        <v>274.30130460301888</v>
      </c>
      <c r="P16" s="101">
        <f t="shared" si="49"/>
        <v>264.25500807516562</v>
      </c>
      <c r="Q16" s="101">
        <f t="shared" si="49"/>
        <v>262.18307889547759</v>
      </c>
      <c r="R16" s="101">
        <f t="shared" si="49"/>
        <v>245.74167365649652</v>
      </c>
      <c r="S16" s="101">
        <f t="shared" si="49"/>
        <v>193.06190939208531</v>
      </c>
      <c r="T16" s="101">
        <f t="shared" si="49"/>
        <v>216.64502867679488</v>
      </c>
      <c r="U16" s="101">
        <f t="shared" si="49"/>
        <v>214.42719965106414</v>
      </c>
      <c r="V16" s="101">
        <f t="shared" si="49"/>
        <v>119.0542339668189</v>
      </c>
      <c r="W16" s="101">
        <f t="shared" ref="W16" si="50">IF(W43=0,0,W43*W153)</f>
        <v>150.54745284496516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929.98689604374829</v>
      </c>
      <c r="C17" s="101">
        <f t="shared" si="51"/>
        <v>879.7086163521609</v>
      </c>
      <c r="D17" s="101">
        <f t="shared" si="51"/>
        <v>746.32634874464839</v>
      </c>
      <c r="E17" s="101">
        <f t="shared" si="51"/>
        <v>1189.5762229990487</v>
      </c>
      <c r="F17" s="101">
        <f t="shared" si="51"/>
        <v>1200.8121436454539</v>
      </c>
      <c r="G17" s="101">
        <f t="shared" si="51"/>
        <v>1865.6712380802214</v>
      </c>
      <c r="H17" s="101">
        <f t="shared" si="51"/>
        <v>2912.203328925053</v>
      </c>
      <c r="I17" s="101">
        <f t="shared" si="51"/>
        <v>3366.1868307813193</v>
      </c>
      <c r="J17" s="101">
        <f t="shared" si="51"/>
        <v>3578.3131259234897</v>
      </c>
      <c r="K17" s="101">
        <f t="shared" si="51"/>
        <v>4066.3478485030469</v>
      </c>
      <c r="L17" s="101">
        <f t="shared" ref="L17" si="52">IF(L44=0,0,L44*L154)</f>
        <v>4279.2749536038418</v>
      </c>
      <c r="M17" s="101">
        <f t="shared" ref="M17:V17" si="53">IF(M44=0,0,M44*M154)</f>
        <v>4937.1923520948103</v>
      </c>
      <c r="N17" s="101">
        <f t="shared" si="53"/>
        <v>5248.3340641719578</v>
      </c>
      <c r="O17" s="101">
        <f t="shared" si="53"/>
        <v>5287.6669116840985</v>
      </c>
      <c r="P17" s="101">
        <f t="shared" si="53"/>
        <v>5135.4451246124836</v>
      </c>
      <c r="Q17" s="101">
        <f t="shared" si="53"/>
        <v>4430.747562339774</v>
      </c>
      <c r="R17" s="101">
        <f t="shared" si="53"/>
        <v>3906.4146746444048</v>
      </c>
      <c r="S17" s="101">
        <f t="shared" si="53"/>
        <v>4860.8017065597669</v>
      </c>
      <c r="T17" s="101">
        <f t="shared" si="53"/>
        <v>5256.0798258519308</v>
      </c>
      <c r="U17" s="101">
        <f t="shared" si="53"/>
        <v>5747.8614832380026</v>
      </c>
      <c r="V17" s="101">
        <f t="shared" si="53"/>
        <v>3247.3385586977088</v>
      </c>
      <c r="W17" s="101">
        <f t="shared" ref="W17" si="54">IF(W44=0,0,W44*W154)</f>
        <v>5088.2035108049577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541.98979382420237</v>
      </c>
      <c r="P18" s="101">
        <f t="shared" si="57"/>
        <v>542.10206864803706</v>
      </c>
      <c r="Q18" s="101">
        <f t="shared" si="57"/>
        <v>534.89036993780439</v>
      </c>
      <c r="R18" s="101">
        <f t="shared" si="57"/>
        <v>521.85829576452772</v>
      </c>
      <c r="S18" s="101">
        <f t="shared" si="57"/>
        <v>510.72466263173305</v>
      </c>
      <c r="T18" s="101">
        <f t="shared" si="57"/>
        <v>526.77192137615896</v>
      </c>
      <c r="U18" s="101">
        <f t="shared" si="57"/>
        <v>582.01342218592811</v>
      </c>
      <c r="V18" s="101">
        <f t="shared" si="57"/>
        <v>352.97549131496345</v>
      </c>
      <c r="W18" s="101">
        <f t="shared" ref="W18" si="58">IF(W45=0,0,W45*W155)</f>
        <v>622.3921418518097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193001.60913437372</v>
      </c>
      <c r="C19" s="29">
        <f t="shared" si="59"/>
        <v>190808.40496753345</v>
      </c>
      <c r="D19" s="29">
        <f t="shared" si="59"/>
        <v>198197.45821312704</v>
      </c>
      <c r="E19" s="29">
        <f t="shared" si="59"/>
        <v>182775.01893076487</v>
      </c>
      <c r="F19" s="29">
        <f t="shared" si="59"/>
        <v>202972.45377977559</v>
      </c>
      <c r="G19" s="29">
        <f t="shared" si="59"/>
        <v>218807.55764054318</v>
      </c>
      <c r="H19" s="29">
        <f t="shared" si="59"/>
        <v>203701.30157870729</v>
      </c>
      <c r="I19" s="29">
        <f t="shared" si="59"/>
        <v>201441.252698514</v>
      </c>
      <c r="J19" s="29">
        <f t="shared" si="59"/>
        <v>202164.76528340086</v>
      </c>
      <c r="K19" s="29">
        <f t="shared" si="59"/>
        <v>191032.2204900402</v>
      </c>
      <c r="L19" s="29">
        <f t="shared" ref="L19" si="60">L20+L26</f>
        <v>199286.58898837995</v>
      </c>
      <c r="M19" s="29">
        <f t="shared" ref="M19:V19" si="61">M20+M26</f>
        <v>173540.80732025811</v>
      </c>
      <c r="N19" s="29">
        <f t="shared" si="61"/>
        <v>154164.27323535585</v>
      </c>
      <c r="O19" s="29">
        <f t="shared" si="61"/>
        <v>155137.84841195462</v>
      </c>
      <c r="P19" s="29">
        <f t="shared" si="61"/>
        <v>146824.18706849692</v>
      </c>
      <c r="Q19" s="29">
        <f t="shared" si="61"/>
        <v>145673.86867590522</v>
      </c>
      <c r="R19" s="29">
        <f t="shared" si="61"/>
        <v>142861.21028891183</v>
      </c>
      <c r="S19" s="29">
        <f t="shared" si="61"/>
        <v>153495.17511500212</v>
      </c>
      <c r="T19" s="29">
        <f t="shared" si="61"/>
        <v>158081.06175844383</v>
      </c>
      <c r="U19" s="29">
        <f t="shared" si="61"/>
        <v>170371.15220136906</v>
      </c>
      <c r="V19" s="29">
        <f t="shared" si="61"/>
        <v>164713.77542132078</v>
      </c>
      <c r="W19" s="29">
        <f t="shared" ref="W19" si="62">W20+W26</f>
        <v>181685.42453958889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11373.488847273913</v>
      </c>
      <c r="C20" s="152">
        <f t="shared" si="63"/>
        <v>11019.445258252852</v>
      </c>
      <c r="D20" s="152">
        <f t="shared" si="63"/>
        <v>11600.289152517951</v>
      </c>
      <c r="E20" s="152">
        <f t="shared" si="63"/>
        <v>12651.795506834967</v>
      </c>
      <c r="F20" s="152">
        <f t="shared" si="63"/>
        <v>13534.109802301806</v>
      </c>
      <c r="G20" s="152">
        <f t="shared" si="63"/>
        <v>14854.614796703823</v>
      </c>
      <c r="H20" s="152">
        <f t="shared" si="63"/>
        <v>13630.509639712489</v>
      </c>
      <c r="I20" s="152">
        <f t="shared" si="63"/>
        <v>14643.801701906095</v>
      </c>
      <c r="J20" s="152">
        <f t="shared" si="63"/>
        <v>14661.054236350339</v>
      </c>
      <c r="K20" s="152">
        <f t="shared" si="63"/>
        <v>14605.255500329469</v>
      </c>
      <c r="L20" s="152">
        <f t="shared" ref="L20" si="64">SUM(L21:L25)</f>
        <v>15679.776304851926</v>
      </c>
      <c r="M20" s="152">
        <f t="shared" ref="M20:V20" si="65">SUM(M21:M25)</f>
        <v>16219.956862316882</v>
      </c>
      <c r="N20" s="152">
        <f t="shared" si="65"/>
        <v>14703.817712991595</v>
      </c>
      <c r="O20" s="152">
        <f t="shared" si="65"/>
        <v>13344.806470882893</v>
      </c>
      <c r="P20" s="152">
        <f t="shared" si="65"/>
        <v>13797.153258022934</v>
      </c>
      <c r="Q20" s="152">
        <f t="shared" si="65"/>
        <v>11703.829909133041</v>
      </c>
      <c r="R20" s="152">
        <f t="shared" si="65"/>
        <v>11166.067410448088</v>
      </c>
      <c r="S20" s="152">
        <f t="shared" si="65"/>
        <v>11418.361580399564</v>
      </c>
      <c r="T20" s="152">
        <f t="shared" si="65"/>
        <v>11816.061758443828</v>
      </c>
      <c r="U20" s="152">
        <f t="shared" si="65"/>
        <v>12064.152201369057</v>
      </c>
      <c r="V20" s="152">
        <f t="shared" si="65"/>
        <v>11849.775421320774</v>
      </c>
      <c r="W20" s="152">
        <f t="shared" ref="W20" si="66">SUM(W21:W25)</f>
        <v>13800.424539588876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442.63542004316929</v>
      </c>
      <c r="C21" s="87">
        <f t="shared" si="67"/>
        <v>460.98837411373347</v>
      </c>
      <c r="D21" s="87">
        <f t="shared" si="67"/>
        <v>487.18519632020696</v>
      </c>
      <c r="E21" s="87">
        <f t="shared" si="67"/>
        <v>505.83375144376043</v>
      </c>
      <c r="F21" s="87">
        <f t="shared" si="67"/>
        <v>504.92910719511383</v>
      </c>
      <c r="G21" s="87">
        <f t="shared" si="67"/>
        <v>518.6732134619574</v>
      </c>
      <c r="H21" s="87">
        <f t="shared" si="67"/>
        <v>522.55960240563911</v>
      </c>
      <c r="I21" s="87">
        <f t="shared" si="67"/>
        <v>458.86016541872863</v>
      </c>
      <c r="J21" s="87">
        <f t="shared" si="67"/>
        <v>443.23649824106263</v>
      </c>
      <c r="K21" s="87">
        <f t="shared" si="67"/>
        <v>420.93937464839911</v>
      </c>
      <c r="L21" s="87">
        <f t="shared" ref="L21" si="68">IF(L48=0,0,L48*L158)</f>
        <v>406.23753687346084</v>
      </c>
      <c r="M21" s="87">
        <f t="shared" ref="M21:V21" si="69">IF(M48=0,0,M48*M158)</f>
        <v>413.81419219801791</v>
      </c>
      <c r="N21" s="87">
        <f t="shared" si="69"/>
        <v>377.46415630698931</v>
      </c>
      <c r="O21" s="87">
        <f t="shared" si="69"/>
        <v>364.54470660342372</v>
      </c>
      <c r="P21" s="87">
        <f t="shared" si="69"/>
        <v>355.6082934923466</v>
      </c>
      <c r="Q21" s="87">
        <f t="shared" si="69"/>
        <v>335.72099266674587</v>
      </c>
      <c r="R21" s="87">
        <f t="shared" si="69"/>
        <v>324.59743847826644</v>
      </c>
      <c r="S21" s="87">
        <f t="shared" si="69"/>
        <v>310.65858012693246</v>
      </c>
      <c r="T21" s="87">
        <f t="shared" si="69"/>
        <v>304.62622987419257</v>
      </c>
      <c r="U21" s="87">
        <f t="shared" si="69"/>
        <v>308.73419532244355</v>
      </c>
      <c r="V21" s="87">
        <f t="shared" si="69"/>
        <v>313.73757948921553</v>
      </c>
      <c r="W21" s="87">
        <f t="shared" ref="W21" si="70">IF(W48=0,0,W48*W158)</f>
        <v>323.30572339203951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10901.638983964469</v>
      </c>
      <c r="C22" s="87">
        <f t="shared" si="71"/>
        <v>10524.206752217973</v>
      </c>
      <c r="D22" s="87">
        <f t="shared" si="71"/>
        <v>11072.341416605132</v>
      </c>
      <c r="E22" s="87">
        <f t="shared" si="71"/>
        <v>12098.284256395009</v>
      </c>
      <c r="F22" s="87">
        <f t="shared" si="71"/>
        <v>12975.545216813813</v>
      </c>
      <c r="G22" s="87">
        <f t="shared" si="71"/>
        <v>14273.830819459621</v>
      </c>
      <c r="H22" s="87">
        <f t="shared" si="71"/>
        <v>13038.669695532892</v>
      </c>
      <c r="I22" s="87">
        <f t="shared" si="71"/>
        <v>14115.964858686906</v>
      </c>
      <c r="J22" s="87">
        <f t="shared" si="71"/>
        <v>14126.837214477611</v>
      </c>
      <c r="K22" s="87">
        <f t="shared" si="71"/>
        <v>14057.385397651537</v>
      </c>
      <c r="L22" s="87">
        <f t="shared" ref="L22" si="72">IF(L49=0,0,L49*L159)</f>
        <v>15084.061234678813</v>
      </c>
      <c r="M22" s="87">
        <f t="shared" ref="M22:V22" si="73">IF(M49=0,0,M49*M159)</f>
        <v>15610.928650609112</v>
      </c>
      <c r="N22" s="87">
        <f t="shared" si="73"/>
        <v>14078.253151721716</v>
      </c>
      <c r="O22" s="87">
        <f t="shared" si="73"/>
        <v>12727.229261506764</v>
      </c>
      <c r="P22" s="87">
        <f t="shared" si="73"/>
        <v>13173.907775995902</v>
      </c>
      <c r="Q22" s="87">
        <f t="shared" si="73"/>
        <v>11100.176142918706</v>
      </c>
      <c r="R22" s="87">
        <f t="shared" si="73"/>
        <v>10566.045020042602</v>
      </c>
      <c r="S22" s="87">
        <f t="shared" si="73"/>
        <v>10832.220031634013</v>
      </c>
      <c r="T22" s="87">
        <f t="shared" si="73"/>
        <v>11223.268730925009</v>
      </c>
      <c r="U22" s="87">
        <f t="shared" si="73"/>
        <v>11456.500416510977</v>
      </c>
      <c r="V22" s="87">
        <f t="shared" si="73"/>
        <v>11236.336472475536</v>
      </c>
      <c r="W22" s="87">
        <f t="shared" ref="W22" si="74">IF(W49=0,0,W49*W159)</f>
        <v>13165.316533257368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12.775877679682823</v>
      </c>
      <c r="C23" s="87">
        <f t="shared" si="75"/>
        <v>14.648823740499223</v>
      </c>
      <c r="D23" s="87">
        <f t="shared" si="75"/>
        <v>17.045231141442674</v>
      </c>
      <c r="E23" s="87">
        <f t="shared" si="75"/>
        <v>19.485698556312499</v>
      </c>
      <c r="F23" s="87">
        <f t="shared" si="75"/>
        <v>21.416127748315134</v>
      </c>
      <c r="G23" s="87">
        <f t="shared" si="75"/>
        <v>24.219651869334559</v>
      </c>
      <c r="H23" s="87">
        <f t="shared" si="75"/>
        <v>26.155795523775172</v>
      </c>
      <c r="I23" s="87">
        <f t="shared" si="75"/>
        <v>25.478119582767743</v>
      </c>
      <c r="J23" s="87">
        <f t="shared" si="75"/>
        <v>30.551202631969954</v>
      </c>
      <c r="K23" s="87">
        <f t="shared" si="75"/>
        <v>40.407315246802916</v>
      </c>
      <c r="L23" s="87">
        <f t="shared" ref="L23" si="76">IF(L50=0,0,L50*L160)</f>
        <v>51.773423346994086</v>
      </c>
      <c r="M23" s="87">
        <f t="shared" ref="M23:V23" si="77">IF(M50=0,0,M50*M160)</f>
        <v>57.439398290352514</v>
      </c>
      <c r="N23" s="87">
        <f t="shared" si="77"/>
        <v>63.71433584409553</v>
      </c>
      <c r="O23" s="87">
        <f t="shared" si="77"/>
        <v>66.018647483635476</v>
      </c>
      <c r="P23" s="87">
        <f t="shared" si="77"/>
        <v>70.768853217976783</v>
      </c>
      <c r="Q23" s="87">
        <f t="shared" si="77"/>
        <v>70.490949862114263</v>
      </c>
      <c r="R23" s="87">
        <f t="shared" si="77"/>
        <v>68.649295853725775</v>
      </c>
      <c r="S23" s="87">
        <f t="shared" si="77"/>
        <v>70.333339497741704</v>
      </c>
      <c r="T23" s="87">
        <f t="shared" si="77"/>
        <v>76.186638932337587</v>
      </c>
      <c r="U23" s="87">
        <f t="shared" si="77"/>
        <v>76.071738850551441</v>
      </c>
      <c r="V23" s="87">
        <f t="shared" si="77"/>
        <v>73.679339350412206</v>
      </c>
      <c r="W23" s="87">
        <f t="shared" ref="W23" si="78">IF(W50=0,0,W50*W160)</f>
        <v>76.00158613682629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16.438565586591707</v>
      </c>
      <c r="C24" s="87">
        <f t="shared" si="79"/>
        <v>19.601308180647099</v>
      </c>
      <c r="D24" s="87">
        <f t="shared" si="79"/>
        <v>23.717308451170993</v>
      </c>
      <c r="E24" s="87">
        <f t="shared" si="79"/>
        <v>28.191800439885547</v>
      </c>
      <c r="F24" s="87">
        <f t="shared" si="79"/>
        <v>32.219350544563994</v>
      </c>
      <c r="G24" s="87">
        <f t="shared" si="79"/>
        <v>37.891111912910205</v>
      </c>
      <c r="H24" s="87">
        <f t="shared" si="79"/>
        <v>43.124546250182867</v>
      </c>
      <c r="I24" s="87">
        <f t="shared" si="79"/>
        <v>43.498558217694075</v>
      </c>
      <c r="J24" s="87">
        <f t="shared" si="79"/>
        <v>60.429320999694944</v>
      </c>
      <c r="K24" s="87">
        <f t="shared" si="79"/>
        <v>86.523412782731796</v>
      </c>
      <c r="L24" s="87">
        <f t="shared" ref="L24" si="80">IF(L51=0,0,L51*L161)</f>
        <v>137.70410995265843</v>
      </c>
      <c r="M24" s="87">
        <f t="shared" ref="M24:V24" si="81">IF(M51=0,0,M51*M161)</f>
        <v>137.77131960651531</v>
      </c>
      <c r="N24" s="87">
        <f t="shared" si="81"/>
        <v>183.73067176143579</v>
      </c>
      <c r="O24" s="87">
        <f t="shared" si="81"/>
        <v>186.7004188104674</v>
      </c>
      <c r="P24" s="87">
        <f t="shared" si="81"/>
        <v>196.33251097353946</v>
      </c>
      <c r="Q24" s="87">
        <f t="shared" si="81"/>
        <v>195.7829317476546</v>
      </c>
      <c r="R24" s="87">
        <f t="shared" si="81"/>
        <v>203.78091933291108</v>
      </c>
      <c r="S24" s="87">
        <f t="shared" si="81"/>
        <v>201.61190978808776</v>
      </c>
      <c r="T24" s="87">
        <f t="shared" si="81"/>
        <v>206.9618088567029</v>
      </c>
      <c r="U24" s="87">
        <f t="shared" si="81"/>
        <v>213.74985831351856</v>
      </c>
      <c r="V24" s="87">
        <f t="shared" si="81"/>
        <v>215.40672925941496</v>
      </c>
      <c r="W24" s="87">
        <f t="shared" ref="W24" si="82">IF(W51=0,0,W51*W161)</f>
        <v>219.50582789236526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3.30161288144932E-3</v>
      </c>
      <c r="N25" s="87">
        <f t="shared" si="85"/>
        <v>0.65539735735949789</v>
      </c>
      <c r="O25" s="87">
        <f t="shared" si="85"/>
        <v>0.31343647860362261</v>
      </c>
      <c r="P25" s="87">
        <f t="shared" si="85"/>
        <v>0.53582434316977723</v>
      </c>
      <c r="Q25" s="87">
        <f t="shared" si="85"/>
        <v>1.6588919378188363</v>
      </c>
      <c r="R25" s="87">
        <f t="shared" si="85"/>
        <v>2.9947367405836793</v>
      </c>
      <c r="S25" s="87">
        <f t="shared" si="85"/>
        <v>3.5377193527893751</v>
      </c>
      <c r="T25" s="87">
        <f t="shared" si="85"/>
        <v>5.0183498555869361</v>
      </c>
      <c r="U25" s="87">
        <f t="shared" si="85"/>
        <v>9.0959923715668545</v>
      </c>
      <c r="V25" s="87">
        <f t="shared" si="85"/>
        <v>10.615300746194066</v>
      </c>
      <c r="W25" s="87">
        <f t="shared" ref="W25" si="86">IF(W52=0,0,W52*W162)</f>
        <v>16.294868910276818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181628.12028709979</v>
      </c>
      <c r="C26" s="116">
        <f t="shared" si="87"/>
        <v>179788.95970928061</v>
      </c>
      <c r="D26" s="116">
        <f t="shared" si="87"/>
        <v>186597.1690606091</v>
      </c>
      <c r="E26" s="116">
        <f t="shared" si="87"/>
        <v>170123.22342392991</v>
      </c>
      <c r="F26" s="116">
        <f t="shared" si="87"/>
        <v>189438.34397747379</v>
      </c>
      <c r="G26" s="116">
        <f t="shared" si="87"/>
        <v>203952.94284383935</v>
      </c>
      <c r="H26" s="116">
        <f t="shared" si="87"/>
        <v>190070.79193899481</v>
      </c>
      <c r="I26" s="116">
        <f t="shared" si="87"/>
        <v>186797.45099660789</v>
      </c>
      <c r="J26" s="116">
        <f t="shared" si="87"/>
        <v>187503.71104705051</v>
      </c>
      <c r="K26" s="116">
        <f t="shared" si="87"/>
        <v>176426.96498971072</v>
      </c>
      <c r="L26" s="116">
        <f t="shared" ref="L26" si="88">SUM(L27:L28)</f>
        <v>183606.81268352803</v>
      </c>
      <c r="M26" s="116">
        <f t="shared" ref="M26:V26" si="89">SUM(M27:M28)</f>
        <v>157320.85045794124</v>
      </c>
      <c r="N26" s="116">
        <f t="shared" si="89"/>
        <v>139460.45552236427</v>
      </c>
      <c r="O26" s="116">
        <f t="shared" si="89"/>
        <v>141793.04194107171</v>
      </c>
      <c r="P26" s="116">
        <f t="shared" si="89"/>
        <v>133027.03381047398</v>
      </c>
      <c r="Q26" s="116">
        <f t="shared" si="89"/>
        <v>133970.0387667722</v>
      </c>
      <c r="R26" s="116">
        <f t="shared" si="89"/>
        <v>131695.14287846372</v>
      </c>
      <c r="S26" s="116">
        <f t="shared" si="89"/>
        <v>142076.81353460255</v>
      </c>
      <c r="T26" s="116">
        <f t="shared" si="89"/>
        <v>146265</v>
      </c>
      <c r="U26" s="116">
        <f t="shared" si="89"/>
        <v>158307</v>
      </c>
      <c r="V26" s="116">
        <f t="shared" si="89"/>
        <v>152864</v>
      </c>
      <c r="W26" s="116">
        <f t="shared" ref="W26" si="90">SUM(W27:W28)</f>
        <v>167885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158250</v>
      </c>
      <c r="C27" s="101">
        <f t="shared" si="91"/>
        <v>154749</v>
      </c>
      <c r="D27" s="101">
        <f t="shared" si="91"/>
        <v>160082</v>
      </c>
      <c r="E27" s="101">
        <f t="shared" si="91"/>
        <v>143184</v>
      </c>
      <c r="F27" s="101">
        <f t="shared" si="91"/>
        <v>158172</v>
      </c>
      <c r="G27" s="101">
        <f t="shared" si="91"/>
        <v>171587</v>
      </c>
      <c r="H27" s="101">
        <f t="shared" si="91"/>
        <v>155425</v>
      </c>
      <c r="I27" s="101">
        <f t="shared" si="91"/>
        <v>152406</v>
      </c>
      <c r="J27" s="101">
        <f t="shared" si="91"/>
        <v>151823</v>
      </c>
      <c r="K27" s="101">
        <f t="shared" si="91"/>
        <v>145610</v>
      </c>
      <c r="L27" s="101">
        <f t="shared" ref="L27:V27" si="92">IF(L54=0,0,L54*L164)</f>
        <v>149248</v>
      </c>
      <c r="M27" s="101">
        <f t="shared" si="92"/>
        <v>127681</v>
      </c>
      <c r="N27" s="101">
        <f t="shared" si="92"/>
        <v>111785</v>
      </c>
      <c r="O27" s="101">
        <f t="shared" si="92"/>
        <v>111975</v>
      </c>
      <c r="P27" s="101">
        <f t="shared" si="92"/>
        <v>102351</v>
      </c>
      <c r="Q27" s="101">
        <f t="shared" si="92"/>
        <v>104104</v>
      </c>
      <c r="R27" s="101">
        <f t="shared" si="92"/>
        <v>100282</v>
      </c>
      <c r="S27" s="101">
        <f t="shared" si="92"/>
        <v>106711</v>
      </c>
      <c r="T27" s="101">
        <f t="shared" si="92"/>
        <v>111741</v>
      </c>
      <c r="U27" s="101">
        <f t="shared" si="92"/>
        <v>122491</v>
      </c>
      <c r="V27" s="101">
        <f t="shared" si="92"/>
        <v>118151</v>
      </c>
      <c r="W27" s="101">
        <f t="shared" ref="W27" si="93">IF(W54=0,0,W54*W164)</f>
        <v>128547.00000000001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23378.120287099795</v>
      </c>
      <c r="C28" s="88">
        <f t="shared" si="94"/>
        <v>25039.959709280607</v>
      </c>
      <c r="D28" s="88">
        <f t="shared" si="94"/>
        <v>26515.1690606091</v>
      </c>
      <c r="E28" s="88">
        <f t="shared" si="94"/>
        <v>26939.223423929914</v>
      </c>
      <c r="F28" s="88">
        <f t="shared" si="94"/>
        <v>31266.343977473793</v>
      </c>
      <c r="G28" s="88">
        <f t="shared" si="94"/>
        <v>32365.942843839352</v>
      </c>
      <c r="H28" s="88">
        <f t="shared" si="94"/>
        <v>34645.791938994807</v>
      </c>
      <c r="I28" s="88">
        <f t="shared" si="94"/>
        <v>34391.450996607891</v>
      </c>
      <c r="J28" s="88">
        <f t="shared" si="94"/>
        <v>35680.711047050514</v>
      </c>
      <c r="K28" s="88">
        <f t="shared" si="94"/>
        <v>30816.964989710716</v>
      </c>
      <c r="L28" s="88">
        <f t="shared" ref="L28:V28" si="95">IF(L55=0,0,L55*L165)</f>
        <v>34358.812683528027</v>
      </c>
      <c r="M28" s="88">
        <f t="shared" si="95"/>
        <v>29639.85045794124</v>
      </c>
      <c r="N28" s="88">
        <f t="shared" si="95"/>
        <v>27675.455522364267</v>
      </c>
      <c r="O28" s="88">
        <f t="shared" si="95"/>
        <v>29818.041941071715</v>
      </c>
      <c r="P28" s="88">
        <f t="shared" si="95"/>
        <v>30676.033810473979</v>
      </c>
      <c r="Q28" s="88">
        <f t="shared" si="95"/>
        <v>29866.038766772195</v>
      </c>
      <c r="R28" s="88">
        <f t="shared" si="95"/>
        <v>31413.142878463728</v>
      </c>
      <c r="S28" s="88">
        <f t="shared" si="95"/>
        <v>35365.813534602552</v>
      </c>
      <c r="T28" s="88">
        <f t="shared" si="95"/>
        <v>34524</v>
      </c>
      <c r="U28" s="88">
        <f t="shared" si="95"/>
        <v>35816</v>
      </c>
      <c r="V28" s="88">
        <f t="shared" si="95"/>
        <v>34713</v>
      </c>
      <c r="W28" s="88">
        <f t="shared" ref="W28" si="96">IF(W55=0,0,W55*W165)</f>
        <v>39338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461538.57274140388</v>
      </c>
      <c r="C30" s="62">
        <f t="shared" ref="C30:V30" si="98">C31+C46</f>
        <v>474305.63609734789</v>
      </c>
      <c r="D30" s="62">
        <f t="shared" si="98"/>
        <v>479480.90590258595</v>
      </c>
      <c r="E30" s="62">
        <f t="shared" si="98"/>
        <v>487503.624370076</v>
      </c>
      <c r="F30" s="62">
        <f t="shared" si="98"/>
        <v>498043.29931542982</v>
      </c>
      <c r="G30" s="62">
        <f t="shared" si="98"/>
        <v>481621.1952365163</v>
      </c>
      <c r="H30" s="62">
        <f t="shared" si="98"/>
        <v>470577.73604448984</v>
      </c>
      <c r="I30" s="62">
        <f t="shared" si="98"/>
        <v>473229.43639583286</v>
      </c>
      <c r="J30" s="62">
        <f t="shared" si="98"/>
        <v>474058.09019059472</v>
      </c>
      <c r="K30" s="62">
        <f t="shared" si="98"/>
        <v>493618.229851885</v>
      </c>
      <c r="L30" s="62">
        <f t="shared" si="98"/>
        <v>490438.08206573484</v>
      </c>
      <c r="M30" s="62">
        <f t="shared" si="98"/>
        <v>487190.60279289715</v>
      </c>
      <c r="N30" s="62">
        <f t="shared" si="98"/>
        <v>459606.11390686792</v>
      </c>
      <c r="O30" s="62">
        <f t="shared" si="98"/>
        <v>455408.38592864247</v>
      </c>
      <c r="P30" s="62">
        <f t="shared" si="98"/>
        <v>485084.4569405748</v>
      </c>
      <c r="Q30" s="62">
        <f t="shared" si="98"/>
        <v>474730.41865958966</v>
      </c>
      <c r="R30" s="62">
        <f t="shared" si="98"/>
        <v>481659.50955071294</v>
      </c>
      <c r="S30" s="62">
        <f t="shared" si="98"/>
        <v>492315.5026198806</v>
      </c>
      <c r="T30" s="62">
        <f t="shared" si="98"/>
        <v>478157.49068508274</v>
      </c>
      <c r="U30" s="62">
        <f t="shared" si="98"/>
        <v>483089.47171771736</v>
      </c>
      <c r="V30" s="62">
        <f t="shared" si="98"/>
        <v>397694.0635450533</v>
      </c>
      <c r="W30" s="62">
        <f t="shared" ref="W30" si="99">W31+W46</f>
        <v>413624.20237516379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391138.75438523799</v>
      </c>
      <c r="C31" s="29">
        <f t="shared" ref="C31:V31" si="101">C32+C33+C40</f>
        <v>407262.00890388229</v>
      </c>
      <c r="D31" s="29">
        <f t="shared" si="101"/>
        <v>409798.13150835253</v>
      </c>
      <c r="E31" s="29">
        <f t="shared" si="101"/>
        <v>412364.55186838389</v>
      </c>
      <c r="F31" s="29">
        <f t="shared" si="101"/>
        <v>415618.84404004656</v>
      </c>
      <c r="G31" s="29">
        <f t="shared" si="101"/>
        <v>391211.84134074074</v>
      </c>
      <c r="H31" s="29">
        <f t="shared" si="101"/>
        <v>390269.19907265477</v>
      </c>
      <c r="I31" s="29">
        <f t="shared" si="101"/>
        <v>387041.89572327933</v>
      </c>
      <c r="J31" s="29">
        <f t="shared" si="101"/>
        <v>388389.64083046612</v>
      </c>
      <c r="K31" s="29">
        <f t="shared" si="101"/>
        <v>408871.40972571616</v>
      </c>
      <c r="L31" s="29">
        <f t="shared" si="101"/>
        <v>398759.88197709591</v>
      </c>
      <c r="M31" s="29">
        <f t="shared" si="101"/>
        <v>394065.57854047266</v>
      </c>
      <c r="N31" s="29">
        <f t="shared" si="101"/>
        <v>377056.47044789046</v>
      </c>
      <c r="O31" s="29">
        <f t="shared" si="101"/>
        <v>380816.40652366623</v>
      </c>
      <c r="P31" s="29">
        <f t="shared" si="101"/>
        <v>408228.77682952263</v>
      </c>
      <c r="Q31" s="29">
        <f t="shared" si="101"/>
        <v>410581.07288672501</v>
      </c>
      <c r="R31" s="29">
        <f t="shared" si="101"/>
        <v>420882.92878942902</v>
      </c>
      <c r="S31" s="29">
        <f t="shared" si="101"/>
        <v>429846.38608775765</v>
      </c>
      <c r="T31" s="29">
        <f t="shared" si="101"/>
        <v>413505.71339503798</v>
      </c>
      <c r="U31" s="29">
        <f t="shared" si="101"/>
        <v>416671.86672556342</v>
      </c>
      <c r="V31" s="29">
        <f t="shared" si="101"/>
        <v>333135.3605707449</v>
      </c>
      <c r="W31" s="29">
        <f t="shared" ref="W31" si="102">W32+W33+W40</f>
        <v>337038.57148381969</v>
      </c>
      <c r="DA31" s="173" t="s">
        <v>474</v>
      </c>
    </row>
    <row r="32" spans="1:105" ht="11.45" customHeight="1" x14ac:dyDescent="0.25">
      <c r="A32" s="136" t="s">
        <v>180</v>
      </c>
      <c r="B32" s="152">
        <v>35789.742552754156</v>
      </c>
      <c r="C32" s="152">
        <v>36695.58346283024</v>
      </c>
      <c r="D32" s="152">
        <v>36447.437103339471</v>
      </c>
      <c r="E32" s="152">
        <v>37254.29423662652</v>
      </c>
      <c r="F32" s="152">
        <v>38772.88726664077</v>
      </c>
      <c r="G32" s="152">
        <v>38964.688766185536</v>
      </c>
      <c r="H32" s="152">
        <v>37045.021812552863</v>
      </c>
      <c r="I32" s="152">
        <v>32941.2545872669</v>
      </c>
      <c r="J32" s="152">
        <v>34752.176569278003</v>
      </c>
      <c r="K32" s="152">
        <v>32461.910630683677</v>
      </c>
      <c r="L32" s="152">
        <v>33158</v>
      </c>
      <c r="M32" s="152">
        <v>34247</v>
      </c>
      <c r="N32" s="152">
        <v>33397</v>
      </c>
      <c r="O32" s="152">
        <v>32389</v>
      </c>
      <c r="P32" s="152">
        <v>33120</v>
      </c>
      <c r="Q32" s="152">
        <v>32850</v>
      </c>
      <c r="R32" s="152">
        <v>33453.090692223363</v>
      </c>
      <c r="S32" s="152">
        <v>31567.965430756663</v>
      </c>
      <c r="T32" s="152">
        <v>30082.70273522256</v>
      </c>
      <c r="U32" s="152">
        <v>31925.485335485293</v>
      </c>
      <c r="V32" s="152">
        <v>28524.127664383574</v>
      </c>
      <c r="W32" s="152">
        <v>29888.695259720313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351526.93008835771</v>
      </c>
      <c r="C33" s="116">
        <f t="shared" ref="C33:V33" si="104">SUM(C34:C39)</f>
        <v>366655.31066531682</v>
      </c>
      <c r="D33" s="116">
        <f t="shared" si="104"/>
        <v>369375.8165851442</v>
      </c>
      <c r="E33" s="116">
        <f t="shared" si="104"/>
        <v>371086.84864516254</v>
      </c>
      <c r="F33" s="116">
        <f t="shared" si="104"/>
        <v>372762.49113059329</v>
      </c>
      <c r="G33" s="116">
        <f t="shared" si="104"/>
        <v>348112.60998692492</v>
      </c>
      <c r="H33" s="116">
        <f t="shared" si="104"/>
        <v>348999.33336951258</v>
      </c>
      <c r="I33" s="116">
        <f t="shared" si="104"/>
        <v>349882.88617196603</v>
      </c>
      <c r="J33" s="116">
        <f t="shared" si="104"/>
        <v>349410.72311305144</v>
      </c>
      <c r="K33" s="116">
        <f t="shared" si="104"/>
        <v>372156.08011391596</v>
      </c>
      <c r="L33" s="116">
        <f t="shared" si="104"/>
        <v>361274.88197709591</v>
      </c>
      <c r="M33" s="116">
        <f t="shared" si="104"/>
        <v>355399.78991812159</v>
      </c>
      <c r="N33" s="116">
        <f t="shared" si="104"/>
        <v>339434.47044789046</v>
      </c>
      <c r="O33" s="116">
        <f t="shared" si="104"/>
        <v>344191.40652366623</v>
      </c>
      <c r="P33" s="116">
        <f t="shared" si="104"/>
        <v>370838.77682952263</v>
      </c>
      <c r="Q33" s="116">
        <f t="shared" si="104"/>
        <v>373413.07288672501</v>
      </c>
      <c r="R33" s="116">
        <f t="shared" si="104"/>
        <v>383120.17671238014</v>
      </c>
      <c r="S33" s="116">
        <f t="shared" si="104"/>
        <v>393953.18805552891</v>
      </c>
      <c r="T33" s="116">
        <f t="shared" si="104"/>
        <v>379085.60999989545</v>
      </c>
      <c r="U33" s="116">
        <f t="shared" si="104"/>
        <v>380352.4756814529</v>
      </c>
      <c r="V33" s="116">
        <f t="shared" si="104"/>
        <v>300243.20095643651</v>
      </c>
      <c r="W33" s="116">
        <f t="shared" ref="W33" si="105">SUM(W34:W39)</f>
        <v>302767.43724646361</v>
      </c>
      <c r="DA33" s="176" t="s">
        <v>476</v>
      </c>
    </row>
    <row r="34" spans="1:105" ht="11.45" customHeight="1" x14ac:dyDescent="0.25">
      <c r="A34" s="111" t="s">
        <v>110</v>
      </c>
      <c r="B34" s="87">
        <v>243060.27200847029</v>
      </c>
      <c r="C34" s="87">
        <v>243614.15222568178</v>
      </c>
      <c r="D34" s="87">
        <v>230545.32853355684</v>
      </c>
      <c r="E34" s="87">
        <v>223411.98050306382</v>
      </c>
      <c r="F34" s="87">
        <v>201207.16913973776</v>
      </c>
      <c r="G34" s="87">
        <v>177977.57129793629</v>
      </c>
      <c r="H34" s="87">
        <v>152402.32403203516</v>
      </c>
      <c r="I34" s="87">
        <v>147103.90993753736</v>
      </c>
      <c r="J34" s="87">
        <v>146494.67109909339</v>
      </c>
      <c r="K34" s="87">
        <v>158543.50206212915</v>
      </c>
      <c r="L34" s="87">
        <v>151703.430930823</v>
      </c>
      <c r="M34" s="87">
        <v>147556.5653197832</v>
      </c>
      <c r="N34" s="87">
        <v>129622.87356242695</v>
      </c>
      <c r="O34" s="87">
        <v>123853.16168954926</v>
      </c>
      <c r="P34" s="87">
        <v>125268.24654220446</v>
      </c>
      <c r="Q34" s="87">
        <v>120571.62953494221</v>
      </c>
      <c r="R34" s="87">
        <v>118598.6538889447</v>
      </c>
      <c r="S34" s="87">
        <v>116856.34461844566</v>
      </c>
      <c r="T34" s="87">
        <v>109253.40265519396</v>
      </c>
      <c r="U34" s="87">
        <v>110624.55725042516</v>
      </c>
      <c r="V34" s="87">
        <v>85785.238417955668</v>
      </c>
      <c r="W34" s="87">
        <v>87653.933762233966</v>
      </c>
      <c r="DA34" s="171" t="s">
        <v>477</v>
      </c>
    </row>
    <row r="35" spans="1:105" ht="11.45" customHeight="1" x14ac:dyDescent="0.25">
      <c r="A35" s="111" t="s">
        <v>111</v>
      </c>
      <c r="B35" s="87">
        <v>81998.536861258792</v>
      </c>
      <c r="C35" s="87">
        <v>96564.756709685273</v>
      </c>
      <c r="D35" s="87">
        <v>113681.61199055142</v>
      </c>
      <c r="E35" s="87">
        <v>124018.08704376717</v>
      </c>
      <c r="F35" s="87">
        <v>148327.68319376421</v>
      </c>
      <c r="G35" s="87">
        <v>147393.77417268229</v>
      </c>
      <c r="H35" s="87">
        <v>173413.8572579778</v>
      </c>
      <c r="I35" s="87">
        <v>179587.02265050804</v>
      </c>
      <c r="J35" s="87">
        <v>180776.94510169755</v>
      </c>
      <c r="K35" s="87">
        <v>187138.85703288417</v>
      </c>
      <c r="L35" s="87">
        <v>180731.08560355045</v>
      </c>
      <c r="M35" s="87">
        <v>179095.03767991767</v>
      </c>
      <c r="N35" s="87">
        <v>179505.13606834464</v>
      </c>
      <c r="O35" s="87">
        <v>186011.4542324811</v>
      </c>
      <c r="P35" s="87">
        <v>209080.1387211445</v>
      </c>
      <c r="Q35" s="87">
        <v>213301.42084464376</v>
      </c>
      <c r="R35" s="87">
        <v>223957.66529458115</v>
      </c>
      <c r="S35" s="87">
        <v>234242.77893772215</v>
      </c>
      <c r="T35" s="87">
        <v>227055.9957693145</v>
      </c>
      <c r="U35" s="87">
        <v>225263.11888910274</v>
      </c>
      <c r="V35" s="87">
        <v>178277.51765756987</v>
      </c>
      <c r="W35" s="87">
        <v>176940.22681348669</v>
      </c>
      <c r="DA35" s="171" t="s">
        <v>478</v>
      </c>
    </row>
    <row r="36" spans="1:105" ht="11.45" customHeight="1" x14ac:dyDescent="0.25">
      <c r="A36" s="111" t="s">
        <v>112</v>
      </c>
      <c r="B36" s="87">
        <v>22621.261190523644</v>
      </c>
      <c r="C36" s="87">
        <v>22041.444770844082</v>
      </c>
      <c r="D36" s="87">
        <v>20744.360165867794</v>
      </c>
      <c r="E36" s="87">
        <v>19258.464952365466</v>
      </c>
      <c r="F36" s="87">
        <v>19067.533005962778</v>
      </c>
      <c r="G36" s="87">
        <v>18486.122244721901</v>
      </c>
      <c r="H36" s="87">
        <v>18410.49175039988</v>
      </c>
      <c r="I36" s="87">
        <v>17886.612272877606</v>
      </c>
      <c r="J36" s="87">
        <v>16299.964151308301</v>
      </c>
      <c r="K36" s="87">
        <v>18988.927073969167</v>
      </c>
      <c r="L36" s="87">
        <v>21199.367224596055</v>
      </c>
      <c r="M36" s="87">
        <v>20982.929803500236</v>
      </c>
      <c r="N36" s="87">
        <v>22515.594274280713</v>
      </c>
      <c r="O36" s="87">
        <v>25711.378663143081</v>
      </c>
      <c r="P36" s="87">
        <v>26365.947761992466</v>
      </c>
      <c r="Q36" s="87">
        <v>28866.991260708532</v>
      </c>
      <c r="R36" s="87">
        <v>29148.305982960333</v>
      </c>
      <c r="S36" s="87">
        <v>30636.000713262059</v>
      </c>
      <c r="T36" s="87">
        <v>30690.697284644433</v>
      </c>
      <c r="U36" s="87">
        <v>31936.012307664005</v>
      </c>
      <c r="V36" s="87">
        <v>25368.908810591558</v>
      </c>
      <c r="W36" s="87">
        <v>26264.977919278022</v>
      </c>
      <c r="DA36" s="171" t="s">
        <v>479</v>
      </c>
    </row>
    <row r="37" spans="1:105" ht="11.45" customHeight="1" x14ac:dyDescent="0.25">
      <c r="A37" s="111" t="s">
        <v>113</v>
      </c>
      <c r="B37" s="87">
        <v>3846.8600281050376</v>
      </c>
      <c r="C37" s="87">
        <v>4434.9569591057016</v>
      </c>
      <c r="D37" s="87">
        <v>4404.5158951681933</v>
      </c>
      <c r="E37" s="87">
        <v>4398.3161459660341</v>
      </c>
      <c r="F37" s="87">
        <v>4160.1057911285397</v>
      </c>
      <c r="G37" s="87">
        <v>4255.1422715844201</v>
      </c>
      <c r="H37" s="87">
        <v>4772.66032909974</v>
      </c>
      <c r="I37" s="87">
        <v>5305.3413110430747</v>
      </c>
      <c r="J37" s="87">
        <v>5839.1427609521834</v>
      </c>
      <c r="K37" s="87">
        <v>7484.793944933429</v>
      </c>
      <c r="L37" s="87">
        <v>7588.7094440548899</v>
      </c>
      <c r="M37" s="87">
        <v>7638.2832942790492</v>
      </c>
      <c r="N37" s="87">
        <v>7657.6963424471451</v>
      </c>
      <c r="O37" s="87">
        <v>8365.326558973482</v>
      </c>
      <c r="P37" s="87">
        <v>9674.4033596265908</v>
      </c>
      <c r="Q37" s="87">
        <v>10193.029550858608</v>
      </c>
      <c r="R37" s="87">
        <v>10913.88271853956</v>
      </c>
      <c r="S37" s="87">
        <v>11646.822620102306</v>
      </c>
      <c r="T37" s="87">
        <v>11427.741073237074</v>
      </c>
      <c r="U37" s="87">
        <v>11679.540411512782</v>
      </c>
      <c r="V37" s="87">
        <v>9552.9861410291633</v>
      </c>
      <c r="W37" s="87">
        <v>9224.1270549085984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1.0013283493218552</v>
      </c>
      <c r="O38" s="87">
        <v>106.77555479199317</v>
      </c>
      <c r="P38" s="87">
        <v>292.99552667893801</v>
      </c>
      <c r="Q38" s="87">
        <v>304.77002711836951</v>
      </c>
      <c r="R38" s="87">
        <v>310.31611792942698</v>
      </c>
      <c r="S38" s="87">
        <v>356.29834168587507</v>
      </c>
      <c r="T38" s="87">
        <v>377.65611139818873</v>
      </c>
      <c r="U38" s="87">
        <v>425.63585954179393</v>
      </c>
      <c r="V38" s="87">
        <v>538.43454080327854</v>
      </c>
      <c r="W38" s="87">
        <v>950.66003532856257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52.288774071530113</v>
      </c>
      <c r="M39" s="87">
        <v>126.97382064137608</v>
      </c>
      <c r="N39" s="87">
        <v>132.16887204165988</v>
      </c>
      <c r="O39" s="87">
        <v>143.30982472734445</v>
      </c>
      <c r="P39" s="87">
        <v>157.04491787572996</v>
      </c>
      <c r="Q39" s="87">
        <v>175.23166845352785</v>
      </c>
      <c r="R39" s="87">
        <v>191.35270942498244</v>
      </c>
      <c r="S39" s="87">
        <v>214.94282431083727</v>
      </c>
      <c r="T39" s="87">
        <v>280.11710610730586</v>
      </c>
      <c r="U39" s="87">
        <v>423.6109632063754</v>
      </c>
      <c r="V39" s="87">
        <v>720.11538848700332</v>
      </c>
      <c r="W39" s="87">
        <v>1733.5116612277343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3822.0817441260829</v>
      </c>
      <c r="C40" s="116">
        <f t="shared" ref="C40:V40" si="107">SUM(C41:C45)</f>
        <v>3911.1147757352223</v>
      </c>
      <c r="D40" s="116">
        <f t="shared" si="107"/>
        <v>3974.8778198688719</v>
      </c>
      <c r="E40" s="116">
        <f t="shared" si="107"/>
        <v>4023.4089865948154</v>
      </c>
      <c r="F40" s="116">
        <f t="shared" si="107"/>
        <v>4083.4656428124958</v>
      </c>
      <c r="G40" s="116">
        <f t="shared" si="107"/>
        <v>4134.5425876302488</v>
      </c>
      <c r="H40" s="116">
        <f t="shared" si="107"/>
        <v>4224.8438905893199</v>
      </c>
      <c r="I40" s="116">
        <f t="shared" si="107"/>
        <v>4217.7549640464167</v>
      </c>
      <c r="J40" s="116">
        <f t="shared" si="107"/>
        <v>4226.7411481366507</v>
      </c>
      <c r="K40" s="116">
        <f t="shared" si="107"/>
        <v>4253.4189811165752</v>
      </c>
      <c r="L40" s="116">
        <f t="shared" si="107"/>
        <v>4327</v>
      </c>
      <c r="M40" s="116">
        <f t="shared" si="107"/>
        <v>4418.7886223510441</v>
      </c>
      <c r="N40" s="116">
        <f t="shared" si="107"/>
        <v>4225</v>
      </c>
      <c r="O40" s="116">
        <f t="shared" si="107"/>
        <v>4236</v>
      </c>
      <c r="P40" s="116">
        <f t="shared" si="107"/>
        <v>4269.9999999999991</v>
      </c>
      <c r="Q40" s="116">
        <f t="shared" si="107"/>
        <v>4318</v>
      </c>
      <c r="R40" s="116">
        <f t="shared" si="107"/>
        <v>4309.6613848255483</v>
      </c>
      <c r="S40" s="116">
        <f t="shared" si="107"/>
        <v>4325.2326014720529</v>
      </c>
      <c r="T40" s="116">
        <f t="shared" si="107"/>
        <v>4337.4006599199447</v>
      </c>
      <c r="U40" s="116">
        <f t="shared" si="107"/>
        <v>4393.9057086252251</v>
      </c>
      <c r="V40" s="116">
        <f t="shared" si="107"/>
        <v>4368.0319499248162</v>
      </c>
      <c r="W40" s="116">
        <f t="shared" ref="W40" si="108">SUM(W41:W45)</f>
        <v>4382.4389776357621</v>
      </c>
      <c r="DA40" s="176" t="s">
        <v>483</v>
      </c>
    </row>
    <row r="41" spans="1:105" ht="11.45" customHeight="1" x14ac:dyDescent="0.25">
      <c r="A41" s="111" t="s">
        <v>110</v>
      </c>
      <c r="B41" s="101">
        <v>10.644959491094228</v>
      </c>
      <c r="C41" s="101">
        <v>9.5503755012539369</v>
      </c>
      <c r="D41" s="101">
        <v>8.9880949559919809</v>
      </c>
      <c r="E41" s="101">
        <v>7.2108068659393583</v>
      </c>
      <c r="F41" s="101">
        <v>6.2310667551783565</v>
      </c>
      <c r="G41" s="101">
        <v>5.9087004716458722</v>
      </c>
      <c r="H41" s="101">
        <v>5.5627738680200709</v>
      </c>
      <c r="I41" s="101">
        <v>5.1760224676576501</v>
      </c>
      <c r="J41" s="101">
        <v>5.2916457379489001</v>
      </c>
      <c r="K41" s="101">
        <v>5.6792991725664539</v>
      </c>
      <c r="L41" s="101">
        <v>5.7987778467829374</v>
      </c>
      <c r="M41" s="101">
        <v>5.7535352128337367</v>
      </c>
      <c r="N41" s="101">
        <v>5.6814140375842923</v>
      </c>
      <c r="O41" s="101">
        <v>10.920476592297808</v>
      </c>
      <c r="P41" s="101">
        <v>6.7691163337386522</v>
      </c>
      <c r="Q41" s="101">
        <v>6.7460258337398953</v>
      </c>
      <c r="R41" s="101">
        <v>6.4869992952273252</v>
      </c>
      <c r="S41" s="101">
        <v>6.164422601163003</v>
      </c>
      <c r="T41" s="101">
        <v>5.8089649423471403</v>
      </c>
      <c r="U41" s="101">
        <v>10.574777198944886</v>
      </c>
      <c r="V41" s="101">
        <v>10.246105870378152</v>
      </c>
      <c r="W41" s="101">
        <v>9.7416405150429277</v>
      </c>
      <c r="DA41" s="175" t="s">
        <v>484</v>
      </c>
    </row>
    <row r="42" spans="1:105" ht="11.45" customHeight="1" x14ac:dyDescent="0.25">
      <c r="A42" s="111" t="s">
        <v>111</v>
      </c>
      <c r="B42" s="101">
        <v>3771.4701426826082</v>
      </c>
      <c r="C42" s="101">
        <v>3863.3849464979085</v>
      </c>
      <c r="D42" s="101">
        <v>3933.2740784848152</v>
      </c>
      <c r="E42" s="101">
        <v>3965.0891021173989</v>
      </c>
      <c r="F42" s="101">
        <v>4024.212741861942</v>
      </c>
      <c r="G42" s="101">
        <v>4046.6133813189845</v>
      </c>
      <c r="H42" s="101">
        <v>4093.5785791398175</v>
      </c>
      <c r="I42" s="101">
        <v>4066.7309243790064</v>
      </c>
      <c r="J42" s="101">
        <v>4064.778174775558</v>
      </c>
      <c r="K42" s="101">
        <v>4065.2595584645296</v>
      </c>
      <c r="L42" s="101">
        <v>4127.2914252267083</v>
      </c>
      <c r="M42" s="101">
        <v>4187.7036480021552</v>
      </c>
      <c r="N42" s="101">
        <v>3989.3218323075212</v>
      </c>
      <c r="O42" s="101">
        <v>3971.4163119615882</v>
      </c>
      <c r="P42" s="101">
        <v>4016.681761356369</v>
      </c>
      <c r="Q42" s="101">
        <v>4091.2536298191039</v>
      </c>
      <c r="R42" s="101">
        <v>4106.4764981567159</v>
      </c>
      <c r="S42" s="101">
        <v>4084.8721130341573</v>
      </c>
      <c r="T42" s="101">
        <v>4079.0712896460395</v>
      </c>
      <c r="U42" s="101">
        <v>4108.0255944076998</v>
      </c>
      <c r="V42" s="101">
        <v>4076.9360371756629</v>
      </c>
      <c r="W42" s="101">
        <v>4053.2983179960002</v>
      </c>
      <c r="DA42" s="175" t="s">
        <v>485</v>
      </c>
    </row>
    <row r="43" spans="1:105" ht="11.45" customHeight="1" x14ac:dyDescent="0.25">
      <c r="A43" s="111" t="s">
        <v>112</v>
      </c>
      <c r="B43" s="101">
        <v>1.9838832747746775</v>
      </c>
      <c r="C43" s="101">
        <v>2.241357994323951</v>
      </c>
      <c r="D43" s="101">
        <v>2.1210874686656469</v>
      </c>
      <c r="E43" s="101">
        <v>2.4829791376868462</v>
      </c>
      <c r="F43" s="101">
        <v>3.9152994040208484</v>
      </c>
      <c r="G43" s="101">
        <v>5.6797006534867744</v>
      </c>
      <c r="H43" s="101">
        <v>6.4036583644765965</v>
      </c>
      <c r="I43" s="101">
        <v>7.6497060880184184</v>
      </c>
      <c r="J43" s="101">
        <v>9.1387195358893152</v>
      </c>
      <c r="K43" s="101">
        <v>12.562300298072669</v>
      </c>
      <c r="L43" s="101">
        <v>12.914636068198883</v>
      </c>
      <c r="M43" s="101">
        <v>12.542795321290985</v>
      </c>
      <c r="N43" s="101">
        <v>11.738297385976983</v>
      </c>
      <c r="O43" s="101">
        <v>11.399185530798153</v>
      </c>
      <c r="P43" s="101">
        <v>10.964996494208373</v>
      </c>
      <c r="Q43" s="101">
        <v>11.033347835690327</v>
      </c>
      <c r="R43" s="101">
        <v>10.341616731830321</v>
      </c>
      <c r="S43" s="101">
        <v>8.1253701763651183</v>
      </c>
      <c r="T43" s="101">
        <v>9.1186465295299559</v>
      </c>
      <c r="U43" s="101">
        <v>9.0205115103270845</v>
      </c>
      <c r="V43" s="101">
        <v>8.9897950578604355</v>
      </c>
      <c r="W43" s="101">
        <v>8.203981357368777</v>
      </c>
      <c r="DA43" s="175" t="s">
        <v>486</v>
      </c>
    </row>
    <row r="44" spans="1:105" ht="11.45" customHeight="1" x14ac:dyDescent="0.25">
      <c r="A44" s="111" t="s">
        <v>113</v>
      </c>
      <c r="B44" s="101">
        <v>37.98275867760578</v>
      </c>
      <c r="C44" s="101">
        <v>35.938095741735928</v>
      </c>
      <c r="D44" s="101">
        <v>30.494558959399019</v>
      </c>
      <c r="E44" s="101">
        <v>48.626098473789924</v>
      </c>
      <c r="F44" s="101">
        <v>49.106534791354321</v>
      </c>
      <c r="G44" s="101">
        <v>76.340805186131774</v>
      </c>
      <c r="H44" s="101">
        <v>119.29887921700568</v>
      </c>
      <c r="I44" s="101">
        <v>138.19831111173409</v>
      </c>
      <c r="J44" s="101">
        <v>147.53260808725472</v>
      </c>
      <c r="K44" s="101">
        <v>169.91782318140628</v>
      </c>
      <c r="L44" s="101">
        <v>180.9951608583099</v>
      </c>
      <c r="M44" s="101">
        <v>212.78864381476404</v>
      </c>
      <c r="N44" s="101">
        <v>218.25845626891763</v>
      </c>
      <c r="O44" s="101">
        <v>219.74046473669659</v>
      </c>
      <c r="P44" s="101">
        <v>213.09014424263364</v>
      </c>
      <c r="Q44" s="101">
        <v>186.45741454169402</v>
      </c>
      <c r="R44" s="101">
        <v>164.39475958497886</v>
      </c>
      <c r="S44" s="101">
        <v>204.57589663372798</v>
      </c>
      <c r="T44" s="101">
        <v>221.2297893732873</v>
      </c>
      <c r="U44" s="101">
        <v>241.80071723030966</v>
      </c>
      <c r="V44" s="101">
        <v>245.20680326511129</v>
      </c>
      <c r="W44" s="101">
        <v>277.27820003789776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22.523561178619076</v>
      </c>
      <c r="P45" s="101">
        <v>22.493981573049538</v>
      </c>
      <c r="Q45" s="101">
        <v>22.509581969771695</v>
      </c>
      <c r="R45" s="101">
        <v>21.961511056796787</v>
      </c>
      <c r="S45" s="101">
        <v>21.494799026638784</v>
      </c>
      <c r="T45" s="101">
        <v>22.171969428740653</v>
      </c>
      <c r="U45" s="101">
        <v>24.484108277944237</v>
      </c>
      <c r="V45" s="101">
        <v>26.653208555804074</v>
      </c>
      <c r="W45" s="101">
        <v>33.916837729452396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70399.81835616591</v>
      </c>
      <c r="C46" s="29">
        <f t="shared" ref="C46:V46" si="110">C47+C53</f>
        <v>67043.627193465582</v>
      </c>
      <c r="D46" s="29">
        <f t="shared" si="110"/>
        <v>69682.774394233435</v>
      </c>
      <c r="E46" s="29">
        <f t="shared" si="110"/>
        <v>75139.072501692106</v>
      </c>
      <c r="F46" s="29">
        <f t="shared" si="110"/>
        <v>82424.455275383239</v>
      </c>
      <c r="G46" s="29">
        <f t="shared" si="110"/>
        <v>90409.353895775566</v>
      </c>
      <c r="H46" s="29">
        <f t="shared" si="110"/>
        <v>80308.536971835085</v>
      </c>
      <c r="I46" s="29">
        <f t="shared" si="110"/>
        <v>86187.540672553514</v>
      </c>
      <c r="J46" s="29">
        <f t="shared" si="110"/>
        <v>85668.449360128609</v>
      </c>
      <c r="K46" s="29">
        <f t="shared" si="110"/>
        <v>84746.820126168852</v>
      </c>
      <c r="L46" s="29">
        <f t="shared" si="110"/>
        <v>91678.200088638929</v>
      </c>
      <c r="M46" s="29">
        <f t="shared" si="110"/>
        <v>93125.024252424511</v>
      </c>
      <c r="N46" s="29">
        <f t="shared" si="110"/>
        <v>82549.643458977444</v>
      </c>
      <c r="O46" s="29">
        <f t="shared" si="110"/>
        <v>74591.979404976271</v>
      </c>
      <c r="P46" s="29">
        <f t="shared" si="110"/>
        <v>76855.680111052163</v>
      </c>
      <c r="Q46" s="29">
        <f t="shared" si="110"/>
        <v>64149.345772864661</v>
      </c>
      <c r="R46" s="29">
        <f t="shared" si="110"/>
        <v>60776.580761283934</v>
      </c>
      <c r="S46" s="29">
        <f t="shared" si="110"/>
        <v>62469.116532122964</v>
      </c>
      <c r="T46" s="29">
        <f t="shared" si="110"/>
        <v>64651.777290044767</v>
      </c>
      <c r="U46" s="29">
        <f t="shared" si="110"/>
        <v>66417.604992153938</v>
      </c>
      <c r="V46" s="29">
        <f t="shared" si="110"/>
        <v>64558.702974308391</v>
      </c>
      <c r="W46" s="29">
        <f t="shared" ref="W46" si="111">W47+W53</f>
        <v>76585.630891344132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58874.102541279033</v>
      </c>
      <c r="C47" s="152">
        <f t="shared" ref="C47:V47" si="113">SUM(C48:C52)</f>
        <v>55759.827468985743</v>
      </c>
      <c r="D47" s="152">
        <f t="shared" si="113"/>
        <v>58332.55883360302</v>
      </c>
      <c r="E47" s="152">
        <f t="shared" si="113"/>
        <v>64031.151411337225</v>
      </c>
      <c r="F47" s="152">
        <f t="shared" si="113"/>
        <v>69275.049798222026</v>
      </c>
      <c r="G47" s="152">
        <f t="shared" si="113"/>
        <v>76850.402365247559</v>
      </c>
      <c r="H47" s="152">
        <f t="shared" si="113"/>
        <v>68358.443841219079</v>
      </c>
      <c r="I47" s="152">
        <f t="shared" si="113"/>
        <v>74029.067952658923</v>
      </c>
      <c r="J47" s="152">
        <f t="shared" si="113"/>
        <v>73690.341397983575</v>
      </c>
      <c r="K47" s="152">
        <f t="shared" si="113"/>
        <v>73158.616052548809</v>
      </c>
      <c r="L47" s="152">
        <f t="shared" si="113"/>
        <v>79702.930519444577</v>
      </c>
      <c r="M47" s="152">
        <f t="shared" si="113"/>
        <v>82913.84578184897</v>
      </c>
      <c r="N47" s="152">
        <f t="shared" si="113"/>
        <v>73373.953823205142</v>
      </c>
      <c r="O47" s="152">
        <f t="shared" si="113"/>
        <v>65146.999224126026</v>
      </c>
      <c r="P47" s="152">
        <f t="shared" si="113"/>
        <v>67830.954919499782</v>
      </c>
      <c r="Q47" s="152">
        <f t="shared" si="113"/>
        <v>55202.903612823888</v>
      </c>
      <c r="R47" s="152">
        <f t="shared" si="113"/>
        <v>51826.678624601584</v>
      </c>
      <c r="S47" s="152">
        <f t="shared" si="113"/>
        <v>53017.916049579741</v>
      </c>
      <c r="T47" s="152">
        <f t="shared" si="113"/>
        <v>55125.947865857721</v>
      </c>
      <c r="U47" s="152">
        <f t="shared" si="113"/>
        <v>56394.829201947279</v>
      </c>
      <c r="V47" s="152">
        <f t="shared" si="113"/>
        <v>54873.989252212537</v>
      </c>
      <c r="W47" s="152">
        <f t="shared" ref="W47" si="114">SUM(W48:W52)</f>
        <v>66031.933627958468</v>
      </c>
      <c r="DA47" s="174" t="s">
        <v>490</v>
      </c>
    </row>
    <row r="48" spans="1:105" ht="11.45" customHeight="1" x14ac:dyDescent="0.25">
      <c r="A48" s="111" t="s">
        <v>110</v>
      </c>
      <c r="B48" s="87">
        <v>2660.5906235581415</v>
      </c>
      <c r="C48" s="87">
        <v>2770.489236763482</v>
      </c>
      <c r="D48" s="87">
        <v>2927.4883773943488</v>
      </c>
      <c r="E48" s="87">
        <v>3039.089583790209</v>
      </c>
      <c r="F48" s="87">
        <v>3033.1976206832392</v>
      </c>
      <c r="G48" s="87">
        <v>3115.2917240086099</v>
      </c>
      <c r="H48" s="87">
        <v>3127.6572285066682</v>
      </c>
      <c r="I48" s="87">
        <v>2748.856001341373</v>
      </c>
      <c r="J48" s="87">
        <v>2654.2356994327688</v>
      </c>
      <c r="K48" s="87">
        <v>2519.8459353119706</v>
      </c>
      <c r="L48" s="87">
        <v>2437.4461391338441</v>
      </c>
      <c r="M48" s="87">
        <v>2484.0740987509753</v>
      </c>
      <c r="N48" s="87">
        <v>2260.1078574613366</v>
      </c>
      <c r="O48" s="87">
        <v>2177.5202073830974</v>
      </c>
      <c r="P48" s="87">
        <v>2125.4267265564781</v>
      </c>
      <c r="Q48" s="87">
        <v>1997.6551805111021</v>
      </c>
      <c r="R48" s="87">
        <v>1930.9658964681598</v>
      </c>
      <c r="S48" s="87">
        <v>1848.2765136822445</v>
      </c>
      <c r="T48" s="87">
        <v>1813.4253916516157</v>
      </c>
      <c r="U48" s="87">
        <v>1837.6487722619449</v>
      </c>
      <c r="V48" s="87">
        <v>1865.4657214914914</v>
      </c>
      <c r="W48" s="87">
        <v>1929.3447843064969</v>
      </c>
      <c r="DA48" s="171" t="s">
        <v>491</v>
      </c>
    </row>
    <row r="49" spans="1:105" ht="11.45" customHeight="1" x14ac:dyDescent="0.25">
      <c r="A49" s="111" t="s">
        <v>111</v>
      </c>
      <c r="B49" s="87">
        <v>56035.337814083454</v>
      </c>
      <c r="C49" s="87">
        <v>52780.549016632387</v>
      </c>
      <c r="D49" s="87">
        <v>55156.695701312965</v>
      </c>
      <c r="E49" s="87">
        <v>60701.6851877761</v>
      </c>
      <c r="F49" s="87">
        <v>65915.33666532152</v>
      </c>
      <c r="G49" s="87">
        <v>73357.170118992028</v>
      </c>
      <c r="H49" s="87">
        <v>64812.767819565328</v>
      </c>
      <c r="I49" s="87">
        <v>70863.162138092492</v>
      </c>
      <c r="J49" s="87">
        <v>70486.635976654681</v>
      </c>
      <c r="K49" s="87">
        <v>69872.879123673149</v>
      </c>
      <c r="L49" s="87">
        <v>76116.495431480929</v>
      </c>
      <c r="M49" s="87">
        <v>79244.51127231447</v>
      </c>
      <c r="N49" s="87">
        <v>69616.673428128575</v>
      </c>
      <c r="O49" s="87">
        <v>61450.723770577861</v>
      </c>
      <c r="P49" s="87">
        <v>64096.902146081433</v>
      </c>
      <c r="Q49" s="87">
        <v>51610.956431522267</v>
      </c>
      <c r="R49" s="87">
        <v>48257.751976080901</v>
      </c>
      <c r="S49" s="87">
        <v>49530.83307383232</v>
      </c>
      <c r="T49" s="87">
        <v>51595.989989968679</v>
      </c>
      <c r="U49" s="87">
        <v>52776.895078882182</v>
      </c>
      <c r="V49" s="87">
        <v>51229.595616868821</v>
      </c>
      <c r="W49" s="87">
        <v>62236.724385997833</v>
      </c>
      <c r="DA49" s="171" t="s">
        <v>492</v>
      </c>
    </row>
    <row r="50" spans="1:105" ht="11.45" customHeight="1" x14ac:dyDescent="0.25">
      <c r="A50" s="111" t="s">
        <v>112</v>
      </c>
      <c r="B50" s="87">
        <v>78.361432823667926</v>
      </c>
      <c r="C50" s="87">
        <v>89.808652902213097</v>
      </c>
      <c r="D50" s="87">
        <v>104.45329127877329</v>
      </c>
      <c r="E50" s="87">
        <v>119.35456086964149</v>
      </c>
      <c r="F50" s="87">
        <v>131.11965374852309</v>
      </c>
      <c r="G50" s="87">
        <v>148.2171802136663</v>
      </c>
      <c r="H50" s="87">
        <v>158.39221578195745</v>
      </c>
      <c r="I50" s="87">
        <v>154.70281450388512</v>
      </c>
      <c r="J50" s="87">
        <v>185.29178674245043</v>
      </c>
      <c r="K50" s="87">
        <v>244.81569261532792</v>
      </c>
      <c r="L50" s="87">
        <v>315.85500279603616</v>
      </c>
      <c r="M50" s="87">
        <v>350.91612350012934</v>
      </c>
      <c r="N50" s="87">
        <v>386.28998460238898</v>
      </c>
      <c r="O50" s="87">
        <v>397.3898412639723</v>
      </c>
      <c r="P50" s="87">
        <v>426.75721530282675</v>
      </c>
      <c r="Q50" s="87">
        <v>419.44535565871752</v>
      </c>
      <c r="R50" s="87">
        <v>408.16952706709662</v>
      </c>
      <c r="S50" s="87">
        <v>418.33862043052517</v>
      </c>
      <c r="T50" s="87">
        <v>453.93320312894269</v>
      </c>
      <c r="U50" s="87">
        <v>453.07762125315298</v>
      </c>
      <c r="V50" s="87">
        <v>435.94423613396555</v>
      </c>
      <c r="W50" s="87">
        <v>454.60586635428353</v>
      </c>
      <c r="DA50" s="171" t="s">
        <v>493</v>
      </c>
    </row>
    <row r="51" spans="1:105" ht="11.45" customHeight="1" x14ac:dyDescent="0.25">
      <c r="A51" s="111" t="s">
        <v>113</v>
      </c>
      <c r="B51" s="87">
        <v>99.812670813769088</v>
      </c>
      <c r="C51" s="87">
        <v>118.98056268766129</v>
      </c>
      <c r="D51" s="87">
        <v>143.92146361692366</v>
      </c>
      <c r="E51" s="87">
        <v>171.02207890127681</v>
      </c>
      <c r="F51" s="87">
        <v>195.39585846875494</v>
      </c>
      <c r="G51" s="87">
        <v>229.72334203325457</v>
      </c>
      <c r="H51" s="87">
        <v>259.62657736512972</v>
      </c>
      <c r="I51" s="87">
        <v>262.3469987211796</v>
      </c>
      <c r="J51" s="87">
        <v>364.17793515366333</v>
      </c>
      <c r="K51" s="87">
        <v>521.07530094836488</v>
      </c>
      <c r="L51" s="87">
        <v>833.13394603377355</v>
      </c>
      <c r="M51" s="87">
        <v>834.32473953458759</v>
      </c>
      <c r="N51" s="87">
        <v>1106.9972209297462</v>
      </c>
      <c r="O51" s="87">
        <v>1119.5050576245978</v>
      </c>
      <c r="P51" s="87">
        <v>1178.6875775057497</v>
      </c>
      <c r="Q51" s="87">
        <v>1164.9756684997851</v>
      </c>
      <c r="R51" s="87">
        <v>1211.9383280931006</v>
      </c>
      <c r="S51" s="87">
        <v>1199.3372985176165</v>
      </c>
      <c r="T51" s="87">
        <v>1232.573930336654</v>
      </c>
      <c r="U51" s="87">
        <v>1272.6804029071309</v>
      </c>
      <c r="V51" s="87">
        <v>1279.8489080155757</v>
      </c>
      <c r="W51" s="87">
        <v>1313.7022172677066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1.9547748813599945E-2</v>
      </c>
      <c r="N52" s="87">
        <v>3.8853320831029019</v>
      </c>
      <c r="O52" s="87">
        <v>1.8603472764983109</v>
      </c>
      <c r="P52" s="87">
        <v>3.1812540532906746</v>
      </c>
      <c r="Q52" s="87">
        <v>9.8709766320196817</v>
      </c>
      <c r="R52" s="87">
        <v>17.852896892325937</v>
      </c>
      <c r="S52" s="87">
        <v>21.130543117031937</v>
      </c>
      <c r="T52" s="87">
        <v>30.025350771825892</v>
      </c>
      <c r="U52" s="87">
        <v>54.527326642871309</v>
      </c>
      <c r="V52" s="87">
        <v>63.134769702677154</v>
      </c>
      <c r="W52" s="87">
        <v>97.556374032145271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11525.715814886877</v>
      </c>
      <c r="C53" s="116">
        <f t="shared" ref="C53:V53" si="116">SUM(C54:C55)</f>
        <v>11283.799724479835</v>
      </c>
      <c r="D53" s="116">
        <f t="shared" si="116"/>
        <v>11350.215560630419</v>
      </c>
      <c r="E53" s="116">
        <f t="shared" si="116"/>
        <v>11107.921090354881</v>
      </c>
      <c r="F53" s="116">
        <f t="shared" si="116"/>
        <v>13149.405477161217</v>
      </c>
      <c r="G53" s="116">
        <f t="shared" si="116"/>
        <v>13558.951530528</v>
      </c>
      <c r="H53" s="116">
        <f t="shared" si="116"/>
        <v>11950.093130616</v>
      </c>
      <c r="I53" s="116">
        <f t="shared" si="116"/>
        <v>12158.472719894589</v>
      </c>
      <c r="J53" s="116">
        <f t="shared" si="116"/>
        <v>11978.107962145026</v>
      </c>
      <c r="K53" s="116">
        <f t="shared" si="116"/>
        <v>11588.204073620042</v>
      </c>
      <c r="L53" s="116">
        <f t="shared" si="116"/>
        <v>11975.269569194348</v>
      </c>
      <c r="M53" s="116">
        <f t="shared" si="116"/>
        <v>10211.178470575542</v>
      </c>
      <c r="N53" s="116">
        <f t="shared" si="116"/>
        <v>9175.6896357722999</v>
      </c>
      <c r="O53" s="116">
        <f t="shared" si="116"/>
        <v>9444.9801808502452</v>
      </c>
      <c r="P53" s="116">
        <f t="shared" si="116"/>
        <v>9024.7251915523848</v>
      </c>
      <c r="Q53" s="116">
        <f t="shared" si="116"/>
        <v>8946.442160040775</v>
      </c>
      <c r="R53" s="116">
        <f t="shared" si="116"/>
        <v>8949.9021366823508</v>
      </c>
      <c r="S53" s="116">
        <f t="shared" si="116"/>
        <v>9451.2004825432196</v>
      </c>
      <c r="T53" s="116">
        <f t="shared" si="116"/>
        <v>9525.8294241870462</v>
      </c>
      <c r="U53" s="116">
        <f t="shared" si="116"/>
        <v>10022.775790206662</v>
      </c>
      <c r="V53" s="116">
        <f t="shared" si="116"/>
        <v>9684.7137220958557</v>
      </c>
      <c r="W53" s="116">
        <f t="shared" ref="W53" si="117">SUM(W54:W55)</f>
        <v>10553.697263385671</v>
      </c>
      <c r="DA53" s="176" t="s">
        <v>496</v>
      </c>
    </row>
    <row r="54" spans="1:105" ht="11.45" customHeight="1" x14ac:dyDescent="0.25">
      <c r="A54" s="128" t="s">
        <v>27</v>
      </c>
      <c r="B54" s="101">
        <v>9886</v>
      </c>
      <c r="C54" s="101">
        <v>9526</v>
      </c>
      <c r="D54" s="101">
        <v>9501</v>
      </c>
      <c r="E54" s="101">
        <v>9218</v>
      </c>
      <c r="F54" s="101">
        <v>10915</v>
      </c>
      <c r="G54" s="101">
        <v>11247</v>
      </c>
      <c r="H54" s="101">
        <v>9491</v>
      </c>
      <c r="I54" s="101">
        <v>9722</v>
      </c>
      <c r="J54" s="101">
        <v>9414</v>
      </c>
      <c r="K54" s="101">
        <v>9344</v>
      </c>
      <c r="L54" s="101">
        <v>9552</v>
      </c>
      <c r="M54" s="101">
        <v>8114</v>
      </c>
      <c r="N54" s="101">
        <v>7211</v>
      </c>
      <c r="O54" s="101">
        <v>7331</v>
      </c>
      <c r="P54" s="101">
        <v>6855</v>
      </c>
      <c r="Q54" s="101">
        <v>6814</v>
      </c>
      <c r="R54" s="101">
        <v>6695</v>
      </c>
      <c r="S54" s="101">
        <v>6934</v>
      </c>
      <c r="T54" s="101">
        <v>7087</v>
      </c>
      <c r="U54" s="101">
        <v>7483</v>
      </c>
      <c r="V54" s="101">
        <v>7185</v>
      </c>
      <c r="W54" s="101">
        <v>7752</v>
      </c>
      <c r="DA54" s="175" t="s">
        <v>497</v>
      </c>
    </row>
    <row r="55" spans="1:105" ht="11.45" customHeight="1" x14ac:dyDescent="0.25">
      <c r="A55" s="138" t="s">
        <v>116</v>
      </c>
      <c r="B55" s="88">
        <v>1639.7158148868766</v>
      </c>
      <c r="C55" s="88">
        <v>1757.7997244798362</v>
      </c>
      <c r="D55" s="88">
        <v>1849.2155606304193</v>
      </c>
      <c r="E55" s="88">
        <v>1889.9210903548815</v>
      </c>
      <c r="F55" s="88">
        <v>2234.4054771612173</v>
      </c>
      <c r="G55" s="88">
        <v>2311.9515305280011</v>
      </c>
      <c r="H55" s="88">
        <v>2459.0931306160005</v>
      </c>
      <c r="I55" s="88">
        <v>2436.4727198945898</v>
      </c>
      <c r="J55" s="88">
        <v>2564.1079621450272</v>
      </c>
      <c r="K55" s="88">
        <v>2244.2040736200411</v>
      </c>
      <c r="L55" s="88">
        <v>2423.2695691943491</v>
      </c>
      <c r="M55" s="88">
        <v>2097.1784705755413</v>
      </c>
      <c r="N55" s="88">
        <v>1964.6896357723006</v>
      </c>
      <c r="O55" s="88">
        <v>2113.9801808502461</v>
      </c>
      <c r="P55" s="88">
        <v>2169.7251915523843</v>
      </c>
      <c r="Q55" s="88">
        <v>2132.4421600407745</v>
      </c>
      <c r="R55" s="88">
        <v>2254.9021366823504</v>
      </c>
      <c r="S55" s="88">
        <v>2517.2004825432186</v>
      </c>
      <c r="T55" s="88">
        <v>2438.8294241870467</v>
      </c>
      <c r="U55" s="88">
        <v>2539.7757902066633</v>
      </c>
      <c r="V55" s="88">
        <v>2499.7137220958557</v>
      </c>
      <c r="W55" s="88">
        <v>2801.6972633856717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45373265</v>
      </c>
      <c r="C57" s="54">
        <f t="shared" si="118"/>
        <v>46377058</v>
      </c>
      <c r="D57" s="54">
        <f t="shared" si="118"/>
        <v>47489614</v>
      </c>
      <c r="E57" s="54">
        <f t="shared" si="118"/>
        <v>48545400</v>
      </c>
      <c r="F57" s="54">
        <f t="shared" si="118"/>
        <v>48367461</v>
      </c>
      <c r="G57" s="54">
        <f t="shared" si="118"/>
        <v>49268882</v>
      </c>
      <c r="H57" s="54">
        <f t="shared" si="118"/>
        <v>49994858</v>
      </c>
      <c r="I57" s="54">
        <f t="shared" si="118"/>
        <v>50366689</v>
      </c>
      <c r="J57" s="54">
        <f t="shared" si="118"/>
        <v>50703654</v>
      </c>
      <c r="K57" s="54">
        <f t="shared" si="118"/>
        <v>50830357</v>
      </c>
      <c r="L57" s="54">
        <f t="shared" ref="L57" si="119">L58+L73</f>
        <v>52163278</v>
      </c>
      <c r="M57" s="54">
        <f t="shared" ref="M57:V57" si="120">M58+M73</f>
        <v>52350573</v>
      </c>
      <c r="N57" s="54">
        <f t="shared" si="120"/>
        <v>51935482</v>
      </c>
      <c r="O57" s="54">
        <f t="shared" si="120"/>
        <v>52021766</v>
      </c>
      <c r="P57" s="54">
        <f t="shared" si="120"/>
        <v>52417177</v>
      </c>
      <c r="Q57" s="54">
        <f t="shared" si="120"/>
        <v>52989589</v>
      </c>
      <c r="R57" s="54">
        <f t="shared" si="120"/>
        <v>53496620</v>
      </c>
      <c r="S57" s="54">
        <f t="shared" si="120"/>
        <v>53833761</v>
      </c>
      <c r="T57" s="54">
        <f t="shared" si="120"/>
        <v>54004236</v>
      </c>
      <c r="U57" s="54">
        <f t="shared" si="120"/>
        <v>54752198</v>
      </c>
      <c r="V57" s="54">
        <f t="shared" si="120"/>
        <v>55087042</v>
      </c>
      <c r="W57" s="54">
        <f t="shared" ref="W57" si="121">W58+W73</f>
        <v>55756574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41815984</v>
      </c>
      <c r="C58" s="28">
        <f t="shared" si="122"/>
        <v>42652365</v>
      </c>
      <c r="D58" s="28">
        <f t="shared" si="122"/>
        <v>43538591</v>
      </c>
      <c r="E58" s="28">
        <f t="shared" si="122"/>
        <v>44409470</v>
      </c>
      <c r="F58" s="28">
        <f t="shared" si="122"/>
        <v>44171891</v>
      </c>
      <c r="G58" s="28">
        <f t="shared" si="122"/>
        <v>44911427</v>
      </c>
      <c r="H58" s="28">
        <f t="shared" si="122"/>
        <v>45479444</v>
      </c>
      <c r="I58" s="28">
        <f t="shared" si="122"/>
        <v>45753899</v>
      </c>
      <c r="J58" s="28">
        <f t="shared" si="122"/>
        <v>46004010</v>
      </c>
      <c r="K58" s="28">
        <f t="shared" si="122"/>
        <v>46093707</v>
      </c>
      <c r="L58" s="28">
        <f t="shared" ref="L58" si="123">L59+L60+L67</f>
        <v>47384206</v>
      </c>
      <c r="M58" s="28">
        <f t="shared" ref="M58:V58" si="124">M59+M60+M67</f>
        <v>47526568</v>
      </c>
      <c r="N58" s="28">
        <f t="shared" si="124"/>
        <v>47117142</v>
      </c>
      <c r="O58" s="28">
        <f t="shared" si="124"/>
        <v>47244475</v>
      </c>
      <c r="P58" s="28">
        <f t="shared" si="124"/>
        <v>47637942</v>
      </c>
      <c r="Q58" s="28">
        <f t="shared" si="124"/>
        <v>48176183</v>
      </c>
      <c r="R58" s="28">
        <f t="shared" si="124"/>
        <v>48666574</v>
      </c>
      <c r="S58" s="28">
        <f t="shared" si="124"/>
        <v>48968923</v>
      </c>
      <c r="T58" s="28">
        <f t="shared" si="124"/>
        <v>49081816</v>
      </c>
      <c r="U58" s="28">
        <f t="shared" si="124"/>
        <v>49775775</v>
      </c>
      <c r="V58" s="28">
        <f t="shared" si="124"/>
        <v>50057520</v>
      </c>
      <c r="W58" s="28">
        <f t="shared" ref="W58" si="125">W59+W60+W67</f>
        <v>50661073</v>
      </c>
      <c r="DA58" s="173" t="s">
        <v>500</v>
      </c>
    </row>
    <row r="59" spans="1:105" ht="11.45" customHeight="1" x14ac:dyDescent="0.25">
      <c r="A59" s="136" t="s">
        <v>180</v>
      </c>
      <c r="B59" s="137">
        <v>8942816</v>
      </c>
      <c r="C59" s="137">
        <v>9323507</v>
      </c>
      <c r="D59" s="137">
        <v>9740875</v>
      </c>
      <c r="E59" s="137">
        <v>10006769</v>
      </c>
      <c r="F59" s="137">
        <v>10106017</v>
      </c>
      <c r="G59" s="137">
        <v>10149990</v>
      </c>
      <c r="H59" s="137">
        <v>10086345</v>
      </c>
      <c r="I59" s="137">
        <v>9977480</v>
      </c>
      <c r="J59" s="137">
        <v>9801413</v>
      </c>
      <c r="K59" s="137">
        <v>9624183</v>
      </c>
      <c r="L59" s="137">
        <v>9758349</v>
      </c>
      <c r="M59" s="137">
        <v>9684151</v>
      </c>
      <c r="N59" s="137">
        <v>9093076</v>
      </c>
      <c r="O59" s="137">
        <v>9266569</v>
      </c>
      <c r="P59" s="137">
        <v>9423418</v>
      </c>
      <c r="Q59" s="137">
        <v>9578483</v>
      </c>
      <c r="R59" s="137">
        <v>9696587</v>
      </c>
      <c r="S59" s="137">
        <v>9831254</v>
      </c>
      <c r="T59" s="137">
        <v>9967662</v>
      </c>
      <c r="U59" s="137">
        <v>10134457</v>
      </c>
      <c r="V59" s="137">
        <v>10243815</v>
      </c>
      <c r="W59" s="137">
        <v>10742216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32785000</v>
      </c>
      <c r="C60" s="110">
        <f t="shared" si="126"/>
        <v>33239000</v>
      </c>
      <c r="D60" s="110">
        <f t="shared" si="126"/>
        <v>33706000</v>
      </c>
      <c r="E60" s="110">
        <f t="shared" si="126"/>
        <v>34310000</v>
      </c>
      <c r="F60" s="110">
        <f t="shared" si="126"/>
        <v>33973000</v>
      </c>
      <c r="G60" s="110">
        <f t="shared" si="126"/>
        <v>34667000</v>
      </c>
      <c r="H60" s="110">
        <f t="shared" si="126"/>
        <v>35297000</v>
      </c>
      <c r="I60" s="110">
        <f t="shared" si="126"/>
        <v>35680000</v>
      </c>
      <c r="J60" s="110">
        <f t="shared" si="126"/>
        <v>36105000</v>
      </c>
      <c r="K60" s="110">
        <f t="shared" si="126"/>
        <v>36372000</v>
      </c>
      <c r="L60" s="110">
        <f t="shared" ref="L60" si="127">SUM(L61:L66)</f>
        <v>37528616</v>
      </c>
      <c r="M60" s="110">
        <f t="shared" ref="M60:V60" si="128">SUM(M61:M66)</f>
        <v>37743940</v>
      </c>
      <c r="N60" s="110">
        <f t="shared" si="128"/>
        <v>37927910</v>
      </c>
      <c r="O60" s="110">
        <f t="shared" si="128"/>
        <v>37883046</v>
      </c>
      <c r="P60" s="110">
        <f t="shared" si="128"/>
        <v>38120255</v>
      </c>
      <c r="Q60" s="110">
        <f t="shared" si="128"/>
        <v>38503684</v>
      </c>
      <c r="R60" s="110">
        <f t="shared" si="128"/>
        <v>38876138</v>
      </c>
      <c r="S60" s="110">
        <f t="shared" si="128"/>
        <v>39042589</v>
      </c>
      <c r="T60" s="110">
        <f t="shared" si="128"/>
        <v>39018170</v>
      </c>
      <c r="U60" s="110">
        <f t="shared" si="128"/>
        <v>39545232</v>
      </c>
      <c r="V60" s="110">
        <f t="shared" si="128"/>
        <v>39717874</v>
      </c>
      <c r="W60" s="110">
        <f t="shared" ref="W60" si="129">SUM(W61:W66)</f>
        <v>39822723</v>
      </c>
      <c r="DA60" s="176" t="s">
        <v>502</v>
      </c>
    </row>
    <row r="61" spans="1:105" ht="11.45" customHeight="1" x14ac:dyDescent="0.25">
      <c r="A61" s="111" t="s">
        <v>110</v>
      </c>
      <c r="B61" s="84">
        <v>26204297</v>
      </c>
      <c r="C61" s="84">
        <v>25904935</v>
      </c>
      <c r="D61" s="84">
        <v>25606831</v>
      </c>
      <c r="E61" s="84">
        <v>25216710</v>
      </c>
      <c r="F61" s="84">
        <v>23812322</v>
      </c>
      <c r="G61" s="84">
        <v>23180516</v>
      </c>
      <c r="H61" s="84">
        <v>22568800</v>
      </c>
      <c r="I61" s="84">
        <v>21875940</v>
      </c>
      <c r="J61" s="84">
        <v>21528895</v>
      </c>
      <c r="K61" s="84">
        <v>20922591</v>
      </c>
      <c r="L61" s="84">
        <v>20916824</v>
      </c>
      <c r="M61" s="84">
        <v>20546761</v>
      </c>
      <c r="N61" s="84">
        <v>20249559</v>
      </c>
      <c r="O61" s="84">
        <v>19836530</v>
      </c>
      <c r="P61" s="84">
        <v>19530569</v>
      </c>
      <c r="Q61" s="84">
        <v>19196797</v>
      </c>
      <c r="R61" s="84">
        <v>19153374</v>
      </c>
      <c r="S61" s="84">
        <v>18930908</v>
      </c>
      <c r="T61" s="84">
        <v>18304885</v>
      </c>
      <c r="U61" s="84">
        <v>18506306</v>
      </c>
      <c r="V61" s="84">
        <v>18571167</v>
      </c>
      <c r="W61" s="84">
        <v>18547450</v>
      </c>
      <c r="DA61" s="171" t="s">
        <v>503</v>
      </c>
    </row>
    <row r="62" spans="1:105" ht="11.45" customHeight="1" x14ac:dyDescent="0.25">
      <c r="A62" s="111" t="s">
        <v>111</v>
      </c>
      <c r="B62" s="84">
        <v>4799703</v>
      </c>
      <c r="C62" s="84">
        <v>5506065</v>
      </c>
      <c r="D62" s="84">
        <v>6366169</v>
      </c>
      <c r="E62" s="84">
        <v>7344088</v>
      </c>
      <c r="F62" s="84">
        <v>8469678</v>
      </c>
      <c r="G62" s="84">
        <v>9667334</v>
      </c>
      <c r="H62" s="84">
        <v>10840049</v>
      </c>
      <c r="I62" s="84">
        <v>11896958</v>
      </c>
      <c r="J62" s="84">
        <v>12729152</v>
      </c>
      <c r="K62" s="84">
        <v>13363409</v>
      </c>
      <c r="L62" s="84">
        <v>14194111</v>
      </c>
      <c r="M62" s="84">
        <v>14731252</v>
      </c>
      <c r="N62" s="84">
        <v>15081965</v>
      </c>
      <c r="O62" s="84">
        <v>15304722</v>
      </c>
      <c r="P62" s="84">
        <v>15668930</v>
      </c>
      <c r="Q62" s="84">
        <v>16240488</v>
      </c>
      <c r="R62" s="84">
        <v>16540268</v>
      </c>
      <c r="S62" s="84">
        <v>16822633</v>
      </c>
      <c r="T62" s="84">
        <v>17296453</v>
      </c>
      <c r="U62" s="84">
        <v>17491767</v>
      </c>
      <c r="V62" s="84">
        <v>17556680</v>
      </c>
      <c r="W62" s="84">
        <v>17532655</v>
      </c>
      <c r="DA62" s="171" t="s">
        <v>504</v>
      </c>
    </row>
    <row r="63" spans="1:105" ht="11.45" customHeight="1" x14ac:dyDescent="0.25">
      <c r="A63" s="111" t="s">
        <v>112</v>
      </c>
      <c r="B63" s="84">
        <v>1492000</v>
      </c>
      <c r="C63" s="84">
        <v>1493000</v>
      </c>
      <c r="D63" s="84">
        <v>1398000</v>
      </c>
      <c r="E63" s="84">
        <v>1410000</v>
      </c>
      <c r="F63" s="84">
        <v>1375000</v>
      </c>
      <c r="G63" s="84">
        <v>1464150</v>
      </c>
      <c r="H63" s="84">
        <v>1483151</v>
      </c>
      <c r="I63" s="84">
        <v>1453102</v>
      </c>
      <c r="J63" s="84">
        <v>1340953</v>
      </c>
      <c r="K63" s="84">
        <v>1474000</v>
      </c>
      <c r="L63" s="84">
        <v>1753000</v>
      </c>
      <c r="M63" s="84">
        <v>1776000</v>
      </c>
      <c r="N63" s="84">
        <v>1867000</v>
      </c>
      <c r="O63" s="84">
        <v>1943722</v>
      </c>
      <c r="P63" s="84">
        <v>2042000</v>
      </c>
      <c r="Q63" s="84">
        <v>2137078</v>
      </c>
      <c r="R63" s="84">
        <v>2222873</v>
      </c>
      <c r="S63" s="84">
        <v>2309020</v>
      </c>
      <c r="T63" s="84">
        <v>2409840</v>
      </c>
      <c r="U63" s="84">
        <v>2505000</v>
      </c>
      <c r="V63" s="84">
        <v>2473188</v>
      </c>
      <c r="W63" s="84">
        <v>2512384</v>
      </c>
      <c r="DA63" s="171" t="s">
        <v>505</v>
      </c>
    </row>
    <row r="64" spans="1:105" ht="11.45" customHeight="1" x14ac:dyDescent="0.25">
      <c r="A64" s="111" t="s">
        <v>113</v>
      </c>
      <c r="B64" s="84">
        <v>289000</v>
      </c>
      <c r="C64" s="84">
        <v>335000</v>
      </c>
      <c r="D64" s="84">
        <v>335000</v>
      </c>
      <c r="E64" s="84">
        <v>339202</v>
      </c>
      <c r="F64" s="84">
        <v>316000</v>
      </c>
      <c r="G64" s="84">
        <v>355000</v>
      </c>
      <c r="H64" s="84">
        <v>405000</v>
      </c>
      <c r="I64" s="84">
        <v>454000</v>
      </c>
      <c r="J64" s="84">
        <v>506000</v>
      </c>
      <c r="K64" s="84">
        <v>612000</v>
      </c>
      <c r="L64" s="84">
        <v>661000</v>
      </c>
      <c r="M64" s="84">
        <v>681000</v>
      </c>
      <c r="N64" s="84">
        <v>720000</v>
      </c>
      <c r="O64" s="84">
        <v>774000</v>
      </c>
      <c r="P64" s="84">
        <v>833668</v>
      </c>
      <c r="Q64" s="84">
        <v>883190</v>
      </c>
      <c r="R64" s="84">
        <v>911246</v>
      </c>
      <c r="S64" s="84">
        <v>926704</v>
      </c>
      <c r="T64" s="84">
        <v>945184</v>
      </c>
      <c r="U64" s="84">
        <v>965000</v>
      </c>
      <c r="V64" s="84">
        <v>981000</v>
      </c>
      <c r="W64" s="84">
        <v>972144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141</v>
      </c>
      <c r="O65" s="84">
        <v>14056</v>
      </c>
      <c r="P65" s="84">
        <v>34126</v>
      </c>
      <c r="Q65" s="84">
        <v>33908</v>
      </c>
      <c r="R65" s="84">
        <v>35020</v>
      </c>
      <c r="S65" s="84">
        <v>38318</v>
      </c>
      <c r="T65" s="84">
        <v>42219</v>
      </c>
      <c r="U65" s="84">
        <v>47533</v>
      </c>
      <c r="V65" s="84">
        <v>74734</v>
      </c>
      <c r="W65" s="84">
        <v>135421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3681</v>
      </c>
      <c r="M66" s="84">
        <v>8927</v>
      </c>
      <c r="N66" s="84">
        <v>9245</v>
      </c>
      <c r="O66" s="84">
        <v>10016</v>
      </c>
      <c r="P66" s="84">
        <v>10962</v>
      </c>
      <c r="Q66" s="84">
        <v>12223</v>
      </c>
      <c r="R66" s="84">
        <v>13357</v>
      </c>
      <c r="S66" s="84">
        <v>15006</v>
      </c>
      <c r="T66" s="84">
        <v>19589</v>
      </c>
      <c r="U66" s="84">
        <v>29626</v>
      </c>
      <c r="V66" s="84">
        <v>61105</v>
      </c>
      <c r="W66" s="84">
        <v>122669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88168</v>
      </c>
      <c r="C67" s="110">
        <f t="shared" si="130"/>
        <v>89858</v>
      </c>
      <c r="D67" s="110">
        <f t="shared" si="130"/>
        <v>91716</v>
      </c>
      <c r="E67" s="110">
        <f t="shared" si="130"/>
        <v>92701</v>
      </c>
      <c r="F67" s="110">
        <f t="shared" si="130"/>
        <v>92874</v>
      </c>
      <c r="G67" s="110">
        <f t="shared" si="130"/>
        <v>94437</v>
      </c>
      <c r="H67" s="110">
        <f t="shared" si="130"/>
        <v>96099</v>
      </c>
      <c r="I67" s="110">
        <f t="shared" si="130"/>
        <v>96419</v>
      </c>
      <c r="J67" s="110">
        <f t="shared" si="130"/>
        <v>97597</v>
      </c>
      <c r="K67" s="110">
        <f t="shared" si="130"/>
        <v>97524</v>
      </c>
      <c r="L67" s="110">
        <f t="shared" ref="L67" si="131">SUM(L68:L72)</f>
        <v>97241</v>
      </c>
      <c r="M67" s="110">
        <f t="shared" ref="M67:V67" si="132">SUM(M68:M72)</f>
        <v>98477</v>
      </c>
      <c r="N67" s="110">
        <f t="shared" si="132"/>
        <v>96156</v>
      </c>
      <c r="O67" s="110">
        <f t="shared" si="132"/>
        <v>94860</v>
      </c>
      <c r="P67" s="110">
        <f t="shared" si="132"/>
        <v>94269</v>
      </c>
      <c r="Q67" s="110">
        <f t="shared" si="132"/>
        <v>94016</v>
      </c>
      <c r="R67" s="110">
        <f t="shared" si="132"/>
        <v>93849</v>
      </c>
      <c r="S67" s="110">
        <f t="shared" si="132"/>
        <v>95080</v>
      </c>
      <c r="T67" s="110">
        <f t="shared" si="132"/>
        <v>95984</v>
      </c>
      <c r="U67" s="110">
        <f t="shared" si="132"/>
        <v>96086</v>
      </c>
      <c r="V67" s="110">
        <f t="shared" si="132"/>
        <v>95831</v>
      </c>
      <c r="W67" s="110">
        <f t="shared" ref="W67" si="133">SUM(W68:W72)</f>
        <v>96134</v>
      </c>
      <c r="DA67" s="176" t="s">
        <v>509</v>
      </c>
    </row>
    <row r="68" spans="1:105" ht="11.45" customHeight="1" x14ac:dyDescent="0.25">
      <c r="A68" s="111" t="s">
        <v>110</v>
      </c>
      <c r="B68" s="102">
        <v>1014</v>
      </c>
      <c r="C68" s="102">
        <v>924</v>
      </c>
      <c r="D68" s="102">
        <v>891</v>
      </c>
      <c r="E68" s="102">
        <v>728</v>
      </c>
      <c r="F68" s="102">
        <v>633</v>
      </c>
      <c r="G68" s="102">
        <v>615</v>
      </c>
      <c r="H68" s="102">
        <v>588</v>
      </c>
      <c r="I68" s="102">
        <v>561</v>
      </c>
      <c r="J68" s="102">
        <v>568</v>
      </c>
      <c r="K68" s="102">
        <v>593</v>
      </c>
      <c r="L68" s="102">
        <v>581</v>
      </c>
      <c r="M68" s="102">
        <v>560</v>
      </c>
      <c r="N68" s="102">
        <v>554</v>
      </c>
      <c r="O68" s="102">
        <v>1026</v>
      </c>
      <c r="P68" s="102">
        <v>614</v>
      </c>
      <c r="Q68" s="102">
        <v>591</v>
      </c>
      <c r="R68" s="102">
        <v>580</v>
      </c>
      <c r="S68" s="102">
        <v>568</v>
      </c>
      <c r="T68" s="102">
        <v>550</v>
      </c>
      <c r="U68" s="102">
        <v>1009</v>
      </c>
      <c r="V68" s="102">
        <v>1001</v>
      </c>
      <c r="W68" s="102">
        <v>971</v>
      </c>
      <c r="DA68" s="175" t="s">
        <v>510</v>
      </c>
    </row>
    <row r="69" spans="1:105" ht="11.45" customHeight="1" x14ac:dyDescent="0.25">
      <c r="A69" s="111" t="s">
        <v>111</v>
      </c>
      <c r="B69" s="102">
        <v>86391</v>
      </c>
      <c r="C69" s="102">
        <v>88156</v>
      </c>
      <c r="D69" s="102">
        <v>90117</v>
      </c>
      <c r="E69" s="102">
        <v>90894</v>
      </c>
      <c r="F69" s="102">
        <v>91139</v>
      </c>
      <c r="G69" s="102">
        <v>92266</v>
      </c>
      <c r="H69" s="102">
        <v>93287</v>
      </c>
      <c r="I69" s="102">
        <v>93146</v>
      </c>
      <c r="J69" s="102">
        <v>93805</v>
      </c>
      <c r="K69" s="102">
        <v>93328</v>
      </c>
      <c r="L69" s="102">
        <v>92826</v>
      </c>
      <c r="M69" s="102">
        <v>93935</v>
      </c>
      <c r="N69" s="102">
        <v>91540</v>
      </c>
      <c r="O69" s="102">
        <v>89334</v>
      </c>
      <c r="P69" s="102">
        <v>89338</v>
      </c>
      <c r="Q69" s="102">
        <v>89307</v>
      </c>
      <c r="R69" s="102">
        <v>89248</v>
      </c>
      <c r="S69" s="102">
        <v>89749</v>
      </c>
      <c r="T69" s="102">
        <v>90263</v>
      </c>
      <c r="U69" s="102">
        <v>89514</v>
      </c>
      <c r="V69" s="102">
        <v>89135</v>
      </c>
      <c r="W69" s="102">
        <v>89202</v>
      </c>
      <c r="DA69" s="175" t="s">
        <v>511</v>
      </c>
    </row>
    <row r="70" spans="1:105" ht="11.45" customHeight="1" x14ac:dyDescent="0.25">
      <c r="A70" s="111" t="s">
        <v>112</v>
      </c>
      <c r="B70" s="102">
        <v>72</v>
      </c>
      <c r="C70" s="102">
        <v>81</v>
      </c>
      <c r="D70" s="102">
        <v>77</v>
      </c>
      <c r="E70" s="102">
        <v>90</v>
      </c>
      <c r="F70" s="102">
        <v>140</v>
      </c>
      <c r="G70" s="102">
        <v>204</v>
      </c>
      <c r="H70" s="102">
        <v>229</v>
      </c>
      <c r="I70" s="102">
        <v>275</v>
      </c>
      <c r="J70" s="102">
        <v>332</v>
      </c>
      <c r="K70" s="102">
        <v>453</v>
      </c>
      <c r="L70" s="102">
        <v>456</v>
      </c>
      <c r="M70" s="102">
        <v>439</v>
      </c>
      <c r="N70" s="102">
        <v>420</v>
      </c>
      <c r="O70" s="102">
        <v>401</v>
      </c>
      <c r="P70" s="102">
        <v>380</v>
      </c>
      <c r="Q70" s="102">
        <v>358</v>
      </c>
      <c r="R70" s="102">
        <v>339</v>
      </c>
      <c r="S70" s="102">
        <v>269</v>
      </c>
      <c r="T70" s="102">
        <v>304</v>
      </c>
      <c r="U70" s="102">
        <v>297</v>
      </c>
      <c r="V70" s="102">
        <v>297</v>
      </c>
      <c r="W70" s="102">
        <v>271</v>
      </c>
      <c r="DA70" s="175" t="s">
        <v>512</v>
      </c>
    </row>
    <row r="71" spans="1:105" ht="11.45" customHeight="1" x14ac:dyDescent="0.25">
      <c r="A71" s="111" t="s">
        <v>113</v>
      </c>
      <c r="B71" s="102">
        <v>691</v>
      </c>
      <c r="C71" s="102">
        <v>697</v>
      </c>
      <c r="D71" s="102">
        <v>631</v>
      </c>
      <c r="E71" s="102">
        <v>989</v>
      </c>
      <c r="F71" s="102">
        <v>962</v>
      </c>
      <c r="G71" s="102">
        <v>1352</v>
      </c>
      <c r="H71" s="102">
        <v>1995</v>
      </c>
      <c r="I71" s="102">
        <v>2437</v>
      </c>
      <c r="J71" s="102">
        <v>2892</v>
      </c>
      <c r="K71" s="102">
        <v>3150</v>
      </c>
      <c r="L71" s="102">
        <v>3378</v>
      </c>
      <c r="M71" s="102">
        <v>3543</v>
      </c>
      <c r="N71" s="102">
        <v>3642</v>
      </c>
      <c r="O71" s="102">
        <v>3605</v>
      </c>
      <c r="P71" s="102">
        <v>3444</v>
      </c>
      <c r="Q71" s="102">
        <v>3267</v>
      </c>
      <c r="R71" s="102">
        <v>3201</v>
      </c>
      <c r="S71" s="102">
        <v>4023</v>
      </c>
      <c r="T71" s="102">
        <v>4381</v>
      </c>
      <c r="U71" s="102">
        <v>4729</v>
      </c>
      <c r="V71" s="102">
        <v>4812</v>
      </c>
      <c r="W71" s="102">
        <v>4946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494</v>
      </c>
      <c r="P72" s="102">
        <v>493</v>
      </c>
      <c r="Q72" s="102">
        <v>493</v>
      </c>
      <c r="R72" s="102">
        <v>481</v>
      </c>
      <c r="S72" s="102">
        <v>471</v>
      </c>
      <c r="T72" s="102">
        <v>486</v>
      </c>
      <c r="U72" s="102">
        <v>537</v>
      </c>
      <c r="V72" s="102">
        <v>586</v>
      </c>
      <c r="W72" s="102">
        <v>744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3557281</v>
      </c>
      <c r="C73" s="28">
        <f t="shared" si="134"/>
        <v>3724693</v>
      </c>
      <c r="D73" s="28">
        <f t="shared" si="134"/>
        <v>3951023</v>
      </c>
      <c r="E73" s="28">
        <f t="shared" si="134"/>
        <v>4135930</v>
      </c>
      <c r="F73" s="28">
        <f t="shared" si="134"/>
        <v>4195570</v>
      </c>
      <c r="G73" s="28">
        <f t="shared" si="134"/>
        <v>4357455</v>
      </c>
      <c r="H73" s="28">
        <f t="shared" si="134"/>
        <v>4515414</v>
      </c>
      <c r="I73" s="28">
        <f t="shared" si="134"/>
        <v>4612790</v>
      </c>
      <c r="J73" s="28">
        <f t="shared" si="134"/>
        <v>4699644</v>
      </c>
      <c r="K73" s="28">
        <f t="shared" si="134"/>
        <v>4736650</v>
      </c>
      <c r="L73" s="28">
        <f t="shared" ref="L73" si="135">L74+L80</f>
        <v>4779072</v>
      </c>
      <c r="M73" s="28">
        <f t="shared" ref="M73:V73" si="136">M74+M80</f>
        <v>4824005</v>
      </c>
      <c r="N73" s="28">
        <f t="shared" si="136"/>
        <v>4818340</v>
      </c>
      <c r="O73" s="28">
        <f t="shared" si="136"/>
        <v>4777291</v>
      </c>
      <c r="P73" s="28">
        <f t="shared" si="136"/>
        <v>4779235</v>
      </c>
      <c r="Q73" s="28">
        <f t="shared" si="136"/>
        <v>4813406</v>
      </c>
      <c r="R73" s="28">
        <f t="shared" si="136"/>
        <v>4830046</v>
      </c>
      <c r="S73" s="28">
        <f t="shared" si="136"/>
        <v>4864838</v>
      </c>
      <c r="T73" s="28">
        <f t="shared" si="136"/>
        <v>4922420</v>
      </c>
      <c r="U73" s="28">
        <f t="shared" si="136"/>
        <v>4976423</v>
      </c>
      <c r="V73" s="28">
        <f t="shared" si="136"/>
        <v>5029522</v>
      </c>
      <c r="W73" s="28">
        <f t="shared" ref="W73" si="137">W74+W80</f>
        <v>5095501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2637172</v>
      </c>
      <c r="C74" s="137">
        <f t="shared" si="138"/>
        <v>2804885</v>
      </c>
      <c r="D74" s="137">
        <f t="shared" si="138"/>
        <v>3027282</v>
      </c>
      <c r="E74" s="137">
        <f t="shared" si="138"/>
        <v>3209962</v>
      </c>
      <c r="F74" s="137">
        <f t="shared" si="138"/>
        <v>3272318</v>
      </c>
      <c r="G74" s="137">
        <f t="shared" si="138"/>
        <v>3432827</v>
      </c>
      <c r="H74" s="137">
        <f t="shared" si="138"/>
        <v>3579735</v>
      </c>
      <c r="I74" s="137">
        <f t="shared" si="138"/>
        <v>3673354</v>
      </c>
      <c r="J74" s="137">
        <f t="shared" si="138"/>
        <v>3761540</v>
      </c>
      <c r="K74" s="137">
        <f t="shared" si="138"/>
        <v>3802936</v>
      </c>
      <c r="L74" s="137">
        <f t="shared" ref="L74" si="139">SUM(L75:L79)</f>
        <v>3855887</v>
      </c>
      <c r="M74" s="137">
        <f t="shared" ref="M74:V74" si="140">SUM(M75:M79)</f>
        <v>3900300</v>
      </c>
      <c r="N74" s="137">
        <f t="shared" si="140"/>
        <v>3914121</v>
      </c>
      <c r="O74" s="137">
        <f t="shared" si="140"/>
        <v>3894922</v>
      </c>
      <c r="P74" s="137">
        <f t="shared" si="140"/>
        <v>3909637</v>
      </c>
      <c r="Q74" s="137">
        <f t="shared" si="140"/>
        <v>3944261</v>
      </c>
      <c r="R74" s="137">
        <f t="shared" si="140"/>
        <v>4022228</v>
      </c>
      <c r="S74" s="137">
        <f t="shared" si="140"/>
        <v>4089425</v>
      </c>
      <c r="T74" s="137">
        <f t="shared" si="140"/>
        <v>4144626</v>
      </c>
      <c r="U74" s="137">
        <f t="shared" si="140"/>
        <v>4200074</v>
      </c>
      <c r="V74" s="137">
        <f t="shared" si="140"/>
        <v>4292148</v>
      </c>
      <c r="W74" s="137">
        <f t="shared" ref="W74" si="141">SUM(W75:W79)</f>
        <v>4350789</v>
      </c>
      <c r="DA74" s="174" t="s">
        <v>516</v>
      </c>
    </row>
    <row r="75" spans="1:105" ht="11.45" customHeight="1" x14ac:dyDescent="0.25">
      <c r="A75" s="111" t="s">
        <v>110</v>
      </c>
      <c r="B75" s="84">
        <v>252409</v>
      </c>
      <c r="C75" s="84">
        <v>263033</v>
      </c>
      <c r="D75" s="84">
        <v>278148</v>
      </c>
      <c r="E75" s="84">
        <v>288969</v>
      </c>
      <c r="F75" s="84">
        <v>288626</v>
      </c>
      <c r="G75" s="84">
        <v>296661</v>
      </c>
      <c r="H75" s="84">
        <v>303102</v>
      </c>
      <c r="I75" s="84">
        <v>265204</v>
      </c>
      <c r="J75" s="84">
        <v>256570</v>
      </c>
      <c r="K75" s="84">
        <v>243999</v>
      </c>
      <c r="L75" s="84">
        <v>233317</v>
      </c>
      <c r="M75" s="84">
        <v>237222</v>
      </c>
      <c r="N75" s="84">
        <v>218599</v>
      </c>
      <c r="O75" s="84">
        <v>213153</v>
      </c>
      <c r="P75" s="84">
        <v>207425</v>
      </c>
      <c r="Q75" s="84">
        <v>199341</v>
      </c>
      <c r="R75" s="84">
        <v>192936</v>
      </c>
      <c r="S75" s="84">
        <v>184559</v>
      </c>
      <c r="T75" s="84">
        <v>180561</v>
      </c>
      <c r="U75" s="84">
        <v>183088</v>
      </c>
      <c r="V75" s="84">
        <v>186840</v>
      </c>
      <c r="W75" s="84">
        <v>189764</v>
      </c>
      <c r="DA75" s="171" t="s">
        <v>517</v>
      </c>
    </row>
    <row r="76" spans="1:105" ht="11.45" customHeight="1" x14ac:dyDescent="0.25">
      <c r="A76" s="111" t="s">
        <v>111</v>
      </c>
      <c r="B76" s="84">
        <v>2370095</v>
      </c>
      <c r="C76" s="84">
        <v>2524678</v>
      </c>
      <c r="D76" s="84">
        <v>2728721</v>
      </c>
      <c r="E76" s="84">
        <v>2897148</v>
      </c>
      <c r="F76" s="84">
        <v>2956902</v>
      </c>
      <c r="G76" s="84">
        <v>3105183</v>
      </c>
      <c r="H76" s="84">
        <v>3240999</v>
      </c>
      <c r="I76" s="84">
        <v>3373071</v>
      </c>
      <c r="J76" s="84">
        <v>3459014</v>
      </c>
      <c r="K76" s="84">
        <v>3494966</v>
      </c>
      <c r="L76" s="84">
        <v>3530458</v>
      </c>
      <c r="M76" s="84">
        <v>3567974</v>
      </c>
      <c r="N76" s="84">
        <v>3573103</v>
      </c>
      <c r="O76" s="84">
        <v>3553989</v>
      </c>
      <c r="P76" s="84">
        <v>3567629</v>
      </c>
      <c r="Q76" s="84">
        <v>3604429</v>
      </c>
      <c r="R76" s="84">
        <v>3685095</v>
      </c>
      <c r="S76" s="84">
        <v>3760448</v>
      </c>
      <c r="T76" s="84">
        <v>3813184</v>
      </c>
      <c r="U76" s="84">
        <v>3860462</v>
      </c>
      <c r="V76" s="84">
        <v>3946342</v>
      </c>
      <c r="W76" s="84">
        <v>4000593</v>
      </c>
      <c r="DA76" s="171" t="s">
        <v>518</v>
      </c>
    </row>
    <row r="77" spans="1:105" ht="11.45" customHeight="1" x14ac:dyDescent="0.25">
      <c r="A77" s="111" t="s">
        <v>112</v>
      </c>
      <c r="B77" s="84">
        <v>7466</v>
      </c>
      <c r="C77" s="84">
        <v>8576</v>
      </c>
      <c r="D77" s="84">
        <v>9997</v>
      </c>
      <c r="E77" s="84">
        <v>11449</v>
      </c>
      <c r="F77" s="84">
        <v>12606</v>
      </c>
      <c r="G77" s="84">
        <v>14282</v>
      </c>
      <c r="H77" s="84">
        <v>16086</v>
      </c>
      <c r="I77" s="84">
        <v>15502</v>
      </c>
      <c r="J77" s="84">
        <v>18675</v>
      </c>
      <c r="K77" s="84">
        <v>24802</v>
      </c>
      <c r="L77" s="84">
        <v>30912</v>
      </c>
      <c r="M77" s="84">
        <v>34102</v>
      </c>
      <c r="N77" s="84">
        <v>39001</v>
      </c>
      <c r="O77" s="84">
        <v>41592</v>
      </c>
      <c r="P77" s="84">
        <v>44262</v>
      </c>
      <c r="Q77" s="84">
        <v>46506</v>
      </c>
      <c r="R77" s="84">
        <v>45432</v>
      </c>
      <c r="S77" s="84">
        <v>46477</v>
      </c>
      <c r="T77" s="84">
        <v>50000</v>
      </c>
      <c r="U77" s="84">
        <v>50000</v>
      </c>
      <c r="V77" s="84">
        <v>49722</v>
      </c>
      <c r="W77" s="84">
        <v>49104</v>
      </c>
      <c r="DA77" s="171" t="s">
        <v>519</v>
      </c>
    </row>
    <row r="78" spans="1:105" ht="11.45" customHeight="1" x14ac:dyDescent="0.25">
      <c r="A78" s="111" t="s">
        <v>113</v>
      </c>
      <c r="B78" s="84">
        <v>7202</v>
      </c>
      <c r="C78" s="84">
        <v>8598</v>
      </c>
      <c r="D78" s="84">
        <v>10416</v>
      </c>
      <c r="E78" s="84">
        <v>12396</v>
      </c>
      <c r="F78" s="84">
        <v>14184</v>
      </c>
      <c r="G78" s="84">
        <v>16701</v>
      </c>
      <c r="H78" s="84">
        <v>19548</v>
      </c>
      <c r="I78" s="84">
        <v>19577</v>
      </c>
      <c r="J78" s="84">
        <v>27281</v>
      </c>
      <c r="K78" s="84">
        <v>39169</v>
      </c>
      <c r="L78" s="84">
        <v>61200</v>
      </c>
      <c r="M78" s="84">
        <v>61000</v>
      </c>
      <c r="N78" s="84">
        <v>83023</v>
      </c>
      <c r="O78" s="84">
        <v>86000</v>
      </c>
      <c r="P78" s="84">
        <v>90000</v>
      </c>
      <c r="Q78" s="84">
        <v>93000</v>
      </c>
      <c r="R78" s="84">
        <v>97000</v>
      </c>
      <c r="S78" s="84">
        <v>95872</v>
      </c>
      <c r="T78" s="84">
        <v>97966</v>
      </c>
      <c r="U78" s="84">
        <v>101281</v>
      </c>
      <c r="V78" s="84">
        <v>102929</v>
      </c>
      <c r="W78" s="84">
        <v>101887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395</v>
      </c>
      <c r="O79" s="84">
        <v>188</v>
      </c>
      <c r="P79" s="84">
        <v>321</v>
      </c>
      <c r="Q79" s="84">
        <v>985</v>
      </c>
      <c r="R79" s="84">
        <v>1765</v>
      </c>
      <c r="S79" s="84">
        <v>2069</v>
      </c>
      <c r="T79" s="84">
        <v>2915</v>
      </c>
      <c r="U79" s="84">
        <v>5243</v>
      </c>
      <c r="V79" s="84">
        <v>6315</v>
      </c>
      <c r="W79" s="84">
        <v>9441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920109</v>
      </c>
      <c r="C80" s="110">
        <f t="shared" si="142"/>
        <v>919808</v>
      </c>
      <c r="D80" s="110">
        <f t="shared" si="142"/>
        <v>923741</v>
      </c>
      <c r="E80" s="110">
        <f t="shared" si="142"/>
        <v>925968</v>
      </c>
      <c r="F80" s="110">
        <f t="shared" si="142"/>
        <v>923252</v>
      </c>
      <c r="G80" s="110">
        <f t="shared" si="142"/>
        <v>924628</v>
      </c>
      <c r="H80" s="110">
        <f t="shared" si="142"/>
        <v>935679</v>
      </c>
      <c r="I80" s="110">
        <f t="shared" si="142"/>
        <v>939436</v>
      </c>
      <c r="J80" s="110">
        <f t="shared" si="142"/>
        <v>938104</v>
      </c>
      <c r="K80" s="110">
        <f t="shared" si="142"/>
        <v>933714</v>
      </c>
      <c r="L80" s="110">
        <f t="shared" ref="L80" si="143">SUM(L81:L82)</f>
        <v>923185</v>
      </c>
      <c r="M80" s="110">
        <f t="shared" ref="M80:V80" si="144">SUM(M81:M82)</f>
        <v>923705</v>
      </c>
      <c r="N80" s="110">
        <f t="shared" si="144"/>
        <v>904219</v>
      </c>
      <c r="O80" s="110">
        <f t="shared" si="144"/>
        <v>882369</v>
      </c>
      <c r="P80" s="110">
        <f t="shared" si="144"/>
        <v>869598</v>
      </c>
      <c r="Q80" s="110">
        <f t="shared" si="144"/>
        <v>869145</v>
      </c>
      <c r="R80" s="110">
        <f t="shared" si="144"/>
        <v>807818</v>
      </c>
      <c r="S80" s="110">
        <f t="shared" si="144"/>
        <v>775413</v>
      </c>
      <c r="T80" s="110">
        <f t="shared" si="144"/>
        <v>777794</v>
      </c>
      <c r="U80" s="110">
        <f t="shared" si="144"/>
        <v>776349</v>
      </c>
      <c r="V80" s="110">
        <f t="shared" si="144"/>
        <v>737374</v>
      </c>
      <c r="W80" s="110">
        <f t="shared" ref="W80" si="145">SUM(W81:W82)</f>
        <v>744712</v>
      </c>
      <c r="DA80" s="176" t="s">
        <v>522</v>
      </c>
    </row>
    <row r="81" spans="1:105" ht="11.45" customHeight="1" x14ac:dyDescent="0.25">
      <c r="A81" s="128" t="s">
        <v>27</v>
      </c>
      <c r="B81" s="102">
        <v>900818</v>
      </c>
      <c r="C81" s="102">
        <v>899128</v>
      </c>
      <c r="D81" s="102">
        <v>901986</v>
      </c>
      <c r="E81" s="102">
        <v>903734</v>
      </c>
      <c r="F81" s="102">
        <v>896965</v>
      </c>
      <c r="G81" s="102">
        <v>897429</v>
      </c>
      <c r="H81" s="102">
        <v>906748</v>
      </c>
      <c r="I81" s="102">
        <v>910772</v>
      </c>
      <c r="J81" s="102">
        <v>907938</v>
      </c>
      <c r="K81" s="102">
        <v>907312</v>
      </c>
      <c r="L81" s="102">
        <v>894676</v>
      </c>
      <c r="M81" s="102">
        <v>899032</v>
      </c>
      <c r="N81" s="102">
        <v>881105</v>
      </c>
      <c r="O81" s="102">
        <v>857499</v>
      </c>
      <c r="P81" s="102">
        <v>844072</v>
      </c>
      <c r="Q81" s="102">
        <v>844057</v>
      </c>
      <c r="R81" s="102">
        <v>781290</v>
      </c>
      <c r="S81" s="102">
        <v>745799</v>
      </c>
      <c r="T81" s="102">
        <v>749102</v>
      </c>
      <c r="U81" s="102">
        <v>746469</v>
      </c>
      <c r="V81" s="102">
        <v>707966</v>
      </c>
      <c r="W81" s="102">
        <v>711751</v>
      </c>
      <c r="DA81" s="175" t="s">
        <v>523</v>
      </c>
    </row>
    <row r="82" spans="1:105" ht="11.45" customHeight="1" x14ac:dyDescent="0.25">
      <c r="A82" s="138" t="s">
        <v>116</v>
      </c>
      <c r="B82" s="86">
        <v>19291</v>
      </c>
      <c r="C82" s="86">
        <v>20680</v>
      </c>
      <c r="D82" s="86">
        <v>21755</v>
      </c>
      <c r="E82" s="86">
        <v>22234</v>
      </c>
      <c r="F82" s="86">
        <v>26287</v>
      </c>
      <c r="G82" s="86">
        <v>27199</v>
      </c>
      <c r="H82" s="86">
        <v>28931</v>
      </c>
      <c r="I82" s="86">
        <v>28664</v>
      </c>
      <c r="J82" s="86">
        <v>30166</v>
      </c>
      <c r="K82" s="86">
        <v>26402</v>
      </c>
      <c r="L82" s="86">
        <v>28509</v>
      </c>
      <c r="M82" s="86">
        <v>24673</v>
      </c>
      <c r="N82" s="86">
        <v>23114</v>
      </c>
      <c r="O82" s="86">
        <v>24870</v>
      </c>
      <c r="P82" s="86">
        <v>25526</v>
      </c>
      <c r="Q82" s="86">
        <v>25088</v>
      </c>
      <c r="R82" s="86">
        <v>26528</v>
      </c>
      <c r="S82" s="86">
        <v>29614</v>
      </c>
      <c r="T82" s="86">
        <v>28692</v>
      </c>
      <c r="U82" s="86">
        <v>29880</v>
      </c>
      <c r="V82" s="86">
        <v>29408</v>
      </c>
      <c r="W82" s="86">
        <v>32961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45373265</v>
      </c>
      <c r="C84" s="54">
        <f t="shared" si="146"/>
        <v>46377058</v>
      </c>
      <c r="D84" s="54">
        <f t="shared" ref="D84:V84" si="147">D85+D100</f>
        <v>47489614</v>
      </c>
      <c r="E84" s="54">
        <f t="shared" si="147"/>
        <v>48545400</v>
      </c>
      <c r="F84" s="54">
        <f t="shared" si="147"/>
        <v>48367461</v>
      </c>
      <c r="G84" s="54">
        <f t="shared" si="147"/>
        <v>49268882</v>
      </c>
      <c r="H84" s="54">
        <f t="shared" si="147"/>
        <v>49994858</v>
      </c>
      <c r="I84" s="54">
        <f t="shared" si="147"/>
        <v>50366689</v>
      </c>
      <c r="J84" s="54">
        <f t="shared" si="147"/>
        <v>50703654</v>
      </c>
      <c r="K84" s="54">
        <f t="shared" si="147"/>
        <v>50830357</v>
      </c>
      <c r="L84" s="54">
        <f t="shared" si="147"/>
        <v>52163278</v>
      </c>
      <c r="M84" s="54">
        <f t="shared" si="147"/>
        <v>52350573</v>
      </c>
      <c r="N84" s="54">
        <f t="shared" si="147"/>
        <v>51935482</v>
      </c>
      <c r="O84" s="54">
        <f t="shared" si="147"/>
        <v>52021766</v>
      </c>
      <c r="P84" s="54">
        <f t="shared" si="147"/>
        <v>52417177</v>
      </c>
      <c r="Q84" s="54">
        <f t="shared" si="147"/>
        <v>52989589</v>
      </c>
      <c r="R84" s="54">
        <f t="shared" si="147"/>
        <v>53496620</v>
      </c>
      <c r="S84" s="54">
        <f t="shared" si="147"/>
        <v>53833761</v>
      </c>
      <c r="T84" s="54">
        <f t="shared" si="147"/>
        <v>54004236</v>
      </c>
      <c r="U84" s="54">
        <f t="shared" si="147"/>
        <v>54752198</v>
      </c>
      <c r="V84" s="54">
        <f t="shared" si="147"/>
        <v>55087042</v>
      </c>
      <c r="W84" s="54">
        <f t="shared" ref="W84" si="148">W85+W100</f>
        <v>55756574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41815984</v>
      </c>
      <c r="C85" s="28">
        <f t="shared" si="149"/>
        <v>42652365</v>
      </c>
      <c r="D85" s="28">
        <f t="shared" ref="D85:V85" si="150">D86+D87+D94</f>
        <v>43538591</v>
      </c>
      <c r="E85" s="28">
        <f t="shared" si="150"/>
        <v>44409470</v>
      </c>
      <c r="F85" s="28">
        <f t="shared" si="150"/>
        <v>44171891</v>
      </c>
      <c r="G85" s="28">
        <f t="shared" si="150"/>
        <v>44911427</v>
      </c>
      <c r="H85" s="28">
        <f t="shared" si="150"/>
        <v>45479444</v>
      </c>
      <c r="I85" s="28">
        <f t="shared" si="150"/>
        <v>45753899</v>
      </c>
      <c r="J85" s="28">
        <f t="shared" si="150"/>
        <v>46004010</v>
      </c>
      <c r="K85" s="28">
        <f t="shared" si="150"/>
        <v>46093707</v>
      </c>
      <c r="L85" s="28">
        <f t="shared" si="150"/>
        <v>47384206</v>
      </c>
      <c r="M85" s="28">
        <f t="shared" si="150"/>
        <v>47526568</v>
      </c>
      <c r="N85" s="28">
        <f t="shared" si="150"/>
        <v>47117142</v>
      </c>
      <c r="O85" s="28">
        <f t="shared" si="150"/>
        <v>47244475</v>
      </c>
      <c r="P85" s="28">
        <f t="shared" si="150"/>
        <v>47637942</v>
      </c>
      <c r="Q85" s="28">
        <f t="shared" si="150"/>
        <v>48176183</v>
      </c>
      <c r="R85" s="28">
        <f t="shared" si="150"/>
        <v>48666574</v>
      </c>
      <c r="S85" s="28">
        <f t="shared" si="150"/>
        <v>48968923</v>
      </c>
      <c r="T85" s="28">
        <f t="shared" si="150"/>
        <v>49081816</v>
      </c>
      <c r="U85" s="28">
        <f t="shared" si="150"/>
        <v>49775775</v>
      </c>
      <c r="V85" s="28">
        <f t="shared" si="150"/>
        <v>50057520</v>
      </c>
      <c r="W85" s="28">
        <f t="shared" ref="W85" si="151">W86+W87+W94</f>
        <v>50661073</v>
      </c>
      <c r="DA85" s="173"/>
    </row>
    <row r="86" spans="1:105" ht="11.45" hidden="1" customHeight="1" x14ac:dyDescent="0.25">
      <c r="A86" s="136" t="s">
        <v>180</v>
      </c>
      <c r="B86" s="137">
        <v>8942816</v>
      </c>
      <c r="C86" s="137">
        <v>9323507</v>
      </c>
      <c r="D86" s="137">
        <v>9740875</v>
      </c>
      <c r="E86" s="137">
        <v>10006769</v>
      </c>
      <c r="F86" s="137">
        <v>10106017</v>
      </c>
      <c r="G86" s="137">
        <v>10149990</v>
      </c>
      <c r="H86" s="137">
        <v>10086345</v>
      </c>
      <c r="I86" s="137">
        <v>9977480</v>
      </c>
      <c r="J86" s="137">
        <v>9801413</v>
      </c>
      <c r="K86" s="137">
        <v>9624183</v>
      </c>
      <c r="L86" s="137">
        <v>9758349</v>
      </c>
      <c r="M86" s="137">
        <v>9684151</v>
      </c>
      <c r="N86" s="137">
        <v>9093076</v>
      </c>
      <c r="O86" s="137">
        <v>9266569</v>
      </c>
      <c r="P86" s="137">
        <v>9423418</v>
      </c>
      <c r="Q86" s="137">
        <v>9578483</v>
      </c>
      <c r="R86" s="137">
        <v>9696587</v>
      </c>
      <c r="S86" s="137">
        <v>9831254</v>
      </c>
      <c r="T86" s="137">
        <v>9967662</v>
      </c>
      <c r="U86" s="137">
        <v>10134457</v>
      </c>
      <c r="V86" s="137">
        <v>10243815</v>
      </c>
      <c r="W86" s="137">
        <v>10742216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32785000</v>
      </c>
      <c r="C87" s="110">
        <f t="shared" si="152"/>
        <v>33239000</v>
      </c>
      <c r="D87" s="110">
        <f t="shared" ref="D87:V87" si="153">SUM(D88:D93)</f>
        <v>33706000</v>
      </c>
      <c r="E87" s="110">
        <f t="shared" si="153"/>
        <v>34310000</v>
      </c>
      <c r="F87" s="110">
        <f t="shared" si="153"/>
        <v>33973000</v>
      </c>
      <c r="G87" s="110">
        <f t="shared" si="153"/>
        <v>34667000</v>
      </c>
      <c r="H87" s="110">
        <f t="shared" si="153"/>
        <v>35297000</v>
      </c>
      <c r="I87" s="110">
        <f t="shared" si="153"/>
        <v>35680000</v>
      </c>
      <c r="J87" s="110">
        <f t="shared" si="153"/>
        <v>36105000</v>
      </c>
      <c r="K87" s="110">
        <f t="shared" si="153"/>
        <v>36372000</v>
      </c>
      <c r="L87" s="110">
        <f t="shared" si="153"/>
        <v>37528616</v>
      </c>
      <c r="M87" s="110">
        <f t="shared" si="153"/>
        <v>37743940</v>
      </c>
      <c r="N87" s="110">
        <f t="shared" si="153"/>
        <v>37927910</v>
      </c>
      <c r="O87" s="110">
        <f t="shared" si="153"/>
        <v>37883046</v>
      </c>
      <c r="P87" s="110">
        <f t="shared" si="153"/>
        <v>38120255</v>
      </c>
      <c r="Q87" s="110">
        <f t="shared" si="153"/>
        <v>38503684</v>
      </c>
      <c r="R87" s="110">
        <f t="shared" si="153"/>
        <v>38876138</v>
      </c>
      <c r="S87" s="110">
        <f t="shared" si="153"/>
        <v>39042589</v>
      </c>
      <c r="T87" s="110">
        <f t="shared" si="153"/>
        <v>39018170</v>
      </c>
      <c r="U87" s="110">
        <f t="shared" si="153"/>
        <v>39545232</v>
      </c>
      <c r="V87" s="110">
        <f t="shared" si="153"/>
        <v>39717874</v>
      </c>
      <c r="W87" s="110">
        <f t="shared" ref="W87" si="154">SUM(W88:W93)</f>
        <v>39822723</v>
      </c>
      <c r="DA87" s="176"/>
    </row>
    <row r="88" spans="1:105" ht="11.45" hidden="1" customHeight="1" x14ac:dyDescent="0.25">
      <c r="A88" s="111" t="s">
        <v>110</v>
      </c>
      <c r="B88" s="84">
        <v>26204297</v>
      </c>
      <c r="C88" s="84">
        <v>25904935</v>
      </c>
      <c r="D88" s="84">
        <v>25606831</v>
      </c>
      <c r="E88" s="84">
        <v>25216710</v>
      </c>
      <c r="F88" s="84">
        <v>23812322</v>
      </c>
      <c r="G88" s="84">
        <v>23180516</v>
      </c>
      <c r="H88" s="84">
        <v>22568800</v>
      </c>
      <c r="I88" s="84">
        <v>21875940</v>
      </c>
      <c r="J88" s="84">
        <v>21528895</v>
      </c>
      <c r="K88" s="84">
        <v>20922591</v>
      </c>
      <c r="L88" s="84">
        <v>20916824</v>
      </c>
      <c r="M88" s="84">
        <v>20546761</v>
      </c>
      <c r="N88" s="84">
        <v>20249559</v>
      </c>
      <c r="O88" s="84">
        <v>19836530</v>
      </c>
      <c r="P88" s="84">
        <v>19530569</v>
      </c>
      <c r="Q88" s="84">
        <v>19196797</v>
      </c>
      <c r="R88" s="84">
        <v>19153374</v>
      </c>
      <c r="S88" s="84">
        <v>18930908</v>
      </c>
      <c r="T88" s="84">
        <v>18304885</v>
      </c>
      <c r="U88" s="84">
        <v>18506306</v>
      </c>
      <c r="V88" s="84">
        <v>18571167</v>
      </c>
      <c r="W88" s="84">
        <v>18547450</v>
      </c>
      <c r="DA88" s="171"/>
    </row>
    <row r="89" spans="1:105" ht="11.45" hidden="1" customHeight="1" x14ac:dyDescent="0.25">
      <c r="A89" s="111" t="s">
        <v>111</v>
      </c>
      <c r="B89" s="84">
        <v>4799703</v>
      </c>
      <c r="C89" s="84">
        <v>5506065</v>
      </c>
      <c r="D89" s="84">
        <v>6366169</v>
      </c>
      <c r="E89" s="84">
        <v>7344088</v>
      </c>
      <c r="F89" s="84">
        <v>8469678</v>
      </c>
      <c r="G89" s="84">
        <v>9667334</v>
      </c>
      <c r="H89" s="84">
        <v>10840049</v>
      </c>
      <c r="I89" s="84">
        <v>11896958</v>
      </c>
      <c r="J89" s="84">
        <v>12729152</v>
      </c>
      <c r="K89" s="84">
        <v>13363409</v>
      </c>
      <c r="L89" s="84">
        <v>14194111</v>
      </c>
      <c r="M89" s="84">
        <v>14731252</v>
      </c>
      <c r="N89" s="84">
        <v>15081965</v>
      </c>
      <c r="O89" s="84">
        <v>15304722</v>
      </c>
      <c r="P89" s="84">
        <v>15668930</v>
      </c>
      <c r="Q89" s="84">
        <v>16240488</v>
      </c>
      <c r="R89" s="84">
        <v>16540268</v>
      </c>
      <c r="S89" s="84">
        <v>16822633</v>
      </c>
      <c r="T89" s="84">
        <v>17296453</v>
      </c>
      <c r="U89" s="84">
        <v>17491767</v>
      </c>
      <c r="V89" s="84">
        <v>17556680</v>
      </c>
      <c r="W89" s="84">
        <v>17532655</v>
      </c>
      <c r="DA89" s="171"/>
    </row>
    <row r="90" spans="1:105" ht="11.45" hidden="1" customHeight="1" x14ac:dyDescent="0.25">
      <c r="A90" s="111" t="s">
        <v>112</v>
      </c>
      <c r="B90" s="84">
        <v>1492000</v>
      </c>
      <c r="C90" s="84">
        <v>1493000</v>
      </c>
      <c r="D90" s="84">
        <v>1398000</v>
      </c>
      <c r="E90" s="84">
        <v>1410000</v>
      </c>
      <c r="F90" s="84">
        <v>1375000</v>
      </c>
      <c r="G90" s="84">
        <v>1464150</v>
      </c>
      <c r="H90" s="84">
        <v>1483151</v>
      </c>
      <c r="I90" s="84">
        <v>1453102</v>
      </c>
      <c r="J90" s="84">
        <v>1340953</v>
      </c>
      <c r="K90" s="84">
        <v>1474000</v>
      </c>
      <c r="L90" s="84">
        <v>1753000</v>
      </c>
      <c r="M90" s="84">
        <v>1776000</v>
      </c>
      <c r="N90" s="84">
        <v>1867000</v>
      </c>
      <c r="O90" s="84">
        <v>1943722</v>
      </c>
      <c r="P90" s="84">
        <v>2042000</v>
      </c>
      <c r="Q90" s="84">
        <v>2137078</v>
      </c>
      <c r="R90" s="84">
        <v>2222873</v>
      </c>
      <c r="S90" s="84">
        <v>2309020</v>
      </c>
      <c r="T90" s="84">
        <v>2409840</v>
      </c>
      <c r="U90" s="84">
        <v>2505000</v>
      </c>
      <c r="V90" s="84">
        <v>2473188</v>
      </c>
      <c r="W90" s="84">
        <v>2512384</v>
      </c>
      <c r="DA90" s="171"/>
    </row>
    <row r="91" spans="1:105" ht="11.45" hidden="1" customHeight="1" x14ac:dyDescent="0.25">
      <c r="A91" s="111" t="s">
        <v>113</v>
      </c>
      <c r="B91" s="84">
        <v>289000</v>
      </c>
      <c r="C91" s="84">
        <v>335000</v>
      </c>
      <c r="D91" s="84">
        <v>335000</v>
      </c>
      <c r="E91" s="84">
        <v>339202</v>
      </c>
      <c r="F91" s="84">
        <v>316000</v>
      </c>
      <c r="G91" s="84">
        <v>355000</v>
      </c>
      <c r="H91" s="84">
        <v>405000</v>
      </c>
      <c r="I91" s="84">
        <v>454000</v>
      </c>
      <c r="J91" s="84">
        <v>506000</v>
      </c>
      <c r="K91" s="84">
        <v>612000</v>
      </c>
      <c r="L91" s="84">
        <v>661000</v>
      </c>
      <c r="M91" s="84">
        <v>681000</v>
      </c>
      <c r="N91" s="84">
        <v>720000</v>
      </c>
      <c r="O91" s="84">
        <v>774000</v>
      </c>
      <c r="P91" s="84">
        <v>833668</v>
      </c>
      <c r="Q91" s="84">
        <v>883190</v>
      </c>
      <c r="R91" s="84">
        <v>911246</v>
      </c>
      <c r="S91" s="84">
        <v>926704</v>
      </c>
      <c r="T91" s="84">
        <v>945184</v>
      </c>
      <c r="U91" s="84">
        <v>965000</v>
      </c>
      <c r="V91" s="84">
        <v>981000</v>
      </c>
      <c r="W91" s="84">
        <v>972144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141</v>
      </c>
      <c r="O92" s="84">
        <v>14056</v>
      </c>
      <c r="P92" s="84">
        <v>34126</v>
      </c>
      <c r="Q92" s="84">
        <v>33908</v>
      </c>
      <c r="R92" s="84">
        <v>35020</v>
      </c>
      <c r="S92" s="84">
        <v>38318</v>
      </c>
      <c r="T92" s="84">
        <v>42219</v>
      </c>
      <c r="U92" s="84">
        <v>47533</v>
      </c>
      <c r="V92" s="84">
        <v>74734</v>
      </c>
      <c r="W92" s="84">
        <v>135421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3681</v>
      </c>
      <c r="M93" s="84">
        <v>8927</v>
      </c>
      <c r="N93" s="84">
        <v>9245</v>
      </c>
      <c r="O93" s="84">
        <v>10016</v>
      </c>
      <c r="P93" s="84">
        <v>10962</v>
      </c>
      <c r="Q93" s="84">
        <v>12223</v>
      </c>
      <c r="R93" s="84">
        <v>13357</v>
      </c>
      <c r="S93" s="84">
        <v>15006</v>
      </c>
      <c r="T93" s="84">
        <v>19589</v>
      </c>
      <c r="U93" s="84">
        <v>29626</v>
      </c>
      <c r="V93" s="84">
        <v>61105</v>
      </c>
      <c r="W93" s="84">
        <v>122669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88168</v>
      </c>
      <c r="C94" s="110">
        <f t="shared" si="155"/>
        <v>89858</v>
      </c>
      <c r="D94" s="110">
        <f t="shared" ref="D94:V94" si="156">SUM(D95:D99)</f>
        <v>91716</v>
      </c>
      <c r="E94" s="110">
        <f t="shared" si="156"/>
        <v>92701</v>
      </c>
      <c r="F94" s="110">
        <f t="shared" si="156"/>
        <v>92874</v>
      </c>
      <c r="G94" s="110">
        <f t="shared" si="156"/>
        <v>94437</v>
      </c>
      <c r="H94" s="110">
        <f t="shared" si="156"/>
        <v>96099</v>
      </c>
      <c r="I94" s="110">
        <f t="shared" si="156"/>
        <v>96419</v>
      </c>
      <c r="J94" s="110">
        <f t="shared" si="156"/>
        <v>97597</v>
      </c>
      <c r="K94" s="110">
        <f t="shared" si="156"/>
        <v>97524</v>
      </c>
      <c r="L94" s="110">
        <f t="shared" si="156"/>
        <v>97241</v>
      </c>
      <c r="M94" s="110">
        <f t="shared" si="156"/>
        <v>98477</v>
      </c>
      <c r="N94" s="110">
        <f t="shared" si="156"/>
        <v>96156</v>
      </c>
      <c r="O94" s="110">
        <f t="shared" si="156"/>
        <v>94860</v>
      </c>
      <c r="P94" s="110">
        <f t="shared" si="156"/>
        <v>94269</v>
      </c>
      <c r="Q94" s="110">
        <f t="shared" si="156"/>
        <v>94016</v>
      </c>
      <c r="R94" s="110">
        <f t="shared" si="156"/>
        <v>93849</v>
      </c>
      <c r="S94" s="110">
        <f t="shared" si="156"/>
        <v>95080</v>
      </c>
      <c r="T94" s="110">
        <f t="shared" si="156"/>
        <v>95984</v>
      </c>
      <c r="U94" s="110">
        <f t="shared" si="156"/>
        <v>96086</v>
      </c>
      <c r="V94" s="110">
        <f t="shared" si="156"/>
        <v>95831</v>
      </c>
      <c r="W94" s="110">
        <f t="shared" ref="W94" si="157">SUM(W95:W99)</f>
        <v>96134</v>
      </c>
      <c r="DA94" s="176"/>
    </row>
    <row r="95" spans="1:105" ht="11.45" hidden="1" customHeight="1" x14ac:dyDescent="0.25">
      <c r="A95" s="111" t="s">
        <v>110</v>
      </c>
      <c r="B95" s="102">
        <v>1014</v>
      </c>
      <c r="C95" s="102">
        <v>924</v>
      </c>
      <c r="D95" s="102">
        <v>891</v>
      </c>
      <c r="E95" s="102">
        <v>728</v>
      </c>
      <c r="F95" s="102">
        <v>633</v>
      </c>
      <c r="G95" s="102">
        <v>615</v>
      </c>
      <c r="H95" s="102">
        <v>588</v>
      </c>
      <c r="I95" s="102">
        <v>561</v>
      </c>
      <c r="J95" s="102">
        <v>568</v>
      </c>
      <c r="K95" s="102">
        <v>593</v>
      </c>
      <c r="L95" s="102">
        <v>581</v>
      </c>
      <c r="M95" s="102">
        <v>560</v>
      </c>
      <c r="N95" s="102">
        <v>554</v>
      </c>
      <c r="O95" s="102">
        <v>1026</v>
      </c>
      <c r="P95" s="102">
        <v>614</v>
      </c>
      <c r="Q95" s="102">
        <v>591</v>
      </c>
      <c r="R95" s="102">
        <v>580</v>
      </c>
      <c r="S95" s="102">
        <v>568</v>
      </c>
      <c r="T95" s="102">
        <v>550</v>
      </c>
      <c r="U95" s="102">
        <v>1009</v>
      </c>
      <c r="V95" s="102">
        <v>1001</v>
      </c>
      <c r="W95" s="102">
        <v>971</v>
      </c>
      <c r="DA95" s="175"/>
    </row>
    <row r="96" spans="1:105" ht="11.45" hidden="1" customHeight="1" x14ac:dyDescent="0.25">
      <c r="A96" s="111" t="s">
        <v>111</v>
      </c>
      <c r="B96" s="102">
        <v>86391</v>
      </c>
      <c r="C96" s="102">
        <v>88156</v>
      </c>
      <c r="D96" s="102">
        <v>90117</v>
      </c>
      <c r="E96" s="102">
        <v>90894</v>
      </c>
      <c r="F96" s="102">
        <v>91139</v>
      </c>
      <c r="G96" s="102">
        <v>92266</v>
      </c>
      <c r="H96" s="102">
        <v>93287</v>
      </c>
      <c r="I96" s="102">
        <v>93146</v>
      </c>
      <c r="J96" s="102">
        <v>93805</v>
      </c>
      <c r="K96" s="102">
        <v>93328</v>
      </c>
      <c r="L96" s="102">
        <v>92826</v>
      </c>
      <c r="M96" s="102">
        <v>93935</v>
      </c>
      <c r="N96" s="102">
        <v>91540</v>
      </c>
      <c r="O96" s="102">
        <v>89334</v>
      </c>
      <c r="P96" s="102">
        <v>89338</v>
      </c>
      <c r="Q96" s="102">
        <v>89307</v>
      </c>
      <c r="R96" s="102">
        <v>89248</v>
      </c>
      <c r="S96" s="102">
        <v>89749</v>
      </c>
      <c r="T96" s="102">
        <v>90263</v>
      </c>
      <c r="U96" s="102">
        <v>89514</v>
      </c>
      <c r="V96" s="102">
        <v>89135</v>
      </c>
      <c r="W96" s="102">
        <v>89202</v>
      </c>
      <c r="DA96" s="175"/>
    </row>
    <row r="97" spans="1:105" ht="11.45" hidden="1" customHeight="1" x14ac:dyDescent="0.25">
      <c r="A97" s="111" t="s">
        <v>112</v>
      </c>
      <c r="B97" s="102">
        <v>72</v>
      </c>
      <c r="C97" s="102">
        <v>81</v>
      </c>
      <c r="D97" s="102">
        <v>77</v>
      </c>
      <c r="E97" s="102">
        <v>90</v>
      </c>
      <c r="F97" s="102">
        <v>140</v>
      </c>
      <c r="G97" s="102">
        <v>204</v>
      </c>
      <c r="H97" s="102">
        <v>229</v>
      </c>
      <c r="I97" s="102">
        <v>275</v>
      </c>
      <c r="J97" s="102">
        <v>332</v>
      </c>
      <c r="K97" s="102">
        <v>453</v>
      </c>
      <c r="L97" s="102">
        <v>456</v>
      </c>
      <c r="M97" s="102">
        <v>439</v>
      </c>
      <c r="N97" s="102">
        <v>420</v>
      </c>
      <c r="O97" s="102">
        <v>401</v>
      </c>
      <c r="P97" s="102">
        <v>380</v>
      </c>
      <c r="Q97" s="102">
        <v>358</v>
      </c>
      <c r="R97" s="102">
        <v>339</v>
      </c>
      <c r="S97" s="102">
        <v>269</v>
      </c>
      <c r="T97" s="102">
        <v>304</v>
      </c>
      <c r="U97" s="102">
        <v>297</v>
      </c>
      <c r="V97" s="102">
        <v>297</v>
      </c>
      <c r="W97" s="102">
        <v>271</v>
      </c>
      <c r="DA97" s="175"/>
    </row>
    <row r="98" spans="1:105" ht="11.45" hidden="1" customHeight="1" x14ac:dyDescent="0.25">
      <c r="A98" s="111" t="s">
        <v>113</v>
      </c>
      <c r="B98" s="102">
        <v>691</v>
      </c>
      <c r="C98" s="102">
        <v>697</v>
      </c>
      <c r="D98" s="102">
        <v>631</v>
      </c>
      <c r="E98" s="102">
        <v>989</v>
      </c>
      <c r="F98" s="102">
        <v>962</v>
      </c>
      <c r="G98" s="102">
        <v>1352</v>
      </c>
      <c r="H98" s="102">
        <v>1995</v>
      </c>
      <c r="I98" s="102">
        <v>2437</v>
      </c>
      <c r="J98" s="102">
        <v>2892</v>
      </c>
      <c r="K98" s="102">
        <v>3150</v>
      </c>
      <c r="L98" s="102">
        <v>3378</v>
      </c>
      <c r="M98" s="102">
        <v>3543</v>
      </c>
      <c r="N98" s="102">
        <v>3642</v>
      </c>
      <c r="O98" s="102">
        <v>3605</v>
      </c>
      <c r="P98" s="102">
        <v>3444</v>
      </c>
      <c r="Q98" s="102">
        <v>3267</v>
      </c>
      <c r="R98" s="102">
        <v>3201</v>
      </c>
      <c r="S98" s="102">
        <v>4023</v>
      </c>
      <c r="T98" s="102">
        <v>4381</v>
      </c>
      <c r="U98" s="102">
        <v>4729</v>
      </c>
      <c r="V98" s="102">
        <v>4812</v>
      </c>
      <c r="W98" s="102">
        <v>4946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494</v>
      </c>
      <c r="P99" s="102">
        <v>493</v>
      </c>
      <c r="Q99" s="102">
        <v>493</v>
      </c>
      <c r="R99" s="102">
        <v>481</v>
      </c>
      <c r="S99" s="102">
        <v>471</v>
      </c>
      <c r="T99" s="102">
        <v>486</v>
      </c>
      <c r="U99" s="102">
        <v>537</v>
      </c>
      <c r="V99" s="102">
        <v>586</v>
      </c>
      <c r="W99" s="102">
        <v>744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3557281</v>
      </c>
      <c r="C100" s="28">
        <f t="shared" si="158"/>
        <v>3724693</v>
      </c>
      <c r="D100" s="28">
        <f t="shared" ref="D100:V100" si="159">D101+D107</f>
        <v>3951023</v>
      </c>
      <c r="E100" s="28">
        <f t="shared" si="159"/>
        <v>4135930</v>
      </c>
      <c r="F100" s="28">
        <f t="shared" si="159"/>
        <v>4195570</v>
      </c>
      <c r="G100" s="28">
        <f t="shared" si="159"/>
        <v>4357455</v>
      </c>
      <c r="H100" s="28">
        <f t="shared" si="159"/>
        <v>4515414</v>
      </c>
      <c r="I100" s="28">
        <f t="shared" si="159"/>
        <v>4612790</v>
      </c>
      <c r="J100" s="28">
        <f t="shared" si="159"/>
        <v>4699644</v>
      </c>
      <c r="K100" s="28">
        <f t="shared" si="159"/>
        <v>4736650</v>
      </c>
      <c r="L100" s="28">
        <f t="shared" si="159"/>
        <v>4779072</v>
      </c>
      <c r="M100" s="28">
        <f t="shared" si="159"/>
        <v>4824005</v>
      </c>
      <c r="N100" s="28">
        <f t="shared" si="159"/>
        <v>4818340</v>
      </c>
      <c r="O100" s="28">
        <f t="shared" si="159"/>
        <v>4777291</v>
      </c>
      <c r="P100" s="28">
        <f t="shared" si="159"/>
        <v>4779235</v>
      </c>
      <c r="Q100" s="28">
        <f t="shared" si="159"/>
        <v>4813406</v>
      </c>
      <c r="R100" s="28">
        <f t="shared" si="159"/>
        <v>4830046</v>
      </c>
      <c r="S100" s="28">
        <f t="shared" si="159"/>
        <v>4864838</v>
      </c>
      <c r="T100" s="28">
        <f t="shared" si="159"/>
        <v>4922420</v>
      </c>
      <c r="U100" s="28">
        <f t="shared" si="159"/>
        <v>4976423</v>
      </c>
      <c r="V100" s="28">
        <f t="shared" si="159"/>
        <v>5029522</v>
      </c>
      <c r="W100" s="28">
        <f t="shared" ref="W100" si="160">W101+W107</f>
        <v>5095501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2637172</v>
      </c>
      <c r="C101" s="137">
        <f t="shared" si="161"/>
        <v>2804885</v>
      </c>
      <c r="D101" s="137">
        <f t="shared" ref="D101:V101" si="162">SUM(D102:D106)</f>
        <v>3027282</v>
      </c>
      <c r="E101" s="137">
        <f t="shared" si="162"/>
        <v>3209962</v>
      </c>
      <c r="F101" s="137">
        <f t="shared" si="162"/>
        <v>3272318</v>
      </c>
      <c r="G101" s="137">
        <f t="shared" si="162"/>
        <v>3432827</v>
      </c>
      <c r="H101" s="137">
        <f t="shared" si="162"/>
        <v>3579735</v>
      </c>
      <c r="I101" s="137">
        <f t="shared" si="162"/>
        <v>3673354</v>
      </c>
      <c r="J101" s="137">
        <f t="shared" si="162"/>
        <v>3761540</v>
      </c>
      <c r="K101" s="137">
        <f t="shared" si="162"/>
        <v>3802936</v>
      </c>
      <c r="L101" s="137">
        <f t="shared" si="162"/>
        <v>3855887</v>
      </c>
      <c r="M101" s="137">
        <f t="shared" si="162"/>
        <v>3900300</v>
      </c>
      <c r="N101" s="137">
        <f t="shared" si="162"/>
        <v>3914121</v>
      </c>
      <c r="O101" s="137">
        <f t="shared" si="162"/>
        <v>3894922</v>
      </c>
      <c r="P101" s="137">
        <f t="shared" si="162"/>
        <v>3909637</v>
      </c>
      <c r="Q101" s="137">
        <f t="shared" si="162"/>
        <v>3944261</v>
      </c>
      <c r="R101" s="137">
        <f t="shared" si="162"/>
        <v>4022228</v>
      </c>
      <c r="S101" s="137">
        <f t="shared" si="162"/>
        <v>4089425</v>
      </c>
      <c r="T101" s="137">
        <f t="shared" si="162"/>
        <v>4144626</v>
      </c>
      <c r="U101" s="137">
        <f t="shared" si="162"/>
        <v>4200074</v>
      </c>
      <c r="V101" s="137">
        <f t="shared" si="162"/>
        <v>4292148</v>
      </c>
      <c r="W101" s="137">
        <f t="shared" ref="W101" si="163">SUM(W102:W106)</f>
        <v>4350789</v>
      </c>
      <c r="DA101" s="174"/>
    </row>
    <row r="102" spans="1:105" ht="11.45" hidden="1" customHeight="1" x14ac:dyDescent="0.25">
      <c r="A102" s="111" t="s">
        <v>110</v>
      </c>
      <c r="B102" s="84">
        <v>252409</v>
      </c>
      <c r="C102" s="84">
        <v>263033</v>
      </c>
      <c r="D102" s="84">
        <v>278148</v>
      </c>
      <c r="E102" s="84">
        <v>288969</v>
      </c>
      <c r="F102" s="84">
        <v>288626</v>
      </c>
      <c r="G102" s="84">
        <v>296661</v>
      </c>
      <c r="H102" s="84">
        <v>303102</v>
      </c>
      <c r="I102" s="84">
        <v>265204</v>
      </c>
      <c r="J102" s="84">
        <v>256570</v>
      </c>
      <c r="K102" s="84">
        <v>243999</v>
      </c>
      <c r="L102" s="84">
        <v>233317</v>
      </c>
      <c r="M102" s="84">
        <v>237222</v>
      </c>
      <c r="N102" s="84">
        <v>218599</v>
      </c>
      <c r="O102" s="84">
        <v>213153</v>
      </c>
      <c r="P102" s="84">
        <v>207425</v>
      </c>
      <c r="Q102" s="84">
        <v>199341</v>
      </c>
      <c r="R102" s="84">
        <v>192936</v>
      </c>
      <c r="S102" s="84">
        <v>184559</v>
      </c>
      <c r="T102" s="84">
        <v>180561</v>
      </c>
      <c r="U102" s="84">
        <v>183088</v>
      </c>
      <c r="V102" s="84">
        <v>186840</v>
      </c>
      <c r="W102" s="84">
        <v>189764</v>
      </c>
      <c r="DA102" s="171"/>
    </row>
    <row r="103" spans="1:105" ht="11.45" hidden="1" customHeight="1" x14ac:dyDescent="0.25">
      <c r="A103" s="111" t="s">
        <v>111</v>
      </c>
      <c r="B103" s="84">
        <v>2370095</v>
      </c>
      <c r="C103" s="84">
        <v>2524678</v>
      </c>
      <c r="D103" s="84">
        <v>2728721</v>
      </c>
      <c r="E103" s="84">
        <v>2897148</v>
      </c>
      <c r="F103" s="84">
        <v>2956902</v>
      </c>
      <c r="G103" s="84">
        <v>3105183</v>
      </c>
      <c r="H103" s="84">
        <v>3240999</v>
      </c>
      <c r="I103" s="84">
        <v>3373071</v>
      </c>
      <c r="J103" s="84">
        <v>3459014</v>
      </c>
      <c r="K103" s="84">
        <v>3494966</v>
      </c>
      <c r="L103" s="84">
        <v>3530458</v>
      </c>
      <c r="M103" s="84">
        <v>3567974</v>
      </c>
      <c r="N103" s="84">
        <v>3573103</v>
      </c>
      <c r="O103" s="84">
        <v>3553989</v>
      </c>
      <c r="P103" s="84">
        <v>3567629</v>
      </c>
      <c r="Q103" s="84">
        <v>3604429</v>
      </c>
      <c r="R103" s="84">
        <v>3685095</v>
      </c>
      <c r="S103" s="84">
        <v>3760448</v>
      </c>
      <c r="T103" s="84">
        <v>3813184</v>
      </c>
      <c r="U103" s="84">
        <v>3860462</v>
      </c>
      <c r="V103" s="84">
        <v>3946342</v>
      </c>
      <c r="W103" s="84">
        <v>4000593</v>
      </c>
      <c r="DA103" s="171"/>
    </row>
    <row r="104" spans="1:105" ht="11.45" hidden="1" customHeight="1" x14ac:dyDescent="0.25">
      <c r="A104" s="111" t="s">
        <v>112</v>
      </c>
      <c r="B104" s="84">
        <v>7466</v>
      </c>
      <c r="C104" s="84">
        <v>8576</v>
      </c>
      <c r="D104" s="84">
        <v>9997</v>
      </c>
      <c r="E104" s="84">
        <v>11449</v>
      </c>
      <c r="F104" s="84">
        <v>12606</v>
      </c>
      <c r="G104" s="84">
        <v>14282</v>
      </c>
      <c r="H104" s="84">
        <v>16086</v>
      </c>
      <c r="I104" s="84">
        <v>15502</v>
      </c>
      <c r="J104" s="84">
        <v>18675</v>
      </c>
      <c r="K104" s="84">
        <v>24802</v>
      </c>
      <c r="L104" s="84">
        <v>30912</v>
      </c>
      <c r="M104" s="84">
        <v>34102</v>
      </c>
      <c r="N104" s="84">
        <v>39001</v>
      </c>
      <c r="O104" s="84">
        <v>41592</v>
      </c>
      <c r="P104" s="84">
        <v>44262</v>
      </c>
      <c r="Q104" s="84">
        <v>46506</v>
      </c>
      <c r="R104" s="84">
        <v>45432</v>
      </c>
      <c r="S104" s="84">
        <v>46477</v>
      </c>
      <c r="T104" s="84">
        <v>50000</v>
      </c>
      <c r="U104" s="84">
        <v>50000</v>
      </c>
      <c r="V104" s="84">
        <v>49722</v>
      </c>
      <c r="W104" s="84">
        <v>49104</v>
      </c>
      <c r="DA104" s="171"/>
    </row>
    <row r="105" spans="1:105" ht="11.45" hidden="1" customHeight="1" x14ac:dyDescent="0.25">
      <c r="A105" s="111" t="s">
        <v>113</v>
      </c>
      <c r="B105" s="84">
        <v>7202</v>
      </c>
      <c r="C105" s="84">
        <v>8598</v>
      </c>
      <c r="D105" s="84">
        <v>10416</v>
      </c>
      <c r="E105" s="84">
        <v>12396</v>
      </c>
      <c r="F105" s="84">
        <v>14184</v>
      </c>
      <c r="G105" s="84">
        <v>16701</v>
      </c>
      <c r="H105" s="84">
        <v>19548</v>
      </c>
      <c r="I105" s="84">
        <v>19577</v>
      </c>
      <c r="J105" s="84">
        <v>27281</v>
      </c>
      <c r="K105" s="84">
        <v>39169</v>
      </c>
      <c r="L105" s="84">
        <v>61200</v>
      </c>
      <c r="M105" s="84">
        <v>61000</v>
      </c>
      <c r="N105" s="84">
        <v>83023</v>
      </c>
      <c r="O105" s="84">
        <v>86000</v>
      </c>
      <c r="P105" s="84">
        <v>90000</v>
      </c>
      <c r="Q105" s="84">
        <v>93000</v>
      </c>
      <c r="R105" s="84">
        <v>97000</v>
      </c>
      <c r="S105" s="84">
        <v>95872</v>
      </c>
      <c r="T105" s="84">
        <v>97966</v>
      </c>
      <c r="U105" s="84">
        <v>101281</v>
      </c>
      <c r="V105" s="84">
        <v>102929</v>
      </c>
      <c r="W105" s="84">
        <v>101887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395</v>
      </c>
      <c r="O106" s="84">
        <v>188</v>
      </c>
      <c r="P106" s="84">
        <v>321</v>
      </c>
      <c r="Q106" s="84">
        <v>985</v>
      </c>
      <c r="R106" s="84">
        <v>1765</v>
      </c>
      <c r="S106" s="84">
        <v>2069</v>
      </c>
      <c r="T106" s="84">
        <v>2915</v>
      </c>
      <c r="U106" s="84">
        <v>5243</v>
      </c>
      <c r="V106" s="84">
        <v>6315</v>
      </c>
      <c r="W106" s="84">
        <v>9441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920109</v>
      </c>
      <c r="C107" s="110">
        <f t="shared" si="164"/>
        <v>919808</v>
      </c>
      <c r="D107" s="110">
        <f t="shared" ref="D107:V107" si="165">SUM(D108:D109)</f>
        <v>923741</v>
      </c>
      <c r="E107" s="110">
        <f t="shared" si="165"/>
        <v>925968</v>
      </c>
      <c r="F107" s="110">
        <f t="shared" si="165"/>
        <v>923252</v>
      </c>
      <c r="G107" s="110">
        <f t="shared" si="165"/>
        <v>924628</v>
      </c>
      <c r="H107" s="110">
        <f t="shared" si="165"/>
        <v>935679</v>
      </c>
      <c r="I107" s="110">
        <f t="shared" si="165"/>
        <v>939436</v>
      </c>
      <c r="J107" s="110">
        <f t="shared" si="165"/>
        <v>938104</v>
      </c>
      <c r="K107" s="110">
        <f t="shared" si="165"/>
        <v>933714</v>
      </c>
      <c r="L107" s="110">
        <f t="shared" si="165"/>
        <v>923185</v>
      </c>
      <c r="M107" s="110">
        <f t="shared" si="165"/>
        <v>923705</v>
      </c>
      <c r="N107" s="110">
        <f t="shared" si="165"/>
        <v>904219</v>
      </c>
      <c r="O107" s="110">
        <f t="shared" si="165"/>
        <v>882369</v>
      </c>
      <c r="P107" s="110">
        <f t="shared" si="165"/>
        <v>869598</v>
      </c>
      <c r="Q107" s="110">
        <f t="shared" si="165"/>
        <v>869145</v>
      </c>
      <c r="R107" s="110">
        <f t="shared" si="165"/>
        <v>807818</v>
      </c>
      <c r="S107" s="110">
        <f t="shared" si="165"/>
        <v>775413</v>
      </c>
      <c r="T107" s="110">
        <f t="shared" si="165"/>
        <v>777794</v>
      </c>
      <c r="U107" s="110">
        <f t="shared" si="165"/>
        <v>776349</v>
      </c>
      <c r="V107" s="110">
        <f t="shared" si="165"/>
        <v>737374</v>
      </c>
      <c r="W107" s="110">
        <f t="shared" ref="W107" si="166">SUM(W108:W109)</f>
        <v>744712</v>
      </c>
      <c r="DA107" s="176"/>
    </row>
    <row r="108" spans="1:105" ht="11.45" hidden="1" customHeight="1" x14ac:dyDescent="0.25">
      <c r="A108" s="128" t="s">
        <v>27</v>
      </c>
      <c r="B108" s="102">
        <v>900818</v>
      </c>
      <c r="C108" s="102">
        <v>899128</v>
      </c>
      <c r="D108" s="102">
        <v>901986</v>
      </c>
      <c r="E108" s="102">
        <v>903734</v>
      </c>
      <c r="F108" s="102">
        <v>896965</v>
      </c>
      <c r="G108" s="102">
        <v>897429</v>
      </c>
      <c r="H108" s="102">
        <v>906748</v>
      </c>
      <c r="I108" s="102">
        <v>910772</v>
      </c>
      <c r="J108" s="102">
        <v>907938</v>
      </c>
      <c r="K108" s="102">
        <v>907312</v>
      </c>
      <c r="L108" s="102">
        <v>894676</v>
      </c>
      <c r="M108" s="102">
        <v>899032</v>
      </c>
      <c r="N108" s="102">
        <v>881105</v>
      </c>
      <c r="O108" s="102">
        <v>857499</v>
      </c>
      <c r="P108" s="102">
        <v>844072</v>
      </c>
      <c r="Q108" s="102">
        <v>844057</v>
      </c>
      <c r="R108" s="102">
        <v>781290</v>
      </c>
      <c r="S108" s="102">
        <v>745799</v>
      </c>
      <c r="T108" s="102">
        <v>749102</v>
      </c>
      <c r="U108" s="102">
        <v>746469</v>
      </c>
      <c r="V108" s="102">
        <v>707966</v>
      </c>
      <c r="W108" s="102">
        <v>711751</v>
      </c>
      <c r="DA108" s="175"/>
    </row>
    <row r="109" spans="1:105" ht="11.45" hidden="1" customHeight="1" x14ac:dyDescent="0.25">
      <c r="A109" s="138" t="s">
        <v>116</v>
      </c>
      <c r="B109" s="86">
        <v>19291</v>
      </c>
      <c r="C109" s="86">
        <v>20680</v>
      </c>
      <c r="D109" s="86">
        <v>21755</v>
      </c>
      <c r="E109" s="86">
        <v>22234</v>
      </c>
      <c r="F109" s="86">
        <v>26287</v>
      </c>
      <c r="G109" s="86">
        <v>27199</v>
      </c>
      <c r="H109" s="86">
        <v>28931</v>
      </c>
      <c r="I109" s="86">
        <v>28664</v>
      </c>
      <c r="J109" s="86">
        <v>30166</v>
      </c>
      <c r="K109" s="86">
        <v>26402</v>
      </c>
      <c r="L109" s="86">
        <v>28509</v>
      </c>
      <c r="M109" s="86">
        <v>24673</v>
      </c>
      <c r="N109" s="86">
        <v>23114</v>
      </c>
      <c r="O109" s="86">
        <v>24870</v>
      </c>
      <c r="P109" s="86">
        <v>25526</v>
      </c>
      <c r="Q109" s="86">
        <v>25088</v>
      </c>
      <c r="R109" s="86">
        <v>26528</v>
      </c>
      <c r="S109" s="86">
        <v>29614</v>
      </c>
      <c r="T109" s="86">
        <v>28692</v>
      </c>
      <c r="U109" s="86">
        <v>29880</v>
      </c>
      <c r="V109" s="86">
        <v>29408</v>
      </c>
      <c r="W109" s="86">
        <v>32961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3826176</v>
      </c>
      <c r="C111" s="54">
        <f t="shared" si="167"/>
        <v>4173177</v>
      </c>
      <c r="D111" s="54">
        <f t="shared" si="167"/>
        <v>4024581</v>
      </c>
      <c r="E111" s="54">
        <f t="shared" si="167"/>
        <v>4397251</v>
      </c>
      <c r="F111" s="54">
        <f t="shared" si="167"/>
        <v>4354181</v>
      </c>
      <c r="G111" s="54">
        <f t="shared" si="167"/>
        <v>4300944</v>
      </c>
      <c r="H111" s="54">
        <f t="shared" si="167"/>
        <v>4398808</v>
      </c>
      <c r="I111" s="54">
        <f t="shared" si="167"/>
        <v>4301688</v>
      </c>
      <c r="J111" s="54">
        <f t="shared" si="167"/>
        <v>3901324</v>
      </c>
      <c r="K111" s="54">
        <f t="shared" si="167"/>
        <v>3929100</v>
      </c>
      <c r="L111" s="54">
        <f t="shared" ref="L111" si="168">L112+L127</f>
        <v>3566481</v>
      </c>
      <c r="M111" s="54">
        <f t="shared" ref="M111:V111" si="169">M112+M127</f>
        <v>3245949</v>
      </c>
      <c r="N111" s="54">
        <f t="shared" si="169"/>
        <v>2772269</v>
      </c>
      <c r="O111" s="54">
        <f t="shared" si="169"/>
        <v>2990300</v>
      </c>
      <c r="P111" s="54">
        <f t="shared" si="169"/>
        <v>3064173</v>
      </c>
      <c r="Q111" s="54">
        <f t="shared" si="169"/>
        <v>3125143</v>
      </c>
      <c r="R111" s="54">
        <f t="shared" si="169"/>
        <v>2875318</v>
      </c>
      <c r="S111" s="54">
        <f t="shared" si="169"/>
        <v>3092301</v>
      </c>
      <c r="T111" s="54">
        <f t="shared" si="169"/>
        <v>3140065</v>
      </c>
      <c r="U111" s="54">
        <f t="shared" si="169"/>
        <v>3161557</v>
      </c>
      <c r="V111" s="54">
        <f t="shared" si="169"/>
        <v>2477791</v>
      </c>
      <c r="W111" s="54">
        <f t="shared" ref="W111" si="170">W112+W127</f>
        <v>3328649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3824247</v>
      </c>
      <c r="C112" s="28">
        <f t="shared" si="171"/>
        <v>3851450</v>
      </c>
      <c r="D112" s="28">
        <f t="shared" si="171"/>
        <v>3624280</v>
      </c>
      <c r="E112" s="28">
        <f t="shared" si="171"/>
        <v>4014228</v>
      </c>
      <c r="F112" s="28">
        <f t="shared" si="171"/>
        <v>4066513</v>
      </c>
      <c r="G112" s="28">
        <f t="shared" si="171"/>
        <v>3895408</v>
      </c>
      <c r="H112" s="28">
        <f t="shared" si="171"/>
        <v>3985593</v>
      </c>
      <c r="I112" s="28">
        <f t="shared" si="171"/>
        <v>3907776</v>
      </c>
      <c r="J112" s="28">
        <f t="shared" si="171"/>
        <v>3549094</v>
      </c>
      <c r="K112" s="28">
        <f t="shared" si="171"/>
        <v>3588900</v>
      </c>
      <c r="L112" s="28">
        <f t="shared" ref="L112" si="172">L113+L114+L121</f>
        <v>3206268</v>
      </c>
      <c r="M112" s="28">
        <f t="shared" ref="M112:V112" si="173">M113+M114+M121</f>
        <v>2886992</v>
      </c>
      <c r="N112" s="28">
        <f t="shared" si="173"/>
        <v>2435790</v>
      </c>
      <c r="O112" s="28">
        <f t="shared" si="173"/>
        <v>2689091</v>
      </c>
      <c r="P112" s="28">
        <f t="shared" si="173"/>
        <v>2724432</v>
      </c>
      <c r="Q112" s="28">
        <f t="shared" si="173"/>
        <v>2757844</v>
      </c>
      <c r="R112" s="28">
        <f t="shared" si="173"/>
        <v>2504268</v>
      </c>
      <c r="S112" s="28">
        <f t="shared" si="173"/>
        <v>2708595</v>
      </c>
      <c r="T112" s="28">
        <f t="shared" si="173"/>
        <v>2748254</v>
      </c>
      <c r="U112" s="28">
        <f t="shared" si="173"/>
        <v>2766298</v>
      </c>
      <c r="V112" s="28">
        <f t="shared" si="173"/>
        <v>2160767</v>
      </c>
      <c r="W112" s="28">
        <f t="shared" ref="W112" si="174">W113+W114+W121</f>
        <v>2937786</v>
      </c>
      <c r="DA112" s="173" t="s">
        <v>526</v>
      </c>
    </row>
    <row r="113" spans="1:105" ht="11.45" customHeight="1" x14ac:dyDescent="0.25">
      <c r="A113" s="136" t="s">
        <v>180</v>
      </c>
      <c r="B113" s="137">
        <v>839390</v>
      </c>
      <c r="C113" s="137">
        <v>829787</v>
      </c>
      <c r="D113" s="137">
        <v>757902</v>
      </c>
      <c r="E113" s="137">
        <v>820302</v>
      </c>
      <c r="F113" s="137">
        <v>674382</v>
      </c>
      <c r="G113" s="137">
        <v>672765</v>
      </c>
      <c r="H113" s="137">
        <v>711979</v>
      </c>
      <c r="I113" s="137">
        <v>697534</v>
      </c>
      <c r="J113" s="137">
        <v>653198</v>
      </c>
      <c r="K113" s="137">
        <v>712994</v>
      </c>
      <c r="L113" s="137">
        <v>512702</v>
      </c>
      <c r="M113" s="137">
        <v>410030</v>
      </c>
      <c r="N113" s="137">
        <v>330066</v>
      </c>
      <c r="O113" s="137">
        <v>654931</v>
      </c>
      <c r="P113" s="137">
        <v>664723</v>
      </c>
      <c r="Q113" s="137">
        <v>475317</v>
      </c>
      <c r="R113" s="137">
        <v>404139</v>
      </c>
      <c r="S113" s="137">
        <v>433475</v>
      </c>
      <c r="T113" s="137">
        <v>439493</v>
      </c>
      <c r="U113" s="137">
        <v>491386</v>
      </c>
      <c r="V113" s="137">
        <v>403490</v>
      </c>
      <c r="W113" s="137">
        <v>1028582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2979534</v>
      </c>
      <c r="C114" s="110">
        <f t="shared" si="175"/>
        <v>3012300</v>
      </c>
      <c r="D114" s="110">
        <f t="shared" si="175"/>
        <v>2856676</v>
      </c>
      <c r="E114" s="110">
        <f t="shared" si="175"/>
        <v>3184841</v>
      </c>
      <c r="F114" s="110">
        <f t="shared" si="175"/>
        <v>3383888</v>
      </c>
      <c r="G114" s="110">
        <f t="shared" si="175"/>
        <v>3213139</v>
      </c>
      <c r="H114" s="110">
        <f t="shared" si="175"/>
        <v>3264134</v>
      </c>
      <c r="I114" s="110">
        <f t="shared" si="175"/>
        <v>3202283</v>
      </c>
      <c r="J114" s="110">
        <f t="shared" si="175"/>
        <v>2887318</v>
      </c>
      <c r="K114" s="110">
        <f t="shared" si="175"/>
        <v>2868854</v>
      </c>
      <c r="L114" s="110">
        <f t="shared" ref="L114" si="176">SUM(L115:L120)</f>
        <v>2686945</v>
      </c>
      <c r="M114" s="110">
        <f t="shared" ref="M114:V114" si="177">SUM(M115:M120)</f>
        <v>2469026</v>
      </c>
      <c r="N114" s="110">
        <f t="shared" si="177"/>
        <v>2101544</v>
      </c>
      <c r="O114" s="110">
        <f t="shared" si="177"/>
        <v>2029096</v>
      </c>
      <c r="P114" s="110">
        <f t="shared" si="177"/>
        <v>2053607</v>
      </c>
      <c r="Q114" s="110">
        <f t="shared" si="177"/>
        <v>2276511</v>
      </c>
      <c r="R114" s="110">
        <f t="shared" si="177"/>
        <v>2094979</v>
      </c>
      <c r="S114" s="110">
        <f t="shared" si="177"/>
        <v>2268320</v>
      </c>
      <c r="T114" s="110">
        <f t="shared" si="177"/>
        <v>2302015</v>
      </c>
      <c r="U114" s="110">
        <f t="shared" si="177"/>
        <v>2268747</v>
      </c>
      <c r="V114" s="110">
        <f t="shared" si="177"/>
        <v>1751263</v>
      </c>
      <c r="W114" s="110">
        <f t="shared" ref="W114" si="178">SUM(W115:W120)</f>
        <v>1902265</v>
      </c>
      <c r="DA114" s="176" t="s">
        <v>528</v>
      </c>
    </row>
    <row r="115" spans="1:105" ht="11.45" customHeight="1" x14ac:dyDescent="0.25">
      <c r="A115" s="111" t="s">
        <v>110</v>
      </c>
      <c r="B115" s="84">
        <v>1887051</v>
      </c>
      <c r="C115" s="84">
        <v>1741451</v>
      </c>
      <c r="D115" s="84">
        <v>1800395</v>
      </c>
      <c r="E115" s="84">
        <v>1800633</v>
      </c>
      <c r="F115" s="84">
        <v>1607297</v>
      </c>
      <c r="G115" s="84">
        <v>1435577</v>
      </c>
      <c r="H115" s="84">
        <v>1466449</v>
      </c>
      <c r="I115" s="84">
        <v>1476218</v>
      </c>
      <c r="J115" s="84">
        <v>1370819</v>
      </c>
      <c r="K115" s="84">
        <v>1225405</v>
      </c>
      <c r="L115" s="84">
        <v>1133337</v>
      </c>
      <c r="M115" s="84">
        <v>1104026</v>
      </c>
      <c r="N115" s="84">
        <v>876808</v>
      </c>
      <c r="O115" s="84">
        <v>816482</v>
      </c>
      <c r="P115" s="84">
        <v>848972</v>
      </c>
      <c r="Q115" s="84">
        <v>969064</v>
      </c>
      <c r="R115" s="84">
        <v>679684</v>
      </c>
      <c r="S115" s="84">
        <v>759053</v>
      </c>
      <c r="T115" s="84">
        <v>847008</v>
      </c>
      <c r="U115" s="84">
        <v>1050589</v>
      </c>
      <c r="V115" s="84">
        <v>816317</v>
      </c>
      <c r="W115" s="84">
        <v>944969</v>
      </c>
      <c r="DA115" s="171" t="s">
        <v>529</v>
      </c>
    </row>
    <row r="116" spans="1:105" ht="11.45" customHeight="1" x14ac:dyDescent="0.25">
      <c r="A116" s="111" t="s">
        <v>111</v>
      </c>
      <c r="B116" s="84">
        <v>1092483</v>
      </c>
      <c r="C116" s="84">
        <v>1223849</v>
      </c>
      <c r="D116" s="84">
        <v>1056281</v>
      </c>
      <c r="E116" s="84">
        <v>1368006</v>
      </c>
      <c r="F116" s="84">
        <v>1776591</v>
      </c>
      <c r="G116" s="84">
        <v>1649412</v>
      </c>
      <c r="H116" s="84">
        <v>1728684</v>
      </c>
      <c r="I116" s="84">
        <v>1644781</v>
      </c>
      <c r="J116" s="84">
        <v>1375629</v>
      </c>
      <c r="K116" s="84">
        <v>1181913</v>
      </c>
      <c r="L116" s="84">
        <v>1184555</v>
      </c>
      <c r="M116" s="84">
        <v>1264602</v>
      </c>
      <c r="N116" s="84">
        <v>1042193</v>
      </c>
      <c r="O116" s="84">
        <v>1009340</v>
      </c>
      <c r="P116" s="84">
        <v>985732</v>
      </c>
      <c r="Q116" s="84">
        <v>1121390</v>
      </c>
      <c r="R116" s="84">
        <v>1266962</v>
      </c>
      <c r="S116" s="84">
        <v>1342046</v>
      </c>
      <c r="T116" s="84">
        <v>1218304</v>
      </c>
      <c r="U116" s="84">
        <v>1025532</v>
      </c>
      <c r="V116" s="84">
        <v>746633</v>
      </c>
      <c r="W116" s="84">
        <v>685105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1000</v>
      </c>
      <c r="D117" s="84">
        <v>0</v>
      </c>
      <c r="E117" s="84">
        <v>12000</v>
      </c>
      <c r="F117" s="84">
        <v>0</v>
      </c>
      <c r="G117" s="84">
        <v>89150</v>
      </c>
      <c r="H117" s="84">
        <v>19001</v>
      </c>
      <c r="I117" s="84">
        <v>21660</v>
      </c>
      <c r="J117" s="84">
        <v>62069</v>
      </c>
      <c r="K117" s="84">
        <v>333715</v>
      </c>
      <c r="L117" s="84">
        <v>299600</v>
      </c>
      <c r="M117" s="84">
        <v>56658</v>
      </c>
      <c r="N117" s="84">
        <v>128126</v>
      </c>
      <c r="O117" s="84">
        <v>116100</v>
      </c>
      <c r="P117" s="84">
        <v>124635</v>
      </c>
      <c r="Q117" s="84">
        <v>120728</v>
      </c>
      <c r="R117" s="84">
        <v>101753</v>
      </c>
      <c r="S117" s="84">
        <v>128765</v>
      </c>
      <c r="T117" s="84">
        <v>187503</v>
      </c>
      <c r="U117" s="84">
        <v>137096</v>
      </c>
      <c r="V117" s="84">
        <v>94989</v>
      </c>
      <c r="W117" s="84">
        <v>108090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46000</v>
      </c>
      <c r="D118" s="84">
        <v>0</v>
      </c>
      <c r="E118" s="84">
        <v>4202</v>
      </c>
      <c r="F118" s="84">
        <v>0</v>
      </c>
      <c r="G118" s="84">
        <v>39000</v>
      </c>
      <c r="H118" s="84">
        <v>50000</v>
      </c>
      <c r="I118" s="84">
        <v>59624</v>
      </c>
      <c r="J118" s="84">
        <v>78801</v>
      </c>
      <c r="K118" s="84">
        <v>127821</v>
      </c>
      <c r="L118" s="84">
        <v>65772</v>
      </c>
      <c r="M118" s="84">
        <v>38303</v>
      </c>
      <c r="N118" s="84">
        <v>53658</v>
      </c>
      <c r="O118" s="84">
        <v>72387</v>
      </c>
      <c r="P118" s="84">
        <v>72387</v>
      </c>
      <c r="Q118" s="84">
        <v>62939</v>
      </c>
      <c r="R118" s="84">
        <v>43787</v>
      </c>
      <c r="S118" s="84">
        <v>32752</v>
      </c>
      <c r="T118" s="84">
        <v>39605</v>
      </c>
      <c r="U118" s="84">
        <v>38638</v>
      </c>
      <c r="V118" s="84">
        <v>32455</v>
      </c>
      <c r="W118" s="84">
        <v>31695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141</v>
      </c>
      <c r="O119" s="84">
        <v>13922</v>
      </c>
      <c r="P119" s="84">
        <v>20791</v>
      </c>
      <c r="Q119" s="84">
        <v>932</v>
      </c>
      <c r="R119" s="84">
        <v>1396</v>
      </c>
      <c r="S119" s="84">
        <v>3742</v>
      </c>
      <c r="T119" s="84">
        <v>4611</v>
      </c>
      <c r="U119" s="84">
        <v>6234</v>
      </c>
      <c r="V119" s="84">
        <v>28388</v>
      </c>
      <c r="W119" s="84">
        <v>63228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3681</v>
      </c>
      <c r="M120" s="84">
        <v>5437</v>
      </c>
      <c r="N120" s="84">
        <v>618</v>
      </c>
      <c r="O120" s="84">
        <v>865</v>
      </c>
      <c r="P120" s="84">
        <v>1090</v>
      </c>
      <c r="Q120" s="84">
        <v>1458</v>
      </c>
      <c r="R120" s="84">
        <v>1397</v>
      </c>
      <c r="S120" s="84">
        <v>1962</v>
      </c>
      <c r="T120" s="84">
        <v>4984</v>
      </c>
      <c r="U120" s="84">
        <v>10658</v>
      </c>
      <c r="V120" s="84">
        <v>32481</v>
      </c>
      <c r="W120" s="84">
        <v>69178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5323</v>
      </c>
      <c r="C121" s="110">
        <f t="shared" si="179"/>
        <v>9363</v>
      </c>
      <c r="D121" s="110">
        <f t="shared" si="179"/>
        <v>9702</v>
      </c>
      <c r="E121" s="110">
        <f t="shared" si="179"/>
        <v>9085</v>
      </c>
      <c r="F121" s="110">
        <f t="shared" si="179"/>
        <v>8243</v>
      </c>
      <c r="G121" s="110">
        <f t="shared" si="179"/>
        <v>9504</v>
      </c>
      <c r="H121" s="110">
        <f t="shared" si="179"/>
        <v>9480</v>
      </c>
      <c r="I121" s="110">
        <f t="shared" si="179"/>
        <v>7959</v>
      </c>
      <c r="J121" s="110">
        <f t="shared" si="179"/>
        <v>8578</v>
      </c>
      <c r="K121" s="110">
        <f t="shared" si="179"/>
        <v>7052</v>
      </c>
      <c r="L121" s="110">
        <f t="shared" ref="L121" si="180">SUM(L122:L126)</f>
        <v>6621</v>
      </c>
      <c r="M121" s="110">
        <f t="shared" ref="M121:V121" si="181">SUM(M122:M126)</f>
        <v>7936</v>
      </c>
      <c r="N121" s="110">
        <f t="shared" si="181"/>
        <v>4180</v>
      </c>
      <c r="O121" s="110">
        <f t="shared" si="181"/>
        <v>5064</v>
      </c>
      <c r="P121" s="110">
        <f t="shared" si="181"/>
        <v>6102</v>
      </c>
      <c r="Q121" s="110">
        <f t="shared" si="181"/>
        <v>6016</v>
      </c>
      <c r="R121" s="110">
        <f t="shared" si="181"/>
        <v>5150</v>
      </c>
      <c r="S121" s="110">
        <f t="shared" si="181"/>
        <v>6800</v>
      </c>
      <c r="T121" s="110">
        <f t="shared" si="181"/>
        <v>6746</v>
      </c>
      <c r="U121" s="110">
        <f t="shared" si="181"/>
        <v>6165</v>
      </c>
      <c r="V121" s="110">
        <f t="shared" si="181"/>
        <v>6014</v>
      </c>
      <c r="W121" s="110">
        <f t="shared" ref="W121" si="182">SUM(W122:W126)</f>
        <v>6939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10</v>
      </c>
      <c r="J122" s="102">
        <v>34</v>
      </c>
      <c r="K122" s="102">
        <v>25</v>
      </c>
      <c r="L122" s="102">
        <v>15</v>
      </c>
      <c r="M122" s="102">
        <v>9</v>
      </c>
      <c r="N122" s="102">
        <v>4</v>
      </c>
      <c r="O122" s="102">
        <v>472</v>
      </c>
      <c r="P122" s="102">
        <v>3</v>
      </c>
      <c r="Q122" s="102">
        <v>1</v>
      </c>
      <c r="R122" s="102">
        <v>0</v>
      </c>
      <c r="S122" s="102">
        <v>2</v>
      </c>
      <c r="T122" s="102">
        <v>0</v>
      </c>
      <c r="U122" s="102">
        <v>480</v>
      </c>
      <c r="V122" s="102">
        <v>17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5323</v>
      </c>
      <c r="C123" s="102">
        <v>9284</v>
      </c>
      <c r="D123" s="102">
        <v>9702</v>
      </c>
      <c r="E123" s="102">
        <v>8648</v>
      </c>
      <c r="F123" s="102">
        <v>8154</v>
      </c>
      <c r="G123" s="102">
        <v>8982</v>
      </c>
      <c r="H123" s="102">
        <v>8744</v>
      </c>
      <c r="I123" s="102">
        <v>7390</v>
      </c>
      <c r="J123" s="102">
        <v>7954</v>
      </c>
      <c r="K123" s="102">
        <v>6560</v>
      </c>
      <c r="L123" s="102">
        <v>6277</v>
      </c>
      <c r="M123" s="102">
        <v>7650</v>
      </c>
      <c r="N123" s="102">
        <v>3949</v>
      </c>
      <c r="O123" s="102">
        <v>3990</v>
      </c>
      <c r="P123" s="102">
        <v>6099</v>
      </c>
      <c r="Q123" s="102">
        <v>6015</v>
      </c>
      <c r="R123" s="102">
        <v>5031</v>
      </c>
      <c r="S123" s="102">
        <v>5926</v>
      </c>
      <c r="T123" s="102">
        <v>6232</v>
      </c>
      <c r="U123" s="102">
        <v>5211</v>
      </c>
      <c r="V123" s="102">
        <v>5769</v>
      </c>
      <c r="W123" s="102">
        <v>6344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9</v>
      </c>
      <c r="D124" s="102">
        <v>0</v>
      </c>
      <c r="E124" s="102">
        <v>13</v>
      </c>
      <c r="F124" s="102">
        <v>50</v>
      </c>
      <c r="G124" s="102">
        <v>64</v>
      </c>
      <c r="H124" s="102">
        <v>25</v>
      </c>
      <c r="I124" s="102">
        <v>46</v>
      </c>
      <c r="J124" s="102">
        <v>57</v>
      </c>
      <c r="K124" s="102">
        <v>121</v>
      </c>
      <c r="L124" s="102">
        <v>3</v>
      </c>
      <c r="M124" s="102">
        <v>0</v>
      </c>
      <c r="N124" s="102">
        <v>0</v>
      </c>
      <c r="O124" s="102">
        <v>1</v>
      </c>
      <c r="P124" s="102">
        <v>0</v>
      </c>
      <c r="Q124" s="102">
        <v>0</v>
      </c>
      <c r="R124" s="102">
        <v>0</v>
      </c>
      <c r="S124" s="102">
        <v>0</v>
      </c>
      <c r="T124" s="102">
        <v>41</v>
      </c>
      <c r="U124" s="102">
        <v>0</v>
      </c>
      <c r="V124" s="102">
        <v>6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70</v>
      </c>
      <c r="D125" s="102">
        <v>0</v>
      </c>
      <c r="E125" s="102">
        <v>424</v>
      </c>
      <c r="F125" s="102">
        <v>39</v>
      </c>
      <c r="G125" s="102">
        <v>458</v>
      </c>
      <c r="H125" s="102">
        <v>711</v>
      </c>
      <c r="I125" s="102">
        <v>513</v>
      </c>
      <c r="J125" s="102">
        <v>533</v>
      </c>
      <c r="K125" s="102">
        <v>346</v>
      </c>
      <c r="L125" s="102">
        <v>326</v>
      </c>
      <c r="M125" s="102">
        <v>277</v>
      </c>
      <c r="N125" s="102">
        <v>227</v>
      </c>
      <c r="O125" s="102">
        <v>107</v>
      </c>
      <c r="P125" s="102">
        <v>0</v>
      </c>
      <c r="Q125" s="102">
        <v>0</v>
      </c>
      <c r="R125" s="102">
        <v>119</v>
      </c>
      <c r="S125" s="102">
        <v>872</v>
      </c>
      <c r="T125" s="102">
        <v>413</v>
      </c>
      <c r="U125" s="102">
        <v>407</v>
      </c>
      <c r="V125" s="102">
        <v>168</v>
      </c>
      <c r="W125" s="102">
        <v>330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494</v>
      </c>
      <c r="P126" s="102">
        <v>0</v>
      </c>
      <c r="Q126" s="102">
        <v>0</v>
      </c>
      <c r="R126" s="102">
        <v>0</v>
      </c>
      <c r="S126" s="102">
        <v>0</v>
      </c>
      <c r="T126" s="102">
        <v>60</v>
      </c>
      <c r="U126" s="102">
        <v>67</v>
      </c>
      <c r="V126" s="102">
        <v>54</v>
      </c>
      <c r="W126" s="102">
        <v>264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1929</v>
      </c>
      <c r="C127" s="28">
        <f t="shared" si="183"/>
        <v>321727</v>
      </c>
      <c r="D127" s="28">
        <f t="shared" si="183"/>
        <v>400301</v>
      </c>
      <c r="E127" s="28">
        <f t="shared" si="183"/>
        <v>383023</v>
      </c>
      <c r="F127" s="28">
        <f t="shared" si="183"/>
        <v>287668</v>
      </c>
      <c r="G127" s="28">
        <f t="shared" si="183"/>
        <v>405536</v>
      </c>
      <c r="H127" s="28">
        <f t="shared" si="183"/>
        <v>413215</v>
      </c>
      <c r="I127" s="28">
        <f t="shared" si="183"/>
        <v>393912</v>
      </c>
      <c r="J127" s="28">
        <f t="shared" si="183"/>
        <v>352230</v>
      </c>
      <c r="K127" s="28">
        <f t="shared" si="183"/>
        <v>340200</v>
      </c>
      <c r="L127" s="28">
        <f t="shared" ref="L127" si="184">L128+L134</f>
        <v>360213</v>
      </c>
      <c r="M127" s="28">
        <f t="shared" ref="M127:V127" si="185">M128+M134</f>
        <v>358957</v>
      </c>
      <c r="N127" s="28">
        <f t="shared" si="185"/>
        <v>336479</v>
      </c>
      <c r="O127" s="28">
        <f t="shared" si="185"/>
        <v>301209</v>
      </c>
      <c r="P127" s="28">
        <f t="shared" si="185"/>
        <v>339741</v>
      </c>
      <c r="Q127" s="28">
        <f t="shared" si="185"/>
        <v>367299</v>
      </c>
      <c r="R127" s="28">
        <f t="shared" si="185"/>
        <v>371050</v>
      </c>
      <c r="S127" s="28">
        <f t="shared" si="185"/>
        <v>383706</v>
      </c>
      <c r="T127" s="28">
        <f t="shared" si="185"/>
        <v>391811</v>
      </c>
      <c r="U127" s="28">
        <f t="shared" si="185"/>
        <v>395259</v>
      </c>
      <c r="V127" s="28">
        <f t="shared" si="185"/>
        <v>317024</v>
      </c>
      <c r="W127" s="28">
        <f t="shared" ref="W127" si="186">W128+W134</f>
        <v>390863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283279</v>
      </c>
      <c r="D128" s="137">
        <f t="shared" si="187"/>
        <v>355254</v>
      </c>
      <c r="E128" s="137">
        <f t="shared" si="187"/>
        <v>333021</v>
      </c>
      <c r="F128" s="137">
        <f t="shared" si="187"/>
        <v>230112</v>
      </c>
      <c r="G128" s="137">
        <f t="shared" si="187"/>
        <v>344874</v>
      </c>
      <c r="H128" s="137">
        <f t="shared" si="187"/>
        <v>346717</v>
      </c>
      <c r="I128" s="137">
        <f t="shared" si="187"/>
        <v>325776</v>
      </c>
      <c r="J128" s="137">
        <f t="shared" si="187"/>
        <v>281914</v>
      </c>
      <c r="K128" s="137">
        <f t="shared" si="187"/>
        <v>276348</v>
      </c>
      <c r="L128" s="137">
        <f t="shared" ref="L128" si="188">SUM(L129:L133)</f>
        <v>291635</v>
      </c>
      <c r="M128" s="137">
        <f t="shared" ref="M128:V128" si="189">SUM(M129:M133)</f>
        <v>291286</v>
      </c>
      <c r="N128" s="137">
        <f t="shared" si="189"/>
        <v>281734</v>
      </c>
      <c r="O128" s="137">
        <f t="shared" si="189"/>
        <v>245162</v>
      </c>
      <c r="P128" s="137">
        <f t="shared" si="189"/>
        <v>276099</v>
      </c>
      <c r="Q128" s="137">
        <f t="shared" si="189"/>
        <v>298438</v>
      </c>
      <c r="R128" s="137">
        <f t="shared" si="189"/>
        <v>357925</v>
      </c>
      <c r="S128" s="137">
        <f t="shared" si="189"/>
        <v>347665</v>
      </c>
      <c r="T128" s="137">
        <f t="shared" si="189"/>
        <v>323827</v>
      </c>
      <c r="U128" s="137">
        <f t="shared" si="189"/>
        <v>332294</v>
      </c>
      <c r="V128" s="137">
        <f t="shared" si="189"/>
        <v>306725</v>
      </c>
      <c r="W128" s="137">
        <f t="shared" ref="W128" si="190">SUM(W129:W133)</f>
        <v>331499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21685</v>
      </c>
      <c r="D129" s="84">
        <v>27816</v>
      </c>
      <c r="E129" s="84">
        <v>25147</v>
      </c>
      <c r="F129" s="84">
        <v>15564</v>
      </c>
      <c r="G129" s="84">
        <v>25404</v>
      </c>
      <c r="H129" s="84">
        <v>25117</v>
      </c>
      <c r="I129" s="84">
        <v>0</v>
      </c>
      <c r="J129" s="84">
        <v>9568</v>
      </c>
      <c r="K129" s="84">
        <v>6139</v>
      </c>
      <c r="L129" s="84">
        <v>5125</v>
      </c>
      <c r="M129" s="84">
        <v>16429</v>
      </c>
      <c r="N129" s="84">
        <v>6319</v>
      </c>
      <c r="O129" s="84">
        <v>12099</v>
      </c>
      <c r="P129" s="84">
        <v>14099</v>
      </c>
      <c r="Q129" s="84">
        <v>11445</v>
      </c>
      <c r="R129" s="84">
        <v>11900</v>
      </c>
      <c r="S129" s="84">
        <v>9326</v>
      </c>
      <c r="T129" s="84">
        <v>12210</v>
      </c>
      <c r="U129" s="84">
        <v>18058</v>
      </c>
      <c r="V129" s="84">
        <v>15595</v>
      </c>
      <c r="W129" s="84">
        <v>29112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258445</v>
      </c>
      <c r="D130" s="84">
        <v>323456</v>
      </c>
      <c r="E130" s="84">
        <v>303587</v>
      </c>
      <c r="F130" s="84">
        <v>210623</v>
      </c>
      <c r="G130" s="84">
        <v>314162</v>
      </c>
      <c r="H130" s="84">
        <v>315687</v>
      </c>
      <c r="I130" s="84">
        <v>324905</v>
      </c>
      <c r="J130" s="84">
        <v>261469</v>
      </c>
      <c r="K130" s="84">
        <v>251841</v>
      </c>
      <c r="L130" s="84">
        <v>258097</v>
      </c>
      <c r="M130" s="84">
        <v>266609</v>
      </c>
      <c r="N130" s="84">
        <v>242967</v>
      </c>
      <c r="O130" s="84">
        <v>222185</v>
      </c>
      <c r="P130" s="84">
        <v>251871</v>
      </c>
      <c r="Q130" s="84">
        <v>277151</v>
      </c>
      <c r="R130" s="84">
        <v>334990</v>
      </c>
      <c r="S130" s="84">
        <v>330580</v>
      </c>
      <c r="T130" s="84">
        <v>301693</v>
      </c>
      <c r="U130" s="84">
        <v>301776</v>
      </c>
      <c r="V130" s="84">
        <v>282877</v>
      </c>
      <c r="W130" s="84">
        <v>289902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1437</v>
      </c>
      <c r="D131" s="84">
        <v>1799</v>
      </c>
      <c r="E131" s="84">
        <v>1885</v>
      </c>
      <c r="F131" s="84">
        <v>1651</v>
      </c>
      <c r="G131" s="84">
        <v>2233</v>
      </c>
      <c r="H131" s="84">
        <v>2429</v>
      </c>
      <c r="I131" s="84">
        <v>113</v>
      </c>
      <c r="J131" s="84">
        <v>3173</v>
      </c>
      <c r="K131" s="84">
        <v>6127</v>
      </c>
      <c r="L131" s="84">
        <v>6110</v>
      </c>
      <c r="M131" s="84">
        <v>3190</v>
      </c>
      <c r="N131" s="84">
        <v>9619</v>
      </c>
      <c r="O131" s="84">
        <v>3902</v>
      </c>
      <c r="P131" s="84">
        <v>4162</v>
      </c>
      <c r="Q131" s="84">
        <v>3932</v>
      </c>
      <c r="R131" s="84">
        <v>3052</v>
      </c>
      <c r="S131" s="84">
        <v>3201</v>
      </c>
      <c r="T131" s="84">
        <v>4104</v>
      </c>
      <c r="U131" s="84">
        <v>3796</v>
      </c>
      <c r="V131" s="84">
        <v>2391</v>
      </c>
      <c r="W131" s="84">
        <v>5151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1712</v>
      </c>
      <c r="D132" s="84">
        <v>2183</v>
      </c>
      <c r="E132" s="84">
        <v>2402</v>
      </c>
      <c r="F132" s="84">
        <v>2274</v>
      </c>
      <c r="G132" s="84">
        <v>3075</v>
      </c>
      <c r="H132" s="84">
        <v>3484</v>
      </c>
      <c r="I132" s="84">
        <v>758</v>
      </c>
      <c r="J132" s="84">
        <v>7704</v>
      </c>
      <c r="K132" s="84">
        <v>12241</v>
      </c>
      <c r="L132" s="84">
        <v>22303</v>
      </c>
      <c r="M132" s="84">
        <v>5056</v>
      </c>
      <c r="N132" s="84">
        <v>22434</v>
      </c>
      <c r="O132" s="84">
        <v>6788</v>
      </c>
      <c r="P132" s="84">
        <v>5646</v>
      </c>
      <c r="Q132" s="84">
        <v>5244</v>
      </c>
      <c r="R132" s="84">
        <v>7199</v>
      </c>
      <c r="S132" s="84">
        <v>4019</v>
      </c>
      <c r="T132" s="84">
        <v>4963</v>
      </c>
      <c r="U132" s="84">
        <v>6320</v>
      </c>
      <c r="V132" s="84">
        <v>4751</v>
      </c>
      <c r="W132" s="84">
        <v>3772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395</v>
      </c>
      <c r="O133" s="84">
        <v>188</v>
      </c>
      <c r="P133" s="84">
        <v>321</v>
      </c>
      <c r="Q133" s="84">
        <v>666</v>
      </c>
      <c r="R133" s="84">
        <v>784</v>
      </c>
      <c r="S133" s="84">
        <v>539</v>
      </c>
      <c r="T133" s="84">
        <v>857</v>
      </c>
      <c r="U133" s="84">
        <v>2344</v>
      </c>
      <c r="V133" s="84">
        <v>1111</v>
      </c>
      <c r="W133" s="84">
        <v>3562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1929</v>
      </c>
      <c r="C134" s="110">
        <f t="shared" si="191"/>
        <v>38448</v>
      </c>
      <c r="D134" s="110">
        <f t="shared" si="191"/>
        <v>45047</v>
      </c>
      <c r="E134" s="110">
        <f t="shared" si="191"/>
        <v>50002</v>
      </c>
      <c r="F134" s="110">
        <f t="shared" si="191"/>
        <v>57556</v>
      </c>
      <c r="G134" s="110">
        <f t="shared" si="191"/>
        <v>60662</v>
      </c>
      <c r="H134" s="110">
        <f t="shared" si="191"/>
        <v>66498</v>
      </c>
      <c r="I134" s="110">
        <f t="shared" si="191"/>
        <v>68136</v>
      </c>
      <c r="J134" s="110">
        <f t="shared" si="191"/>
        <v>70316</v>
      </c>
      <c r="K134" s="110">
        <f t="shared" si="191"/>
        <v>63852</v>
      </c>
      <c r="L134" s="110">
        <f t="shared" ref="L134" si="192">SUM(L135:L136)</f>
        <v>68578</v>
      </c>
      <c r="M134" s="110">
        <f t="shared" ref="M134:V134" si="193">SUM(M135:M136)</f>
        <v>67671</v>
      </c>
      <c r="N134" s="110">
        <f t="shared" si="193"/>
        <v>54745</v>
      </c>
      <c r="O134" s="110">
        <f t="shared" si="193"/>
        <v>56047</v>
      </c>
      <c r="P134" s="110">
        <f t="shared" si="193"/>
        <v>63642</v>
      </c>
      <c r="Q134" s="110">
        <f t="shared" si="193"/>
        <v>68861</v>
      </c>
      <c r="R134" s="110">
        <f t="shared" si="193"/>
        <v>13125</v>
      </c>
      <c r="S134" s="110">
        <f t="shared" si="193"/>
        <v>36041</v>
      </c>
      <c r="T134" s="110">
        <f t="shared" si="193"/>
        <v>67984</v>
      </c>
      <c r="U134" s="110">
        <f t="shared" si="193"/>
        <v>62965</v>
      </c>
      <c r="V134" s="110">
        <f t="shared" si="193"/>
        <v>10299</v>
      </c>
      <c r="W134" s="110">
        <f t="shared" ref="W134" si="194">SUM(W135:W136)</f>
        <v>59364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35170</v>
      </c>
      <c r="D135" s="102">
        <v>41760</v>
      </c>
      <c r="E135" s="102">
        <v>47024</v>
      </c>
      <c r="F135" s="102">
        <v>50775</v>
      </c>
      <c r="G135" s="102">
        <v>56790</v>
      </c>
      <c r="H135" s="102">
        <v>61635</v>
      </c>
      <c r="I135" s="102">
        <v>65166</v>
      </c>
      <c r="J135" s="102">
        <v>65551</v>
      </c>
      <c r="K135" s="102">
        <v>63852</v>
      </c>
      <c r="L135" s="102">
        <v>63395</v>
      </c>
      <c r="M135" s="102">
        <v>67671</v>
      </c>
      <c r="N135" s="102">
        <v>53101</v>
      </c>
      <c r="O135" s="102">
        <v>51063</v>
      </c>
      <c r="P135" s="102">
        <v>59725</v>
      </c>
      <c r="Q135" s="102">
        <v>66025</v>
      </c>
      <c r="R135" s="102">
        <v>8441</v>
      </c>
      <c r="S135" s="102">
        <v>29730</v>
      </c>
      <c r="T135" s="102">
        <v>65665</v>
      </c>
      <c r="U135" s="102">
        <v>58505</v>
      </c>
      <c r="V135" s="102">
        <v>7465</v>
      </c>
      <c r="W135" s="102">
        <v>52451</v>
      </c>
      <c r="DA135" s="175" t="s">
        <v>549</v>
      </c>
    </row>
    <row r="136" spans="1:105" ht="11.45" customHeight="1" x14ac:dyDescent="0.25">
      <c r="A136" s="138" t="s">
        <v>116</v>
      </c>
      <c r="B136" s="86">
        <v>1929</v>
      </c>
      <c r="C136" s="86">
        <v>3278</v>
      </c>
      <c r="D136" s="86">
        <v>3287</v>
      </c>
      <c r="E136" s="86">
        <v>2978</v>
      </c>
      <c r="F136" s="86">
        <v>6781</v>
      </c>
      <c r="G136" s="86">
        <v>3872</v>
      </c>
      <c r="H136" s="86">
        <v>4863</v>
      </c>
      <c r="I136" s="86">
        <v>2970</v>
      </c>
      <c r="J136" s="86">
        <v>4765</v>
      </c>
      <c r="K136" s="86">
        <v>0</v>
      </c>
      <c r="L136" s="86">
        <v>5183</v>
      </c>
      <c r="M136" s="86">
        <v>0</v>
      </c>
      <c r="N136" s="86">
        <v>1644</v>
      </c>
      <c r="O136" s="86">
        <v>4984</v>
      </c>
      <c r="P136" s="86">
        <v>3917</v>
      </c>
      <c r="Q136" s="86">
        <v>2836</v>
      </c>
      <c r="R136" s="86">
        <v>4684</v>
      </c>
      <c r="S136" s="86">
        <v>6311</v>
      </c>
      <c r="T136" s="86">
        <v>2319</v>
      </c>
      <c r="U136" s="86">
        <v>4460</v>
      </c>
      <c r="V136" s="86">
        <v>2834</v>
      </c>
      <c r="W136" s="86">
        <v>6913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2.1806047318005977</v>
      </c>
      <c r="C141" s="32">
        <f t="shared" si="195"/>
        <v>2.1120601084057862</v>
      </c>
      <c r="D141" s="32">
        <f t="shared" si="195"/>
        <v>2.1094933497218809</v>
      </c>
      <c r="E141" s="32">
        <f t="shared" si="195"/>
        <v>2.1094572624304906</v>
      </c>
      <c r="F141" s="32">
        <f t="shared" si="195"/>
        <v>2.1103788977265312</v>
      </c>
      <c r="G141" s="32">
        <f t="shared" si="195"/>
        <v>2.1158768604395326</v>
      </c>
      <c r="H141" s="32">
        <f t="shared" si="195"/>
        <v>2.1193404534056897</v>
      </c>
      <c r="I141" s="32">
        <f t="shared" si="195"/>
        <v>2.122727475396244</v>
      </c>
      <c r="J141" s="32">
        <f t="shared" si="195"/>
        <v>2.1196087832102624</v>
      </c>
      <c r="K141" s="32">
        <f t="shared" si="195"/>
        <v>2.1071565455021823</v>
      </c>
      <c r="L141" s="32">
        <f t="shared" ref="L141" si="196">IF(L4=0,0,L4/L31)</f>
        <v>2.1081979268289515</v>
      </c>
      <c r="M141" s="32">
        <f t="shared" ref="M141:V141" si="197">IF(M4=0,0,M4/M31)</f>
        <v>2.058126566539181</v>
      </c>
      <c r="N141" s="32">
        <f t="shared" si="197"/>
        <v>1.9161424848955944</v>
      </c>
      <c r="O141" s="32">
        <f t="shared" si="197"/>
        <v>2.004727002516399</v>
      </c>
      <c r="P141" s="32">
        <f t="shared" si="197"/>
        <v>1.9267295905006923</v>
      </c>
      <c r="Q141" s="32">
        <f t="shared" si="197"/>
        <v>1.9916903314741841</v>
      </c>
      <c r="R141" s="32">
        <f t="shared" si="197"/>
        <v>2.0112449104730539</v>
      </c>
      <c r="S141" s="32">
        <f t="shared" si="197"/>
        <v>2.0587779888455335</v>
      </c>
      <c r="T141" s="32">
        <f t="shared" si="197"/>
        <v>2.0832147647920891</v>
      </c>
      <c r="U141" s="32">
        <f t="shared" si="197"/>
        <v>2.098763120208464</v>
      </c>
      <c r="V141" s="32">
        <f t="shared" si="197"/>
        <v>1.7403883078579565</v>
      </c>
      <c r="W141" s="32">
        <f t="shared" ref="W141" si="198">IF(W4=0,0,W4/W31)</f>
        <v>1.8808217071838962</v>
      </c>
      <c r="DA141" s="173" t="s">
        <v>551</v>
      </c>
    </row>
    <row r="142" spans="1:105" ht="11.45" customHeight="1" x14ac:dyDescent="0.25">
      <c r="A142" s="136" t="s">
        <v>180</v>
      </c>
      <c r="B142" s="141">
        <v>1.2731865432078979</v>
      </c>
      <c r="C142" s="141">
        <v>1.2879173539954014</v>
      </c>
      <c r="D142" s="141">
        <v>1.2795825719223712</v>
      </c>
      <c r="E142" s="141">
        <v>1.2746854537373362</v>
      </c>
      <c r="F142" s="141">
        <v>1.2874558952243025</v>
      </c>
      <c r="G142" s="141">
        <v>1.277774420875712</v>
      </c>
      <c r="H142" s="141">
        <v>1.2905729022061241</v>
      </c>
      <c r="I142" s="141">
        <v>1.2710950662285325</v>
      </c>
      <c r="J142" s="141">
        <v>1.2786852047540198</v>
      </c>
      <c r="K142" s="141">
        <v>1.2303055025509566</v>
      </c>
      <c r="L142" s="141">
        <v>1.2080269161792307</v>
      </c>
      <c r="M142" s="141">
        <v>1.263317550523521</v>
      </c>
      <c r="N142" s="141">
        <v>1.2669977012900271</v>
      </c>
      <c r="O142" s="141">
        <v>1.2749678335007535</v>
      </c>
      <c r="P142" s="141">
        <v>1.232501932709678</v>
      </c>
      <c r="Q142" s="141">
        <v>1.1839072497652154</v>
      </c>
      <c r="R142" s="141">
        <v>1.1850518924383762</v>
      </c>
      <c r="S142" s="141">
        <v>1.1834870493704372</v>
      </c>
      <c r="T142" s="141">
        <v>1.1821480198582968</v>
      </c>
      <c r="U142" s="141">
        <v>1.1831784768528912</v>
      </c>
      <c r="V142" s="141">
        <v>1.1817324220385572</v>
      </c>
      <c r="W142" s="141">
        <v>1.1818669600015828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2.0309425506050149</v>
      </c>
      <c r="C143" s="130">
        <f t="shared" si="199"/>
        <v>1.9563523097939917</v>
      </c>
      <c r="D143" s="130">
        <f t="shared" si="199"/>
        <v>1.9510831393871964</v>
      </c>
      <c r="E143" s="130">
        <f t="shared" si="199"/>
        <v>1.9511844582973403</v>
      </c>
      <c r="F143" s="130">
        <f t="shared" si="199"/>
        <v>1.9514700995451169</v>
      </c>
      <c r="G143" s="130">
        <f t="shared" si="199"/>
        <v>1.9448132029041654</v>
      </c>
      <c r="H143" s="130">
        <f t="shared" si="199"/>
        <v>1.9376971109683943</v>
      </c>
      <c r="I143" s="130">
        <f t="shared" si="199"/>
        <v>1.9350932176409157</v>
      </c>
      <c r="J143" s="130">
        <f t="shared" si="199"/>
        <v>1.9357133460988969</v>
      </c>
      <c r="K143" s="130">
        <f t="shared" si="199"/>
        <v>1.9344356802652181</v>
      </c>
      <c r="L143" s="130">
        <f t="shared" ref="L143" si="200">IF(L6=0,0,L6/L33)</f>
        <v>1.9331263667654495</v>
      </c>
      <c r="M143" s="130">
        <f t="shared" ref="M143:V143" si="201">IF(M6=0,0,M6/M33)</f>
        <v>1.8720551302331407</v>
      </c>
      <c r="N143" s="130">
        <f t="shared" si="201"/>
        <v>1.7048003381519743</v>
      </c>
      <c r="O143" s="130">
        <f t="shared" si="201"/>
        <v>1.8023924718682487</v>
      </c>
      <c r="P143" s="130">
        <f t="shared" si="201"/>
        <v>1.7336914049189498</v>
      </c>
      <c r="Q143" s="130">
        <f t="shared" si="201"/>
        <v>1.8112649211003149</v>
      </c>
      <c r="R143" s="130">
        <f t="shared" si="201"/>
        <v>1.8389582246641134</v>
      </c>
      <c r="S143" s="130">
        <f t="shared" si="201"/>
        <v>1.890882019959695</v>
      </c>
      <c r="T143" s="130">
        <f t="shared" si="201"/>
        <v>1.9069412843188625</v>
      </c>
      <c r="U143" s="130">
        <f t="shared" si="201"/>
        <v>1.9256585583878596</v>
      </c>
      <c r="V143" s="130">
        <f t="shared" si="201"/>
        <v>1.6263449045457292</v>
      </c>
      <c r="W143" s="130">
        <f t="shared" ref="W143" si="202">IF(W6=0,0,W6/W33)</f>
        <v>1.7117924064538868</v>
      </c>
      <c r="DA143" s="176" t="s">
        <v>553</v>
      </c>
    </row>
    <row r="144" spans="1:105" ht="11.45" customHeight="1" x14ac:dyDescent="0.25">
      <c r="A144" s="111" t="s">
        <v>110</v>
      </c>
      <c r="B144" s="96">
        <v>2.0183314843450693</v>
      </c>
      <c r="C144" s="96">
        <v>1.9418951737397172</v>
      </c>
      <c r="D144" s="96">
        <v>1.9333231458443676</v>
      </c>
      <c r="E144" s="96">
        <v>1.9313758481646435</v>
      </c>
      <c r="F144" s="96">
        <v>1.9271355774557146</v>
      </c>
      <c r="G144" s="96">
        <v>1.9188898491600903</v>
      </c>
      <c r="H144" s="96">
        <v>1.9068060434049761</v>
      </c>
      <c r="I144" s="96">
        <v>1.903107496466006</v>
      </c>
      <c r="J144" s="96">
        <v>1.9033553372861014</v>
      </c>
      <c r="K144" s="96">
        <v>1.9033179867693792</v>
      </c>
      <c r="L144" s="96">
        <v>1.90248151697999</v>
      </c>
      <c r="M144" s="96">
        <v>1.8421891975679858</v>
      </c>
      <c r="N144" s="96">
        <v>1.6762706575854263</v>
      </c>
      <c r="O144" s="96">
        <v>1.7717333510264131</v>
      </c>
      <c r="P144" s="96">
        <v>1.702676691799158</v>
      </c>
      <c r="Q144" s="96">
        <v>1.7785502146695487</v>
      </c>
      <c r="R144" s="96">
        <v>1.8048379194359456</v>
      </c>
      <c r="S144" s="96">
        <v>1.8551690753447545</v>
      </c>
      <c r="T144" s="96">
        <v>1.8707380215622442</v>
      </c>
      <c r="U144" s="96">
        <v>1.8897353651555622</v>
      </c>
      <c r="V144" s="96">
        <v>1.596148153589902</v>
      </c>
      <c r="W144" s="96">
        <v>1.6811845973627988</v>
      </c>
      <c r="DA144" s="171" t="s">
        <v>554</v>
      </c>
    </row>
    <row r="145" spans="1:105" ht="11.45" customHeight="1" x14ac:dyDescent="0.25">
      <c r="A145" s="111" t="s">
        <v>111</v>
      </c>
      <c r="B145" s="96">
        <v>2.0879912051669711</v>
      </c>
      <c r="C145" s="96">
        <v>2.0089168085491251</v>
      </c>
      <c r="D145" s="96">
        <v>2.0000489298112858</v>
      </c>
      <c r="E145" s="96">
        <v>1.9980344240372621</v>
      </c>
      <c r="F145" s="96">
        <v>1.993647806667201</v>
      </c>
      <c r="G145" s="96">
        <v>1.9851174892763248</v>
      </c>
      <c r="H145" s="96">
        <v>1.9726166288689428</v>
      </c>
      <c r="I145" s="96">
        <v>1.9687904320621412</v>
      </c>
      <c r="J145" s="96">
        <v>1.9690468267409409</v>
      </c>
      <c r="K145" s="96">
        <v>1.9690081871264735</v>
      </c>
      <c r="L145" s="96">
        <v>1.9681428478216167</v>
      </c>
      <c r="M145" s="96">
        <v>1.9057696283342176</v>
      </c>
      <c r="N145" s="96">
        <v>1.7341246557690977</v>
      </c>
      <c r="O145" s="96">
        <v>1.8328821026366577</v>
      </c>
      <c r="P145" s="96">
        <v>1.7614420551305312</v>
      </c>
      <c r="Q145" s="96">
        <v>1.839934240228569</v>
      </c>
      <c r="R145" s="96">
        <v>1.8671292261771104</v>
      </c>
      <c r="S145" s="96">
        <v>1.9191974873614628</v>
      </c>
      <c r="T145" s="96">
        <v>1.935303772690695</v>
      </c>
      <c r="U145" s="96">
        <v>1.9549567814516695</v>
      </c>
      <c r="V145" s="96">
        <v>1.6512368422576822</v>
      </c>
      <c r="W145" s="96">
        <v>1.739208192897391</v>
      </c>
      <c r="DA145" s="171" t="s">
        <v>555</v>
      </c>
    </row>
    <row r="146" spans="1:105" ht="11.45" customHeight="1" x14ac:dyDescent="0.25">
      <c r="A146" s="111" t="s">
        <v>112</v>
      </c>
      <c r="B146" s="96">
        <v>1.9700142740868645</v>
      </c>
      <c r="C146" s="96">
        <v>1.8976617405001719</v>
      </c>
      <c r="D146" s="96">
        <v>1.8925506452055805</v>
      </c>
      <c r="E146" s="96">
        <v>1.8926489245484204</v>
      </c>
      <c r="F146" s="96">
        <v>1.8929259965587637</v>
      </c>
      <c r="G146" s="96">
        <v>1.8864688068170405</v>
      </c>
      <c r="H146" s="96">
        <v>1.8795661976393423</v>
      </c>
      <c r="I146" s="96">
        <v>1.8770404211116885</v>
      </c>
      <c r="J146" s="96">
        <v>1.8776419457159299</v>
      </c>
      <c r="K146" s="96">
        <v>1.8764026098572615</v>
      </c>
      <c r="L146" s="96">
        <v>1.8751325757624859</v>
      </c>
      <c r="M146" s="96">
        <v>1.8158934763261467</v>
      </c>
      <c r="N146" s="96">
        <v>1.6536563280074152</v>
      </c>
      <c r="O146" s="96">
        <v>1.7483206977122008</v>
      </c>
      <c r="P146" s="96">
        <v>1.6816806627713807</v>
      </c>
      <c r="Q146" s="96">
        <v>1.7569269734673052</v>
      </c>
      <c r="R146" s="96">
        <v>1.7837894779241896</v>
      </c>
      <c r="S146" s="96">
        <v>1.8341555593609038</v>
      </c>
      <c r="T146" s="96">
        <v>1.8497330457892964</v>
      </c>
      <c r="U146" s="96">
        <v>1.8678888016362238</v>
      </c>
      <c r="V146" s="96">
        <v>1.577554557409357</v>
      </c>
      <c r="W146" s="96">
        <v>1.6604386342602702</v>
      </c>
      <c r="DA146" s="171" t="s">
        <v>556</v>
      </c>
    </row>
    <row r="147" spans="1:105" ht="11.45" customHeight="1" x14ac:dyDescent="0.25">
      <c r="A147" s="111" t="s">
        <v>113</v>
      </c>
      <c r="B147" s="96">
        <v>1.9700142740868645</v>
      </c>
      <c r="C147" s="96">
        <v>1.8976617405001719</v>
      </c>
      <c r="D147" s="96">
        <v>1.8925506452055807</v>
      </c>
      <c r="E147" s="96">
        <v>1.8926489245484199</v>
      </c>
      <c r="F147" s="96">
        <v>1.8929259965587637</v>
      </c>
      <c r="G147" s="96">
        <v>1.8864688068170403</v>
      </c>
      <c r="H147" s="96">
        <v>1.8795661976393423</v>
      </c>
      <c r="I147" s="96">
        <v>1.8770404211116882</v>
      </c>
      <c r="J147" s="96">
        <v>1.8776419457159299</v>
      </c>
      <c r="K147" s="96">
        <v>1.8764026098572615</v>
      </c>
      <c r="L147" s="96">
        <v>1.8751325757624859</v>
      </c>
      <c r="M147" s="96">
        <v>1.8158934763261465</v>
      </c>
      <c r="N147" s="96">
        <v>1.653656328007415</v>
      </c>
      <c r="O147" s="96">
        <v>1.7483206977122008</v>
      </c>
      <c r="P147" s="96">
        <v>1.681680662771381</v>
      </c>
      <c r="Q147" s="96">
        <v>1.756926973467305</v>
      </c>
      <c r="R147" s="96">
        <v>1.7837894779241898</v>
      </c>
      <c r="S147" s="96">
        <v>1.8341555593609038</v>
      </c>
      <c r="T147" s="96">
        <v>1.8497330457892962</v>
      </c>
      <c r="U147" s="96">
        <v>1.8678888016362238</v>
      </c>
      <c r="V147" s="96">
        <v>1.577554557409357</v>
      </c>
      <c r="W147" s="96">
        <v>1.6604386342602702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1.653656328007415</v>
      </c>
      <c r="O148" s="96">
        <v>1.7483206977122008</v>
      </c>
      <c r="P148" s="96">
        <v>1.681680662771381</v>
      </c>
      <c r="Q148" s="96">
        <v>1.7569269734673054</v>
      </c>
      <c r="R148" s="96">
        <v>1.7837894779241898</v>
      </c>
      <c r="S148" s="96">
        <v>1.8341555593609038</v>
      </c>
      <c r="T148" s="96">
        <v>1.8497330457892964</v>
      </c>
      <c r="U148" s="96">
        <v>1.8678888016362238</v>
      </c>
      <c r="V148" s="96">
        <v>1.577554557409357</v>
      </c>
      <c r="W148" s="96">
        <v>1.6604386342602702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1.7398137300889045</v>
      </c>
      <c r="M149" s="96">
        <v>1.6848496172098266</v>
      </c>
      <c r="N149" s="96">
        <v>1.5343203043367768</v>
      </c>
      <c r="O149" s="96">
        <v>1.6221532246814234</v>
      </c>
      <c r="P149" s="96">
        <v>1.5603222644270547</v>
      </c>
      <c r="Q149" s="96">
        <v>1.6301384289902829</v>
      </c>
      <c r="R149" s="96">
        <v>1.6550624021977021</v>
      </c>
      <c r="S149" s="96">
        <v>1.7017938179637253</v>
      </c>
      <c r="T149" s="96">
        <v>1.7162471558869763</v>
      </c>
      <c r="U149" s="96">
        <v>1.7330927025490739</v>
      </c>
      <c r="V149" s="96">
        <v>1.4637104140911561</v>
      </c>
      <c r="W149" s="96">
        <v>1.5406131658084981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24.442439030398255</v>
      </c>
      <c r="C150" s="130">
        <f t="shared" si="203"/>
        <v>24.441624826013953</v>
      </c>
      <c r="D150" s="130">
        <f t="shared" si="203"/>
        <v>24.439996498610558</v>
      </c>
      <c r="E150" s="130">
        <f t="shared" si="203"/>
        <v>24.436740169239322</v>
      </c>
      <c r="F150" s="130">
        <f t="shared" si="203"/>
        <v>24.430228812036745</v>
      </c>
      <c r="G150" s="130">
        <f t="shared" si="203"/>
        <v>24.417211302172781</v>
      </c>
      <c r="H150" s="130">
        <f t="shared" si="203"/>
        <v>24.391197087669383</v>
      </c>
      <c r="I150" s="130">
        <f t="shared" si="203"/>
        <v>24.339251776142358</v>
      </c>
      <c r="J150" s="130">
        <f t="shared" si="203"/>
        <v>24.235692797312549</v>
      </c>
      <c r="K150" s="130">
        <f t="shared" si="203"/>
        <v>23.911587466819672</v>
      </c>
      <c r="L150" s="130">
        <f t="shared" ref="L150" si="204">IF(L13=0,0,L13/L40)</f>
        <v>23.623526692858796</v>
      </c>
      <c r="M150" s="130">
        <f t="shared" ref="M150:V150" si="205">IF(M13=0,0,M13/M40)</f>
        <v>23.183729468709913</v>
      </c>
      <c r="N150" s="130">
        <f t="shared" si="205"/>
        <v>24.026508875739644</v>
      </c>
      <c r="O150" s="130">
        <f t="shared" si="205"/>
        <v>24.025023607176585</v>
      </c>
      <c r="P150" s="130">
        <f t="shared" si="205"/>
        <v>24.076346604215463</v>
      </c>
      <c r="Q150" s="130">
        <f t="shared" si="205"/>
        <v>23.73992589161649</v>
      </c>
      <c r="R150" s="130">
        <f t="shared" si="205"/>
        <v>23.740380244315073</v>
      </c>
      <c r="S150" s="130">
        <f t="shared" si="205"/>
        <v>23.739532520182646</v>
      </c>
      <c r="T150" s="130">
        <f t="shared" si="205"/>
        <v>23.738872212441734</v>
      </c>
      <c r="U150" s="130">
        <f t="shared" si="205"/>
        <v>23.735830242163168</v>
      </c>
      <c r="V150" s="130">
        <f t="shared" si="205"/>
        <v>13.227467349682387</v>
      </c>
      <c r="W150" s="130">
        <f t="shared" ref="W150" si="206">IF(W13=0,0,W13/W40)</f>
        <v>18.325412038783401</v>
      </c>
      <c r="DA150" s="176" t="s">
        <v>560</v>
      </c>
    </row>
    <row r="151" spans="1:105" ht="11.45" customHeight="1" x14ac:dyDescent="0.25">
      <c r="A151" s="111" t="s">
        <v>110</v>
      </c>
      <c r="B151" s="97">
        <v>9.4009380886147138</v>
      </c>
      <c r="C151" s="97">
        <v>9.4006249330822911</v>
      </c>
      <c r="D151" s="97">
        <v>9.3999986533117532</v>
      </c>
      <c r="E151" s="97">
        <v>9.3987462189382018</v>
      </c>
      <c r="F151" s="97">
        <v>9.3962418507833654</v>
      </c>
      <c r="G151" s="97">
        <v>9.3912351162203009</v>
      </c>
      <c r="H151" s="97">
        <v>9.3812296491036076</v>
      </c>
      <c r="I151" s="97">
        <v>9.3612506831316775</v>
      </c>
      <c r="J151" s="97">
        <v>9.3214203066586734</v>
      </c>
      <c r="K151" s="97">
        <v>9.196764410315259</v>
      </c>
      <c r="L151" s="97">
        <v>9.0859718049456895</v>
      </c>
      <c r="M151" s="97">
        <v>8.9168190264268912</v>
      </c>
      <c r="N151" s="97">
        <v>9.2409649522075554</v>
      </c>
      <c r="O151" s="97">
        <v>9.2403936950679189</v>
      </c>
      <c r="P151" s="97">
        <v>9.2601333093136393</v>
      </c>
      <c r="Q151" s="97">
        <v>9.1307407275448043</v>
      </c>
      <c r="R151" s="97">
        <v>9.13091547858272</v>
      </c>
      <c r="S151" s="97">
        <v>9.1305894308394819</v>
      </c>
      <c r="T151" s="97">
        <v>9.1303354663237428</v>
      </c>
      <c r="U151" s="97">
        <v>9.1291654777550644</v>
      </c>
      <c r="V151" s="97">
        <v>6.5087487442185523</v>
      </c>
      <c r="W151" s="97">
        <v>7.0482353995320768</v>
      </c>
      <c r="DA151" s="175" t="s">
        <v>561</v>
      </c>
    </row>
    <row r="152" spans="1:105" ht="11.45" customHeight="1" x14ac:dyDescent="0.25">
      <c r="A152" s="111" t="s">
        <v>111</v>
      </c>
      <c r="B152" s="97">
        <v>24.484448429283216</v>
      </c>
      <c r="C152" s="97">
        <v>24.478442671922945</v>
      </c>
      <c r="D152" s="97">
        <v>24.47408240067745</v>
      </c>
      <c r="E152" s="97">
        <v>24.463739850324313</v>
      </c>
      <c r="F152" s="97">
        <v>24.453204624343979</v>
      </c>
      <c r="G152" s="97">
        <v>24.438715750133888</v>
      </c>
      <c r="H152" s="97">
        <v>24.410986490725787</v>
      </c>
      <c r="I152" s="97">
        <v>24.357655341097033</v>
      </c>
      <c r="J152" s="97">
        <v>24.254388045571453</v>
      </c>
      <c r="K152" s="97">
        <v>23.931261431955647</v>
      </c>
      <c r="L152" s="97">
        <v>23.643035169066348</v>
      </c>
      <c r="M152" s="97">
        <v>23.20233008483628</v>
      </c>
      <c r="N152" s="97">
        <v>24.046417966529791</v>
      </c>
      <c r="O152" s="97">
        <v>24.063237137593347</v>
      </c>
      <c r="P152" s="97">
        <v>24.099871642890456</v>
      </c>
      <c r="Q152" s="97">
        <v>23.762785584206455</v>
      </c>
      <c r="R152" s="97">
        <v>23.762403889919028</v>
      </c>
      <c r="S152" s="97">
        <v>23.760383244280874</v>
      </c>
      <c r="T152" s="97">
        <v>23.758463273601901</v>
      </c>
      <c r="U152" s="97">
        <v>23.771068792005678</v>
      </c>
      <c r="V152" s="97">
        <v>13.243264523891574</v>
      </c>
      <c r="W152" s="97">
        <v>18.350535707854114</v>
      </c>
      <c r="DA152" s="175" t="s">
        <v>562</v>
      </c>
    </row>
    <row r="153" spans="1:105" ht="11.45" customHeight="1" x14ac:dyDescent="0.25">
      <c r="A153" s="111" t="s">
        <v>112</v>
      </c>
      <c r="B153" s="97">
        <v>24.484448429283216</v>
      </c>
      <c r="C153" s="97">
        <v>24.478442671922942</v>
      </c>
      <c r="D153" s="97">
        <v>24.47408240067745</v>
      </c>
      <c r="E153" s="97">
        <v>24.463739850324313</v>
      </c>
      <c r="F153" s="97">
        <v>24.453204624343979</v>
      </c>
      <c r="G153" s="97">
        <v>24.438715750133888</v>
      </c>
      <c r="H153" s="97">
        <v>24.410986490725787</v>
      </c>
      <c r="I153" s="97">
        <v>24.357655341097033</v>
      </c>
      <c r="J153" s="97">
        <v>24.254388045571456</v>
      </c>
      <c r="K153" s="97">
        <v>23.931261431955644</v>
      </c>
      <c r="L153" s="97">
        <v>23.643035169066348</v>
      </c>
      <c r="M153" s="97">
        <v>23.202330084836277</v>
      </c>
      <c r="N153" s="97">
        <v>24.046417966529791</v>
      </c>
      <c r="O153" s="97">
        <v>24.063237137593351</v>
      </c>
      <c r="P153" s="97">
        <v>24.099871642890456</v>
      </c>
      <c r="Q153" s="97">
        <v>23.762785584206455</v>
      </c>
      <c r="R153" s="97">
        <v>23.762403889919028</v>
      </c>
      <c r="S153" s="97">
        <v>23.760383244280877</v>
      </c>
      <c r="T153" s="97">
        <v>23.758463273601901</v>
      </c>
      <c r="U153" s="97">
        <v>23.771068792005675</v>
      </c>
      <c r="V153" s="97">
        <v>13.243264523891574</v>
      </c>
      <c r="W153" s="97">
        <v>18.35053570785411</v>
      </c>
      <c r="DA153" s="175" t="s">
        <v>563</v>
      </c>
    </row>
    <row r="154" spans="1:105" ht="11.45" customHeight="1" x14ac:dyDescent="0.25">
      <c r="A154" s="111" t="s">
        <v>113</v>
      </c>
      <c r="B154" s="97">
        <v>24.484448429283216</v>
      </c>
      <c r="C154" s="97">
        <v>24.478442671922942</v>
      </c>
      <c r="D154" s="97">
        <v>24.47408240067745</v>
      </c>
      <c r="E154" s="97">
        <v>24.463739850324309</v>
      </c>
      <c r="F154" s="97">
        <v>24.453204624343979</v>
      </c>
      <c r="G154" s="97">
        <v>24.438715750133888</v>
      </c>
      <c r="H154" s="97">
        <v>24.410986490725787</v>
      </c>
      <c r="I154" s="97">
        <v>24.357655341097033</v>
      </c>
      <c r="J154" s="97">
        <v>24.254388045571456</v>
      </c>
      <c r="K154" s="97">
        <v>23.931261431955644</v>
      </c>
      <c r="L154" s="97">
        <v>23.643035169066348</v>
      </c>
      <c r="M154" s="97">
        <v>23.202330084836277</v>
      </c>
      <c r="N154" s="97">
        <v>24.046417966529791</v>
      </c>
      <c r="O154" s="97">
        <v>24.063237137593347</v>
      </c>
      <c r="P154" s="97">
        <v>24.099871642890456</v>
      </c>
      <c r="Q154" s="97">
        <v>23.762785584206458</v>
      </c>
      <c r="R154" s="97">
        <v>23.762403889919028</v>
      </c>
      <c r="S154" s="97">
        <v>23.760383244280877</v>
      </c>
      <c r="T154" s="97">
        <v>23.758463273601901</v>
      </c>
      <c r="U154" s="97">
        <v>23.771068792005675</v>
      </c>
      <c r="V154" s="97">
        <v>13.243264523891574</v>
      </c>
      <c r="W154" s="97">
        <v>18.35053570785411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24.063237137593347</v>
      </c>
      <c r="P155" s="97">
        <v>24.099871642890459</v>
      </c>
      <c r="Q155" s="97">
        <v>23.762785584206455</v>
      </c>
      <c r="R155" s="97">
        <v>23.762403889919028</v>
      </c>
      <c r="S155" s="97">
        <v>23.760383244280877</v>
      </c>
      <c r="T155" s="97">
        <v>23.758463273601905</v>
      </c>
      <c r="U155" s="97">
        <v>23.771068792005675</v>
      </c>
      <c r="V155" s="97">
        <v>13.243264523891574</v>
      </c>
      <c r="W155" s="97">
        <v>18.35053570785411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2.7415072032990526</v>
      </c>
      <c r="C156" s="32">
        <f t="shared" si="207"/>
        <v>2.8460334405375165</v>
      </c>
      <c r="D156" s="32">
        <f t="shared" si="207"/>
        <v>2.8442819611603865</v>
      </c>
      <c r="E156" s="32">
        <f t="shared" si="207"/>
        <v>2.4324896867292161</v>
      </c>
      <c r="F156" s="32">
        <f t="shared" si="207"/>
        <v>2.4625270873994483</v>
      </c>
      <c r="G156" s="32">
        <f t="shared" si="207"/>
        <v>2.4201871621910471</v>
      </c>
      <c r="H156" s="32">
        <f t="shared" si="207"/>
        <v>2.5364837819190647</v>
      </c>
      <c r="I156" s="32">
        <f t="shared" si="207"/>
        <v>2.3372433083319559</v>
      </c>
      <c r="J156" s="32">
        <f t="shared" si="207"/>
        <v>2.3598508761790593</v>
      </c>
      <c r="K156" s="32">
        <f t="shared" si="207"/>
        <v>2.2541520756252145</v>
      </c>
      <c r="L156" s="32">
        <f t="shared" ref="L156" si="208">IF(L19=0,0,L19/L46)</f>
        <v>2.1737620153504325</v>
      </c>
      <c r="M156" s="32">
        <f t="shared" ref="M156:V156" si="209">IF(M19=0,0,M19/M46)</f>
        <v>1.8635249624188954</v>
      </c>
      <c r="N156" s="32">
        <f t="shared" si="209"/>
        <v>1.8675340894956969</v>
      </c>
      <c r="O156" s="32">
        <f t="shared" si="209"/>
        <v>2.0798194343345831</v>
      </c>
      <c r="P156" s="32">
        <f t="shared" si="209"/>
        <v>1.9103882348883541</v>
      </c>
      <c r="Q156" s="32">
        <f t="shared" si="209"/>
        <v>2.2708550947923407</v>
      </c>
      <c r="R156" s="32">
        <f t="shared" si="209"/>
        <v>2.350596372804139</v>
      </c>
      <c r="S156" s="32">
        <f t="shared" si="209"/>
        <v>2.457136960406213</v>
      </c>
      <c r="T156" s="32">
        <f t="shared" si="209"/>
        <v>2.4451154845945049</v>
      </c>
      <c r="U156" s="32">
        <f t="shared" si="209"/>
        <v>2.5651504931786593</v>
      </c>
      <c r="V156" s="32">
        <f t="shared" si="209"/>
        <v>2.5513798733978565</v>
      </c>
      <c r="W156" s="32">
        <f t="shared" ref="W156" si="210">IF(W19=0,0,W19/W46)</f>
        <v>2.3723173972067304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0.19318322244147154</v>
      </c>
      <c r="C157" s="141">
        <f t="shared" si="211"/>
        <v>0.19762337436180186</v>
      </c>
      <c r="D157" s="141">
        <f t="shared" si="211"/>
        <v>0.19886474011209493</v>
      </c>
      <c r="E157" s="141">
        <f t="shared" si="211"/>
        <v>0.19758813058911925</v>
      </c>
      <c r="F157" s="141">
        <f t="shared" si="211"/>
        <v>0.19536773833757914</v>
      </c>
      <c r="G157" s="141">
        <f t="shared" si="211"/>
        <v>0.1932926092709856</v>
      </c>
      <c r="H157" s="141">
        <f t="shared" si="211"/>
        <v>0.19939759997130746</v>
      </c>
      <c r="I157" s="141">
        <f t="shared" si="211"/>
        <v>0.19781150981491089</v>
      </c>
      <c r="J157" s="141">
        <f t="shared" si="211"/>
        <v>0.19895489637060518</v>
      </c>
      <c r="K157" s="141">
        <f t="shared" si="211"/>
        <v>0.19963821472290727</v>
      </c>
      <c r="L157" s="141">
        <f t="shared" ref="L157" si="212">IF(L20=0,0,L20/L47)</f>
        <v>0.19672772635413499</v>
      </c>
      <c r="M157" s="141">
        <f t="shared" ref="M157:V157" si="213">IF(M20=0,0,M20/M47)</f>
        <v>0.19562422547607439</v>
      </c>
      <c r="N157" s="141">
        <f t="shared" si="213"/>
        <v>0.2003956028922812</v>
      </c>
      <c r="O157" s="141">
        <f t="shared" si="213"/>
        <v>0.2048414605402252</v>
      </c>
      <c r="P157" s="141">
        <f t="shared" si="213"/>
        <v>0.2034049686370637</v>
      </c>
      <c r="Q157" s="141">
        <f t="shared" si="213"/>
        <v>0.21201475181849289</v>
      </c>
      <c r="R157" s="141">
        <f t="shared" si="213"/>
        <v>0.21545018331828178</v>
      </c>
      <c r="S157" s="141">
        <f t="shared" si="213"/>
        <v>0.21536798182941921</v>
      </c>
      <c r="T157" s="141">
        <f t="shared" si="213"/>
        <v>0.21434664102641418</v>
      </c>
      <c r="U157" s="141">
        <f t="shared" si="213"/>
        <v>0.21392302046288472</v>
      </c>
      <c r="V157" s="141">
        <f t="shared" si="213"/>
        <v>0.21594521526139976</v>
      </c>
      <c r="W157" s="141">
        <f t="shared" ref="W157" si="214">IF(W20=0,0,W20/W47)</f>
        <v>0.20899622018255817</v>
      </c>
      <c r="DA157" s="174" t="s">
        <v>567</v>
      </c>
    </row>
    <row r="158" spans="1:105" ht="11.45" customHeight="1" x14ac:dyDescent="0.25">
      <c r="A158" s="111" t="s">
        <v>110</v>
      </c>
      <c r="B158" s="96">
        <v>0.16636735321994434</v>
      </c>
      <c r="C158" s="96">
        <v>0.16639240752014814</v>
      </c>
      <c r="D158" s="96">
        <v>0.1664174655934357</v>
      </c>
      <c r="E158" s="96">
        <v>0.16644252744037524</v>
      </c>
      <c r="F158" s="96">
        <v>0.16646759306153505</v>
      </c>
      <c r="G158" s="96">
        <v>0.16649266245748351</v>
      </c>
      <c r="H158" s="96">
        <v>0.16707700500004616</v>
      </c>
      <c r="I158" s="96">
        <v>0.1669276838054872</v>
      </c>
      <c r="J158" s="96">
        <v>0.1669921395209121</v>
      </c>
      <c r="K158" s="96">
        <v>0.16704964726198013</v>
      </c>
      <c r="L158" s="96">
        <v>0.16666523635177388</v>
      </c>
      <c r="M158" s="96">
        <v>0.16658689545778407</v>
      </c>
      <c r="N158" s="96">
        <v>0.16701156763862388</v>
      </c>
      <c r="O158" s="96">
        <v>0.16741277778612518</v>
      </c>
      <c r="P158" s="96">
        <v>0.16731148105420099</v>
      </c>
      <c r="Q158" s="96">
        <v>0.16805752861755216</v>
      </c>
      <c r="R158" s="96">
        <v>0.16810107266626126</v>
      </c>
      <c r="S158" s="96">
        <v>0.16808014267736393</v>
      </c>
      <c r="T158" s="96">
        <v>0.16798387806666132</v>
      </c>
      <c r="U158" s="96">
        <v>0.16800500725850101</v>
      </c>
      <c r="V158" s="96">
        <v>0.1681819053948489</v>
      </c>
      <c r="W158" s="96">
        <v>0.16757280814805312</v>
      </c>
      <c r="DA158" s="171" t="s">
        <v>568</v>
      </c>
    </row>
    <row r="159" spans="1:105" ht="11.45" customHeight="1" x14ac:dyDescent="0.25">
      <c r="A159" s="111" t="s">
        <v>111</v>
      </c>
      <c r="B159" s="96">
        <v>0.19454935776660104</v>
      </c>
      <c r="C159" s="96">
        <v>0.19939555287500987</v>
      </c>
      <c r="D159" s="96">
        <v>0.20074337803998585</v>
      </c>
      <c r="E159" s="96">
        <v>0.19930722217957997</v>
      </c>
      <c r="F159" s="96">
        <v>0.19685168692524224</v>
      </c>
      <c r="G159" s="96">
        <v>0.19457989991034502</v>
      </c>
      <c r="H159" s="96">
        <v>0.20117440026372163</v>
      </c>
      <c r="I159" s="96">
        <v>0.19920032401572538</v>
      </c>
      <c r="J159" s="96">
        <v>0.20041866119354099</v>
      </c>
      <c r="K159" s="96">
        <v>0.20118514613903823</v>
      </c>
      <c r="L159" s="96">
        <v>0.19817072697806071</v>
      </c>
      <c r="M159" s="96">
        <v>0.19699697051526996</v>
      </c>
      <c r="N159" s="96">
        <v>0.20222530693391916</v>
      </c>
      <c r="O159" s="96">
        <v>0.20711276418847427</v>
      </c>
      <c r="P159" s="96">
        <v>0.2055311151539215</v>
      </c>
      <c r="Q159" s="96">
        <v>0.21507402517615593</v>
      </c>
      <c r="R159" s="96">
        <v>0.21895021188056366</v>
      </c>
      <c r="S159" s="96">
        <v>0.21869650396324131</v>
      </c>
      <c r="T159" s="96">
        <v>0.21752211234064978</v>
      </c>
      <c r="U159" s="96">
        <v>0.21707416473416433</v>
      </c>
      <c r="V159" s="96">
        <v>0.21933291366398466</v>
      </c>
      <c r="W159" s="96">
        <v>0.21153614145251085</v>
      </c>
      <c r="DA159" s="171" t="s">
        <v>569</v>
      </c>
    </row>
    <row r="160" spans="1:105" ht="11.45" customHeight="1" x14ac:dyDescent="0.25">
      <c r="A160" s="111" t="s">
        <v>112</v>
      </c>
      <c r="B160" s="96">
        <v>0.16303782638114367</v>
      </c>
      <c r="C160" s="96">
        <v>0.16311149613222004</v>
      </c>
      <c r="D160" s="96">
        <v>0.16318519917147464</v>
      </c>
      <c r="E160" s="96">
        <v>0.16325893551394899</v>
      </c>
      <c r="F160" s="96">
        <v>0.16333270517469134</v>
      </c>
      <c r="G160" s="96">
        <v>0.16340650816875679</v>
      </c>
      <c r="H160" s="96">
        <v>0.16513308684172467</v>
      </c>
      <c r="I160" s="96">
        <v>0.16469073083429842</v>
      </c>
      <c r="J160" s="96">
        <v>0.16488158039317272</v>
      </c>
      <c r="K160" s="96">
        <v>0.16505198182002903</v>
      </c>
      <c r="L160" s="96">
        <v>0.16391516008510668</v>
      </c>
      <c r="M160" s="96">
        <v>0.16368412405060476</v>
      </c>
      <c r="N160" s="96">
        <v>0.16493913480484654</v>
      </c>
      <c r="O160" s="96">
        <v>0.16613068737150122</v>
      </c>
      <c r="P160" s="96">
        <v>0.16582930687594638</v>
      </c>
      <c r="Q160" s="96">
        <v>0.16805752861755216</v>
      </c>
      <c r="R160" s="96">
        <v>0.16818819461365844</v>
      </c>
      <c r="S160" s="96">
        <v>0.16812537992633694</v>
      </c>
      <c r="T160" s="96">
        <v>0.16783667378192707</v>
      </c>
      <c r="U160" s="96">
        <v>0.16790001377721336</v>
      </c>
      <c r="V160" s="96">
        <v>0.16901092672726739</v>
      </c>
      <c r="W160" s="96">
        <v>0.16718127011057249</v>
      </c>
      <c r="DA160" s="171" t="s">
        <v>570</v>
      </c>
    </row>
    <row r="161" spans="1:105" ht="11.45" customHeight="1" x14ac:dyDescent="0.25">
      <c r="A161" s="111" t="s">
        <v>113</v>
      </c>
      <c r="B161" s="96">
        <v>0.16469417612582329</v>
      </c>
      <c r="C161" s="96">
        <v>0.16474378451296251</v>
      </c>
      <c r="D161" s="96">
        <v>0.16479340784290139</v>
      </c>
      <c r="E161" s="96">
        <v>0.16484304612014089</v>
      </c>
      <c r="F161" s="96">
        <v>0.16489269934918338</v>
      </c>
      <c r="G161" s="96">
        <v>0.16494236753453254</v>
      </c>
      <c r="H161" s="96">
        <v>0.16610220220071698</v>
      </c>
      <c r="I161" s="96">
        <v>0.16580543490007299</v>
      </c>
      <c r="J161" s="96">
        <v>0.16593350438487453</v>
      </c>
      <c r="K161" s="96">
        <v>0.16604781041292474</v>
      </c>
      <c r="L161" s="96">
        <v>0.1652844786942293</v>
      </c>
      <c r="M161" s="96">
        <v>0.16512913147387726</v>
      </c>
      <c r="N161" s="96">
        <v>0.16597211653984448</v>
      </c>
      <c r="O161" s="96">
        <v>0.16677050053406137</v>
      </c>
      <c r="P161" s="96">
        <v>0.16656874537441346</v>
      </c>
      <c r="Q161" s="96">
        <v>0.16805752861755216</v>
      </c>
      <c r="R161" s="96">
        <v>0.16814462799732224</v>
      </c>
      <c r="S161" s="96">
        <v>0.16810275978015568</v>
      </c>
      <c r="T161" s="96">
        <v>0.16791025979283469</v>
      </c>
      <c r="U161" s="96">
        <v>0.16795250231343128</v>
      </c>
      <c r="V161" s="96">
        <v>0.16830637422147449</v>
      </c>
      <c r="W161" s="96">
        <v>0.16708948573513316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0.16889990315162484</v>
      </c>
      <c r="N162" s="96">
        <v>0.16868502957824003</v>
      </c>
      <c r="O162" s="96">
        <v>0.1684827787603167</v>
      </c>
      <c r="P162" s="96">
        <v>0.16843179896793309</v>
      </c>
      <c r="Q162" s="96">
        <v>0.16805752861755216</v>
      </c>
      <c r="R162" s="96">
        <v>0.16774514291128664</v>
      </c>
      <c r="S162" s="96">
        <v>0.16742207397110645</v>
      </c>
      <c r="T162" s="96">
        <v>0.16713709337563759</v>
      </c>
      <c r="U162" s="96">
        <v>0.16681530035648703</v>
      </c>
      <c r="V162" s="96">
        <v>0.16813715795884082</v>
      </c>
      <c r="W162" s="96">
        <v>0.16703028450921706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15.758511072475411</v>
      </c>
      <c r="C163" s="130">
        <f t="shared" si="215"/>
        <v>15.933370327305113</v>
      </c>
      <c r="D163" s="130">
        <f t="shared" si="215"/>
        <v>16.439966982463638</v>
      </c>
      <c r="E163" s="130">
        <f t="shared" si="215"/>
        <v>15.315487213142845</v>
      </c>
      <c r="F163" s="130">
        <f t="shared" si="215"/>
        <v>14.406609052135719</v>
      </c>
      <c r="G163" s="130">
        <f t="shared" si="215"/>
        <v>15.041940550096296</v>
      </c>
      <c r="H163" s="130">
        <f t="shared" si="215"/>
        <v>15.905381645272341</v>
      </c>
      <c r="I163" s="130">
        <f t="shared" si="215"/>
        <v>15.363562126594744</v>
      </c>
      <c r="J163" s="130">
        <f t="shared" si="215"/>
        <v>15.653867174985168</v>
      </c>
      <c r="K163" s="130">
        <f t="shared" si="215"/>
        <v>15.224702971130595</v>
      </c>
      <c r="L163" s="130">
        <f t="shared" ref="L163" si="216">IF(L26=0,0,L26/L53)</f>
        <v>15.332165311405213</v>
      </c>
      <c r="M163" s="130">
        <f t="shared" ref="M163:V163" si="217">IF(M26=0,0,M26/M53)</f>
        <v>15.406728117746239</v>
      </c>
      <c r="N163" s="130">
        <f t="shared" si="217"/>
        <v>15.198907227492134</v>
      </c>
      <c r="O163" s="130">
        <f t="shared" si="217"/>
        <v>15.012529325213194</v>
      </c>
      <c r="P163" s="130">
        <f t="shared" si="217"/>
        <v>14.740286378469923</v>
      </c>
      <c r="Q163" s="130">
        <f t="shared" si="217"/>
        <v>14.974672207142689</v>
      </c>
      <c r="R163" s="130">
        <f t="shared" si="217"/>
        <v>14.714702000896061</v>
      </c>
      <c r="S163" s="130">
        <f t="shared" si="217"/>
        <v>15.032673764250863</v>
      </c>
      <c r="T163" s="130">
        <f t="shared" si="217"/>
        <v>15.354568456644662</v>
      </c>
      <c r="U163" s="130">
        <f t="shared" si="217"/>
        <v>15.79472626282662</v>
      </c>
      <c r="V163" s="130">
        <f t="shared" si="217"/>
        <v>15.784049419162274</v>
      </c>
      <c r="W163" s="130">
        <f t="shared" ref="W163" si="218">IF(W26=0,0,W26/W53)</f>
        <v>15.907695266420951</v>
      </c>
      <c r="DA163" s="176" t="s">
        <v>573</v>
      </c>
    </row>
    <row r="164" spans="1:105" ht="11.45" customHeight="1" x14ac:dyDescent="0.25">
      <c r="A164" s="128" t="s">
        <v>27</v>
      </c>
      <c r="B164" s="97">
        <v>16.007485332793848</v>
      </c>
      <c r="C164" s="97">
        <v>16.244908671005668</v>
      </c>
      <c r="D164" s="97">
        <v>16.848963267024523</v>
      </c>
      <c r="E164" s="97">
        <v>15.533087437622044</v>
      </c>
      <c r="F164" s="97">
        <v>14.491250572606505</v>
      </c>
      <c r="G164" s="97">
        <v>15.256246110073798</v>
      </c>
      <c r="H164" s="97">
        <v>16.376040459382573</v>
      </c>
      <c r="I164" s="97">
        <v>15.676404032092162</v>
      </c>
      <c r="J164" s="97">
        <v>16.127363501168471</v>
      </c>
      <c r="K164" s="97">
        <v>15.58326198630137</v>
      </c>
      <c r="L164" s="97">
        <v>15.624790619765495</v>
      </c>
      <c r="M164" s="97">
        <v>15.735888587626325</v>
      </c>
      <c r="N164" s="97">
        <v>15.502010816807655</v>
      </c>
      <c r="O164" s="97">
        <v>15.274178147592416</v>
      </c>
      <c r="P164" s="97">
        <v>14.930853391684902</v>
      </c>
      <c r="Q164" s="97">
        <v>15.277957147050191</v>
      </c>
      <c r="R164" s="97">
        <v>14.978640776699029</v>
      </c>
      <c r="S164" s="97">
        <v>15.389529852898759</v>
      </c>
      <c r="T164" s="97">
        <v>15.767038239029208</v>
      </c>
      <c r="U164" s="97">
        <v>16.36923693705733</v>
      </c>
      <c r="V164" s="97">
        <v>16.444119693806542</v>
      </c>
      <c r="W164" s="97">
        <v>16.582430340557277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13.993137904941618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10172.037933382222</v>
      </c>
      <c r="C167" s="54">
        <f t="shared" si="219"/>
        <v>10227.160940164595</v>
      </c>
      <c r="D167" s="54">
        <f t="shared" si="219"/>
        <v>10096.542496693823</v>
      </c>
      <c r="E167" s="54">
        <f t="shared" si="219"/>
        <v>10042.220774163485</v>
      </c>
      <c r="F167" s="54">
        <f t="shared" si="219"/>
        <v>10297.073466714117</v>
      </c>
      <c r="G167" s="54">
        <f t="shared" si="219"/>
        <v>9775.3627784067903</v>
      </c>
      <c r="H167" s="54">
        <f t="shared" si="219"/>
        <v>9412.5227047247499</v>
      </c>
      <c r="I167" s="54">
        <f t="shared" si="219"/>
        <v>9395.682856894422</v>
      </c>
      <c r="J167" s="54">
        <f t="shared" si="219"/>
        <v>9349.584355214216</v>
      </c>
      <c r="K167" s="54">
        <f t="shared" si="219"/>
        <v>9711.0911468098675</v>
      </c>
      <c r="L167" s="54">
        <f t="shared" si="219"/>
        <v>9401.9797234701182</v>
      </c>
      <c r="M167" s="54">
        <f>IF(M30=0,0,M30*1000000/M57)</f>
        <v>9306.308887830075</v>
      </c>
      <c r="N167" s="54">
        <f t="shared" ref="N167:V167" si="220">IF(N30=0,0,N30*1000000/N57)</f>
        <v>8849.5590337809499</v>
      </c>
      <c r="O167" s="54">
        <f t="shared" si="220"/>
        <v>8754.1892739404975</v>
      </c>
      <c r="P167" s="54">
        <f t="shared" si="220"/>
        <v>9254.3033544247301</v>
      </c>
      <c r="Q167" s="54">
        <f t="shared" si="220"/>
        <v>8958.9375501589511</v>
      </c>
      <c r="R167" s="54">
        <f t="shared" si="220"/>
        <v>9003.5503093599727</v>
      </c>
      <c r="S167" s="54">
        <f t="shared" si="220"/>
        <v>9145.1069640087117</v>
      </c>
      <c r="T167" s="54">
        <f t="shared" si="220"/>
        <v>8854.0737931202802</v>
      </c>
      <c r="U167" s="54">
        <f t="shared" si="220"/>
        <v>8823.197777698666</v>
      </c>
      <c r="V167" s="54">
        <f t="shared" si="220"/>
        <v>7219.3759023229686</v>
      </c>
      <c r="W167" s="54">
        <f t="shared" ref="W167:W191" si="221">IF(W30=0,0,W30*1000000/W57)</f>
        <v>7418.3934324078773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9353.80964334686</v>
      </c>
      <c r="C168" s="28">
        <f t="shared" si="219"/>
        <v>9548.4039139185425</v>
      </c>
      <c r="D168" s="28">
        <f t="shared" si="219"/>
        <v>9412.2965878329069</v>
      </c>
      <c r="E168" s="28">
        <f t="shared" si="219"/>
        <v>9285.5094165362461</v>
      </c>
      <c r="F168" s="28">
        <f t="shared" si="219"/>
        <v>9409.1250030488063</v>
      </c>
      <c r="G168" s="28">
        <f t="shared" si="219"/>
        <v>8710.7417304006103</v>
      </c>
      <c r="H168" s="28">
        <f t="shared" si="219"/>
        <v>8581.2218608621242</v>
      </c>
      <c r="I168" s="28">
        <f t="shared" si="219"/>
        <v>8459.2112187702151</v>
      </c>
      <c r="J168" s="28">
        <f t="shared" si="219"/>
        <v>8442.5170942808272</v>
      </c>
      <c r="K168" s="28">
        <f t="shared" si="219"/>
        <v>8870.4388589469745</v>
      </c>
      <c r="L168" s="28">
        <f t="shared" si="219"/>
        <v>8415.4598259406503</v>
      </c>
      <c r="M168" s="28">
        <f t="shared" ref="M168:M192" si="222">IF(M31=0,0,M31*1000000/M58)</f>
        <v>8291.4798001082818</v>
      </c>
      <c r="N168" s="28">
        <f t="shared" si="219"/>
        <v>8002.5327183021936</v>
      </c>
      <c r="O168" s="28">
        <f t="shared" si="219"/>
        <v>8060.5490170790599</v>
      </c>
      <c r="P168" s="28">
        <f t="shared" si="219"/>
        <v>8569.404128111215</v>
      </c>
      <c r="Q168" s="28">
        <f t="shared" si="219"/>
        <v>8522.4907271446773</v>
      </c>
      <c r="R168" s="28">
        <f t="shared" si="219"/>
        <v>8648.2958259899078</v>
      </c>
      <c r="S168" s="28">
        <f t="shared" si="219"/>
        <v>8777.9424123286844</v>
      </c>
      <c r="T168" s="28">
        <f t="shared" si="219"/>
        <v>8424.82505934658</v>
      </c>
      <c r="U168" s="28">
        <f t="shared" si="219"/>
        <v>8370.9769807815828</v>
      </c>
      <c r="V168" s="28">
        <f t="shared" si="219"/>
        <v>6655.051240467863</v>
      </c>
      <c r="W168" s="28">
        <f t="shared" si="221"/>
        <v>6652.811547908188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4002.0663013478256</v>
      </c>
      <c r="C169" s="137">
        <f t="shared" si="219"/>
        <v>3935.8133653817431</v>
      </c>
      <c r="D169" s="137">
        <f t="shared" si="219"/>
        <v>3741.7005251930109</v>
      </c>
      <c r="E169" s="137">
        <f t="shared" si="219"/>
        <v>3722.9093862990658</v>
      </c>
      <c r="F169" s="137">
        <f t="shared" si="219"/>
        <v>3836.6140950129779</v>
      </c>
      <c r="G169" s="137">
        <f t="shared" si="219"/>
        <v>3838.889374884659</v>
      </c>
      <c r="H169" s="137">
        <f t="shared" si="219"/>
        <v>3672.7894804860298</v>
      </c>
      <c r="I169" s="137">
        <f t="shared" si="219"/>
        <v>3301.5605731373953</v>
      </c>
      <c r="J169" s="137">
        <f t="shared" si="219"/>
        <v>3545.6292444036385</v>
      </c>
      <c r="K169" s="137">
        <f t="shared" si="219"/>
        <v>3372.9523462597995</v>
      </c>
      <c r="L169" s="137">
        <f t="shared" si="219"/>
        <v>3397.9108556170722</v>
      </c>
      <c r="M169" s="137">
        <f t="shared" si="222"/>
        <v>3536.396737308206</v>
      </c>
      <c r="N169" s="137">
        <f t="shared" si="219"/>
        <v>3672.7945526904209</v>
      </c>
      <c r="O169" s="137">
        <f t="shared" si="219"/>
        <v>3495.252665792485</v>
      </c>
      <c r="P169" s="137">
        <f t="shared" si="219"/>
        <v>3514.6482942813318</v>
      </c>
      <c r="Q169" s="137">
        <f t="shared" si="219"/>
        <v>3429.5618627709628</v>
      </c>
      <c r="R169" s="137">
        <f t="shared" si="219"/>
        <v>3449.986133494534</v>
      </c>
      <c r="S169" s="137">
        <f t="shared" si="219"/>
        <v>3210.980555558494</v>
      </c>
      <c r="T169" s="137">
        <f t="shared" si="219"/>
        <v>3018.029978867919</v>
      </c>
      <c r="U169" s="137">
        <f t="shared" si="219"/>
        <v>3150.1919970142744</v>
      </c>
      <c r="V169" s="137">
        <f t="shared" si="219"/>
        <v>2784.5219446449955</v>
      </c>
      <c r="W169" s="137">
        <f t="shared" si="221"/>
        <v>2782.3584314186492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10722.187893498787</v>
      </c>
      <c r="C170" s="110">
        <f t="shared" si="219"/>
        <v>11030.876701023401</v>
      </c>
      <c r="D170" s="110">
        <f t="shared" si="219"/>
        <v>10958.755609836357</v>
      </c>
      <c r="E170" s="110">
        <f t="shared" si="219"/>
        <v>10815.705294233825</v>
      </c>
      <c r="F170" s="110">
        <f t="shared" si="219"/>
        <v>10972.315990068386</v>
      </c>
      <c r="G170" s="110">
        <f t="shared" si="219"/>
        <v>10041.613349494473</v>
      </c>
      <c r="H170" s="110">
        <f t="shared" si="219"/>
        <v>9887.5069657339882</v>
      </c>
      <c r="I170" s="110">
        <f t="shared" si="219"/>
        <v>9806.1347021290931</v>
      </c>
      <c r="J170" s="110">
        <f t="shared" si="219"/>
        <v>9677.6270077011905</v>
      </c>
      <c r="K170" s="110">
        <f t="shared" si="219"/>
        <v>10231.938857195533</v>
      </c>
      <c r="L170" s="110">
        <f t="shared" si="219"/>
        <v>9626.650819659746</v>
      </c>
      <c r="M170" s="110">
        <f t="shared" si="222"/>
        <v>9416.0755320753888</v>
      </c>
      <c r="N170" s="110">
        <f t="shared" si="219"/>
        <v>8949.4641399404936</v>
      </c>
      <c r="O170" s="110">
        <f t="shared" si="219"/>
        <v>9085.6317763800253</v>
      </c>
      <c r="P170" s="110">
        <f t="shared" si="219"/>
        <v>9728.1294899397344</v>
      </c>
      <c r="Q170" s="110">
        <f t="shared" si="219"/>
        <v>9698.1128581546909</v>
      </c>
      <c r="R170" s="110">
        <f t="shared" si="219"/>
        <v>9854.892909176835</v>
      </c>
      <c r="S170" s="110">
        <f t="shared" si="219"/>
        <v>10090.344880958815</v>
      </c>
      <c r="T170" s="110">
        <f t="shared" si="219"/>
        <v>9715.6173649326829</v>
      </c>
      <c r="U170" s="110">
        <f t="shared" si="219"/>
        <v>9618.1627074903208</v>
      </c>
      <c r="V170" s="110">
        <f t="shared" si="219"/>
        <v>7559.3975890158808</v>
      </c>
      <c r="W170" s="110">
        <f t="shared" si="221"/>
        <v>7602.8813310045025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9275.588351348264</v>
      </c>
      <c r="C171" s="84">
        <f t="shared" si="219"/>
        <v>9404.159949665258</v>
      </c>
      <c r="D171" s="84">
        <f t="shared" si="219"/>
        <v>9003.2744986506459</v>
      </c>
      <c r="E171" s="84">
        <f t="shared" si="219"/>
        <v>8859.6799702682783</v>
      </c>
      <c r="F171" s="84">
        <f t="shared" si="219"/>
        <v>8449.7080603788982</v>
      </c>
      <c r="G171" s="84">
        <f t="shared" si="219"/>
        <v>7677.895146852481</v>
      </c>
      <c r="H171" s="84">
        <f t="shared" si="219"/>
        <v>6752.7880982611023</v>
      </c>
      <c r="I171" s="84">
        <f t="shared" si="219"/>
        <v>6724.4612088686181</v>
      </c>
      <c r="J171" s="84">
        <f t="shared" si="219"/>
        <v>6804.560619534509</v>
      </c>
      <c r="K171" s="84">
        <f t="shared" si="219"/>
        <v>7577.6227744512689</v>
      </c>
      <c r="L171" s="84">
        <f t="shared" si="219"/>
        <v>7252.6991158324518</v>
      </c>
      <c r="M171" s="84">
        <f t="shared" si="222"/>
        <v>7181.5000583198107</v>
      </c>
      <c r="N171" s="84">
        <f t="shared" si="219"/>
        <v>6401.2689640513627</v>
      </c>
      <c r="O171" s="84">
        <f t="shared" si="219"/>
        <v>6243.6908919830867</v>
      </c>
      <c r="P171" s="84">
        <f t="shared" si="219"/>
        <v>6413.9578597123545</v>
      </c>
      <c r="Q171" s="84">
        <f t="shared" si="219"/>
        <v>6280.8201563491148</v>
      </c>
      <c r="R171" s="84">
        <f t="shared" si="219"/>
        <v>6192.0502303638359</v>
      </c>
      <c r="S171" s="84">
        <f t="shared" si="219"/>
        <v>6172.7807571853209</v>
      </c>
      <c r="T171" s="84">
        <f t="shared" si="219"/>
        <v>5968.5380517383173</v>
      </c>
      <c r="U171" s="84">
        <f t="shared" si="219"/>
        <v>5977.6682202501761</v>
      </c>
      <c r="V171" s="84">
        <f t="shared" si="219"/>
        <v>4619.2702062264407</v>
      </c>
      <c r="W171" s="84">
        <f t="shared" si="221"/>
        <v>4725.9291041212655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17084.085590558163</v>
      </c>
      <c r="C172" s="84">
        <f t="shared" si="219"/>
        <v>17537.888984181129</v>
      </c>
      <c r="D172" s="84">
        <f t="shared" si="219"/>
        <v>17857.146423626426</v>
      </c>
      <c r="E172" s="84">
        <f t="shared" si="219"/>
        <v>16886.792075989171</v>
      </c>
      <c r="F172" s="84">
        <f t="shared" si="219"/>
        <v>17512.78893881966</v>
      </c>
      <c r="G172" s="84">
        <f t="shared" si="219"/>
        <v>15246.579271253304</v>
      </c>
      <c r="H172" s="84">
        <f t="shared" si="219"/>
        <v>15997.515994436721</v>
      </c>
      <c r="I172" s="84">
        <f t="shared" si="219"/>
        <v>15095.205232338218</v>
      </c>
      <c r="J172" s="84">
        <f t="shared" si="219"/>
        <v>14201.805831346624</v>
      </c>
      <c r="K172" s="84">
        <f t="shared" si="219"/>
        <v>14003.826196809825</v>
      </c>
      <c r="L172" s="84">
        <f t="shared" si="219"/>
        <v>12732.821774012507</v>
      </c>
      <c r="M172" s="84">
        <f t="shared" si="222"/>
        <v>12157.489239877077</v>
      </c>
      <c r="N172" s="84">
        <f t="shared" si="219"/>
        <v>11901.972724929718</v>
      </c>
      <c r="O172" s="84">
        <f t="shared" si="219"/>
        <v>12153.860372797435</v>
      </c>
      <c r="P172" s="84">
        <f t="shared" si="219"/>
        <v>13343.613043210002</v>
      </c>
      <c r="Q172" s="84">
        <f t="shared" si="219"/>
        <v>13133.929278765747</v>
      </c>
      <c r="R172" s="84">
        <f t="shared" si="219"/>
        <v>13540.147311674826</v>
      </c>
      <c r="S172" s="84">
        <f t="shared" si="219"/>
        <v>13924.263754533677</v>
      </c>
      <c r="T172" s="84">
        <f t="shared" si="219"/>
        <v>13127.315511990491</v>
      </c>
      <c r="U172" s="84">
        <f t="shared" si="219"/>
        <v>12878.236880762404</v>
      </c>
      <c r="V172" s="84">
        <f t="shared" si="219"/>
        <v>10154.398078541608</v>
      </c>
      <c r="W172" s="84">
        <f t="shared" si="221"/>
        <v>10092.038360047962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15161.703210806732</v>
      </c>
      <c r="C173" s="84">
        <f t="shared" si="219"/>
        <v>14763.191407129325</v>
      </c>
      <c r="D173" s="84">
        <f t="shared" si="219"/>
        <v>14838.59811578526</v>
      </c>
      <c r="E173" s="84">
        <f t="shared" si="219"/>
        <v>13658.48578181948</v>
      </c>
      <c r="F173" s="84">
        <f t="shared" si="219"/>
        <v>13867.296731609291</v>
      </c>
      <c r="G173" s="84">
        <f t="shared" si="219"/>
        <v>12625.83904977079</v>
      </c>
      <c r="H173" s="84">
        <f t="shared" si="219"/>
        <v>12413.093306345665</v>
      </c>
      <c r="I173" s="84">
        <f t="shared" si="219"/>
        <v>12309.261340826457</v>
      </c>
      <c r="J173" s="84">
        <f t="shared" si="219"/>
        <v>12155.507427410432</v>
      </c>
      <c r="K173" s="84">
        <f t="shared" si="219"/>
        <v>12882.582818160899</v>
      </c>
      <c r="L173" s="84">
        <f t="shared" si="219"/>
        <v>12093.192940442701</v>
      </c>
      <c r="M173" s="84">
        <f t="shared" si="222"/>
        <v>11814.71272719608</v>
      </c>
      <c r="N173" s="84">
        <f t="shared" si="219"/>
        <v>12059.771973369423</v>
      </c>
      <c r="O173" s="84">
        <f t="shared" si="219"/>
        <v>13227.909476325874</v>
      </c>
      <c r="P173" s="84">
        <f t="shared" si="219"/>
        <v>12911.825544560463</v>
      </c>
      <c r="Q173" s="84">
        <f t="shared" si="219"/>
        <v>13507.691932961048</v>
      </c>
      <c r="R173" s="84">
        <f t="shared" si="219"/>
        <v>13112.897580275767</v>
      </c>
      <c r="S173" s="84">
        <f t="shared" si="219"/>
        <v>13267.966805511454</v>
      </c>
      <c r="T173" s="84">
        <f t="shared" si="219"/>
        <v>12735.574679084268</v>
      </c>
      <c r="U173" s="84">
        <f t="shared" si="219"/>
        <v>12748.907108847907</v>
      </c>
      <c r="V173" s="84">
        <f t="shared" si="219"/>
        <v>10257.573953371744</v>
      </c>
      <c r="W173" s="84">
        <f t="shared" si="221"/>
        <v>10454.205216749519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13310.934353304629</v>
      </c>
      <c r="C174" s="84">
        <f t="shared" si="219"/>
        <v>13238.677489867765</v>
      </c>
      <c r="D174" s="84">
        <f t="shared" si="219"/>
        <v>13147.808642293114</v>
      </c>
      <c r="E174" s="84">
        <f t="shared" si="219"/>
        <v>12966.657466542161</v>
      </c>
      <c r="F174" s="84">
        <f t="shared" si="219"/>
        <v>13164.891744077657</v>
      </c>
      <c r="G174" s="84">
        <f t="shared" si="219"/>
        <v>11986.316257984283</v>
      </c>
      <c r="H174" s="84">
        <f t="shared" si="219"/>
        <v>11784.346491604296</v>
      </c>
      <c r="I174" s="84">
        <f t="shared" si="219"/>
        <v>11685.773812870208</v>
      </c>
      <c r="J174" s="84">
        <f t="shared" si="219"/>
        <v>11539.807827968743</v>
      </c>
      <c r="K174" s="84">
        <f t="shared" si="219"/>
        <v>12230.055465577498</v>
      </c>
      <c r="L174" s="84">
        <f t="shared" si="219"/>
        <v>11480.649688434023</v>
      </c>
      <c r="M174" s="84">
        <f t="shared" si="222"/>
        <v>11216.27502830991</v>
      </c>
      <c r="N174" s="84">
        <f t="shared" si="219"/>
        <v>10635.689364509924</v>
      </c>
      <c r="O174" s="84">
        <f t="shared" si="219"/>
        <v>10807.915450870132</v>
      </c>
      <c r="P174" s="84">
        <f t="shared" si="219"/>
        <v>11604.623614708242</v>
      </c>
      <c r="Q174" s="84">
        <f t="shared" si="219"/>
        <v>11541.151451962327</v>
      </c>
      <c r="R174" s="84">
        <f t="shared" si="219"/>
        <v>11976.878601979663</v>
      </c>
      <c r="S174" s="84">
        <f t="shared" si="219"/>
        <v>12568.007281831422</v>
      </c>
      <c r="T174" s="84">
        <f t="shared" si="219"/>
        <v>12090.493568698872</v>
      </c>
      <c r="U174" s="84">
        <f t="shared" si="219"/>
        <v>12103.150685505474</v>
      </c>
      <c r="V174" s="84">
        <f t="shared" si="219"/>
        <v>9738.0082987045498</v>
      </c>
      <c r="W174" s="84">
        <f t="shared" si="221"/>
        <v>9488.4369547192582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7101.6194987365616</v>
      </c>
      <c r="O175" s="84">
        <f t="shared" si="219"/>
        <v>7596.4395839494291</v>
      </c>
      <c r="P175" s="84">
        <f t="shared" si="219"/>
        <v>8585.6979042061193</v>
      </c>
      <c r="Q175" s="84">
        <f t="shared" si="219"/>
        <v>8988.1451904674268</v>
      </c>
      <c r="R175" s="84">
        <f t="shared" si="219"/>
        <v>8861.1113058088795</v>
      </c>
      <c r="S175" s="84">
        <f t="shared" si="219"/>
        <v>9298.4587318199028</v>
      </c>
      <c r="T175" s="84">
        <f t="shared" si="219"/>
        <v>8945.1695065773401</v>
      </c>
      <c r="U175" s="84">
        <f t="shared" si="219"/>
        <v>8954.5338931225451</v>
      </c>
      <c r="V175" s="84">
        <f t="shared" si="219"/>
        <v>7204.6798084309494</v>
      </c>
      <c r="W175" s="84">
        <f t="shared" si="221"/>
        <v>7020.0340813357061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14205.045930869359</v>
      </c>
      <c r="M176" s="84">
        <f t="shared" si="222"/>
        <v>14223.571260375948</v>
      </c>
      <c r="N176" s="84">
        <f t="shared" si="219"/>
        <v>14296.2544122942</v>
      </c>
      <c r="O176" s="84">
        <f t="shared" si="219"/>
        <v>14308.089529487266</v>
      </c>
      <c r="P176" s="84">
        <f t="shared" si="219"/>
        <v>14326.30157596515</v>
      </c>
      <c r="Q176" s="84">
        <f t="shared" si="219"/>
        <v>14336.224204657436</v>
      </c>
      <c r="R176" s="84">
        <f t="shared" si="219"/>
        <v>14326.024513362463</v>
      </c>
      <c r="S176" s="84">
        <f t="shared" si="219"/>
        <v>14323.792103880933</v>
      </c>
      <c r="T176" s="84">
        <f t="shared" si="219"/>
        <v>14299.714437046601</v>
      </c>
      <c r="U176" s="84">
        <f t="shared" si="219"/>
        <v>14298.621589359867</v>
      </c>
      <c r="V176" s="84">
        <f t="shared" si="219"/>
        <v>11784.88484554461</v>
      </c>
      <c r="W176" s="84">
        <f t="shared" si="221"/>
        <v>14131.619734633317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43349.988024295468</v>
      </c>
      <c r="C177" s="110">
        <f t="shared" si="219"/>
        <v>43525.504415135241</v>
      </c>
      <c r="D177" s="110">
        <f t="shared" si="219"/>
        <v>43338.979238833708</v>
      </c>
      <c r="E177" s="110">
        <f t="shared" si="219"/>
        <v>43402.0019912926</v>
      </c>
      <c r="F177" s="110">
        <f t="shared" si="219"/>
        <v>43967.801998540985</v>
      </c>
      <c r="G177" s="110">
        <f t="shared" si="219"/>
        <v>43780.96072122419</v>
      </c>
      <c r="H177" s="110">
        <f t="shared" si="219"/>
        <v>43963.453215843241</v>
      </c>
      <c r="I177" s="110">
        <f t="shared" si="219"/>
        <v>43744.023107960224</v>
      </c>
      <c r="J177" s="110">
        <f t="shared" si="219"/>
        <v>43308.105250536908</v>
      </c>
      <c r="K177" s="110">
        <f t="shared" si="219"/>
        <v>43614.074290601035</v>
      </c>
      <c r="L177" s="110">
        <f t="shared" si="219"/>
        <v>44497.691303051179</v>
      </c>
      <c r="M177" s="110">
        <f t="shared" si="222"/>
        <v>44871.275753232163</v>
      </c>
      <c r="N177" s="110">
        <f t="shared" si="219"/>
        <v>43939.015766046839</v>
      </c>
      <c r="O177" s="110">
        <f t="shared" si="219"/>
        <v>44655.281467425681</v>
      </c>
      <c r="P177" s="110">
        <f t="shared" si="219"/>
        <v>45295.908517115902</v>
      </c>
      <c r="Q177" s="110">
        <f t="shared" si="219"/>
        <v>45928.352620830497</v>
      </c>
      <c r="R177" s="110">
        <f t="shared" si="219"/>
        <v>45921.228620715701</v>
      </c>
      <c r="S177" s="110">
        <f t="shared" si="219"/>
        <v>45490.456473202066</v>
      </c>
      <c r="T177" s="110">
        <f t="shared" si="219"/>
        <v>45188.788338889237</v>
      </c>
      <c r="U177" s="110">
        <f t="shared" si="219"/>
        <v>45728.885671432101</v>
      </c>
      <c r="V177" s="110">
        <f t="shared" si="219"/>
        <v>45580.57361318171</v>
      </c>
      <c r="W177" s="110">
        <f t="shared" si="221"/>
        <v>45586.774477664119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10497.987663801014</v>
      </c>
      <c r="C178" s="102">
        <f t="shared" si="219"/>
        <v>10335.904222136294</v>
      </c>
      <c r="D178" s="102">
        <f t="shared" si="219"/>
        <v>10087.648659923661</v>
      </c>
      <c r="E178" s="102">
        <f t="shared" si="219"/>
        <v>9904.954486180437</v>
      </c>
      <c r="F178" s="102">
        <f t="shared" si="219"/>
        <v>9843.7073541522223</v>
      </c>
      <c r="G178" s="102">
        <f t="shared" si="219"/>
        <v>9607.6430433266214</v>
      </c>
      <c r="H178" s="102">
        <f t="shared" si="219"/>
        <v>9460.4997755443383</v>
      </c>
      <c r="I178" s="102">
        <f t="shared" si="219"/>
        <v>9226.4215109762026</v>
      </c>
      <c r="J178" s="102">
        <f t="shared" si="219"/>
        <v>9316.2777076565144</v>
      </c>
      <c r="K178" s="102">
        <f t="shared" si="219"/>
        <v>9577.2330060142558</v>
      </c>
      <c r="L178" s="102">
        <f t="shared" si="219"/>
        <v>9980.6847621048837</v>
      </c>
      <c r="M178" s="102">
        <f t="shared" si="222"/>
        <v>10274.170022917388</v>
      </c>
      <c r="N178" s="102">
        <f t="shared" si="219"/>
        <v>10255.259995639517</v>
      </c>
      <c r="O178" s="102">
        <f t="shared" si="219"/>
        <v>10643.739368711313</v>
      </c>
      <c r="P178" s="102">
        <f t="shared" si="219"/>
        <v>11024.619436056437</v>
      </c>
      <c r="Q178" s="102">
        <f t="shared" si="219"/>
        <v>11414.595319356846</v>
      </c>
      <c r="R178" s="102">
        <f t="shared" si="219"/>
        <v>11184.481543495389</v>
      </c>
      <c r="S178" s="102">
        <f t="shared" si="219"/>
        <v>10852.856692188385</v>
      </c>
      <c r="T178" s="102">
        <f t="shared" si="219"/>
        <v>10561.754440631164</v>
      </c>
      <c r="U178" s="102">
        <f t="shared" si="219"/>
        <v>10480.453120857173</v>
      </c>
      <c r="V178" s="102">
        <f t="shared" si="219"/>
        <v>10235.870000377774</v>
      </c>
      <c r="W178" s="102">
        <f t="shared" si="221"/>
        <v>10032.585494379946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43655.822281054832</v>
      </c>
      <c r="C179" s="102">
        <f t="shared" si="219"/>
        <v>43824.412932731844</v>
      </c>
      <c r="D179" s="102">
        <f t="shared" si="219"/>
        <v>43646.305119842153</v>
      </c>
      <c r="E179" s="102">
        <f t="shared" si="219"/>
        <v>43623.221578073346</v>
      </c>
      <c r="F179" s="102">
        <f t="shared" si="219"/>
        <v>44154.672992483371</v>
      </c>
      <c r="G179" s="102">
        <f t="shared" si="219"/>
        <v>43858.120882220799</v>
      </c>
      <c r="H179" s="102">
        <f t="shared" si="219"/>
        <v>43881.5545482202</v>
      </c>
      <c r="I179" s="102">
        <f t="shared" si="219"/>
        <v>43659.748399061755</v>
      </c>
      <c r="J179" s="102">
        <f t="shared" si="219"/>
        <v>43332.212299723447</v>
      </c>
      <c r="K179" s="102">
        <f t="shared" si="219"/>
        <v>43558.841488776459</v>
      </c>
      <c r="L179" s="102">
        <f t="shared" si="219"/>
        <v>44462.665904237052</v>
      </c>
      <c r="M179" s="102">
        <f t="shared" si="222"/>
        <v>44580.866003110183</v>
      </c>
      <c r="N179" s="102">
        <f t="shared" si="219"/>
        <v>43580.094300934252</v>
      </c>
      <c r="O179" s="102">
        <f t="shared" si="219"/>
        <v>44455.820985980572</v>
      </c>
      <c r="P179" s="102">
        <f t="shared" si="219"/>
        <v>44960.50685437741</v>
      </c>
      <c r="Q179" s="102">
        <f t="shared" si="219"/>
        <v>45811.119283136861</v>
      </c>
      <c r="R179" s="102">
        <f t="shared" si="219"/>
        <v>46011.972236427886</v>
      </c>
      <c r="S179" s="102">
        <f t="shared" si="219"/>
        <v>45514.402534113557</v>
      </c>
      <c r="T179" s="102">
        <f t="shared" si="219"/>
        <v>45190.956312620227</v>
      </c>
      <c r="U179" s="102">
        <f t="shared" si="219"/>
        <v>45892.548589133541</v>
      </c>
      <c r="V179" s="102">
        <f t="shared" si="219"/>
        <v>45738.890864146102</v>
      </c>
      <c r="W179" s="102">
        <f t="shared" si="221"/>
        <v>45439.545279208993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27553.93437187052</v>
      </c>
      <c r="C180" s="102">
        <f t="shared" si="219"/>
        <v>27671.086349678411</v>
      </c>
      <c r="D180" s="102">
        <f t="shared" si="219"/>
        <v>27546.590502151259</v>
      </c>
      <c r="E180" s="102">
        <f t="shared" si="219"/>
        <v>27588.657085409402</v>
      </c>
      <c r="F180" s="102">
        <f t="shared" ref="B180:V192" si="223">IF(F43=0,0,F43*1000000/F70)</f>
        <v>27966.424314434629</v>
      </c>
      <c r="G180" s="102">
        <f t="shared" si="223"/>
        <v>27841.669870033209</v>
      </c>
      <c r="H180" s="102">
        <f t="shared" si="223"/>
        <v>27963.573644002608</v>
      </c>
      <c r="I180" s="102">
        <f t="shared" si="223"/>
        <v>27817.113047339702</v>
      </c>
      <c r="J180" s="102">
        <f t="shared" si="223"/>
        <v>27526.263662317211</v>
      </c>
      <c r="K180" s="102">
        <f t="shared" si="223"/>
        <v>27731.347236363508</v>
      </c>
      <c r="L180" s="102">
        <f t="shared" si="223"/>
        <v>28321.570324997549</v>
      </c>
      <c r="M180" s="102">
        <f t="shared" si="222"/>
        <v>28571.287747815455</v>
      </c>
      <c r="N180" s="102">
        <f t="shared" si="223"/>
        <v>27948.327109469006</v>
      </c>
      <c r="O180" s="102">
        <f t="shared" si="223"/>
        <v>28426.896585531555</v>
      </c>
      <c r="P180" s="102">
        <f t="shared" si="223"/>
        <v>28855.253932127296</v>
      </c>
      <c r="Q180" s="102">
        <f t="shared" si="223"/>
        <v>30819.407362263482</v>
      </c>
      <c r="R180" s="102">
        <f t="shared" si="223"/>
        <v>30506.244046697113</v>
      </c>
      <c r="S180" s="102">
        <f t="shared" si="223"/>
        <v>30205.837086859177</v>
      </c>
      <c r="T180" s="102">
        <f t="shared" si="223"/>
        <v>29995.54779450643</v>
      </c>
      <c r="U180" s="102">
        <f t="shared" si="223"/>
        <v>30372.09262736392</v>
      </c>
      <c r="V180" s="102">
        <f t="shared" si="223"/>
        <v>30268.670228486317</v>
      </c>
      <c r="W180" s="102">
        <f t="shared" si="221"/>
        <v>30272.99393863017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54967.812847475798</v>
      </c>
      <c r="C181" s="102">
        <f t="shared" si="223"/>
        <v>51561.112972361443</v>
      </c>
      <c r="D181" s="102">
        <f t="shared" si="223"/>
        <v>48327.35175816009</v>
      </c>
      <c r="E181" s="102">
        <f t="shared" si="223"/>
        <v>49166.934756107104</v>
      </c>
      <c r="F181" s="102">
        <f t="shared" si="223"/>
        <v>51046.293961906777</v>
      </c>
      <c r="G181" s="102">
        <f t="shared" si="223"/>
        <v>56465.092593292735</v>
      </c>
      <c r="H181" s="102">
        <f t="shared" si="223"/>
        <v>59798.936950880037</v>
      </c>
      <c r="I181" s="102">
        <f t="shared" si="223"/>
        <v>56708.375507482189</v>
      </c>
      <c r="J181" s="102">
        <f t="shared" si="223"/>
        <v>51014.041523946995</v>
      </c>
      <c r="K181" s="102">
        <f t="shared" si="223"/>
        <v>53942.166089335333</v>
      </c>
      <c r="L181" s="102">
        <f t="shared" si="223"/>
        <v>53580.568637747157</v>
      </c>
      <c r="M181" s="102">
        <f t="shared" si="222"/>
        <v>60058.88902477111</v>
      </c>
      <c r="N181" s="102">
        <f t="shared" si="223"/>
        <v>59928.186784436468</v>
      </c>
      <c r="O181" s="102">
        <f t="shared" si="223"/>
        <v>60954.359150262579</v>
      </c>
      <c r="P181" s="102">
        <f t="shared" si="223"/>
        <v>61872.864181949371</v>
      </c>
      <c r="Q181" s="102">
        <f t="shared" si="223"/>
        <v>57072.97659678421</v>
      </c>
      <c r="R181" s="102">
        <f t="shared" si="223"/>
        <v>51357.313209927786</v>
      </c>
      <c r="S181" s="102">
        <f t="shared" si="223"/>
        <v>50851.577587304986</v>
      </c>
      <c r="T181" s="102">
        <f t="shared" si="223"/>
        <v>50497.555209606777</v>
      </c>
      <c r="U181" s="102">
        <f t="shared" si="223"/>
        <v>51131.469069636216</v>
      </c>
      <c r="V181" s="102">
        <f t="shared" si="223"/>
        <v>50957.357287013983</v>
      </c>
      <c r="W181" s="102">
        <f t="shared" si="221"/>
        <v>56061.09988635216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45594.25339801432</v>
      </c>
      <c r="P182" s="102">
        <f t="shared" si="223"/>
        <v>45626.73747068872</v>
      </c>
      <c r="Q182" s="102">
        <f t="shared" si="223"/>
        <v>45658.381277427376</v>
      </c>
      <c r="R182" s="102">
        <f t="shared" si="223"/>
        <v>45658.02714510767</v>
      </c>
      <c r="S182" s="102">
        <f t="shared" si="223"/>
        <v>45636.515980124808</v>
      </c>
      <c r="T182" s="102">
        <f t="shared" si="223"/>
        <v>45621.336273128916</v>
      </c>
      <c r="U182" s="102">
        <f t="shared" si="223"/>
        <v>45594.242603248116</v>
      </c>
      <c r="V182" s="102">
        <f t="shared" si="223"/>
        <v>45483.291050860193</v>
      </c>
      <c r="W182" s="102">
        <f t="shared" si="221"/>
        <v>45587.147485823109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19790.345029297914</v>
      </c>
      <c r="C183" s="28">
        <f t="shared" si="223"/>
        <v>17999.772650649484</v>
      </c>
      <c r="D183" s="28">
        <f t="shared" si="223"/>
        <v>17636.641040619968</v>
      </c>
      <c r="E183" s="28">
        <f t="shared" si="223"/>
        <v>18167.394637165547</v>
      </c>
      <c r="F183" s="28">
        <f t="shared" si="223"/>
        <v>19645.591725411145</v>
      </c>
      <c r="G183" s="28">
        <f t="shared" si="223"/>
        <v>20748.201391815997</v>
      </c>
      <c r="H183" s="28">
        <f t="shared" si="223"/>
        <v>17785.420555420849</v>
      </c>
      <c r="I183" s="28">
        <f t="shared" si="223"/>
        <v>18684.47093246246</v>
      </c>
      <c r="J183" s="28">
        <f t="shared" si="223"/>
        <v>18228.71037894117</v>
      </c>
      <c r="K183" s="28">
        <f t="shared" si="223"/>
        <v>17891.720968652709</v>
      </c>
      <c r="L183" s="28">
        <f t="shared" si="223"/>
        <v>19183.264049723239</v>
      </c>
      <c r="M183" s="28">
        <f t="shared" si="222"/>
        <v>19304.504089946946</v>
      </c>
      <c r="N183" s="28">
        <f t="shared" si="223"/>
        <v>17132.382409497346</v>
      </c>
      <c r="O183" s="28">
        <f t="shared" si="223"/>
        <v>15613.865557902223</v>
      </c>
      <c r="P183" s="28">
        <f t="shared" si="223"/>
        <v>16081.167825196328</v>
      </c>
      <c r="Q183" s="28">
        <f t="shared" si="223"/>
        <v>13327.225206613501</v>
      </c>
      <c r="R183" s="28">
        <f t="shared" si="223"/>
        <v>12583.023176442613</v>
      </c>
      <c r="S183" s="28">
        <f t="shared" si="223"/>
        <v>12840.944864376361</v>
      </c>
      <c r="T183" s="28">
        <f t="shared" si="223"/>
        <v>13134.144849493698</v>
      </c>
      <c r="U183" s="28">
        <f t="shared" si="223"/>
        <v>13346.454871732958</v>
      </c>
      <c r="V183" s="28">
        <f t="shared" si="223"/>
        <v>12835.951999873623</v>
      </c>
      <c r="W183" s="28">
        <f t="shared" si="221"/>
        <v>15030.049231929133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22324.71091808916</v>
      </c>
      <c r="C184" s="137">
        <f t="shared" si="223"/>
        <v>19879.541396166238</v>
      </c>
      <c r="D184" s="137">
        <f t="shared" si="223"/>
        <v>19268.954406495006</v>
      </c>
      <c r="E184" s="137">
        <f t="shared" si="223"/>
        <v>19947.635333794366</v>
      </c>
      <c r="F184" s="137">
        <f t="shared" si="223"/>
        <v>21170.023756316481</v>
      </c>
      <c r="G184" s="137">
        <f t="shared" si="223"/>
        <v>22386.913865816005</v>
      </c>
      <c r="H184" s="137">
        <f t="shared" si="223"/>
        <v>19095.950912908102</v>
      </c>
      <c r="I184" s="137">
        <f t="shared" si="223"/>
        <v>20152.990414933851</v>
      </c>
      <c r="J184" s="137">
        <f t="shared" si="223"/>
        <v>19590.471295794698</v>
      </c>
      <c r="K184" s="137">
        <f t="shared" si="223"/>
        <v>19237.403956455964</v>
      </c>
      <c r="L184" s="137">
        <f t="shared" si="223"/>
        <v>20670.45287360459</v>
      </c>
      <c r="M184" s="137">
        <f t="shared" si="222"/>
        <v>21258.325201099651</v>
      </c>
      <c r="N184" s="137">
        <f t="shared" si="223"/>
        <v>18745.959520210319</v>
      </c>
      <c r="O184" s="137">
        <f t="shared" si="223"/>
        <v>16726.137063624385</v>
      </c>
      <c r="P184" s="137">
        <f t="shared" si="223"/>
        <v>17349.681036756043</v>
      </c>
      <c r="Q184" s="137">
        <f t="shared" si="223"/>
        <v>13995.753225464514</v>
      </c>
      <c r="R184" s="137">
        <f t="shared" si="223"/>
        <v>12885.067336958915</v>
      </c>
      <c r="S184" s="137">
        <f t="shared" si="223"/>
        <v>12964.638317020055</v>
      </c>
      <c r="T184" s="137">
        <f t="shared" si="223"/>
        <v>13300.584387073217</v>
      </c>
      <c r="U184" s="137">
        <f t="shared" si="223"/>
        <v>13427.103713398212</v>
      </c>
      <c r="V184" s="137">
        <f t="shared" si="223"/>
        <v>12784.738376265808</v>
      </c>
      <c r="W184" s="137">
        <f t="shared" si="221"/>
        <v>15177.002062834687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10540.791428032049</v>
      </c>
      <c r="C185" s="84">
        <f t="shared" si="223"/>
        <v>10532.857994105234</v>
      </c>
      <c r="D185" s="84">
        <f t="shared" si="223"/>
        <v>10524.930531207661</v>
      </c>
      <c r="E185" s="84">
        <f t="shared" si="223"/>
        <v>10517.00903484529</v>
      </c>
      <c r="F185" s="84">
        <f t="shared" si="223"/>
        <v>10509.09350052746</v>
      </c>
      <c r="G185" s="84">
        <f t="shared" si="223"/>
        <v>10501.183923766892</v>
      </c>
      <c r="H185" s="84">
        <f t="shared" si="223"/>
        <v>10318.827419504551</v>
      </c>
      <c r="I185" s="84">
        <f t="shared" si="223"/>
        <v>10365.062372141343</v>
      </c>
      <c r="J185" s="84">
        <f t="shared" si="223"/>
        <v>10345.074246532209</v>
      </c>
      <c r="K185" s="84">
        <f t="shared" si="223"/>
        <v>10327.279764720228</v>
      </c>
      <c r="L185" s="84">
        <f t="shared" si="223"/>
        <v>10446.929024176738</v>
      </c>
      <c r="M185" s="84">
        <f t="shared" si="222"/>
        <v>10471.516548848653</v>
      </c>
      <c r="N185" s="84">
        <f t="shared" si="223"/>
        <v>10339.058538517269</v>
      </c>
      <c r="O185" s="84">
        <f t="shared" si="223"/>
        <v>10215.761482986856</v>
      </c>
      <c r="P185" s="84">
        <f t="shared" si="223"/>
        <v>10246.724004129097</v>
      </c>
      <c r="Q185" s="84">
        <f t="shared" si="223"/>
        <v>10021.296073116429</v>
      </c>
      <c r="R185" s="84">
        <f t="shared" si="223"/>
        <v>10008.323467202388</v>
      </c>
      <c r="S185" s="84">
        <f t="shared" si="223"/>
        <v>10014.55639487776</v>
      </c>
      <c r="T185" s="84">
        <f t="shared" si="223"/>
        <v>10043.283940893192</v>
      </c>
      <c r="U185" s="84">
        <f t="shared" si="223"/>
        <v>10036.970048621128</v>
      </c>
      <c r="V185" s="84">
        <f t="shared" si="223"/>
        <v>9984.2952338444193</v>
      </c>
      <c r="W185" s="84">
        <f t="shared" si="221"/>
        <v>10167.074810324913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23642.654751848957</v>
      </c>
      <c r="C186" s="84">
        <f t="shared" si="223"/>
        <v>20905.853743183245</v>
      </c>
      <c r="D186" s="84">
        <f t="shared" si="223"/>
        <v>20213.387774460258</v>
      </c>
      <c r="E186" s="84">
        <f t="shared" si="223"/>
        <v>20952.22100761718</v>
      </c>
      <c r="F186" s="84">
        <f t="shared" si="223"/>
        <v>22292.026135908975</v>
      </c>
      <c r="G186" s="84">
        <f t="shared" si="223"/>
        <v>23624.105284291469</v>
      </c>
      <c r="H186" s="84">
        <f t="shared" si="223"/>
        <v>19997.774704517135</v>
      </c>
      <c r="I186" s="84">
        <f t="shared" si="223"/>
        <v>21008.500010255491</v>
      </c>
      <c r="J186" s="84">
        <f t="shared" si="223"/>
        <v>20377.667155049006</v>
      </c>
      <c r="K186" s="84">
        <f t="shared" si="223"/>
        <v>19992.434582674952</v>
      </c>
      <c r="L186" s="84">
        <f t="shared" si="223"/>
        <v>21559.94928461999</v>
      </c>
      <c r="M186" s="84">
        <f t="shared" si="222"/>
        <v>22209.94639319526</v>
      </c>
      <c r="N186" s="84">
        <f t="shared" si="223"/>
        <v>19483.533899842398</v>
      </c>
      <c r="O186" s="84">
        <f t="shared" si="223"/>
        <v>17290.634205839651</v>
      </c>
      <c r="P186" s="84">
        <f t="shared" si="223"/>
        <v>17966.246531262481</v>
      </c>
      <c r="Q186" s="84">
        <f t="shared" si="223"/>
        <v>14318.760733398347</v>
      </c>
      <c r="R186" s="84">
        <f t="shared" si="223"/>
        <v>13095.388850512918</v>
      </c>
      <c r="S186" s="84">
        <f t="shared" si="223"/>
        <v>13171.524529479551</v>
      </c>
      <c r="T186" s="84">
        <f t="shared" si="223"/>
        <v>13530.946838644209</v>
      </c>
      <c r="U186" s="84">
        <f t="shared" si="223"/>
        <v>13671.134459782839</v>
      </c>
      <c r="V186" s="84">
        <f t="shared" si="223"/>
        <v>12981.539769454554</v>
      </c>
      <c r="W186" s="84">
        <f t="shared" si="221"/>
        <v>15556.874789811869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10495.771875658709</v>
      </c>
      <c r="C187" s="84">
        <f t="shared" si="223"/>
        <v>10472.091056694624</v>
      </c>
      <c r="D187" s="84">
        <f t="shared" si="223"/>
        <v>10448.463666977423</v>
      </c>
      <c r="E187" s="84">
        <f t="shared" si="223"/>
        <v>10424.889585958728</v>
      </c>
      <c r="F187" s="84">
        <f t="shared" si="223"/>
        <v>10401.368693362136</v>
      </c>
      <c r="G187" s="84">
        <f t="shared" si="223"/>
        <v>10377.900869182628</v>
      </c>
      <c r="H187" s="84">
        <f t="shared" si="223"/>
        <v>9846.5880754667069</v>
      </c>
      <c r="I187" s="84">
        <f t="shared" si="223"/>
        <v>9979.5390597268179</v>
      </c>
      <c r="J187" s="84">
        <f t="shared" si="223"/>
        <v>9921.9162914297412</v>
      </c>
      <c r="K187" s="84">
        <f t="shared" si="223"/>
        <v>9870.8044760635403</v>
      </c>
      <c r="L187" s="84">
        <f t="shared" si="223"/>
        <v>10217.876643246513</v>
      </c>
      <c r="M187" s="84">
        <f t="shared" si="222"/>
        <v>10290.19188024542</v>
      </c>
      <c r="N187" s="84">
        <f t="shared" si="223"/>
        <v>9904.6174355116273</v>
      </c>
      <c r="O187" s="84">
        <f t="shared" si="223"/>
        <v>9554.4778145790606</v>
      </c>
      <c r="P187" s="84">
        <f t="shared" si="223"/>
        <v>9641.6161787272777</v>
      </c>
      <c r="Q187" s="84">
        <f t="shared" si="223"/>
        <v>9019.1664658047885</v>
      </c>
      <c r="R187" s="84">
        <f t="shared" si="223"/>
        <v>8984.185751608924</v>
      </c>
      <c r="S187" s="84">
        <f t="shared" si="223"/>
        <v>9000.9815700351828</v>
      </c>
      <c r="T187" s="84">
        <f t="shared" si="223"/>
        <v>9078.6640625788532</v>
      </c>
      <c r="U187" s="84">
        <f t="shared" si="223"/>
        <v>9061.5524250630588</v>
      </c>
      <c r="V187" s="84">
        <f t="shared" si="223"/>
        <v>8767.6327608295232</v>
      </c>
      <c r="W187" s="84">
        <f t="shared" si="221"/>
        <v>9258.0210645626321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13859.021218240639</v>
      </c>
      <c r="C188" s="84">
        <f t="shared" si="223"/>
        <v>13838.167328176471</v>
      </c>
      <c r="D188" s="84">
        <f t="shared" si="223"/>
        <v>13817.344817292978</v>
      </c>
      <c r="E188" s="84">
        <f t="shared" si="223"/>
        <v>13796.553638373412</v>
      </c>
      <c r="F188" s="84">
        <f t="shared" si="223"/>
        <v>13775.793744272063</v>
      </c>
      <c r="G188" s="84">
        <f t="shared" si="223"/>
        <v>13755.06508791417</v>
      </c>
      <c r="H188" s="84">
        <f t="shared" si="223"/>
        <v>13281.490554794849</v>
      </c>
      <c r="I188" s="84">
        <f t="shared" si="223"/>
        <v>13400.77635598813</v>
      </c>
      <c r="J188" s="84">
        <f t="shared" si="223"/>
        <v>13349.141715980475</v>
      </c>
      <c r="K188" s="84">
        <f t="shared" si="223"/>
        <v>13303.257702478106</v>
      </c>
      <c r="L188" s="84">
        <f t="shared" si="223"/>
        <v>13613.299771793685</v>
      </c>
      <c r="M188" s="84">
        <f t="shared" si="222"/>
        <v>13677.454746468649</v>
      </c>
      <c r="N188" s="84">
        <f t="shared" si="223"/>
        <v>13333.621055969385</v>
      </c>
      <c r="O188" s="84">
        <f t="shared" si="223"/>
        <v>13017.500670053463</v>
      </c>
      <c r="P188" s="84">
        <f t="shared" si="223"/>
        <v>13096.528638952774</v>
      </c>
      <c r="Q188" s="84">
        <f t="shared" si="223"/>
        <v>12526.62009139554</v>
      </c>
      <c r="R188" s="84">
        <f t="shared" si="223"/>
        <v>12494.209567970109</v>
      </c>
      <c r="S188" s="84">
        <f t="shared" si="223"/>
        <v>12509.776561640692</v>
      </c>
      <c r="T188" s="84">
        <f t="shared" si="223"/>
        <v>12581.650065702937</v>
      </c>
      <c r="U188" s="84">
        <f t="shared" si="223"/>
        <v>12565.835674086264</v>
      </c>
      <c r="V188" s="84">
        <f t="shared" si="223"/>
        <v>12434.288762307762</v>
      </c>
      <c r="W188" s="84">
        <f t="shared" si="221"/>
        <v>12893.717719313618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9773.8744067999723</v>
      </c>
      <c r="N189" s="84">
        <f t="shared" si="223"/>
        <v>9836.2837546908904</v>
      </c>
      <c r="O189" s="84">
        <f t="shared" si="223"/>
        <v>9895.4642366931439</v>
      </c>
      <c r="P189" s="84">
        <f t="shared" si="223"/>
        <v>9910.4487641454034</v>
      </c>
      <c r="Q189" s="84">
        <f t="shared" si="223"/>
        <v>10021.296073116428</v>
      </c>
      <c r="R189" s="84">
        <f t="shared" si="223"/>
        <v>10114.955746360305</v>
      </c>
      <c r="S189" s="84">
        <f t="shared" si="223"/>
        <v>10212.925624471694</v>
      </c>
      <c r="T189" s="84">
        <f t="shared" si="223"/>
        <v>10300.291859974577</v>
      </c>
      <c r="U189" s="84">
        <f t="shared" si="223"/>
        <v>10400.024154657887</v>
      </c>
      <c r="V189" s="84">
        <f t="shared" si="223"/>
        <v>9997.5882347865645</v>
      </c>
      <c r="W189" s="84">
        <f t="shared" si="221"/>
        <v>10333.267030202867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12526.467858576405</v>
      </c>
      <c r="C190" s="110">
        <f t="shared" si="223"/>
        <v>12267.559886932746</v>
      </c>
      <c r="D190" s="110">
        <f t="shared" si="223"/>
        <v>12287.227221299498</v>
      </c>
      <c r="E190" s="110">
        <f t="shared" si="223"/>
        <v>11996.009678903463</v>
      </c>
      <c r="F190" s="110">
        <f t="shared" si="223"/>
        <v>14242.487941711706</v>
      </c>
      <c r="G190" s="110">
        <f t="shared" si="223"/>
        <v>14664.223374727999</v>
      </c>
      <c r="H190" s="110">
        <f t="shared" si="223"/>
        <v>12771.573510376955</v>
      </c>
      <c r="I190" s="110">
        <f t="shared" si="223"/>
        <v>12942.310833196289</v>
      </c>
      <c r="J190" s="110">
        <f t="shared" si="223"/>
        <v>12768.422224129763</v>
      </c>
      <c r="K190" s="110">
        <f t="shared" si="223"/>
        <v>12410.871073605023</v>
      </c>
      <c r="L190" s="110">
        <f t="shared" si="223"/>
        <v>12971.689931264424</v>
      </c>
      <c r="M190" s="110">
        <f t="shared" si="222"/>
        <v>11054.588283678819</v>
      </c>
      <c r="N190" s="110">
        <f t="shared" si="223"/>
        <v>10147.640821274825</v>
      </c>
      <c r="O190" s="110">
        <f t="shared" si="223"/>
        <v>10704.116056718045</v>
      </c>
      <c r="P190" s="110">
        <f t="shared" si="223"/>
        <v>10378.042718074772</v>
      </c>
      <c r="Q190" s="110">
        <f t="shared" si="223"/>
        <v>10293.382761266274</v>
      </c>
      <c r="R190" s="110">
        <f t="shared" si="223"/>
        <v>11079.107096749949</v>
      </c>
      <c r="S190" s="110">
        <f t="shared" si="223"/>
        <v>12188.602051478656</v>
      </c>
      <c r="T190" s="110">
        <f t="shared" si="223"/>
        <v>12247.239531530258</v>
      </c>
      <c r="U190" s="110">
        <f t="shared" si="223"/>
        <v>12910.14194673615</v>
      </c>
      <c r="V190" s="110">
        <f t="shared" si="223"/>
        <v>13134.059137013042</v>
      </c>
      <c r="W190" s="110">
        <f t="shared" si="221"/>
        <v>14171.514979462761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10974.469870717503</v>
      </c>
      <c r="C191" s="102">
        <f t="shared" si="223"/>
        <v>10594.709540799529</v>
      </c>
      <c r="D191" s="102">
        <f t="shared" si="223"/>
        <v>10533.42291343768</v>
      </c>
      <c r="E191" s="102">
        <f t="shared" si="223"/>
        <v>10199.903954039573</v>
      </c>
      <c r="F191" s="102">
        <f t="shared" si="223"/>
        <v>12168.81372182861</v>
      </c>
      <c r="G191" s="102">
        <f t="shared" si="223"/>
        <v>12532.467749537847</v>
      </c>
      <c r="H191" s="102">
        <f t="shared" si="223"/>
        <v>10467.075747616758</v>
      </c>
      <c r="I191" s="102">
        <f t="shared" si="223"/>
        <v>10674.460787112472</v>
      </c>
      <c r="J191" s="102">
        <f t="shared" si="223"/>
        <v>10368.549394341904</v>
      </c>
      <c r="K191" s="102">
        <f t="shared" si="223"/>
        <v>10298.552206958577</v>
      </c>
      <c r="L191" s="102">
        <f t="shared" si="223"/>
        <v>10676.490707250447</v>
      </c>
      <c r="M191" s="102">
        <f t="shared" si="222"/>
        <v>9025.2627270219527</v>
      </c>
      <c r="N191" s="102">
        <f t="shared" si="223"/>
        <v>8184.0416295447194</v>
      </c>
      <c r="O191" s="102">
        <f t="shared" si="223"/>
        <v>8549.281107033361</v>
      </c>
      <c r="P191" s="102">
        <f t="shared" si="223"/>
        <v>8121.3450985224008</v>
      </c>
      <c r="Q191" s="102">
        <f t="shared" si="223"/>
        <v>8072.914506958653</v>
      </c>
      <c r="R191" s="102">
        <f t="shared" si="223"/>
        <v>8569.1612589435426</v>
      </c>
      <c r="S191" s="102">
        <f t="shared" si="223"/>
        <v>9297.4112327852417</v>
      </c>
      <c r="T191" s="102">
        <f t="shared" si="223"/>
        <v>9460.6608979818502</v>
      </c>
      <c r="U191" s="102">
        <f t="shared" si="223"/>
        <v>10024.528814994326</v>
      </c>
      <c r="V191" s="102">
        <f t="shared" si="223"/>
        <v>10148.792456134899</v>
      </c>
      <c r="W191" s="102">
        <f t="shared" si="221"/>
        <v>10891.449397331369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84999.005488926268</v>
      </c>
      <c r="C192" s="86">
        <f t="shared" si="223"/>
        <v>84999.986676974673</v>
      </c>
      <c r="D192" s="86">
        <f t="shared" si="223"/>
        <v>85001.864427966866</v>
      </c>
      <c r="E192" s="86">
        <f t="shared" si="223"/>
        <v>85001.398324857495</v>
      </c>
      <c r="F192" s="86">
        <f t="shared" si="223"/>
        <v>85000.398568159828</v>
      </c>
      <c r="G192" s="86">
        <f t="shared" si="223"/>
        <v>85001.343083495754</v>
      </c>
      <c r="H192" s="86">
        <f t="shared" si="223"/>
        <v>84998.552784763771</v>
      </c>
      <c r="I192" s="86">
        <f t="shared" si="223"/>
        <v>85001.141497857592</v>
      </c>
      <c r="J192" s="86">
        <f t="shared" si="223"/>
        <v>84999.932445303566</v>
      </c>
      <c r="K192" s="86">
        <f t="shared" si="223"/>
        <v>85001.290569655364</v>
      </c>
      <c r="L192" s="86">
        <f t="shared" si="223"/>
        <v>85000.16027199653</v>
      </c>
      <c r="M192" s="86">
        <f t="shared" si="222"/>
        <v>84998.924758867637</v>
      </c>
      <c r="N192" s="86">
        <f t="shared" si="223"/>
        <v>84999.984242117353</v>
      </c>
      <c r="O192" s="86">
        <f t="shared" si="223"/>
        <v>85001.213544440936</v>
      </c>
      <c r="P192" s="86">
        <f t="shared" si="223"/>
        <v>85000.595140342572</v>
      </c>
      <c r="Q192" s="86">
        <f t="shared" si="223"/>
        <v>84998.491710808943</v>
      </c>
      <c r="R192" s="86">
        <f t="shared" si="223"/>
        <v>85000.834464805113</v>
      </c>
      <c r="S192" s="86">
        <f t="shared" si="223"/>
        <v>85000.353972554149</v>
      </c>
      <c r="T192" s="86">
        <f t="shared" si="223"/>
        <v>85000.328460443561</v>
      </c>
      <c r="U192" s="86">
        <f t="shared" si="223"/>
        <v>84999.189765952586</v>
      </c>
      <c r="V192" s="86">
        <f t="shared" ref="V192:W192" si="224">IF(V55=0,0,V55*1000000/V82)</f>
        <v>85001.146698036449</v>
      </c>
      <c r="W192" s="86">
        <f t="shared" si="224"/>
        <v>85000.372057451881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20396.961568644219</v>
      </c>
      <c r="C195" s="28">
        <f t="shared" si="225"/>
        <v>20166.803005533031</v>
      </c>
      <c r="D195" s="28">
        <f t="shared" si="225"/>
        <v>19855.177057643468</v>
      </c>
      <c r="E195" s="28">
        <f t="shared" si="225"/>
        <v>19587.38527407909</v>
      </c>
      <c r="F195" s="28">
        <f t="shared" si="225"/>
        <v>19856.818852505286</v>
      </c>
      <c r="G195" s="28">
        <f t="shared" si="225"/>
        <v>18430.856864619665</v>
      </c>
      <c r="H195" s="28">
        <f t="shared" si="225"/>
        <v>18186.530629374349</v>
      </c>
      <c r="I195" s="28">
        <f t="shared" si="225"/>
        <v>17956.600074263679</v>
      </c>
      <c r="J195" s="28">
        <f t="shared" si="225"/>
        <v>17894.833385440423</v>
      </c>
      <c r="K195" s="28">
        <f t="shared" si="225"/>
        <v>18691.403303107028</v>
      </c>
      <c r="L195" s="28">
        <f t="shared" si="225"/>
        <v>17741.454958360406</v>
      </c>
      <c r="M195" s="28">
        <f>IF(M4=0,0,M4*1000000/M58)</f>
        <v>17064.914852525835</v>
      </c>
      <c r="N195" s="28">
        <f t="shared" ref="N195:V195" si="226">IF(N4=0,0,N4*1000000/N58)</f>
        <v>15333.992928305861</v>
      </c>
      <c r="O195" s="28">
        <f t="shared" si="226"/>
        <v>16159.200269645411</v>
      </c>
      <c r="P195" s="28">
        <f t="shared" si="226"/>
        <v>16510.924506590662</v>
      </c>
      <c r="Q195" s="28">
        <f t="shared" si="226"/>
        <v>16974.16238133244</v>
      </c>
      <c r="R195" s="28">
        <f t="shared" si="226"/>
        <v>17393.840964287559</v>
      </c>
      <c r="S195" s="28">
        <f t="shared" si="226"/>
        <v>18071.834625855961</v>
      </c>
      <c r="T195" s="28">
        <f t="shared" si="226"/>
        <v>17550.719954421187</v>
      </c>
      <c r="U195" s="28">
        <f t="shared" si="226"/>
        <v>17568.697767378384</v>
      </c>
      <c r="V195" s="28">
        <f t="shared" si="226"/>
        <v>11582.37336710586</v>
      </c>
      <c r="W195" s="28">
        <f t="shared" ref="W195" si="227">IF(W4=0,0,W4*1000000/W58)</f>
        <v>12512.752373109417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5095.3769599018551</v>
      </c>
      <c r="C196" s="137">
        <f t="shared" si="228"/>
        <v>5069.0023353621909</v>
      </c>
      <c r="D196" s="137">
        <f t="shared" si="228"/>
        <v>4787.8147813897594</v>
      </c>
      <c r="E196" s="137">
        <f t="shared" si="228"/>
        <v>4745.5384402976133</v>
      </c>
      <c r="F196" s="137">
        <f t="shared" si="228"/>
        <v>4939.4714343251107</v>
      </c>
      <c r="G196" s="137">
        <f t="shared" si="228"/>
        <v>4905.2346477991687</v>
      </c>
      <c r="H196" s="137">
        <f t="shared" si="228"/>
        <v>4740.0025790229784</v>
      </c>
      <c r="I196" s="137">
        <f t="shared" si="228"/>
        <v>4196.5973553695894</v>
      </c>
      <c r="J196" s="137">
        <f t="shared" si="228"/>
        <v>4533.7436563621077</v>
      </c>
      <c r="K196" s="137">
        <f t="shared" si="228"/>
        <v>4149.7618314455904</v>
      </c>
      <c r="L196" s="137">
        <f t="shared" si="228"/>
        <v>4104.7677723630231</v>
      </c>
      <c r="M196" s="137">
        <f>IF(M5=0,0,M5*1000000/M59)</f>
        <v>4467.5920638555745</v>
      </c>
      <c r="N196" s="137">
        <f t="shared" ref="N196:V196" si="229">IF(N5=0,0,N5*1000000/N59)</f>
        <v>4653.4222555692968</v>
      </c>
      <c r="O196" s="137">
        <f t="shared" si="229"/>
        <v>4456.3347188431771</v>
      </c>
      <c r="P196" s="137">
        <f t="shared" si="229"/>
        <v>4331.8108154965148</v>
      </c>
      <c r="Q196" s="137">
        <f t="shared" si="229"/>
        <v>4060.28315285284</v>
      </c>
      <c r="R196" s="137">
        <f t="shared" si="229"/>
        <v>4088.4125963838533</v>
      </c>
      <c r="S196" s="137">
        <f t="shared" si="229"/>
        <v>3800.1539032837686</v>
      </c>
      <c r="T196" s="137">
        <f t="shared" si="229"/>
        <v>3567.7581633916875</v>
      </c>
      <c r="U196" s="137">
        <f t="shared" si="229"/>
        <v>3727.2393688215175</v>
      </c>
      <c r="V196" s="137">
        <f t="shared" si="229"/>
        <v>3290.5598618648432</v>
      </c>
      <c r="W196" s="137">
        <f t="shared" ref="W196" si="230">IF(W5=0,0,W5*1000000/W59)</f>
        <v>3288.3775009755309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21776.147628488638</v>
      </c>
      <c r="C197" s="110">
        <f t="shared" si="231"/>
        <v>21580.281113099856</v>
      </c>
      <c r="D197" s="110">
        <f t="shared" si="231"/>
        <v>21381.443299016566</v>
      </c>
      <c r="E197" s="110">
        <f t="shared" si="231"/>
        <v>21103.436075633301</v>
      </c>
      <c r="F197" s="110">
        <f t="shared" si="231"/>
        <v>21412.146577379233</v>
      </c>
      <c r="G197" s="110">
        <f t="shared" si="231"/>
        <v>19529.06222055557</v>
      </c>
      <c r="H197" s="110">
        <f t="shared" si="231"/>
        <v>19158.993682182623</v>
      </c>
      <c r="I197" s="110">
        <f t="shared" si="231"/>
        <v>18975.78475336323</v>
      </c>
      <c r="J197" s="110">
        <f t="shared" si="231"/>
        <v>18733.111757374325</v>
      </c>
      <c r="K197" s="110">
        <f t="shared" si="231"/>
        <v>19793.02760365116</v>
      </c>
      <c r="L197" s="110">
        <f t="shared" si="231"/>
        <v>18609.532523128484</v>
      </c>
      <c r="M197" s="110">
        <f>IF(M6=0,0,M6*1000000/M60)</f>
        <v>17627.412506484485</v>
      </c>
      <c r="N197" s="110">
        <f t="shared" ref="N197:V197" si="232">IF(N6=0,0,N6*1000000/N60)</f>
        <v>15257.049492049522</v>
      </c>
      <c r="O197" s="110">
        <f t="shared" si="232"/>
        <v>16375.874315914301</v>
      </c>
      <c r="P197" s="110">
        <f t="shared" si="232"/>
        <v>16865.574482647087</v>
      </c>
      <c r="Q197" s="110">
        <f t="shared" si="232"/>
        <v>17565.851620847505</v>
      </c>
      <c r="R197" s="110">
        <f t="shared" si="232"/>
        <v>18122.736368514794</v>
      </c>
      <c r="S197" s="110">
        <f t="shared" si="232"/>
        <v>19079.651710597373</v>
      </c>
      <c r="T197" s="110">
        <f t="shared" si="232"/>
        <v>18527.11185583537</v>
      </c>
      <c r="U197" s="110">
        <f t="shared" si="232"/>
        <v>18521.297333645685</v>
      </c>
      <c r="V197" s="110">
        <f t="shared" si="232"/>
        <v>12294.187750331248</v>
      </c>
      <c r="W197" s="110">
        <f t="shared" ref="W197:W209" si="233">IF(W6=0,0,W6*1000000/W60)</f>
        <v>13014.554529583525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18721.212005350579</v>
      </c>
      <c r="C198" s="84">
        <f t="shared" si="231"/>
        <v>18261.892819331308</v>
      </c>
      <c r="D198" s="84">
        <f t="shared" si="231"/>
        <v>17406.238976631641</v>
      </c>
      <c r="E198" s="84">
        <f t="shared" si="231"/>
        <v>17111.371917044202</v>
      </c>
      <c r="F198" s="84">
        <f t="shared" si="231"/>
        <v>16283.733022270493</v>
      </c>
      <c r="G198" s="84">
        <f t="shared" si="231"/>
        <v>14733.035060210746</v>
      </c>
      <c r="H198" s="84">
        <f t="shared" si="231"/>
        <v>12876.257155597465</v>
      </c>
      <c r="I198" s="84">
        <f t="shared" si="231"/>
        <v>12797.372536292727</v>
      </c>
      <c r="J198" s="84">
        <f t="shared" si="231"/>
        <v>12951.496773077828</v>
      </c>
      <c r="K198" s="84">
        <f t="shared" si="231"/>
        <v>14422.625723566389</v>
      </c>
      <c r="L198" s="84">
        <f t="shared" si="231"/>
        <v>13798.126016088356</v>
      </c>
      <c r="M198" s="84">
        <f t="shared" ref="M198:M219" si="234">IF(M7=0,0,M7*1000000/M61)</f>
        <v>13229.681829770614</v>
      </c>
      <c r="N198" s="84">
        <f t="shared" si="231"/>
        <v>10730.259335751558</v>
      </c>
      <c r="O198" s="84">
        <f t="shared" si="231"/>
        <v>11062.155386826289</v>
      </c>
      <c r="P198" s="84">
        <f t="shared" si="231"/>
        <v>10920.89654991424</v>
      </c>
      <c r="Q198" s="84">
        <f t="shared" si="231"/>
        <v>11170.754037375546</v>
      </c>
      <c r="R198" s="84">
        <f t="shared" si="231"/>
        <v>11175.647054812733</v>
      </c>
      <c r="S198" s="84">
        <f t="shared" si="231"/>
        <v>11451.551969613385</v>
      </c>
      <c r="T198" s="84">
        <f t="shared" si="231"/>
        <v>11165.571066527913</v>
      </c>
      <c r="U198" s="84">
        <f t="shared" si="231"/>
        <v>11296.211036973267</v>
      </c>
      <c r="V198" s="84">
        <f t="shared" si="231"/>
        <v>7373.0396106011785</v>
      </c>
      <c r="W198" s="84">
        <f t="shared" si="233"/>
        <v>7945.1592180772423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35671.420461405221</v>
      </c>
      <c r="C199" s="84">
        <f t="shared" si="231"/>
        <v>35232.159966790015</v>
      </c>
      <c r="D199" s="84">
        <f t="shared" si="231"/>
        <v>35715.16659405746</v>
      </c>
      <c r="E199" s="84">
        <f t="shared" si="231"/>
        <v>33740.391879386021</v>
      </c>
      <c r="F199" s="84">
        <f t="shared" si="231"/>
        <v>34914.333256503429</v>
      </c>
      <c r="G199" s="84">
        <f t="shared" si="231"/>
        <v>30266.251163002817</v>
      </c>
      <c r="H199" s="84">
        <f t="shared" si="231"/>
        <v>31556.96607122276</v>
      </c>
      <c r="I199" s="84">
        <f t="shared" si="231"/>
        <v>29719.295631441859</v>
      </c>
      <c r="J199" s="84">
        <f t="shared" si="231"/>
        <v>27964.020706204061</v>
      </c>
      <c r="K199" s="84">
        <f t="shared" si="231"/>
        <v>27573.648432614729</v>
      </c>
      <c r="L199" s="84">
        <f t="shared" si="231"/>
        <v>25060.012107110066</v>
      </c>
      <c r="M199" s="84">
        <f t="shared" si="234"/>
        <v>23169.373750157785</v>
      </c>
      <c r="N199" s="84">
        <f t="shared" si="231"/>
        <v>20639.504354591936</v>
      </c>
      <c r="O199" s="84">
        <f t="shared" si="231"/>
        <v>22276.593155245315</v>
      </c>
      <c r="P199" s="84">
        <f t="shared" si="231"/>
        <v>23504.001181698386</v>
      </c>
      <c r="Q199" s="84">
        <f t="shared" si="231"/>
        <v>24165.56618874161</v>
      </c>
      <c r="R199" s="84">
        <f t="shared" si="231"/>
        <v>25281.2047723715</v>
      </c>
      <c r="S199" s="84">
        <f t="shared" si="231"/>
        <v>26723.412011059325</v>
      </c>
      <c r="T199" s="84">
        <f t="shared" si="231"/>
        <v>25405.343235656284</v>
      </c>
      <c r="U199" s="84">
        <f t="shared" si="231"/>
        <v>25176.396523187457</v>
      </c>
      <c r="V199" s="84">
        <f t="shared" si="231"/>
        <v>16767.31621823852</v>
      </c>
      <c r="W199" s="84">
        <f t="shared" si="233"/>
        <v>17552.155798830165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29868.771744757909</v>
      </c>
      <c r="C200" s="84">
        <f t="shared" si="231"/>
        <v>28015.543500990218</v>
      </c>
      <c r="D200" s="84">
        <f t="shared" si="231"/>
        <v>28082.798437975704</v>
      </c>
      <c r="E200" s="84">
        <f t="shared" si="231"/>
        <v>25850.718425920528</v>
      </c>
      <c r="F200" s="84">
        <f t="shared" si="231"/>
        <v>26249.766485257605</v>
      </c>
      <c r="G200" s="84">
        <f t="shared" si="231"/>
        <v>23818.251527285098</v>
      </c>
      <c r="H200" s="84">
        <f t="shared" si="231"/>
        <v>23331.230586750495</v>
      </c>
      <c r="I200" s="84">
        <f t="shared" si="231"/>
        <v>23104.98109075872</v>
      </c>
      <c r="J200" s="84">
        <f t="shared" si="231"/>
        <v>22823.690617167358</v>
      </c>
      <c r="K200" s="84">
        <f t="shared" si="231"/>
        <v>24172.912021699427</v>
      </c>
      <c r="L200" s="84">
        <f t="shared" si="231"/>
        <v>22676.340027605034</v>
      </c>
      <c r="M200" s="84">
        <f t="shared" si="234"/>
        <v>21454.259765982857</v>
      </c>
      <c r="N200" s="84">
        <f t="shared" si="231"/>
        <v>19942.718238088819</v>
      </c>
      <c r="O200" s="84">
        <f t="shared" si="231"/>
        <v>23126.627924923887</v>
      </c>
      <c r="P200" s="84">
        <f t="shared" si="231"/>
        <v>21713.567339364883</v>
      </c>
      <c r="Q200" s="84">
        <f t="shared" si="231"/>
        <v>23732.028306305991</v>
      </c>
      <c r="R200" s="84">
        <f t="shared" si="231"/>
        <v>23390.648728793483</v>
      </c>
      <c r="S200" s="84">
        <f t="shared" si="231"/>
        <v>24335.515077744767</v>
      </c>
      <c r="T200" s="84">
        <f t="shared" si="231"/>
        <v>23557.413341019586</v>
      </c>
      <c r="U200" s="84">
        <f t="shared" si="231"/>
        <v>23813.540821717452</v>
      </c>
      <c r="V200" s="84">
        <f t="shared" si="231"/>
        <v>16181.88253810511</v>
      </c>
      <c r="W200" s="84">
        <f t="shared" si="233"/>
        <v>17358.566232376161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26222.730677443324</v>
      </c>
      <c r="C201" s="84">
        <f t="shared" si="231"/>
        <v>25122.531767342913</v>
      </c>
      <c r="D201" s="84">
        <f t="shared" si="231"/>
        <v>24882.893729011343</v>
      </c>
      <c r="E201" s="84">
        <f t="shared" si="231"/>
        <v>24541.330309038764</v>
      </c>
      <c r="F201" s="84">
        <f t="shared" si="231"/>
        <v>24920.16582424644</v>
      </c>
      <c r="G201" s="84">
        <f t="shared" si="231"/>
        <v>22611.811729331297</v>
      </c>
      <c r="H201" s="84">
        <f t="shared" si="231"/>
        <v>22149.459326889213</v>
      </c>
      <c r="I201" s="84">
        <f t="shared" si="231"/>
        <v>21934.669798725834</v>
      </c>
      <c r="J201" s="84">
        <f t="shared" si="231"/>
        <v>21667.627223295149</v>
      </c>
      <c r="K201" s="84">
        <f t="shared" si="231"/>
        <v>22948.507994308682</v>
      </c>
      <c r="L201" s="84">
        <f t="shared" si="231"/>
        <v>21527.740221700074</v>
      </c>
      <c r="M201" s="84">
        <f t="shared" si="234"/>
        <v>20367.560652587828</v>
      </c>
      <c r="N201" s="84">
        <f t="shared" si="231"/>
        <v>17587.775020342997</v>
      </c>
      <c r="O201" s="84">
        <f t="shared" si="231"/>
        <v>18895.702281879741</v>
      </c>
      <c r="P201" s="84">
        <f t="shared" si="231"/>
        <v>19515.271131594975</v>
      </c>
      <c r="Q201" s="84">
        <f t="shared" si="231"/>
        <v>20276.960290823965</v>
      </c>
      <c r="R201" s="84">
        <f t="shared" si="231"/>
        <v>21364.230028586706</v>
      </c>
      <c r="S201" s="84">
        <f t="shared" si="231"/>
        <v>23051.680426059422</v>
      </c>
      <c r="T201" s="84">
        <f t="shared" si="231"/>
        <v>22364.185493925263</v>
      </c>
      <c r="U201" s="84">
        <f t="shared" si="231"/>
        <v>22607.339629971459</v>
      </c>
      <c r="V201" s="84">
        <f t="shared" si="231"/>
        <v>15362.239371711501</v>
      </c>
      <c r="W201" s="84">
        <f t="shared" si="233"/>
        <v>15754.967298358721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11743.638023186562</v>
      </c>
      <c r="O202" s="84">
        <f t="shared" si="231"/>
        <v>13281.012553539047</v>
      </c>
      <c r="P202" s="84">
        <f t="shared" si="231"/>
        <v>14438.402141900204</v>
      </c>
      <c r="Q202" s="84">
        <f t="shared" si="231"/>
        <v>15791.514726572654</v>
      </c>
      <c r="R202" s="84">
        <f t="shared" si="231"/>
        <v>15806.357110016959</v>
      </c>
      <c r="S202" s="84">
        <f t="shared" si="231"/>
        <v>17054.819776455417</v>
      </c>
      <c r="T202" s="84">
        <f t="shared" si="231"/>
        <v>16546.175636502841</v>
      </c>
      <c r="U202" s="84">
        <f t="shared" si="231"/>
        <v>16726.073582835623</v>
      </c>
      <c r="V202" s="84">
        <f t="shared" si="231"/>
        <v>11365.775466465417</v>
      </c>
      <c r="W202" s="84">
        <f t="shared" si="233"/>
        <v>11656.33580247361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24714.133947070033</v>
      </c>
      <c r="M203" s="84">
        <f t="shared" si="234"/>
        <v>23964.578593401107</v>
      </c>
      <c r="N203" s="84">
        <f t="shared" si="231"/>
        <v>21935.033420747226</v>
      </c>
      <c r="O203" s="84">
        <f t="shared" si="231"/>
        <v>23209.913569288277</v>
      </c>
      <c r="P203" s="84">
        <f t="shared" si="231"/>
        <v>22353.647315874823</v>
      </c>
      <c r="Q203" s="84">
        <f t="shared" si="231"/>
        <v>23370.030002632742</v>
      </c>
      <c r="R203" s="84">
        <f t="shared" si="231"/>
        <v>23710.464545028844</v>
      </c>
      <c r="S203" s="84">
        <f t="shared" si="231"/>
        <v>24376.140852182194</v>
      </c>
      <c r="T203" s="84">
        <f t="shared" si="231"/>
        <v>24541.844232577161</v>
      </c>
      <c r="U203" s="84">
        <f t="shared" si="231"/>
        <v>24780.836733030224</v>
      </c>
      <c r="V203" s="84">
        <f t="shared" si="231"/>
        <v>17249.658677288688</v>
      </c>
      <c r="W203" s="84">
        <f t="shared" si="233"/>
        <v>21771.359417375283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1059579.4392523365</v>
      </c>
      <c r="C204" s="110">
        <f t="shared" si="231"/>
        <v>1063834.0492777494</v>
      </c>
      <c r="D204" s="110">
        <f t="shared" si="231"/>
        <v>1059204.5008504514</v>
      </c>
      <c r="E204" s="110">
        <f t="shared" si="231"/>
        <v>1060603.445486025</v>
      </c>
      <c r="F204" s="110">
        <f t="shared" si="231"/>
        <v>1074143.4631866829</v>
      </c>
      <c r="G204" s="110">
        <f t="shared" si="231"/>
        <v>1069008.9689422578</v>
      </c>
      <c r="H204" s="110">
        <f t="shared" si="231"/>
        <v>1072321.2520421648</v>
      </c>
      <c r="I204" s="110">
        <f t="shared" si="231"/>
        <v>1064696.7921260332</v>
      </c>
      <c r="J204" s="110">
        <f t="shared" si="231"/>
        <v>1049601.9344856911</v>
      </c>
      <c r="K204" s="110">
        <f t="shared" si="231"/>
        <v>1042881.7521840777</v>
      </c>
      <c r="L204" s="110">
        <f t="shared" si="231"/>
        <v>1051192.3982682202</v>
      </c>
      <c r="M204" s="110">
        <f t="shared" si="234"/>
        <v>1040283.5179788172</v>
      </c>
      <c r="N204" s="110">
        <f t="shared" si="231"/>
        <v>1055701.1522941885</v>
      </c>
      <c r="O204" s="110">
        <f t="shared" si="231"/>
        <v>1072844.191440017</v>
      </c>
      <c r="P204" s="110">
        <f t="shared" si="231"/>
        <v>1090559.9932109178</v>
      </c>
      <c r="Q204" s="110">
        <f t="shared" si="231"/>
        <v>1090335.6875425458</v>
      </c>
      <c r="R204" s="110">
        <f t="shared" si="231"/>
        <v>1090187.4287419152</v>
      </c>
      <c r="S204" s="110">
        <f t="shared" si="231"/>
        <v>1079922.1708035336</v>
      </c>
      <c r="T204" s="110">
        <f t="shared" si="231"/>
        <v>1072730.8718119687</v>
      </c>
      <c r="U204" s="110">
        <f t="shared" si="231"/>
        <v>1085413.0674604001</v>
      </c>
      <c r="V204" s="110">
        <f t="shared" si="231"/>
        <v>602915.54924815556</v>
      </c>
      <c r="W204" s="110">
        <f t="shared" si="233"/>
        <v>835396.42582228989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98690.932082434345</v>
      </c>
      <c r="C205" s="102">
        <f t="shared" si="231"/>
        <v>97163.958936564974</v>
      </c>
      <c r="D205" s="102">
        <f t="shared" si="231"/>
        <v>94823.883818364528</v>
      </c>
      <c r="E205" s="102">
        <f t="shared" si="231"/>
        <v>93094.153525743372</v>
      </c>
      <c r="F205" s="102">
        <f t="shared" si="231"/>
        <v>92493.855007949111</v>
      </c>
      <c r="G205" s="102">
        <f t="shared" si="231"/>
        <v>90227.634732598643</v>
      </c>
      <c r="H205" s="102">
        <f t="shared" si="231"/>
        <v>88751.120989674557</v>
      </c>
      <c r="I205" s="102">
        <f t="shared" si="231"/>
        <v>86370.844672486783</v>
      </c>
      <c r="J205" s="102">
        <f t="shared" si="231"/>
        <v>86840.940206620944</v>
      </c>
      <c r="K205" s="102">
        <f t="shared" si="231"/>
        <v>88079.555659008547</v>
      </c>
      <c r="L205" s="102">
        <f t="shared" si="231"/>
        <v>90684.220342536064</v>
      </c>
      <c r="M205" s="102">
        <f t="shared" si="234"/>
        <v>91612.914741094573</v>
      </c>
      <c r="N205" s="102">
        <f t="shared" si="231"/>
        <v>94768.498195480992</v>
      </c>
      <c r="O205" s="102">
        <f t="shared" si="231"/>
        <v>98352.342154586207</v>
      </c>
      <c r="P205" s="102">
        <f t="shared" si="231"/>
        <v>102089.44566233277</v>
      </c>
      <c r="Q205" s="102">
        <f t="shared" si="231"/>
        <v>104223.71037089384</v>
      </c>
      <c r="R205" s="102">
        <f t="shared" si="231"/>
        <v>102124.55564542479</v>
      </c>
      <c r="S205" s="102">
        <f t="shared" si="231"/>
        <v>99092.978608110818</v>
      </c>
      <c r="T205" s="102">
        <f t="shared" si="231"/>
        <v>96432.361155897001</v>
      </c>
      <c r="U205" s="102">
        <f t="shared" si="231"/>
        <v>95677.790822159615</v>
      </c>
      <c r="V205" s="102">
        <f t="shared" si="231"/>
        <v>66622.706010943191</v>
      </c>
      <c r="W205" s="102">
        <f t="shared" si="233"/>
        <v>70712.024230320763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1068888.7292784404</v>
      </c>
      <c r="C206" s="102">
        <f t="shared" si="231"/>
        <v>1072753.379604555</v>
      </c>
      <c r="D206" s="102">
        <f t="shared" si="231"/>
        <v>1068203.2679881267</v>
      </c>
      <c r="E206" s="102">
        <f t="shared" si="231"/>
        <v>1067187.1441190403</v>
      </c>
      <c r="F206" s="102">
        <f t="shared" si="231"/>
        <v>1079723.2538061906</v>
      </c>
      <c r="G206" s="102">
        <f t="shared" si="231"/>
        <v>1071836.1495756055</v>
      </c>
      <c r="H206" s="102">
        <f t="shared" si="231"/>
        <v>1071192.0352686499</v>
      </c>
      <c r="I206" s="102">
        <f t="shared" si="231"/>
        <v>1063449.1037833593</v>
      </c>
      <c r="J206" s="102">
        <f t="shared" si="231"/>
        <v>1050996.2919905765</v>
      </c>
      <c r="K206" s="102">
        <f t="shared" si="231"/>
        <v>1042418.0233410257</v>
      </c>
      <c r="L206" s="102">
        <f t="shared" si="231"/>
        <v>1051232.3736843236</v>
      </c>
      <c r="M206" s="102">
        <f t="shared" si="234"/>
        <v>1034379.9684720183</v>
      </c>
      <c r="N206" s="102">
        <f t="shared" si="231"/>
        <v>1047945.162581048</v>
      </c>
      <c r="O206" s="102">
        <f t="shared" si="231"/>
        <v>1069750.9625320493</v>
      </c>
      <c r="P206" s="102">
        <f t="shared" si="231"/>
        <v>1083542.444189792</v>
      </c>
      <c r="Q206" s="102">
        <f t="shared" si="231"/>
        <v>1088599.8048976872</v>
      </c>
      <c r="R206" s="102">
        <f t="shared" si="231"/>
        <v>1093355.0680537403</v>
      </c>
      <c r="S206" s="102">
        <f t="shared" si="231"/>
        <v>1081439.6473450067</v>
      </c>
      <c r="T206" s="102">
        <f t="shared" si="231"/>
        <v>1073667.6758523358</v>
      </c>
      <c r="U206" s="102">
        <f t="shared" si="231"/>
        <v>1090914.9295527565</v>
      </c>
      <c r="V206" s="102">
        <f t="shared" si="231"/>
        <v>605732.23074329458</v>
      </c>
      <c r="W206" s="102">
        <f t="shared" si="233"/>
        <v>833839.99819477845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674642.88515191805</v>
      </c>
      <c r="C207" s="102">
        <f t="shared" si="231"/>
        <v>677345.10088043241</v>
      </c>
      <c r="D207" s="102">
        <f t="shared" si="231"/>
        <v>674177.52580736869</v>
      </c>
      <c r="E207" s="102">
        <f t="shared" si="231"/>
        <v>674921.72975726216</v>
      </c>
      <c r="F207" s="102">
        <f t="shared" si="231"/>
        <v>683868.69637209876</v>
      </c>
      <c r="G207" s="102">
        <f t="shared" si="231"/>
        <v>680414.65596280876</v>
      </c>
      <c r="H207" s="102">
        <f t="shared" si="231"/>
        <v>682618.41845616326</v>
      </c>
      <c r="I207" s="102">
        <f t="shared" si="231"/>
        <v>677559.65219143394</v>
      </c>
      <c r="J207" s="102">
        <f t="shared" si="231"/>
        <v>667632.68031055457</v>
      </c>
      <c r="K207" s="102">
        <f t="shared" si="231"/>
        <v>663646.12057375582</v>
      </c>
      <c r="L207" s="102">
        <f t="shared" si="231"/>
        <v>669607.88323710288</v>
      </c>
      <c r="M207" s="102">
        <f t="shared" si="234"/>
        <v>662920.44927365263</v>
      </c>
      <c r="N207" s="102">
        <f t="shared" si="231"/>
        <v>672057.15513958724</v>
      </c>
      <c r="O207" s="102">
        <f t="shared" si="231"/>
        <v>684043.1536234885</v>
      </c>
      <c r="P207" s="102">
        <f t="shared" si="231"/>
        <v>695407.91598727799</v>
      </c>
      <c r="Q207" s="102">
        <f t="shared" si="231"/>
        <v>732354.96898178104</v>
      </c>
      <c r="R207" s="102">
        <f t="shared" si="231"/>
        <v>724901.69220205466</v>
      </c>
      <c r="S207" s="102">
        <f t="shared" si="231"/>
        <v>717702.26539808663</v>
      </c>
      <c r="T207" s="102">
        <f t="shared" si="231"/>
        <v>712648.12064735161</v>
      </c>
      <c r="U207" s="102">
        <f t="shared" si="231"/>
        <v>721977.10320223623</v>
      </c>
      <c r="V207" s="102">
        <f t="shared" si="231"/>
        <v>400856.00662228587</v>
      </c>
      <c r="W207" s="102">
        <f t="shared" si="233"/>
        <v>555525.65625448397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1345856.5789345126</v>
      </c>
      <c r="C208" s="102">
        <f t="shared" si="231"/>
        <v>1262135.7479944921</v>
      </c>
      <c r="D208" s="102">
        <f t="shared" si="231"/>
        <v>1182767.5891357344</v>
      </c>
      <c r="E208" s="102">
        <f t="shared" si="231"/>
        <v>1202807.1011112728</v>
      </c>
      <c r="F208" s="102">
        <f t="shared" si="231"/>
        <v>1248245.4715649209</v>
      </c>
      <c r="G208" s="102">
        <f t="shared" si="231"/>
        <v>1379934.3476924715</v>
      </c>
      <c r="H208" s="102">
        <f t="shared" si="231"/>
        <v>1459751.0420676959</v>
      </c>
      <c r="I208" s="102">
        <f t="shared" si="231"/>
        <v>1381283.0655647595</v>
      </c>
      <c r="J208" s="102">
        <f t="shared" si="231"/>
        <v>1237314.358894706</v>
      </c>
      <c r="K208" s="102">
        <f t="shared" si="231"/>
        <v>1290904.0788898561</v>
      </c>
      <c r="L208" s="102">
        <f t="shared" si="231"/>
        <v>1266807.2686808293</v>
      </c>
      <c r="M208" s="102">
        <f t="shared" si="234"/>
        <v>1393506.1676812901</v>
      </c>
      <c r="N208" s="102">
        <f t="shared" si="231"/>
        <v>1441058.2273948265</v>
      </c>
      <c r="O208" s="102">
        <f t="shared" si="231"/>
        <v>1466759.1988028011</v>
      </c>
      <c r="P208" s="102">
        <f t="shared" si="231"/>
        <v>1491128.0849629745</v>
      </c>
      <c r="Q208" s="102">
        <f t="shared" si="231"/>
        <v>1356212.9055218163</v>
      </c>
      <c r="R208" s="102">
        <f t="shared" si="231"/>
        <v>1220373.219195378</v>
      </c>
      <c r="S208" s="102">
        <f t="shared" si="231"/>
        <v>1208252.9720506505</v>
      </c>
      <c r="T208" s="102">
        <f t="shared" si="231"/>
        <v>1199744.3108541272</v>
      </c>
      <c r="U208" s="102">
        <f t="shared" si="231"/>
        <v>1215449.6686906328</v>
      </c>
      <c r="V208" s="102">
        <f t="shared" si="231"/>
        <v>674841.76199038001</v>
      </c>
      <c r="W208" s="102">
        <f t="shared" si="233"/>
        <v>1028751.2152860812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1097145.3316279401</v>
      </c>
      <c r="P209" s="102">
        <f t="shared" si="231"/>
        <v>1099598.5165274586</v>
      </c>
      <c r="Q209" s="102">
        <f t="shared" si="231"/>
        <v>1084970.3244174533</v>
      </c>
      <c r="R209" s="102">
        <f t="shared" si="231"/>
        <v>1084944.4818389351</v>
      </c>
      <c r="S209" s="102">
        <f t="shared" si="231"/>
        <v>1084341.1096215139</v>
      </c>
      <c r="T209" s="102">
        <f t="shared" si="231"/>
        <v>1083892.8423377755</v>
      </c>
      <c r="U209" s="102">
        <f t="shared" si="231"/>
        <v>1083823.8774412069</v>
      </c>
      <c r="V209" s="102">
        <f t="shared" si="231"/>
        <v>602347.25480369187</v>
      </c>
      <c r="W209" s="102">
        <f t="shared" si="233"/>
        <v>836548.57775780885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54255.373453593835</v>
      </c>
      <c r="C210" s="28">
        <f t="shared" si="231"/>
        <v>51227.954885821047</v>
      </c>
      <c r="D210" s="28">
        <f t="shared" si="231"/>
        <v>50163.579967296326</v>
      </c>
      <c r="E210" s="28">
        <f t="shared" si="231"/>
        <v>44192.000089644862</v>
      </c>
      <c r="F210" s="28">
        <f t="shared" ref="B210:V219" si="235">IF(F19=0,0,F19*1000000/F73)</f>
        <v>48377.801771815415</v>
      </c>
      <c r="G210" s="28">
        <f t="shared" si="235"/>
        <v>50214.530647027495</v>
      </c>
      <c r="H210" s="28">
        <f t="shared" si="235"/>
        <v>45112.430793434956</v>
      </c>
      <c r="I210" s="28">
        <f t="shared" si="235"/>
        <v>43670.154656620834</v>
      </c>
      <c r="J210" s="28">
        <f t="shared" si="235"/>
        <v>43017.038159358635</v>
      </c>
      <c r="K210" s="28">
        <f t="shared" si="235"/>
        <v>40330.659957995667</v>
      </c>
      <c r="L210" s="28">
        <f t="shared" si="235"/>
        <v>41699.850721725881</v>
      </c>
      <c r="M210" s="28">
        <f t="shared" si="234"/>
        <v>35974.425258733798</v>
      </c>
      <c r="N210" s="28">
        <f t="shared" si="235"/>
        <v>31995.308184012723</v>
      </c>
      <c r="O210" s="28">
        <f t="shared" si="235"/>
        <v>32474.021032412431</v>
      </c>
      <c r="P210" s="28">
        <f t="shared" si="235"/>
        <v>30721.273816520199</v>
      </c>
      <c r="Q210" s="28">
        <f t="shared" si="235"/>
        <v>30264.197259883171</v>
      </c>
      <c r="R210" s="28">
        <f t="shared" si="235"/>
        <v>29577.608637456422</v>
      </c>
      <c r="S210" s="28">
        <f t="shared" si="235"/>
        <v>31551.960232797497</v>
      </c>
      <c r="T210" s="28">
        <f t="shared" si="235"/>
        <v>32114.500948404202</v>
      </c>
      <c r="U210" s="28">
        <f t="shared" si="235"/>
        <v>34235.665296412517</v>
      </c>
      <c r="V210" s="28">
        <f t="shared" si="235"/>
        <v>32749.389588378534</v>
      </c>
      <c r="W210" s="28">
        <f t="shared" ref="W210" si="236">IF(W19=0,0,W19*1000000/W73)</f>
        <v>35656.047273779142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4312.7595952307674</v>
      </c>
      <c r="C211" s="137">
        <f t="shared" si="235"/>
        <v>3928.6620514754977</v>
      </c>
      <c r="D211" s="137">
        <f t="shared" si="235"/>
        <v>3831.9156102794364</v>
      </c>
      <c r="E211" s="137">
        <f t="shared" si="235"/>
        <v>3941.4159752778901</v>
      </c>
      <c r="F211" s="137">
        <f t="shared" si="235"/>
        <v>4135.9396618243718</v>
      </c>
      <c r="G211" s="137">
        <f t="shared" si="235"/>
        <v>4327.2249946483826</v>
      </c>
      <c r="H211" s="137">
        <f t="shared" si="235"/>
        <v>3807.6867812037731</v>
      </c>
      <c r="I211" s="137">
        <f t="shared" si="235"/>
        <v>3986.4934612634925</v>
      </c>
      <c r="J211" s="137">
        <f t="shared" si="235"/>
        <v>3897.6201865061489</v>
      </c>
      <c r="K211" s="137">
        <f t="shared" si="235"/>
        <v>3840.5209817702612</v>
      </c>
      <c r="L211" s="137">
        <f t="shared" si="235"/>
        <v>4066.4511965345268</v>
      </c>
      <c r="M211" s="137">
        <f t="shared" si="234"/>
        <v>4158.6434023836327</v>
      </c>
      <c r="N211" s="137">
        <f t="shared" si="235"/>
        <v>3756.6078598468453</v>
      </c>
      <c r="O211" s="137">
        <f t="shared" si="235"/>
        <v>3426.2063453088131</v>
      </c>
      <c r="P211" s="137">
        <f t="shared" si="235"/>
        <v>3529.0113271444211</v>
      </c>
      <c r="Q211" s="137">
        <f t="shared" si="235"/>
        <v>2967.3061466097301</v>
      </c>
      <c r="R211" s="137">
        <f t="shared" si="235"/>
        <v>2776.0901198162032</v>
      </c>
      <c r="S211" s="137">
        <f t="shared" si="235"/>
        <v>2792.1679894849676</v>
      </c>
      <c r="T211" s="137">
        <f t="shared" si="235"/>
        <v>2850.9355870575123</v>
      </c>
      <c r="U211" s="137">
        <f t="shared" si="235"/>
        <v>2872.3665824385612</v>
      </c>
      <c r="V211" s="137">
        <f t="shared" si="235"/>
        <v>2760.8030807233986</v>
      </c>
      <c r="W211" s="137">
        <f t="shared" ref="W211" si="237">IF(W20=0,0,W20*1000000/W74)</f>
        <v>3171.9360648353377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1753.6435707251696</v>
      </c>
      <c r="C212" s="84">
        <f t="shared" si="235"/>
        <v>1752.5875997070082</v>
      </c>
      <c r="D212" s="84">
        <f t="shared" si="235"/>
        <v>1751.5322645505521</v>
      </c>
      <c r="E212" s="84">
        <f t="shared" si="235"/>
        <v>1750.4775648729119</v>
      </c>
      <c r="F212" s="84">
        <f t="shared" si="235"/>
        <v>1749.4235002914286</v>
      </c>
      <c r="G212" s="84">
        <f t="shared" si="235"/>
        <v>1748.3700704236735</v>
      </c>
      <c r="H212" s="84">
        <f t="shared" si="235"/>
        <v>1724.0387803631752</v>
      </c>
      <c r="I212" s="84">
        <f t="shared" si="235"/>
        <v>1730.2158542809634</v>
      </c>
      <c r="J212" s="84">
        <f t="shared" si="235"/>
        <v>1727.5460819311013</v>
      </c>
      <c r="K212" s="84">
        <f t="shared" si="235"/>
        <v>1725.1684418722991</v>
      </c>
      <c r="L212" s="84">
        <f t="shared" si="235"/>
        <v>1741.1398949646225</v>
      </c>
      <c r="M212" s="84">
        <f t="shared" si="234"/>
        <v>1744.4174326075065</v>
      </c>
      <c r="N212" s="84">
        <f t="shared" si="235"/>
        <v>1726.7423744252687</v>
      </c>
      <c r="O212" s="84">
        <f t="shared" si="235"/>
        <v>1710.2490070673352</v>
      </c>
      <c r="P212" s="84">
        <f t="shared" si="235"/>
        <v>1714.3945690844719</v>
      </c>
      <c r="Q212" s="84">
        <f t="shared" si="235"/>
        <v>1684.1542515927276</v>
      </c>
      <c r="R212" s="84">
        <f t="shared" si="235"/>
        <v>1682.4099104276363</v>
      </c>
      <c r="S212" s="84">
        <f t="shared" si="235"/>
        <v>1683.2480677015612</v>
      </c>
      <c r="T212" s="84">
        <f t="shared" si="235"/>
        <v>1687.10978491586</v>
      </c>
      <c r="U212" s="84">
        <f t="shared" si="235"/>
        <v>1686.2612258719498</v>
      </c>
      <c r="V212" s="84">
        <f t="shared" si="235"/>
        <v>1679.177796452663</v>
      </c>
      <c r="W212" s="84">
        <f t="shared" ref="W212" si="238">IF(W21=0,0,W21*1000000/W75)</f>
        <v>1703.7252766174804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4599.6632978696925</v>
      </c>
      <c r="C213" s="84">
        <f t="shared" si="235"/>
        <v>4168.5342654461174</v>
      </c>
      <c r="D213" s="84">
        <f t="shared" si="235"/>
        <v>4057.7037434773033</v>
      </c>
      <c r="E213" s="84">
        <f t="shared" si="235"/>
        <v>4175.9289675208202</v>
      </c>
      <c r="F213" s="84">
        <f t="shared" si="235"/>
        <v>4388.2229498352708</v>
      </c>
      <c r="G213" s="84">
        <f t="shared" si="235"/>
        <v>4596.7760416888868</v>
      </c>
      <c r="H213" s="84">
        <f t="shared" si="235"/>
        <v>4023.0403327902577</v>
      </c>
      <c r="I213" s="84">
        <f t="shared" si="235"/>
        <v>4184.9000091272628</v>
      </c>
      <c r="J213" s="84">
        <f t="shared" si="235"/>
        <v>4084.064769462515</v>
      </c>
      <c r="K213" s="84">
        <f t="shared" si="235"/>
        <v>4022.1808731906226</v>
      </c>
      <c r="L213" s="84">
        <f t="shared" si="235"/>
        <v>4272.5508233432638</v>
      </c>
      <c r="M213" s="84">
        <f t="shared" si="234"/>
        <v>4375.2921547660135</v>
      </c>
      <c r="N213" s="84">
        <f t="shared" si="235"/>
        <v>3940.0636230530481</v>
      </c>
      <c r="O213" s="84">
        <f t="shared" si="235"/>
        <v>3581.1110449432354</v>
      </c>
      <c r="P213" s="84">
        <f t="shared" si="235"/>
        <v>3692.6226847006515</v>
      </c>
      <c r="Q213" s="84">
        <f t="shared" si="235"/>
        <v>3079.593506466269</v>
      </c>
      <c r="R213" s="84">
        <f t="shared" si="235"/>
        <v>2867.2381634781741</v>
      </c>
      <c r="S213" s="84">
        <f t="shared" si="235"/>
        <v>2880.5663664632543</v>
      </c>
      <c r="T213" s="84">
        <f t="shared" si="235"/>
        <v>2943.2801383109258</v>
      </c>
      <c r="U213" s="84">
        <f t="shared" si="235"/>
        <v>2967.6500938258105</v>
      </c>
      <c r="V213" s="84">
        <f t="shared" si="235"/>
        <v>2847.2789414793588</v>
      </c>
      <c r="W213" s="84">
        <f t="shared" ref="W213" si="239">IF(W22=0,0,W22*1000000/W76)</f>
        <v>3290.8412660966433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1711.2078327997351</v>
      </c>
      <c r="C214" s="84">
        <f t="shared" si="235"/>
        <v>1708.1184398903013</v>
      </c>
      <c r="D214" s="84">
        <f t="shared" si="235"/>
        <v>1705.0346245316271</v>
      </c>
      <c r="E214" s="84">
        <f t="shared" si="235"/>
        <v>1701.9563766540743</v>
      </c>
      <c r="F214" s="84">
        <f t="shared" si="235"/>
        <v>1698.8836862061821</v>
      </c>
      <c r="G214" s="84">
        <f t="shared" si="235"/>
        <v>1695.8165431546395</v>
      </c>
      <c r="H214" s="84">
        <f t="shared" si="235"/>
        <v>1625.9974837607342</v>
      </c>
      <c r="I214" s="84">
        <f t="shared" si="235"/>
        <v>1643.5375811358369</v>
      </c>
      <c r="J214" s="84">
        <f t="shared" si="235"/>
        <v>1635.941238659703</v>
      </c>
      <c r="K214" s="84">
        <f t="shared" si="235"/>
        <v>1629.1958409323006</v>
      </c>
      <c r="L214" s="84">
        <f t="shared" si="235"/>
        <v>1674.8648857076244</v>
      </c>
      <c r="M214" s="84">
        <f t="shared" si="234"/>
        <v>1684.3410442306174</v>
      </c>
      <c r="N214" s="84">
        <f t="shared" si="235"/>
        <v>1633.6590303862856</v>
      </c>
      <c r="O214" s="84">
        <f t="shared" si="235"/>
        <v>1587.2919668117781</v>
      </c>
      <c r="P214" s="84">
        <f t="shared" si="235"/>
        <v>1598.8625280822553</v>
      </c>
      <c r="Q214" s="84">
        <f t="shared" si="235"/>
        <v>1515.7388264334552</v>
      </c>
      <c r="R214" s="84">
        <f t="shared" si="235"/>
        <v>1511.0339816368589</v>
      </c>
      <c r="S214" s="84">
        <f t="shared" si="235"/>
        <v>1513.2934461721218</v>
      </c>
      <c r="T214" s="84">
        <f t="shared" si="235"/>
        <v>1523.7327786467517</v>
      </c>
      <c r="U214" s="84">
        <f t="shared" si="235"/>
        <v>1521.4347770110289</v>
      </c>
      <c r="V214" s="84">
        <f t="shared" si="235"/>
        <v>1481.8257381121477</v>
      </c>
      <c r="W214" s="84">
        <f t="shared" ref="W214" si="240">IF(W23=0,0,W23*1000000/W77)</f>
        <v>1547.7677202840155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2282.5000814484461</v>
      </c>
      <c r="C215" s="84">
        <f t="shared" si="235"/>
        <v>2279.7520563674225</v>
      </c>
      <c r="D215" s="84">
        <f t="shared" si="235"/>
        <v>2277.0073397821611</v>
      </c>
      <c r="E215" s="84">
        <f t="shared" si="235"/>
        <v>2274.2659277093858</v>
      </c>
      <c r="F215" s="84">
        <f t="shared" si="235"/>
        <v>2271.5278161706142</v>
      </c>
      <c r="G215" s="84">
        <f t="shared" si="235"/>
        <v>2268.7930011921567</v>
      </c>
      <c r="H215" s="84">
        <f t="shared" si="235"/>
        <v>2206.0848296594468</v>
      </c>
      <c r="I215" s="84">
        <f t="shared" si="235"/>
        <v>2221.9215517032271</v>
      </c>
      <c r="J215" s="84">
        <f t="shared" si="235"/>
        <v>2215.0698654629573</v>
      </c>
      <c r="K215" s="84">
        <f t="shared" si="235"/>
        <v>2208.9768128553651</v>
      </c>
      <c r="L215" s="84">
        <f t="shared" si="235"/>
        <v>2250.0671560891897</v>
      </c>
      <c r="M215" s="84">
        <f t="shared" si="234"/>
        <v>2258.5462230576281</v>
      </c>
      <c r="N215" s="84">
        <f t="shared" si="235"/>
        <v>2213.0093077994748</v>
      </c>
      <c r="O215" s="84">
        <f t="shared" si="235"/>
        <v>2170.9351024472953</v>
      </c>
      <c r="P215" s="84">
        <f t="shared" si="235"/>
        <v>2181.4723441504384</v>
      </c>
      <c r="Q215" s="84">
        <f t="shared" si="235"/>
        <v>2105.1928144909093</v>
      </c>
      <c r="R215" s="84">
        <f t="shared" si="235"/>
        <v>2100.8342199269182</v>
      </c>
      <c r="S215" s="84">
        <f t="shared" si="235"/>
        <v>2102.9279642449073</v>
      </c>
      <c r="T215" s="84">
        <f t="shared" si="235"/>
        <v>2112.5881311547159</v>
      </c>
      <c r="U215" s="84">
        <f t="shared" si="235"/>
        <v>2110.4635451221707</v>
      </c>
      <c r="V215" s="84">
        <f t="shared" si="235"/>
        <v>2092.7700576068451</v>
      </c>
      <c r="W215" s="84">
        <f t="shared" ref="W215" si="241">IF(W24=0,0,W24*1000000/W78)</f>
        <v>2154.4046629340864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1650.80644072466</v>
      </c>
      <c r="N216" s="84">
        <f t="shared" si="235"/>
        <v>1659.2338160999948</v>
      </c>
      <c r="O216" s="84">
        <f t="shared" si="235"/>
        <v>1667.215311721397</v>
      </c>
      <c r="P216" s="84">
        <f t="shared" si="235"/>
        <v>1669.2347139245396</v>
      </c>
      <c r="Q216" s="84">
        <f t="shared" si="235"/>
        <v>1684.1542515927272</v>
      </c>
      <c r="R216" s="84">
        <f t="shared" si="235"/>
        <v>1696.7346972145492</v>
      </c>
      <c r="S216" s="84">
        <f t="shared" si="235"/>
        <v>1709.8691893617085</v>
      </c>
      <c r="T216" s="84">
        <f t="shared" si="235"/>
        <v>1721.5608423968904</v>
      </c>
      <c r="U216" s="84">
        <f t="shared" si="235"/>
        <v>1734.8831530739756</v>
      </c>
      <c r="V216" s="84">
        <f t="shared" si="235"/>
        <v>1680.9660722397571</v>
      </c>
      <c r="W216" s="84">
        <f t="shared" ref="W216" si="242">IF(W25=0,0,W25*1000000/W79)</f>
        <v>1725.9685319644973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197398.48244838361</v>
      </c>
      <c r="C217" s="110">
        <f t="shared" si="235"/>
        <v>195463.57469089268</v>
      </c>
      <c r="D217" s="110">
        <f t="shared" si="235"/>
        <v>202001.60982419216</v>
      </c>
      <c r="E217" s="110">
        <f t="shared" si="235"/>
        <v>183724.73284598376</v>
      </c>
      <c r="F217" s="110">
        <f t="shared" si="235"/>
        <v>205185.95570599771</v>
      </c>
      <c r="G217" s="110">
        <f t="shared" si="235"/>
        <v>220578.37621599104</v>
      </c>
      <c r="H217" s="110">
        <f t="shared" si="235"/>
        <v>203136.75089319609</v>
      </c>
      <c r="I217" s="110">
        <f t="shared" si="235"/>
        <v>198839.99654751137</v>
      </c>
      <c r="J217" s="110">
        <f t="shared" si="235"/>
        <v>199875.18553065599</v>
      </c>
      <c r="K217" s="110">
        <f t="shared" si="235"/>
        <v>188951.82570863317</v>
      </c>
      <c r="L217" s="110">
        <f t="shared" si="235"/>
        <v>198884.09439443666</v>
      </c>
      <c r="M217" s="110">
        <f t="shared" si="234"/>
        <v>170315.03614026259</v>
      </c>
      <c r="N217" s="110">
        <f t="shared" si="235"/>
        <v>154233.05142046811</v>
      </c>
      <c r="O217" s="110">
        <f t="shared" si="235"/>
        <v>160695.85620196507</v>
      </c>
      <c r="P217" s="110">
        <f t="shared" si="235"/>
        <v>152975.32171241651</v>
      </c>
      <c r="Q217" s="110">
        <f t="shared" si="235"/>
        <v>154140.03275261572</v>
      </c>
      <c r="R217" s="110">
        <f t="shared" si="235"/>
        <v>163025.75936468825</v>
      </c>
      <c r="S217" s="110">
        <f t="shared" si="235"/>
        <v>183227.27828215744</v>
      </c>
      <c r="T217" s="110">
        <f t="shared" si="235"/>
        <v>188051.07779180605</v>
      </c>
      <c r="U217" s="110">
        <f t="shared" si="235"/>
        <v>203912.15806293304</v>
      </c>
      <c r="V217" s="110">
        <f t="shared" si="235"/>
        <v>207308.63849281368</v>
      </c>
      <c r="W217" s="110">
        <f t="shared" ref="W217" si="243">IF(W26=0,0,W26*1000000/W80)</f>
        <v>225436.14175681336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175673.66549069845</v>
      </c>
      <c r="C218" s="163">
        <f t="shared" si="235"/>
        <v>172110.08888612076</v>
      </c>
      <c r="D218" s="163">
        <f t="shared" si="235"/>
        <v>177477.25574454592</v>
      </c>
      <c r="E218" s="163">
        <f t="shared" si="235"/>
        <v>158435.99997344351</v>
      </c>
      <c r="F218" s="163">
        <f t="shared" si="235"/>
        <v>176341.32881439076</v>
      </c>
      <c r="G218" s="163">
        <f t="shared" si="235"/>
        <v>191198.41235351207</v>
      </c>
      <c r="H218" s="163">
        <f t="shared" si="235"/>
        <v>171409.25593439411</v>
      </c>
      <c r="I218" s="163">
        <f t="shared" si="235"/>
        <v>167337.16012349963</v>
      </c>
      <c r="J218" s="163">
        <f t="shared" si="235"/>
        <v>167217.36506237209</v>
      </c>
      <c r="K218" s="163">
        <f t="shared" si="235"/>
        <v>160485.03712063766</v>
      </c>
      <c r="L218" s="163">
        <f t="shared" si="235"/>
        <v>166817.93185466024</v>
      </c>
      <c r="M218" s="163">
        <f t="shared" si="234"/>
        <v>142020.52874647398</v>
      </c>
      <c r="N218" s="163">
        <f t="shared" si="235"/>
        <v>126869.10186640639</v>
      </c>
      <c r="O218" s="163">
        <f t="shared" si="235"/>
        <v>130583.24266267366</v>
      </c>
      <c r="P218" s="163">
        <f t="shared" si="235"/>
        <v>121258.61300931674</v>
      </c>
      <c r="Q218" s="163">
        <f t="shared" si="235"/>
        <v>123337.64188911412</v>
      </c>
      <c r="R218" s="163">
        <f t="shared" si="235"/>
        <v>128354.38825532133</v>
      </c>
      <c r="S218" s="163">
        <f t="shared" si="235"/>
        <v>143082.78772162471</v>
      </c>
      <c r="T218" s="163">
        <f t="shared" si="235"/>
        <v>149166.60214496823</v>
      </c>
      <c r="U218" s="163">
        <f t="shared" si="235"/>
        <v>164093.88735500068</v>
      </c>
      <c r="V218" s="163">
        <f t="shared" si="235"/>
        <v>166887.95789628316</v>
      </c>
      <c r="W218" s="163">
        <f t="shared" ref="W218" si="244">IF(W27=0,0,W27*1000000/W81)</f>
        <v>180606.70093895198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1211866.6884609298</v>
      </c>
      <c r="C219" s="86">
        <f t="shared" si="235"/>
        <v>1210829.7731760447</v>
      </c>
      <c r="D219" s="86">
        <f t="shared" si="235"/>
        <v>1218808.0469137717</v>
      </c>
      <c r="E219" s="86">
        <f t="shared" si="235"/>
        <v>1211622.8939430562</v>
      </c>
      <c r="F219" s="86">
        <f t="shared" si="235"/>
        <v>1189422.2991392624</v>
      </c>
      <c r="G219" s="86">
        <f t="shared" si="235"/>
        <v>1189968.1180866705</v>
      </c>
      <c r="H219" s="86">
        <f t="shared" si="235"/>
        <v>1197531.7804083787</v>
      </c>
      <c r="I219" s="86">
        <f t="shared" si="235"/>
        <v>1199813.3894992985</v>
      </c>
      <c r="J219" s="86">
        <f t="shared" si="235"/>
        <v>1182812.1410545155</v>
      </c>
      <c r="K219" s="86">
        <f t="shared" si="235"/>
        <v>1167220.8540910052</v>
      </c>
      <c r="L219" s="86">
        <f t="shared" si="235"/>
        <v>1205191.7879802177</v>
      </c>
      <c r="M219" s="86">
        <f t="shared" si="234"/>
        <v>1201307.1153869103</v>
      </c>
      <c r="N219" s="86">
        <f t="shared" si="235"/>
        <v>1197346.0033903378</v>
      </c>
      <c r="O219" s="86">
        <f t="shared" si="235"/>
        <v>1198956.2501436155</v>
      </c>
      <c r="P219" s="86">
        <f t="shared" si="235"/>
        <v>1201756.3978090566</v>
      </c>
      <c r="Q219" s="86">
        <f t="shared" si="235"/>
        <v>1190451.1625786109</v>
      </c>
      <c r="R219" s="86">
        <f t="shared" si="235"/>
        <v>1184150.4402315943</v>
      </c>
      <c r="S219" s="86">
        <f t="shared" si="235"/>
        <v>1194226.1610928127</v>
      </c>
      <c r="T219" s="86">
        <f t="shared" si="235"/>
        <v>1203262.2333751568</v>
      </c>
      <c r="U219" s="86">
        <f t="shared" si="235"/>
        <v>1198661.3119143241</v>
      </c>
      <c r="V219" s="86">
        <f t="shared" si="235"/>
        <v>1180393.0903155603</v>
      </c>
      <c r="W219" s="86">
        <f t="shared" ref="W219" si="245">IF(W28=0,0,W28*1000000/W82)</f>
        <v>1193471.0718728194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5.342478900010212E-2</v>
      </c>
      <c r="C223" s="154">
        <f t="shared" si="250"/>
        <v>5.4944170285193106E-2</v>
      </c>
      <c r="D223" s="154">
        <f t="shared" si="250"/>
        <v>5.3949469314825221E-2</v>
      </c>
      <c r="E223" s="154">
        <f t="shared" si="250"/>
        <v>5.4591787445770132E-2</v>
      </c>
      <c r="F223" s="154">
        <f t="shared" si="250"/>
        <v>5.6912129615586442E-2</v>
      </c>
      <c r="G223" s="154">
        <f t="shared" si="250"/>
        <v>6.0148253414287624E-2</v>
      </c>
      <c r="H223" s="154">
        <f t="shared" si="250"/>
        <v>5.7802602421005184E-2</v>
      </c>
      <c r="I223" s="154">
        <f t="shared" si="250"/>
        <v>5.0964286576488833E-2</v>
      </c>
      <c r="J223" s="154">
        <f t="shared" si="250"/>
        <v>5.3978685206737875E-2</v>
      </c>
      <c r="K223" s="154">
        <f t="shared" si="250"/>
        <v>4.6355737936701558E-2</v>
      </c>
      <c r="L223" s="154">
        <f t="shared" ref="L223" si="251">IF(L5=0,0,L5/L$4)</f>
        <v>4.7647717092450796E-2</v>
      </c>
      <c r="M223" s="154">
        <f t="shared" ref="M223:V223" si="252">IF(M5=0,0,M5/M$4)</f>
        <v>5.3345093865291481E-2</v>
      </c>
      <c r="N223" s="154">
        <f t="shared" si="252"/>
        <v>5.8566474994531152E-2</v>
      </c>
      <c r="O223" s="154">
        <f t="shared" si="252"/>
        <v>5.4091107896496231E-2</v>
      </c>
      <c r="P223" s="154">
        <f t="shared" si="252"/>
        <v>5.1898350420599905E-2</v>
      </c>
      <c r="Q223" s="154">
        <f t="shared" si="252"/>
        <v>4.755895611019785E-2</v>
      </c>
      <c r="R223" s="154">
        <f t="shared" si="252"/>
        <v>4.6832500567048754E-2</v>
      </c>
      <c r="S223" s="154">
        <f t="shared" si="252"/>
        <v>4.2216993930646901E-2</v>
      </c>
      <c r="T223" s="154">
        <f t="shared" si="252"/>
        <v>4.128318082028401E-2</v>
      </c>
      <c r="U223" s="154">
        <f t="shared" si="252"/>
        <v>4.3194670615275023E-2</v>
      </c>
      <c r="V223" s="154">
        <f t="shared" si="252"/>
        <v>5.8138608400985947E-2</v>
      </c>
      <c r="W223" s="154">
        <f t="shared" ref="W223" si="253">IF(W5=0,0,W5/W$4)</f>
        <v>5.5724773892355188E-2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0.83704429661952673</v>
      </c>
      <c r="C224" s="156">
        <f t="shared" si="254"/>
        <v>0.83392093014439128</v>
      </c>
      <c r="D224" s="156">
        <f t="shared" si="254"/>
        <v>0.83367369767554755</v>
      </c>
      <c r="E224" s="156">
        <f t="shared" si="254"/>
        <v>0.83238038072407461</v>
      </c>
      <c r="F224" s="156">
        <f t="shared" si="254"/>
        <v>0.82935113072230626</v>
      </c>
      <c r="G224" s="156">
        <f t="shared" si="254"/>
        <v>0.81789069777031898</v>
      </c>
      <c r="H224" s="156">
        <f t="shared" si="254"/>
        <v>0.81760866247290298</v>
      </c>
      <c r="I224" s="156">
        <f t="shared" si="254"/>
        <v>0.82408568792320869</v>
      </c>
      <c r="J224" s="156">
        <f t="shared" si="254"/>
        <v>0.8215876928805016</v>
      </c>
      <c r="K224" s="156">
        <f t="shared" si="254"/>
        <v>0.83559506728250033</v>
      </c>
      <c r="L224" s="156">
        <f t="shared" ref="L224" si="255">IF(L6=0,0,L6/L$4)</f>
        <v>0.83075922311615691</v>
      </c>
      <c r="M224" s="156">
        <f t="shared" ref="M224:V224" si="256">IF(M6=0,0,M6/M$4)</f>
        <v>0.82034251755572396</v>
      </c>
      <c r="N224" s="156">
        <f t="shared" si="256"/>
        <v>0.80093130501906062</v>
      </c>
      <c r="O224" s="156">
        <f t="shared" si="256"/>
        <v>0.81260314174917603</v>
      </c>
      <c r="P224" s="156">
        <f t="shared" si="256"/>
        <v>0.81739608455060953</v>
      </c>
      <c r="Q224" s="156">
        <f t="shared" si="256"/>
        <v>0.82708616069772278</v>
      </c>
      <c r="R224" s="156">
        <f t="shared" si="256"/>
        <v>0.83230138796374864</v>
      </c>
      <c r="S224" s="156">
        <f t="shared" si="256"/>
        <v>0.84175606726086705</v>
      </c>
      <c r="T224" s="156">
        <f t="shared" si="256"/>
        <v>0.83918760500775746</v>
      </c>
      <c r="U224" s="156">
        <f t="shared" si="256"/>
        <v>0.83754457346158551</v>
      </c>
      <c r="V224" s="156">
        <f t="shared" si="256"/>
        <v>0.84220718993183552</v>
      </c>
      <c r="W224" s="156">
        <f t="shared" ref="W224" si="257">IF(W6=0,0,W6/W$4)</f>
        <v>0.81758520980468885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0.57517324492501665</v>
      </c>
      <c r="C225" s="103">
        <f t="shared" si="258"/>
        <v>0.54998155346032673</v>
      </c>
      <c r="D225" s="103">
        <f t="shared" si="258"/>
        <v>0.51559968407158641</v>
      </c>
      <c r="E225" s="103">
        <f t="shared" si="258"/>
        <v>0.49604513982888399</v>
      </c>
      <c r="F225" s="103">
        <f t="shared" si="258"/>
        <v>0.44207917211505404</v>
      </c>
      <c r="G225" s="103">
        <f t="shared" si="258"/>
        <v>0.41258453077100116</v>
      </c>
      <c r="H225" s="103">
        <f t="shared" si="258"/>
        <v>0.35134445550804527</v>
      </c>
      <c r="I225" s="103">
        <f t="shared" si="258"/>
        <v>0.34074957023326397</v>
      </c>
      <c r="J225" s="103">
        <f t="shared" si="258"/>
        <v>0.33870246160665113</v>
      </c>
      <c r="K225" s="103">
        <f t="shared" si="258"/>
        <v>0.35024847554686689</v>
      </c>
      <c r="L225" s="103">
        <f t="shared" ref="L225" si="259">IF(L7=0,0,L7/L$4)</f>
        <v>0.34331518144583639</v>
      </c>
      <c r="M225" s="103">
        <f t="shared" ref="M225:V225" si="260">IF(M7=0,0,M7/M$4)</f>
        <v>0.33516000574249388</v>
      </c>
      <c r="N225" s="103">
        <f t="shared" si="260"/>
        <v>0.30074027312777424</v>
      </c>
      <c r="O225" s="103">
        <f t="shared" si="260"/>
        <v>0.28743163631593832</v>
      </c>
      <c r="P225" s="103">
        <f t="shared" si="260"/>
        <v>0.27117447394294769</v>
      </c>
      <c r="Q225" s="103">
        <f t="shared" si="260"/>
        <v>0.26223491896412315</v>
      </c>
      <c r="R225" s="103">
        <f t="shared" si="260"/>
        <v>0.25286673301739671</v>
      </c>
      <c r="S225" s="103">
        <f t="shared" si="260"/>
        <v>0.24497005352575552</v>
      </c>
      <c r="T225" s="103">
        <f t="shared" si="260"/>
        <v>0.2372642936575681</v>
      </c>
      <c r="U225" s="103">
        <f t="shared" si="260"/>
        <v>0.23905340488145874</v>
      </c>
      <c r="V225" s="103">
        <f t="shared" si="260"/>
        <v>0.23616681479821769</v>
      </c>
      <c r="W225" s="103">
        <f t="shared" ref="W225" si="261">IF(W7=0,0,W7/W$4)</f>
        <v>0.23246607332963196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0.20073678751271015</v>
      </c>
      <c r="C226" s="103">
        <f t="shared" si="262"/>
        <v>0.22552798001854579</v>
      </c>
      <c r="D226" s="103">
        <f t="shared" si="262"/>
        <v>0.26301632739359593</v>
      </c>
      <c r="E226" s="103">
        <f t="shared" si="262"/>
        <v>0.28486293107512606</v>
      </c>
      <c r="F226" s="103">
        <f t="shared" si="262"/>
        <v>0.33714365200459234</v>
      </c>
      <c r="G226" s="103">
        <f t="shared" si="262"/>
        <v>0.35347847640518448</v>
      </c>
      <c r="H226" s="103">
        <f t="shared" si="262"/>
        <v>0.41358186110705047</v>
      </c>
      <c r="I226" s="103">
        <f t="shared" si="262"/>
        <v>0.43035041005612806</v>
      </c>
      <c r="J226" s="103">
        <f t="shared" si="262"/>
        <v>0.43239009740912376</v>
      </c>
      <c r="K226" s="103">
        <f t="shared" si="262"/>
        <v>0.427688870898291</v>
      </c>
      <c r="L226" s="103">
        <f t="shared" ref="L226" si="263">IF(L8=0,0,L8/L$4)</f>
        <v>0.4231229997035138</v>
      </c>
      <c r="M226" s="103">
        <f t="shared" ref="M226:V226" si="264">IF(M8=0,0,M8/M$4)</f>
        <v>0.42083647521462808</v>
      </c>
      <c r="N226" s="103">
        <f t="shared" si="264"/>
        <v>0.43084692163571681</v>
      </c>
      <c r="O226" s="103">
        <f t="shared" si="264"/>
        <v>0.44658417333040468</v>
      </c>
      <c r="P226" s="103">
        <f t="shared" si="264"/>
        <v>0.46822732805602879</v>
      </c>
      <c r="Q226" s="103">
        <f t="shared" si="264"/>
        <v>0.47992713936153708</v>
      </c>
      <c r="R226" s="103">
        <f t="shared" si="264"/>
        <v>0.49398531595072365</v>
      </c>
      <c r="S226" s="103">
        <f t="shared" si="264"/>
        <v>0.50799926257835148</v>
      </c>
      <c r="T226" s="103">
        <f t="shared" si="264"/>
        <v>0.51011319597617555</v>
      </c>
      <c r="U226" s="103">
        <f t="shared" si="264"/>
        <v>0.50358136566564982</v>
      </c>
      <c r="V226" s="103">
        <f t="shared" si="264"/>
        <v>0.50773728700318732</v>
      </c>
      <c r="W226" s="103">
        <f t="shared" ref="W226" si="265">IF(W8=0,0,W8/W$4)</f>
        <v>0.48545716835502334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5.2249048820799594E-2</v>
      </c>
      <c r="C227" s="103">
        <f t="shared" si="266"/>
        <v>4.8627135466619092E-2</v>
      </c>
      <c r="D227" s="103">
        <f t="shared" si="266"/>
        <v>4.5415010590342052E-2</v>
      </c>
      <c r="E227" s="103">
        <f t="shared" si="266"/>
        <v>4.1902474836567026E-2</v>
      </c>
      <c r="F227" s="103">
        <f t="shared" si="266"/>
        <v>4.1150249882434597E-2</v>
      </c>
      <c r="G227" s="103">
        <f t="shared" si="266"/>
        <v>4.2130156100061343E-2</v>
      </c>
      <c r="H227" s="103">
        <f t="shared" si="266"/>
        <v>4.1836756730959899E-2</v>
      </c>
      <c r="I227" s="103">
        <f t="shared" si="266"/>
        <v>4.0864811367473941E-2</v>
      </c>
      <c r="J227" s="103">
        <f t="shared" si="266"/>
        <v>3.7177148792517427E-2</v>
      </c>
      <c r="K227" s="103">
        <f t="shared" si="266"/>
        <v>4.1356417386502801E-2</v>
      </c>
      <c r="L227" s="103">
        <f t="shared" ref="L227" si="267">IF(L9=0,0,L9/L$4)</f>
        <v>4.7285940990939954E-2</v>
      </c>
      <c r="M227" s="103">
        <f t="shared" ref="M227:V227" si="268">IF(M9=0,0,M9/M$4)</f>
        <v>4.6980314143472451E-2</v>
      </c>
      <c r="N227" s="103">
        <f t="shared" si="268"/>
        <v>5.1534073581673487E-2</v>
      </c>
      <c r="O227" s="103">
        <f t="shared" si="268"/>
        <v>5.8881053634231614E-2</v>
      </c>
      <c r="P227" s="103">
        <f t="shared" si="268"/>
        <v>5.6371882063846614E-2</v>
      </c>
      <c r="Q227" s="103">
        <f t="shared" si="268"/>
        <v>6.2020389710774983E-2</v>
      </c>
      <c r="R227" s="103">
        <f t="shared" si="268"/>
        <v>6.1422946874145137E-2</v>
      </c>
      <c r="S227" s="103">
        <f t="shared" si="268"/>
        <v>6.3495864613134778E-2</v>
      </c>
      <c r="T227" s="103">
        <f t="shared" si="268"/>
        <v>6.590225138806026E-2</v>
      </c>
      <c r="U227" s="103">
        <f t="shared" si="268"/>
        <v>6.8214092061877896E-2</v>
      </c>
      <c r="V227" s="103">
        <f t="shared" si="268"/>
        <v>6.9027045451671015E-2</v>
      </c>
      <c r="W227" s="103">
        <f t="shared" ref="W227" si="269">IF(W9=0,0,W9/W$4)</f>
        <v>6.8797496677996145E-2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8.8852153610003877E-3</v>
      </c>
      <c r="C228" s="103">
        <f t="shared" si="270"/>
        <v>9.7842611988995902E-3</v>
      </c>
      <c r="D228" s="103">
        <f t="shared" si="270"/>
        <v>9.642675620023182E-3</v>
      </c>
      <c r="E228" s="103">
        <f t="shared" si="270"/>
        <v>9.5698349834975327E-3</v>
      </c>
      <c r="F228" s="103">
        <f t="shared" si="270"/>
        <v>8.9780567202253445E-3</v>
      </c>
      <c r="G228" s="103">
        <f t="shared" si="270"/>
        <v>9.6975344940719403E-3</v>
      </c>
      <c r="H228" s="103">
        <f t="shared" si="270"/>
        <v>1.0845589126847299E-2</v>
      </c>
      <c r="I228" s="103">
        <f t="shared" si="270"/>
        <v>1.2120896266342725E-2</v>
      </c>
      <c r="J228" s="103">
        <f t="shared" si="270"/>
        <v>1.3317985072209278E-2</v>
      </c>
      <c r="K228" s="103">
        <f t="shared" si="270"/>
        <v>1.6301303450839636E-2</v>
      </c>
      <c r="L228" s="103">
        <f t="shared" ref="L228" si="271">IF(L10=0,0,L10/L$4)</f>
        <v>1.6926885749336595E-2</v>
      </c>
      <c r="M228" s="103">
        <f t="shared" ref="M228:V228" si="272">IF(M10=0,0,M10/M$4)</f>
        <v>1.7101946774954489E-2</v>
      </c>
      <c r="N228" s="103">
        <f t="shared" si="272"/>
        <v>1.7527065107429417E-2</v>
      </c>
      <c r="O228" s="103">
        <f t="shared" si="272"/>
        <v>1.9157247389960341E-2</v>
      </c>
      <c r="P228" s="103">
        <f t="shared" si="272"/>
        <v>2.0684419545619958E-2</v>
      </c>
      <c r="Q228" s="103">
        <f t="shared" si="272"/>
        <v>2.1899603577258293E-2</v>
      </c>
      <c r="R228" s="103">
        <f t="shared" si="272"/>
        <v>2.2998346415170415E-2</v>
      </c>
      <c r="S228" s="103">
        <f t="shared" si="272"/>
        <v>2.4139086533546059E-2</v>
      </c>
      <c r="T228" s="103">
        <f t="shared" si="272"/>
        <v>2.453883201223124E-2</v>
      </c>
      <c r="U228" s="103">
        <f t="shared" si="272"/>
        <v>2.4947048404041411E-2</v>
      </c>
      <c r="V228" s="103">
        <f t="shared" si="272"/>
        <v>2.5993014263218796E-2</v>
      </c>
      <c r="W228" s="103">
        <f t="shared" ref="W228" si="273">IF(W10=0,0,W10/W$4)</f>
        <v>2.4161331959533308E-2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2.2918572880980128E-6</v>
      </c>
      <c r="O229" s="103">
        <f t="shared" si="276"/>
        <v>2.4452431162489931E-4</v>
      </c>
      <c r="P229" s="103">
        <f t="shared" si="276"/>
        <v>6.2644094664365509E-4</v>
      </c>
      <c r="Q229" s="103">
        <f t="shared" si="276"/>
        <v>6.5479480294063726E-4</v>
      </c>
      <c r="R229" s="103">
        <f t="shared" si="276"/>
        <v>6.5391554613543075E-4</v>
      </c>
      <c r="S229" s="103">
        <f t="shared" si="276"/>
        <v>7.3846033225143679E-4</v>
      </c>
      <c r="T229" s="103">
        <f t="shared" si="276"/>
        <v>8.1094240905543735E-4</v>
      </c>
      <c r="U229" s="103">
        <f t="shared" si="276"/>
        <v>9.0914179979360778E-4</v>
      </c>
      <c r="V229" s="103">
        <f t="shared" si="276"/>
        <v>1.4650431281167454E-3</v>
      </c>
      <c r="W229" s="103">
        <f t="shared" ref="W229" si="277">IF(W11=0,0,W11/W$4)</f>
        <v>2.4901231907914849E-3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1.082152265302051E-4</v>
      </c>
      <c r="M230" s="103">
        <f t="shared" ref="M230:V230" si="280">IF(M12=0,0,M12/M$4)</f>
        <v>2.6377568017513854E-4</v>
      </c>
      <c r="N230" s="103">
        <f t="shared" si="280"/>
        <v>2.8067970917858672E-4</v>
      </c>
      <c r="O230" s="103">
        <f t="shared" si="280"/>
        <v>3.0450676701616289E-4</v>
      </c>
      <c r="P230" s="103">
        <f t="shared" si="280"/>
        <v>3.1153999552286532E-4</v>
      </c>
      <c r="Q230" s="103">
        <f t="shared" si="280"/>
        <v>3.4931428108855926E-4</v>
      </c>
      <c r="R230" s="103">
        <f t="shared" si="280"/>
        <v>3.7413016017723424E-4</v>
      </c>
      <c r="S230" s="103">
        <f t="shared" si="280"/>
        <v>4.1333967782765645E-4</v>
      </c>
      <c r="T230" s="103">
        <f t="shared" si="280"/>
        <v>5.5808956466683836E-4</v>
      </c>
      <c r="U230" s="103">
        <f t="shared" si="280"/>
        <v>8.3952064876403865E-4</v>
      </c>
      <c r="V230" s="103">
        <f t="shared" si="280"/>
        <v>1.8179852874239697E-3</v>
      </c>
      <c r="W230" s="103">
        <f t="shared" ref="W230" si="281">IF(W12=0,0,W12/W$4)</f>
        <v>4.2130162917124458E-3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0.10953091438037121</v>
      </c>
      <c r="C231" s="156">
        <f t="shared" si="282"/>
        <v>0.11113489957041564</v>
      </c>
      <c r="D231" s="156">
        <f t="shared" si="282"/>
        <v>0.11237683300962727</v>
      </c>
      <c r="E231" s="156">
        <f t="shared" si="282"/>
        <v>0.11302783183015523</v>
      </c>
      <c r="F231" s="156">
        <f t="shared" si="282"/>
        <v>0.11373673966210732</v>
      </c>
      <c r="G231" s="156">
        <f t="shared" si="282"/>
        <v>0.12196104881539345</v>
      </c>
      <c r="H231" s="156">
        <f t="shared" si="282"/>
        <v>0.12458873510609189</v>
      </c>
      <c r="I231" s="156">
        <f t="shared" si="282"/>
        <v>0.12495002550030253</v>
      </c>
      <c r="J231" s="156">
        <f t="shared" si="282"/>
        <v>0.12443362191276057</v>
      </c>
      <c r="K231" s="156">
        <f t="shared" si="282"/>
        <v>0.11804919478079817</v>
      </c>
      <c r="L231" s="156">
        <f t="shared" ref="L231" si="283">IF(L13=0,0,L13/L$4)</f>
        <v>0.12159305979139229</v>
      </c>
      <c r="M231" s="156">
        <f t="shared" ref="M231:V231" si="284">IF(M13=0,0,M13/M$4)</f>
        <v>0.12631238857898447</v>
      </c>
      <c r="N231" s="156">
        <f t="shared" si="284"/>
        <v>0.14050221998640824</v>
      </c>
      <c r="O231" s="156">
        <f t="shared" si="284"/>
        <v>0.13330575035432785</v>
      </c>
      <c r="P231" s="156">
        <f t="shared" si="284"/>
        <v>0.13070556502879047</v>
      </c>
      <c r="Q231" s="156">
        <f t="shared" si="284"/>
        <v>0.12535488319207932</v>
      </c>
      <c r="R231" s="156">
        <f t="shared" si="284"/>
        <v>0.12086611146920269</v>
      </c>
      <c r="S231" s="156">
        <f t="shared" si="284"/>
        <v>0.11602693880848595</v>
      </c>
      <c r="T231" s="156">
        <f t="shared" si="284"/>
        <v>0.1195292141719585</v>
      </c>
      <c r="U231" s="156">
        <f t="shared" si="284"/>
        <v>0.11926075592313949</v>
      </c>
      <c r="V231" s="156">
        <f t="shared" si="284"/>
        <v>9.9654201667178505E-2</v>
      </c>
      <c r="W231" s="156">
        <f t="shared" ref="W231" si="285">IF(W13=0,0,W13/W$4)</f>
        <v>0.12669001630295609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1.1732955057737243E-4</v>
      </c>
      <c r="C232" s="103">
        <f t="shared" si="286"/>
        <v>1.0437512291660483E-4</v>
      </c>
      <c r="D232" s="103">
        <f t="shared" si="286"/>
        <v>9.7734367978588474E-5</v>
      </c>
      <c r="E232" s="103">
        <f t="shared" si="286"/>
        <v>7.791152960840789E-5</v>
      </c>
      <c r="F232" s="103">
        <f t="shared" si="286"/>
        <v>6.6751483943203204E-5</v>
      </c>
      <c r="G232" s="103">
        <f t="shared" si="286"/>
        <v>6.7036650681833026E-5</v>
      </c>
      <c r="H232" s="103">
        <f t="shared" si="286"/>
        <v>6.3093724957743902E-5</v>
      </c>
      <c r="I232" s="103">
        <f t="shared" si="286"/>
        <v>5.8976338837661819E-5</v>
      </c>
      <c r="J232" s="103">
        <f t="shared" si="286"/>
        <v>5.9916923261724878E-5</v>
      </c>
      <c r="K232" s="103">
        <f t="shared" si="286"/>
        <v>6.0624233859973813E-5</v>
      </c>
      <c r="L232" s="103">
        <f t="shared" ref="L232" si="287">IF(L14=0,0,L14/L$4)</f>
        <v>6.2673653929786014E-5</v>
      </c>
      <c r="M232" s="103">
        <f t="shared" ref="M232:V232" si="288">IF(M14=0,0,M14/M$4)</f>
        <v>6.3256352816690948E-5</v>
      </c>
      <c r="N232" s="103">
        <f t="shared" si="288"/>
        <v>7.2667390527313247E-5</v>
      </c>
      <c r="O232" s="103">
        <f t="shared" si="288"/>
        <v>1.3217860884389595E-4</v>
      </c>
      <c r="P232" s="103">
        <f t="shared" si="288"/>
        <v>7.9693854724097039E-5</v>
      </c>
      <c r="Q232" s="103">
        <f t="shared" si="288"/>
        <v>7.5323981936011529E-5</v>
      </c>
      <c r="R232" s="103">
        <f t="shared" si="288"/>
        <v>6.9973227227253332E-5</v>
      </c>
      <c r="S232" s="103">
        <f t="shared" si="288"/>
        <v>6.3601655842950209E-5</v>
      </c>
      <c r="T232" s="103">
        <f t="shared" si="288"/>
        <v>6.157011015724736E-5</v>
      </c>
      <c r="U232" s="103">
        <f t="shared" si="288"/>
        <v>1.1039380504380289E-4</v>
      </c>
      <c r="V232" s="103">
        <f t="shared" si="288"/>
        <v>1.1502426205490164E-4</v>
      </c>
      <c r="W232" s="103">
        <f t="shared" ref="W232" si="289">IF(W14=0,0,W14/W$4)</f>
        <v>1.0831416741352614E-4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0.1082662763955448</v>
      </c>
      <c r="C233" s="103">
        <f t="shared" si="290"/>
        <v>0.10994401546377458</v>
      </c>
      <c r="D233" s="103">
        <f t="shared" si="290"/>
        <v>0.11135571054047341</v>
      </c>
      <c r="E233" s="103">
        <f t="shared" si="290"/>
        <v>0.11151254943772738</v>
      </c>
      <c r="F233" s="103">
        <f t="shared" si="290"/>
        <v>0.11219178250867305</v>
      </c>
      <c r="G233" s="103">
        <f t="shared" si="290"/>
        <v>0.11947243427482734</v>
      </c>
      <c r="H233" s="103">
        <f t="shared" si="290"/>
        <v>0.12081572287071882</v>
      </c>
      <c r="I233" s="103">
        <f t="shared" si="290"/>
        <v>0.12056706802335239</v>
      </c>
      <c r="J233" s="103">
        <f t="shared" si="290"/>
        <v>0.11975780387045386</v>
      </c>
      <c r="K233" s="103">
        <f t="shared" si="290"/>
        <v>0.11291985858841279</v>
      </c>
      <c r="L233" s="103">
        <f t="shared" ref="L233" si="291">IF(L15=0,0,L15/L$4)</f>
        <v>0.11607682559149632</v>
      </c>
      <c r="M233" s="103">
        <f t="shared" ref="M233:V233" si="292">IF(M15=0,0,M15/M$4)</f>
        <v>0.11980279810634357</v>
      </c>
      <c r="N233" s="103">
        <f t="shared" si="292"/>
        <v>0.13277468118566843</v>
      </c>
      <c r="O233" s="103">
        <f t="shared" si="292"/>
        <v>0.12517816344569815</v>
      </c>
      <c r="P233" s="103">
        <f t="shared" si="292"/>
        <v>0.12307157848672427</v>
      </c>
      <c r="Q233" s="103">
        <f t="shared" si="292"/>
        <v>0.11888662890934341</v>
      </c>
      <c r="R233" s="103">
        <f t="shared" si="292"/>
        <v>0.1152745527642913</v>
      </c>
      <c r="S233" s="103">
        <f t="shared" si="292"/>
        <v>0.1096753703464447</v>
      </c>
      <c r="T233" s="103">
        <f t="shared" si="292"/>
        <v>0.11250299456875885</v>
      </c>
      <c r="U233" s="103">
        <f t="shared" si="292"/>
        <v>0.11166684533326222</v>
      </c>
      <c r="V233" s="103">
        <f t="shared" si="292"/>
        <v>9.3124094206567073E-2</v>
      </c>
      <c r="W233" s="103">
        <f t="shared" ref="W233" si="293">IF(W15=0,0,W15/W$4)</f>
        <v>0.11733567653985116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5.6950644400561939E-5</v>
      </c>
      <c r="C234" s="103">
        <f t="shared" si="294"/>
        <v>6.3784453633383391E-5</v>
      </c>
      <c r="D234" s="103">
        <f t="shared" si="294"/>
        <v>6.0050532324649214E-5</v>
      </c>
      <c r="E234" s="103">
        <f t="shared" si="294"/>
        <v>6.9830293018205213E-5</v>
      </c>
      <c r="F234" s="103">
        <f t="shared" si="294"/>
        <v>1.0915536711635264E-4</v>
      </c>
      <c r="G234" s="103">
        <f t="shared" si="294"/>
        <v>1.6768779200824344E-4</v>
      </c>
      <c r="H234" s="103">
        <f t="shared" si="294"/>
        <v>1.8899420137280824E-4</v>
      </c>
      <c r="I234" s="103">
        <f t="shared" si="294"/>
        <v>2.2679214617908511E-4</v>
      </c>
      <c r="J234" s="103">
        <f t="shared" si="294"/>
        <v>2.6924789859327278E-4</v>
      </c>
      <c r="K234" s="103">
        <f t="shared" si="294"/>
        <v>3.4894036968683226E-4</v>
      </c>
      <c r="L234" s="103">
        <f t="shared" ref="L234" si="295">IF(L16=0,0,L16/L$4)</f>
        <v>3.6321398321990939E-4</v>
      </c>
      <c r="M234" s="103">
        <f t="shared" ref="M234:V234" si="296">IF(M16=0,0,M16/M$4)</f>
        <v>3.5882720026826528E-4</v>
      </c>
      <c r="N234" s="103">
        <f t="shared" si="296"/>
        <v>3.9068011020413376E-4</v>
      </c>
      <c r="O234" s="103">
        <f t="shared" si="296"/>
        <v>3.5929980577062458E-4</v>
      </c>
      <c r="P234" s="103">
        <f t="shared" si="296"/>
        <v>3.3596871916183985E-4</v>
      </c>
      <c r="Q234" s="103">
        <f t="shared" si="296"/>
        <v>3.2061506043256992E-4</v>
      </c>
      <c r="R234" s="103">
        <f t="shared" si="296"/>
        <v>2.9030368106491394E-4</v>
      </c>
      <c r="S234" s="103">
        <f t="shared" si="296"/>
        <v>2.1815933489111643E-4</v>
      </c>
      <c r="T234" s="103">
        <f t="shared" si="296"/>
        <v>2.5149720809982713E-4</v>
      </c>
      <c r="U234" s="103">
        <f t="shared" si="296"/>
        <v>2.4520101944394988E-4</v>
      </c>
      <c r="V234" s="103">
        <f t="shared" si="296"/>
        <v>2.0534207901036424E-4</v>
      </c>
      <c r="W234" s="103">
        <f t="shared" ref="W234" si="297">IF(W16=0,0,W16/W$4)</f>
        <v>2.3749046513880145E-4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1.0903577898484815E-3</v>
      </c>
      <c r="C235" s="103">
        <f t="shared" si="298"/>
        <v>1.02272453009108E-3</v>
      </c>
      <c r="D235" s="103">
        <f t="shared" si="298"/>
        <v>8.6333756885061856E-4</v>
      </c>
      <c r="E235" s="103">
        <f t="shared" si="298"/>
        <v>1.3675405698012359E-3</v>
      </c>
      <c r="F235" s="103">
        <f t="shared" si="298"/>
        <v>1.3690503023746996E-3</v>
      </c>
      <c r="G235" s="103">
        <f t="shared" si="298"/>
        <v>2.2538900978760368E-3</v>
      </c>
      <c r="H235" s="103">
        <f t="shared" si="298"/>
        <v>3.5209243090425181E-3</v>
      </c>
      <c r="I235" s="103">
        <f t="shared" si="298"/>
        <v>4.0971889919334129E-3</v>
      </c>
      <c r="J235" s="103">
        <f t="shared" si="298"/>
        <v>4.3466532204517062E-3</v>
      </c>
      <c r="K235" s="103">
        <f t="shared" si="298"/>
        <v>4.7197715888385719E-3</v>
      </c>
      <c r="L235" s="103">
        <f t="shared" ref="L235" si="299">IF(L17=0,0,L17/L$4)</f>
        <v>5.090346562746254E-3</v>
      </c>
      <c r="M235" s="103">
        <f t="shared" ref="M235:V235" si="300">IF(M17=0,0,M17/M$4)</f>
        <v>6.0875069195559534E-3</v>
      </c>
      <c r="N235" s="103">
        <f t="shared" si="300"/>
        <v>7.2641913000083581E-3</v>
      </c>
      <c r="O235" s="103">
        <f t="shared" si="300"/>
        <v>6.926170829181488E-3</v>
      </c>
      <c r="P235" s="103">
        <f t="shared" si="300"/>
        <v>6.5291058565338789E-3</v>
      </c>
      <c r="Q235" s="103">
        <f t="shared" si="300"/>
        <v>5.4182154067515297E-3</v>
      </c>
      <c r="R235" s="103">
        <f t="shared" si="300"/>
        <v>4.6147913902485497E-3</v>
      </c>
      <c r="S235" s="103">
        <f t="shared" si="300"/>
        <v>5.4926902498777181E-3</v>
      </c>
      <c r="T235" s="103">
        <f t="shared" si="300"/>
        <v>6.101637364241885E-3</v>
      </c>
      <c r="U235" s="103">
        <f t="shared" si="300"/>
        <v>6.5727738719996735E-3</v>
      </c>
      <c r="V235" s="103">
        <f t="shared" si="300"/>
        <v>5.6009368896477252E-3</v>
      </c>
      <c r="W235" s="103">
        <f t="shared" ref="W235" si="301">IF(W17=0,0,W17/W$4)</f>
        <v>8.0267038443112733E-3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7.099376648336713E-4</v>
      </c>
      <c r="P236" s="103">
        <f t="shared" si="304"/>
        <v>6.8921811164638096E-4</v>
      </c>
      <c r="Q236" s="103">
        <f t="shared" si="304"/>
        <v>6.5409983361579542E-4</v>
      </c>
      <c r="R236" s="103">
        <f t="shared" si="304"/>
        <v>6.1649040637068171E-4</v>
      </c>
      <c r="S236" s="103">
        <f t="shared" si="304"/>
        <v>5.7711722142947169E-4</v>
      </c>
      <c r="T236" s="103">
        <f t="shared" si="304"/>
        <v>6.1151492070067473E-4</v>
      </c>
      <c r="U236" s="103">
        <f t="shared" si="304"/>
        <v>6.6554189338984503E-4</v>
      </c>
      <c r="V236" s="103">
        <f t="shared" si="304"/>
        <v>6.0880422989845239E-4</v>
      </c>
      <c r="W236" s="103">
        <f t="shared" ref="W236" si="305">IF(W18=0,0,W18/W$4)</f>
        <v>9.81831286241284E-4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5.8929502703551746E-2</v>
      </c>
      <c r="C238" s="154">
        <f t="shared" si="310"/>
        <v>5.7751361949322094E-2</v>
      </c>
      <c r="D238" s="154">
        <f t="shared" si="310"/>
        <v>5.8528950154566814E-2</v>
      </c>
      <c r="E238" s="154">
        <f t="shared" si="310"/>
        <v>6.9220594700786023E-2</v>
      </c>
      <c r="F238" s="154">
        <f t="shared" si="310"/>
        <v>6.6679539761519899E-2</v>
      </c>
      <c r="G238" s="154">
        <f t="shared" si="310"/>
        <v>6.7888947515729631E-2</v>
      </c>
      <c r="H238" s="154">
        <f t="shared" si="310"/>
        <v>6.6914200027562681E-2</v>
      </c>
      <c r="I238" s="154">
        <f t="shared" si="310"/>
        <v>7.2695148117563904E-2</v>
      </c>
      <c r="J238" s="154">
        <f t="shared" si="310"/>
        <v>7.2520323785393651E-2</v>
      </c>
      <c r="K238" s="154">
        <f t="shared" si="310"/>
        <v>7.6454408909992957E-2</v>
      </c>
      <c r="L238" s="154">
        <f t="shared" ref="L238" si="311">IF(L20=0,0,L20/L$19)</f>
        <v>7.8679535760262251E-2</v>
      </c>
      <c r="M238" s="154">
        <f t="shared" ref="M238:V238" si="312">IF(M20=0,0,M20/M$19)</f>
        <v>9.3464800082346172E-2</v>
      </c>
      <c r="N238" s="154">
        <f t="shared" si="312"/>
        <v>9.5377595628423711E-2</v>
      </c>
      <c r="O238" s="154">
        <f t="shared" si="312"/>
        <v>8.6019025063741761E-2</v>
      </c>
      <c r="P238" s="154">
        <f t="shared" si="312"/>
        <v>9.3970574831694728E-2</v>
      </c>
      <c r="Q238" s="154">
        <f t="shared" si="312"/>
        <v>8.0342686135230518E-2</v>
      </c>
      <c r="R238" s="154">
        <f t="shared" si="312"/>
        <v>7.8160246492849028E-2</v>
      </c>
      <c r="S238" s="154">
        <f t="shared" si="312"/>
        <v>7.4389058625749405E-2</v>
      </c>
      <c r="T238" s="154">
        <f t="shared" si="312"/>
        <v>7.4746852197256811E-2</v>
      </c>
      <c r="U238" s="154">
        <f t="shared" si="312"/>
        <v>7.0811003186207908E-2</v>
      </c>
      <c r="V238" s="154">
        <f t="shared" si="312"/>
        <v>7.1941617457375831E-2</v>
      </c>
      <c r="W238" s="154">
        <f t="shared" ref="W238" si="313">IF(W20=0,0,W20/W$19)</f>
        <v>7.5957796694812965E-2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2.2934286508201739E-3</v>
      </c>
      <c r="C239" s="103">
        <f t="shared" si="314"/>
        <v>2.4159751987454215E-3</v>
      </c>
      <c r="D239" s="103">
        <f t="shared" si="314"/>
        <v>2.4580799406434548E-3</v>
      </c>
      <c r="E239" s="103">
        <f t="shared" si="314"/>
        <v>2.7675212641360479E-3</v>
      </c>
      <c r="F239" s="103">
        <f t="shared" si="314"/>
        <v>2.4876730698785371E-3</v>
      </c>
      <c r="G239" s="103">
        <f t="shared" si="314"/>
        <v>2.3704538319194311E-3</v>
      </c>
      <c r="H239" s="103">
        <f t="shared" si="314"/>
        <v>2.5653228445559513E-3</v>
      </c>
      <c r="I239" s="103">
        <f t="shared" si="314"/>
        <v>2.2778857819429833E-3</v>
      </c>
      <c r="J239" s="103">
        <f t="shared" si="314"/>
        <v>2.1924517737782838E-3</v>
      </c>
      <c r="K239" s="103">
        <f t="shared" si="314"/>
        <v>2.2034993550752633E-3</v>
      </c>
      <c r="L239" s="103">
        <f t="shared" ref="L239" si="315">IF(L21=0,0,L21/L$19)</f>
        <v>2.038458979781865E-3</v>
      </c>
      <c r="M239" s="103">
        <f t="shared" ref="M239:V239" si="316">IF(M21=0,0,M21/M$19)</f>
        <v>2.3845353642636402E-3</v>
      </c>
      <c r="N239" s="103">
        <f t="shared" si="316"/>
        <v>2.4484541611708654E-3</v>
      </c>
      <c r="O239" s="103">
        <f t="shared" si="316"/>
        <v>2.3498115407363908E-3</v>
      </c>
      <c r="P239" s="103">
        <f t="shared" si="316"/>
        <v>2.4220007656262179E-3</v>
      </c>
      <c r="Q239" s="103">
        <f t="shared" si="316"/>
        <v>2.3046068297510303E-3</v>
      </c>
      <c r="R239" s="103">
        <f t="shared" si="316"/>
        <v>2.2721173775710345E-3</v>
      </c>
      <c r="S239" s="103">
        <f t="shared" si="316"/>
        <v>2.0238980143459226E-3</v>
      </c>
      <c r="T239" s="103">
        <f t="shared" si="316"/>
        <v>1.9270254544448686E-3</v>
      </c>
      <c r="U239" s="103">
        <f t="shared" si="316"/>
        <v>1.8121271784177241E-3</v>
      </c>
      <c r="V239" s="103">
        <f t="shared" si="316"/>
        <v>1.9047440245159052E-3</v>
      </c>
      <c r="W239" s="103">
        <f t="shared" ref="W239" si="317">IF(W21=0,0,W21/W$19)</f>
        <v>1.7794807933070704E-3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5.6484705142403287E-2</v>
      </c>
      <c r="C240" s="103">
        <f t="shared" si="318"/>
        <v>5.5155886628834271E-2</v>
      </c>
      <c r="D240" s="103">
        <f t="shared" si="318"/>
        <v>5.5865203905383819E-2</v>
      </c>
      <c r="E240" s="103">
        <f t="shared" si="318"/>
        <v>6.6192219960747672E-2</v>
      </c>
      <c r="F240" s="103">
        <f t="shared" si="318"/>
        <v>6.3927616655273994E-2</v>
      </c>
      <c r="G240" s="103">
        <f t="shared" si="318"/>
        <v>6.5234633453149074E-2</v>
      </c>
      <c r="H240" s="103">
        <f t="shared" si="318"/>
        <v>6.4008769676392741E-2</v>
      </c>
      <c r="I240" s="103">
        <f t="shared" si="318"/>
        <v>7.0074846485458919E-2</v>
      </c>
      <c r="J240" s="103">
        <f t="shared" si="318"/>
        <v>6.987784045688758E-2</v>
      </c>
      <c r="K240" s="103">
        <f t="shared" si="318"/>
        <v>7.3586462857371457E-2</v>
      </c>
      <c r="L240" s="103">
        <f t="shared" ref="L240" si="319">IF(L22=0,0,L22/L$19)</f>
        <v>7.5690297632412876E-2</v>
      </c>
      <c r="M240" s="103">
        <f t="shared" ref="M240:V240" si="320">IF(M22=0,0,M22/M$19)</f>
        <v>8.9955376442384369E-2</v>
      </c>
      <c r="N240" s="103">
        <f t="shared" si="320"/>
        <v>9.1319816558464634E-2</v>
      </c>
      <c r="O240" s="103">
        <f t="shared" si="320"/>
        <v>8.2038196299530658E-2</v>
      </c>
      <c r="P240" s="103">
        <f t="shared" si="320"/>
        <v>8.9725732789856794E-2</v>
      </c>
      <c r="Q240" s="103">
        <f t="shared" si="320"/>
        <v>7.6198814817050986E-2</v>
      </c>
      <c r="R240" s="103">
        <f t="shared" si="320"/>
        <v>7.3960209343562344E-2</v>
      </c>
      <c r="S240" s="103">
        <f t="shared" si="320"/>
        <v>7.0570426878358003E-2</v>
      </c>
      <c r="T240" s="103">
        <f t="shared" si="320"/>
        <v>7.0996921491296369E-2</v>
      </c>
      <c r="U240" s="103">
        <f t="shared" si="320"/>
        <v>6.7244367772837751E-2</v>
      </c>
      <c r="V240" s="103">
        <f t="shared" si="320"/>
        <v>6.8217345171854335E-2</v>
      </c>
      <c r="W240" s="103">
        <f t="shared" ref="W240" si="321">IF(W22=0,0,W22/W$19)</f>
        <v>7.2462150261198705E-2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6.6195705502060661E-5</v>
      </c>
      <c r="C241" s="103">
        <f t="shared" si="322"/>
        <v>7.6772423850992094E-5</v>
      </c>
      <c r="D241" s="103">
        <f t="shared" si="322"/>
        <v>8.6001260031869225E-5</v>
      </c>
      <c r="E241" s="103">
        <f t="shared" si="322"/>
        <v>1.0661029428586014E-4</v>
      </c>
      <c r="F241" s="103">
        <f t="shared" si="322"/>
        <v>1.0551248383463679E-4</v>
      </c>
      <c r="G241" s="103">
        <f t="shared" si="322"/>
        <v>1.1068928391003101E-4</v>
      </c>
      <c r="H241" s="103">
        <f t="shared" si="322"/>
        <v>1.2840269218245001E-4</v>
      </c>
      <c r="I241" s="103">
        <f t="shared" si="322"/>
        <v>1.2647915579089175E-4</v>
      </c>
      <c r="J241" s="103">
        <f t="shared" si="322"/>
        <v>1.5112031312252818E-4</v>
      </c>
      <c r="K241" s="103">
        <f t="shared" si="322"/>
        <v>2.1152094208583847E-4</v>
      </c>
      <c r="L241" s="103">
        <f t="shared" ref="L241" si="323">IF(L23=0,0,L23/L$19)</f>
        <v>2.5979381557889427E-4</v>
      </c>
      <c r="M241" s="103">
        <f t="shared" ref="M241:V241" si="324">IF(M23=0,0,M23/M$19)</f>
        <v>3.3098496646008968E-4</v>
      </c>
      <c r="N241" s="103">
        <f t="shared" si="324"/>
        <v>4.132885947370286E-4</v>
      </c>
      <c r="O241" s="103">
        <f t="shared" si="324"/>
        <v>4.2554829888016035E-4</v>
      </c>
      <c r="P241" s="103">
        <f t="shared" si="324"/>
        <v>4.8199724194598442E-4</v>
      </c>
      <c r="Q241" s="103">
        <f t="shared" si="324"/>
        <v>4.8389563964242835E-4</v>
      </c>
      <c r="R241" s="103">
        <f t="shared" si="324"/>
        <v>4.8053138927560933E-4</v>
      </c>
      <c r="S241" s="103">
        <f t="shared" si="324"/>
        <v>4.5821205419027894E-4</v>
      </c>
      <c r="T241" s="103">
        <f t="shared" si="324"/>
        <v>4.8194665499371944E-4</v>
      </c>
      <c r="U241" s="103">
        <f t="shared" si="324"/>
        <v>4.4650598336412584E-4</v>
      </c>
      <c r="V241" s="103">
        <f t="shared" si="324"/>
        <v>4.4731740962131481E-4</v>
      </c>
      <c r="W241" s="103">
        <f t="shared" ref="W241" si="325">IF(W23=0,0,W23/W$19)</f>
        <v>4.1831416212622876E-4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8.517320482621814E-5</v>
      </c>
      <c r="C242" s="103">
        <f t="shared" si="326"/>
        <v>1.0272769789141265E-4</v>
      </c>
      <c r="D242" s="103">
        <f t="shared" si="326"/>
        <v>1.1966504850767126E-4</v>
      </c>
      <c r="E242" s="103">
        <f t="shared" si="326"/>
        <v>1.5424318161643628E-4</v>
      </c>
      <c r="F242" s="103">
        <f t="shared" si="326"/>
        <v>1.5873755253272879E-4</v>
      </c>
      <c r="G242" s="103">
        <f t="shared" si="326"/>
        <v>1.7317094675110665E-4</v>
      </c>
      <c r="H242" s="103">
        <f t="shared" si="326"/>
        <v>2.1170481443153741E-4</v>
      </c>
      <c r="I242" s="103">
        <f t="shared" si="326"/>
        <v>2.1593669437111756E-4</v>
      </c>
      <c r="J242" s="103">
        <f t="shared" si="326"/>
        <v>2.989112416052483E-4</v>
      </c>
      <c r="K242" s="103">
        <f t="shared" si="326"/>
        <v>4.5292575546041381E-4</v>
      </c>
      <c r="L242" s="103">
        <f t="shared" ref="L242" si="327">IF(L24=0,0,L24/L$19)</f>
        <v>6.9098533248861875E-4</v>
      </c>
      <c r="M242" s="103">
        <f t="shared" ref="M242:V242" si="328">IF(M24=0,0,M24/M$19)</f>
        <v>7.9388428424369045E-4</v>
      </c>
      <c r="N242" s="103">
        <f t="shared" si="328"/>
        <v>1.1917850219482578E-3</v>
      </c>
      <c r="O242" s="103">
        <f t="shared" si="328"/>
        <v>1.2034485505735596E-3</v>
      </c>
      <c r="P242" s="103">
        <f t="shared" si="328"/>
        <v>1.3371946059673788E-3</v>
      </c>
      <c r="Q242" s="103">
        <f t="shared" si="328"/>
        <v>1.343981137641315E-3</v>
      </c>
      <c r="R242" s="103">
        <f t="shared" si="328"/>
        <v>1.4264258221024432E-3</v>
      </c>
      <c r="S242" s="103">
        <f t="shared" si="328"/>
        <v>1.3134739227929184E-3</v>
      </c>
      <c r="T242" s="103">
        <f t="shared" si="328"/>
        <v>1.3092131755349128E-3</v>
      </c>
      <c r="U242" s="103">
        <f t="shared" si="328"/>
        <v>1.2546129761503188E-3</v>
      </c>
      <c r="V242" s="103">
        <f t="shared" si="328"/>
        <v>1.3077638995792967E-3</v>
      </c>
      <c r="W242" s="103">
        <f t="shared" ref="W242" si="329">IF(W24=0,0,W24/W$19)</f>
        <v>1.2081642126693293E-3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1.902499436548322E-8</v>
      </c>
      <c r="N243" s="103">
        <f t="shared" si="332"/>
        <v>4.2512921029305629E-6</v>
      </c>
      <c r="O243" s="103">
        <f t="shared" si="332"/>
        <v>2.0203740209888707E-6</v>
      </c>
      <c r="P243" s="103">
        <f t="shared" si="332"/>
        <v>3.6494282983484364E-6</v>
      </c>
      <c r="Q243" s="103">
        <f t="shared" si="332"/>
        <v>1.138771114474576E-5</v>
      </c>
      <c r="R243" s="103">
        <f t="shared" si="332"/>
        <v>2.0962560337598624E-5</v>
      </c>
      <c r="S243" s="103">
        <f t="shared" si="332"/>
        <v>2.3047756062292083E-5</v>
      </c>
      <c r="T243" s="103">
        <f t="shared" si="332"/>
        <v>3.1745420986956919E-5</v>
      </c>
      <c r="U243" s="103">
        <f t="shared" si="332"/>
        <v>5.3389275437991439E-5</v>
      </c>
      <c r="V243" s="103">
        <f t="shared" si="332"/>
        <v>6.4446951804979436E-5</v>
      </c>
      <c r="W243" s="103">
        <f t="shared" ref="W243" si="333">IF(W25=0,0,W25/W$19)</f>
        <v>8.9687265511638212E-5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0.94107049729644821</v>
      </c>
      <c r="C244" s="156">
        <f t="shared" si="334"/>
        <v>0.94224863805067793</v>
      </c>
      <c r="D244" s="156">
        <f t="shared" si="334"/>
        <v>0.94147104984543317</v>
      </c>
      <c r="E244" s="156">
        <f t="shared" si="334"/>
        <v>0.9307794052992141</v>
      </c>
      <c r="F244" s="156">
        <f t="shared" si="334"/>
        <v>0.93332046023848014</v>
      </c>
      <c r="G244" s="156">
        <f t="shared" si="334"/>
        <v>0.9321110524842704</v>
      </c>
      <c r="H244" s="156">
        <f t="shared" si="334"/>
        <v>0.93308579997243735</v>
      </c>
      <c r="I244" s="156">
        <f t="shared" si="334"/>
        <v>0.92730485188243605</v>
      </c>
      <c r="J244" s="156">
        <f t="shared" si="334"/>
        <v>0.92747967621460636</v>
      </c>
      <c r="K244" s="156">
        <f t="shared" si="334"/>
        <v>0.923545591090007</v>
      </c>
      <c r="L244" s="156">
        <f t="shared" ref="L244" si="335">IF(L26=0,0,L26/L$19)</f>
        <v>0.92132046423973779</v>
      </c>
      <c r="M244" s="156">
        <f t="shared" ref="M244:V244" si="336">IF(M26=0,0,M26/M$19)</f>
        <v>0.90653519991765386</v>
      </c>
      <c r="N244" s="156">
        <f t="shared" si="336"/>
        <v>0.90462240437157637</v>
      </c>
      <c r="O244" s="156">
        <f t="shared" si="336"/>
        <v>0.91398097493625818</v>
      </c>
      <c r="P244" s="156">
        <f t="shared" si="336"/>
        <v>0.9060294251683052</v>
      </c>
      <c r="Q244" s="156">
        <f t="shared" si="336"/>
        <v>0.91965731386476957</v>
      </c>
      <c r="R244" s="156">
        <f t="shared" si="336"/>
        <v>0.92183975350715086</v>
      </c>
      <c r="S244" s="156">
        <f t="shared" si="336"/>
        <v>0.9256109413742506</v>
      </c>
      <c r="T244" s="156">
        <f t="shared" si="336"/>
        <v>0.92525314780274315</v>
      </c>
      <c r="U244" s="156">
        <f t="shared" si="336"/>
        <v>0.92918899681379208</v>
      </c>
      <c r="V244" s="156">
        <f t="shared" si="336"/>
        <v>0.92805838254262407</v>
      </c>
      <c r="W244" s="156">
        <f t="shared" ref="W244" si="337">IF(W26=0,0,W26/W$19)</f>
        <v>0.92404220330518694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0.81994135028077109</v>
      </c>
      <c r="C245" s="103">
        <f t="shared" si="338"/>
        <v>0.81101773282120848</v>
      </c>
      <c r="D245" s="103">
        <f t="shared" si="338"/>
        <v>0.8076894701033932</v>
      </c>
      <c r="E245" s="103">
        <f t="shared" si="338"/>
        <v>0.78338933207408423</v>
      </c>
      <c r="F245" s="103">
        <f t="shared" si="338"/>
        <v>0.77927815846191661</v>
      </c>
      <c r="G245" s="103">
        <f t="shared" si="338"/>
        <v>0.7841913773466771</v>
      </c>
      <c r="H245" s="103">
        <f t="shared" si="338"/>
        <v>0.76300445208469114</v>
      </c>
      <c r="I245" s="103">
        <f t="shared" si="338"/>
        <v>0.7565779002977987</v>
      </c>
      <c r="J245" s="103">
        <f t="shared" si="338"/>
        <v>0.7509864529913004</v>
      </c>
      <c r="K245" s="103">
        <f t="shared" si="338"/>
        <v>0.7622274380022277</v>
      </c>
      <c r="L245" s="103">
        <f t="shared" ref="L245" si="339">IF(L27=0,0,L27/L$19)</f>
        <v>0.74891140822678437</v>
      </c>
      <c r="M245" s="103">
        <f t="shared" ref="M245:V245" si="340">IF(M27=0,0,M27/M$19)</f>
        <v>0.73574049799349572</v>
      </c>
      <c r="N245" s="103">
        <f t="shared" si="340"/>
        <v>0.72510314908917151</v>
      </c>
      <c r="O245" s="103">
        <f t="shared" si="340"/>
        <v>0.7217774459696028</v>
      </c>
      <c r="P245" s="103">
        <f t="shared" si="340"/>
        <v>0.69709904099282272</v>
      </c>
      <c r="Q245" s="103">
        <f t="shared" si="340"/>
        <v>0.71463743598112484</v>
      </c>
      <c r="R245" s="103">
        <f t="shared" si="340"/>
        <v>0.70195401394960311</v>
      </c>
      <c r="S245" s="103">
        <f t="shared" si="340"/>
        <v>0.69520751984581708</v>
      </c>
      <c r="T245" s="103">
        <f t="shared" si="340"/>
        <v>0.70685886567959744</v>
      </c>
      <c r="U245" s="103">
        <f t="shared" si="340"/>
        <v>0.71896561370449952</v>
      </c>
      <c r="V245" s="103">
        <f t="shared" si="340"/>
        <v>0.71731098202188603</v>
      </c>
      <c r="W245" s="103">
        <f t="shared" ref="W245" si="341">IF(W27=0,0,W27/W$19)</f>
        <v>0.70752511009483798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0.12112914701567706</v>
      </c>
      <c r="C246" s="105">
        <f t="shared" si="342"/>
        <v>0.13123090522946942</v>
      </c>
      <c r="D246" s="105">
        <f t="shared" si="342"/>
        <v>0.13378157974204002</v>
      </c>
      <c r="E246" s="105">
        <f t="shared" si="342"/>
        <v>0.14739007322512976</v>
      </c>
      <c r="F246" s="105">
        <f t="shared" si="342"/>
        <v>0.15404230177656356</v>
      </c>
      <c r="G246" s="105">
        <f t="shared" si="342"/>
        <v>0.14791967513759322</v>
      </c>
      <c r="H246" s="105">
        <f t="shared" si="342"/>
        <v>0.17008134788774615</v>
      </c>
      <c r="I246" s="105">
        <f t="shared" si="342"/>
        <v>0.17072695158463733</v>
      </c>
      <c r="J246" s="105">
        <f t="shared" si="342"/>
        <v>0.17649322322330591</v>
      </c>
      <c r="K246" s="105">
        <f t="shared" si="342"/>
        <v>0.1613181530877793</v>
      </c>
      <c r="L246" s="105">
        <f t="shared" ref="L246" si="343">IF(L28=0,0,L28/L$19)</f>
        <v>0.17240905601295342</v>
      </c>
      <c r="M246" s="105">
        <f t="shared" ref="M246:V246" si="344">IF(M28=0,0,M28/M$19)</f>
        <v>0.1707947019241581</v>
      </c>
      <c r="N246" s="105">
        <f t="shared" si="344"/>
        <v>0.17951925528240489</v>
      </c>
      <c r="O246" s="105">
        <f t="shared" si="344"/>
        <v>0.19220352896665541</v>
      </c>
      <c r="P246" s="105">
        <f t="shared" si="344"/>
        <v>0.20893038417548254</v>
      </c>
      <c r="Q246" s="105">
        <f t="shared" si="344"/>
        <v>0.20501987788364479</v>
      </c>
      <c r="R246" s="105">
        <f t="shared" si="344"/>
        <v>0.21988573955754775</v>
      </c>
      <c r="S246" s="105">
        <f t="shared" si="344"/>
        <v>0.23040342152843352</v>
      </c>
      <c r="T246" s="105">
        <f t="shared" si="344"/>
        <v>0.21839428212314568</v>
      </c>
      <c r="U246" s="105">
        <f t="shared" si="344"/>
        <v>0.21022338310929256</v>
      </c>
      <c r="V246" s="105">
        <f t="shared" si="344"/>
        <v>0.21074740052073812</v>
      </c>
      <c r="W246" s="105">
        <f t="shared" ref="W246" si="345">IF(W28=0,0,W28/W$19)</f>
        <v>0.21651709321034901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9.1501397270147111E-2</v>
      </c>
      <c r="C250" s="154">
        <f t="shared" si="350"/>
        <v>9.0103134249113689E-2</v>
      </c>
      <c r="D250" s="154">
        <f t="shared" si="350"/>
        <v>8.8939978738279329E-2</v>
      </c>
      <c r="E250" s="154">
        <f t="shared" si="350"/>
        <v>9.0343105555099043E-2</v>
      </c>
      <c r="F250" s="154">
        <f t="shared" si="350"/>
        <v>9.3289531556718458E-2</v>
      </c>
      <c r="G250" s="154">
        <f t="shared" si="350"/>
        <v>9.9599972824564301E-2</v>
      </c>
      <c r="H250" s="154">
        <f t="shared" si="350"/>
        <v>9.4921715320035668E-2</v>
      </c>
      <c r="I250" s="154">
        <f t="shared" si="350"/>
        <v>8.5110307052698717E-2</v>
      </c>
      <c r="J250" s="154">
        <f t="shared" si="350"/>
        <v>8.9477609379513517E-2</v>
      </c>
      <c r="K250" s="154">
        <f t="shared" si="350"/>
        <v>7.9393936231589662E-2</v>
      </c>
      <c r="L250" s="154">
        <f t="shared" ref="L250" si="351">IF(L32=0,0,L32/L$31)</f>
        <v>8.3152798209285603E-2</v>
      </c>
      <c r="M250" s="154">
        <f t="shared" ref="M250:V250" si="352">IF(M32=0,0,M32/M$31)</f>
        <v>8.6906854759664448E-2</v>
      </c>
      <c r="N250" s="154">
        <f t="shared" si="352"/>
        <v>8.8572939645695584E-2</v>
      </c>
      <c r="O250" s="154">
        <f t="shared" si="352"/>
        <v>8.5051482670264508E-2</v>
      </c>
      <c r="P250" s="154">
        <f t="shared" si="352"/>
        <v>8.113097821575424E-2</v>
      </c>
      <c r="Q250" s="154">
        <f t="shared" si="352"/>
        <v>8.0008559013783301E-2</v>
      </c>
      <c r="R250" s="154">
        <f t="shared" si="352"/>
        <v>7.9483125600848983E-2</v>
      </c>
      <c r="S250" s="154">
        <f t="shared" si="352"/>
        <v>7.3440108960952696E-2</v>
      </c>
      <c r="T250" s="154">
        <f t="shared" si="352"/>
        <v>7.2750391979429299E-2</v>
      </c>
      <c r="U250" s="154">
        <f t="shared" si="352"/>
        <v>7.6620208574131266E-2</v>
      </c>
      <c r="V250" s="154">
        <f t="shared" si="352"/>
        <v>8.5623236198986943E-2</v>
      </c>
      <c r="W250" s="154">
        <f t="shared" ref="W250" si="353">IF(W32=0,0,W32/W$31)</f>
        <v>8.8680340437400612E-2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0.89872692528476472</v>
      </c>
      <c r="C251" s="156">
        <f t="shared" si="354"/>
        <v>0.90029342941204948</v>
      </c>
      <c r="D251" s="156">
        <f t="shared" si="354"/>
        <v>0.90136042159483487</v>
      </c>
      <c r="E251" s="156">
        <f t="shared" si="354"/>
        <v>0.89989997191515114</v>
      </c>
      <c r="F251" s="156">
        <f t="shared" si="354"/>
        <v>0.89688544317946306</v>
      </c>
      <c r="G251" s="156">
        <f t="shared" si="354"/>
        <v>0.88983147543257279</v>
      </c>
      <c r="H251" s="156">
        <f t="shared" si="354"/>
        <v>0.89425282394509653</v>
      </c>
      <c r="I251" s="156">
        <f t="shared" si="354"/>
        <v>0.9039922810375014</v>
      </c>
      <c r="J251" s="156">
        <f t="shared" si="354"/>
        <v>0.89963965662403145</v>
      </c>
      <c r="K251" s="156">
        <f t="shared" si="354"/>
        <v>0.91020323569106976</v>
      </c>
      <c r="L251" s="156">
        <f t="shared" ref="L251" si="355">IF(L33=0,0,L33/L$31)</f>
        <v>0.90599606004960886</v>
      </c>
      <c r="M251" s="156">
        <f t="shared" ref="M251:V251" si="356">IF(M33=0,0,M33/M$31)</f>
        <v>0.90187981207199019</v>
      </c>
      <c r="N251" s="156">
        <f t="shared" si="356"/>
        <v>0.90022184222084745</v>
      </c>
      <c r="O251" s="156">
        <f t="shared" si="356"/>
        <v>0.90382504699748567</v>
      </c>
      <c r="P251" s="156">
        <f t="shared" si="356"/>
        <v>0.90840920061935237</v>
      </c>
      <c r="Q251" s="156">
        <f t="shared" si="356"/>
        <v>0.90947463861722078</v>
      </c>
      <c r="R251" s="156">
        <f t="shared" si="356"/>
        <v>0.91027730161053433</v>
      </c>
      <c r="S251" s="156">
        <f t="shared" si="356"/>
        <v>0.91649761590667234</v>
      </c>
      <c r="T251" s="156">
        <f t="shared" si="356"/>
        <v>0.91676027130909388</v>
      </c>
      <c r="U251" s="156">
        <f t="shared" si="356"/>
        <v>0.91283454933128017</v>
      </c>
      <c r="V251" s="156">
        <f t="shared" si="356"/>
        <v>0.90126488056399712</v>
      </c>
      <c r="W251" s="156">
        <f t="shared" ref="W251" si="357">IF(W33=0,0,W33/W$31)</f>
        <v>0.89831687783841285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0.62141700172485814</v>
      </c>
      <c r="C252" s="103">
        <f t="shared" si="358"/>
        <v>0.59817549120614644</v>
      </c>
      <c r="D252" s="103">
        <f t="shared" si="358"/>
        <v>0.56258267377887705</v>
      </c>
      <c r="E252" s="103">
        <f t="shared" si="358"/>
        <v>0.54178270050324584</v>
      </c>
      <c r="F252" s="103">
        <f t="shared" si="358"/>
        <v>0.48411464500476459</v>
      </c>
      <c r="G252" s="103">
        <f t="shared" si="358"/>
        <v>0.45493912118810331</v>
      </c>
      <c r="H252" s="103">
        <f t="shared" si="358"/>
        <v>0.39050564173183205</v>
      </c>
      <c r="I252" s="103">
        <f t="shared" si="358"/>
        <v>0.38007231662256852</v>
      </c>
      <c r="J252" s="103">
        <f t="shared" si="358"/>
        <v>0.37718480540792537</v>
      </c>
      <c r="K252" s="103">
        <f t="shared" si="358"/>
        <v>0.38775883637470548</v>
      </c>
      <c r="L252" s="103">
        <f t="shared" ref="L252" si="359">IF(L34=0,0,L34/L$31)</f>
        <v>0.38043804752539423</v>
      </c>
      <c r="M252" s="103">
        <f t="shared" ref="M252:V252" si="360">IF(M34=0,0,M34/M$31)</f>
        <v>0.37444672500018505</v>
      </c>
      <c r="N252" s="103">
        <f t="shared" si="360"/>
        <v>0.3437757570065117</v>
      </c>
      <c r="O252" s="103">
        <f t="shared" si="360"/>
        <v>0.3252306349407566</v>
      </c>
      <c r="P252" s="103">
        <f t="shared" si="360"/>
        <v>0.30685795233518481</v>
      </c>
      <c r="Q252" s="103">
        <f t="shared" si="360"/>
        <v>0.29366095394320979</v>
      </c>
      <c r="R252" s="103">
        <f t="shared" si="360"/>
        <v>0.28178537492614847</v>
      </c>
      <c r="S252" s="103">
        <f t="shared" si="360"/>
        <v>0.27185605928204365</v>
      </c>
      <c r="T252" s="103">
        <f t="shared" si="360"/>
        <v>0.26421255889835787</v>
      </c>
      <c r="U252" s="103">
        <f t="shared" si="360"/>
        <v>0.26549562397810472</v>
      </c>
      <c r="V252" s="103">
        <f t="shared" si="360"/>
        <v>0.25750865435294507</v>
      </c>
      <c r="W252" s="103">
        <f t="shared" ref="W252" si="361">IF(W34=0,0,W34/W$31)</f>
        <v>0.26007092712366897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0.20964053278263831</v>
      </c>
      <c r="C253" s="103">
        <f t="shared" si="362"/>
        <v>0.23710720518612252</v>
      </c>
      <c r="D253" s="103">
        <f t="shared" si="362"/>
        <v>0.27740880997217127</v>
      </c>
      <c r="E253" s="103">
        <f t="shared" si="362"/>
        <v>0.30074866154681146</v>
      </c>
      <c r="F253" s="103">
        <f t="shared" si="362"/>
        <v>0.35688392218200826</v>
      </c>
      <c r="G253" s="103">
        <f t="shared" si="362"/>
        <v>0.37676204704730321</v>
      </c>
      <c r="H253" s="103">
        <f t="shared" si="362"/>
        <v>0.44434420566634075</v>
      </c>
      <c r="I253" s="103">
        <f t="shared" si="362"/>
        <v>0.46399892268744497</v>
      </c>
      <c r="J253" s="103">
        <f t="shared" si="362"/>
        <v>0.46545254068866254</v>
      </c>
      <c r="K253" s="103">
        <f t="shared" si="362"/>
        <v>0.45769611809840854</v>
      </c>
      <c r="L253" s="103">
        <f t="shared" ref="L253" si="363">IF(L35=0,0,L35/L$31)</f>
        <v>0.45323286963439152</v>
      </c>
      <c r="M253" s="103">
        <f t="shared" ref="M253:V253" si="364">IF(M35=0,0,M35/M$31)</f>
        <v>0.45448028813692398</v>
      </c>
      <c r="N253" s="103">
        <f t="shared" si="364"/>
        <v>0.47606963449033934</v>
      </c>
      <c r="O253" s="103">
        <f t="shared" si="364"/>
        <v>0.4884544127983132</v>
      </c>
      <c r="P253" s="103">
        <f t="shared" si="364"/>
        <v>0.51216413586751353</v>
      </c>
      <c r="Q253" s="103">
        <f t="shared" si="364"/>
        <v>0.51951109033097431</v>
      </c>
      <c r="R253" s="103">
        <f t="shared" si="364"/>
        <v>0.53211392046416051</v>
      </c>
      <c r="S253" s="103">
        <f t="shared" si="364"/>
        <v>0.54494532586322364</v>
      </c>
      <c r="T253" s="103">
        <f t="shared" si="364"/>
        <v>0.54910002066259034</v>
      </c>
      <c r="U253" s="103">
        <f t="shared" si="364"/>
        <v>0.54062473826069457</v>
      </c>
      <c r="V253" s="103">
        <f t="shared" si="364"/>
        <v>0.53515038857518915</v>
      </c>
      <c r="W253" s="103">
        <f t="shared" ref="W253" si="365">IF(W35=0,0,W35/W$31)</f>
        <v>0.52498509602180976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5.7834364242627952E-2</v>
      </c>
      <c r="C254" s="103">
        <f t="shared" si="366"/>
        <v>5.4121043183397138E-2</v>
      </c>
      <c r="D254" s="103">
        <f t="shared" si="366"/>
        <v>5.062092423289876E-2</v>
      </c>
      <c r="E254" s="103">
        <f t="shared" si="366"/>
        <v>4.6702522962042262E-2</v>
      </c>
      <c r="F254" s="103">
        <f t="shared" si="366"/>
        <v>4.5877450648328988E-2</v>
      </c>
      <c r="G254" s="103">
        <f t="shared" si="366"/>
        <v>4.7253483384774933E-2</v>
      </c>
      <c r="H254" s="103">
        <f t="shared" si="366"/>
        <v>4.7173827179153013E-2</v>
      </c>
      <c r="I254" s="103">
        <f t="shared" si="366"/>
        <v>4.6213633383156726E-2</v>
      </c>
      <c r="J254" s="103">
        <f t="shared" si="366"/>
        <v>4.196807133283792E-2</v>
      </c>
      <c r="K254" s="103">
        <f t="shared" si="366"/>
        <v>4.64422960918386E-2</v>
      </c>
      <c r="L254" s="103">
        <f t="shared" ref="L254" si="367">IF(L36=0,0,L36/L$31)</f>
        <v>5.3163239791042247E-2</v>
      </c>
      <c r="M254" s="103">
        <f t="shared" ref="M254:V254" si="368">IF(M36=0,0,M36/M$31)</f>
        <v>5.3247304373084635E-2</v>
      </c>
      <c r="N254" s="103">
        <f t="shared" si="368"/>
        <v>5.9714117218397894E-2</v>
      </c>
      <c r="O254" s="103">
        <f t="shared" si="368"/>
        <v>6.7516467837751157E-2</v>
      </c>
      <c r="P254" s="103">
        <f t="shared" si="368"/>
        <v>6.458620572209918E-2</v>
      </c>
      <c r="Q254" s="103">
        <f t="shared" si="368"/>
        <v>7.0307652171469268E-2</v>
      </c>
      <c r="R254" s="103">
        <f t="shared" si="368"/>
        <v>6.9255139586674605E-2</v>
      </c>
      <c r="S254" s="103">
        <f t="shared" si="368"/>
        <v>7.1271974604917118E-2</v>
      </c>
      <c r="T254" s="103">
        <f t="shared" si="368"/>
        <v>7.4220733330773656E-2</v>
      </c>
      <c r="U254" s="103">
        <f t="shared" si="368"/>
        <v>7.6645472992056665E-2</v>
      </c>
      <c r="V254" s="103">
        <f t="shared" si="368"/>
        <v>7.615195447018358E-2</v>
      </c>
      <c r="W254" s="103">
        <f t="shared" ref="W254" si="369">IF(W36=0,0,W36/W$31)</f>
        <v>7.7928700574672757E-2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9.835026534640471E-3</v>
      </c>
      <c r="C255" s="103">
        <f t="shared" si="370"/>
        <v>1.0889689836383422E-2</v>
      </c>
      <c r="D255" s="103">
        <f t="shared" si="370"/>
        <v>1.0748013610887877E-2</v>
      </c>
      <c r="E255" s="103">
        <f t="shared" si="370"/>
        <v>1.0666086903051411E-2</v>
      </c>
      <c r="F255" s="103">
        <f t="shared" si="370"/>
        <v>1.0009425344361183E-2</v>
      </c>
      <c r="G255" s="103">
        <f t="shared" si="370"/>
        <v>1.0876823812391311E-2</v>
      </c>
      <c r="H255" s="103">
        <f t="shared" si="370"/>
        <v>1.2229149367770717E-2</v>
      </c>
      <c r="I255" s="103">
        <f t="shared" si="370"/>
        <v>1.3707408344331276E-2</v>
      </c>
      <c r="J255" s="103">
        <f t="shared" si="370"/>
        <v>1.5034239194605595E-2</v>
      </c>
      <c r="K255" s="103">
        <f t="shared" si="370"/>
        <v>1.8305985126116951E-2</v>
      </c>
      <c r="L255" s="103">
        <f t="shared" ref="L255" si="371">IF(L37=0,0,L37/L$31)</f>
        <v>1.9030774626648057E-2</v>
      </c>
      <c r="M255" s="103">
        <f t="shared" ref="M255:V255" si="372">IF(M37=0,0,M37/M$31)</f>
        <v>1.9383279611909967E-2</v>
      </c>
      <c r="N255" s="103">
        <f t="shared" si="372"/>
        <v>2.0309149802815663E-2</v>
      </c>
      <c r="O255" s="103">
        <f t="shared" si="372"/>
        <v>2.1966822898565455E-2</v>
      </c>
      <c r="P255" s="103">
        <f t="shared" si="372"/>
        <v>2.3698484547713908E-2</v>
      </c>
      <c r="Q255" s="103">
        <f t="shared" si="372"/>
        <v>2.4825863206974368E-2</v>
      </c>
      <c r="R255" s="103">
        <f t="shared" si="372"/>
        <v>2.5930922762609505E-2</v>
      </c>
      <c r="S255" s="103">
        <f t="shared" si="372"/>
        <v>2.7095313574939502E-2</v>
      </c>
      <c r="T255" s="103">
        <f t="shared" si="372"/>
        <v>2.7636235009695528E-2</v>
      </c>
      <c r="U255" s="103">
        <f t="shared" si="372"/>
        <v>2.8030547162439912E-2</v>
      </c>
      <c r="V255" s="103">
        <f t="shared" si="372"/>
        <v>2.8675989617741236E-2</v>
      </c>
      <c r="W255" s="103">
        <f t="shared" ref="W255" si="373">IF(W37=0,0,W37/W$31)</f>
        <v>2.7368164463489081E-2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2.6556455804416165E-6</v>
      </c>
      <c r="O256" s="103">
        <f t="shared" si="376"/>
        <v>2.8038591027815263E-4</v>
      </c>
      <c r="P256" s="103">
        <f t="shared" si="376"/>
        <v>7.1772384336661718E-4</v>
      </c>
      <c r="Q256" s="103">
        <f t="shared" si="376"/>
        <v>7.4228951903599402E-4</v>
      </c>
      <c r="R256" s="103">
        <f t="shared" si="376"/>
        <v>7.3729794368704489E-4</v>
      </c>
      <c r="S256" s="103">
        <f t="shared" si="376"/>
        <v>8.2889691112381027E-4</v>
      </c>
      <c r="T256" s="103">
        <f t="shared" si="376"/>
        <v>9.133032486963469E-4</v>
      </c>
      <c r="U256" s="103">
        <f t="shared" si="376"/>
        <v>1.0215133142697501E-3</v>
      </c>
      <c r="V256" s="103">
        <f t="shared" si="376"/>
        <v>1.6162635508905579E-3</v>
      </c>
      <c r="W256" s="103">
        <f t="shared" ref="W256" si="377">IF(W38=0,0,W38/W$31)</f>
        <v>2.8206268236399797E-3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1.3112847213284483E-4</v>
      </c>
      <c r="M257" s="103">
        <f t="shared" ref="M257:V257" si="380">IF(M39=0,0,M39/M$31)</f>
        <v>3.2221494988640621E-4</v>
      </c>
      <c r="N257" s="103">
        <f t="shared" si="380"/>
        <v>3.5052805720231164E-4</v>
      </c>
      <c r="O257" s="103">
        <f t="shared" si="380"/>
        <v>3.7632261182118557E-4</v>
      </c>
      <c r="P257" s="103">
        <f t="shared" si="380"/>
        <v>3.8469830347435876E-4</v>
      </c>
      <c r="Q257" s="103">
        <f t="shared" si="380"/>
        <v>4.267894455570104E-4</v>
      </c>
      <c r="R257" s="103">
        <f t="shared" si="380"/>
        <v>4.5464592725431656E-4</v>
      </c>
      <c r="S257" s="103">
        <f t="shared" si="380"/>
        <v>5.0004567042458376E-4</v>
      </c>
      <c r="T257" s="103">
        <f t="shared" si="380"/>
        <v>6.7742015898024409E-4</v>
      </c>
      <c r="U257" s="103">
        <f t="shared" si="380"/>
        <v>1.0166536237143707E-3</v>
      </c>
      <c r="V257" s="103">
        <f t="shared" si="380"/>
        <v>2.1616299970476384E-3</v>
      </c>
      <c r="W257" s="103">
        <f t="shared" ref="W257" si="381">IF(W39=0,0,W39/W$31)</f>
        <v>5.1433628311320905E-3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9.771677445088096E-3</v>
      </c>
      <c r="C258" s="156">
        <f t="shared" si="382"/>
        <v>9.6034363388368075E-3</v>
      </c>
      <c r="D258" s="156">
        <f t="shared" si="382"/>
        <v>9.6995996668858796E-3</v>
      </c>
      <c r="E258" s="156">
        <f t="shared" si="382"/>
        <v>9.7569225297498008E-3</v>
      </c>
      <c r="F258" s="156">
        <f t="shared" si="382"/>
        <v>9.8250252638184942E-3</v>
      </c>
      <c r="G258" s="156">
        <f t="shared" si="382"/>
        <v>1.0568551742862795E-2</v>
      </c>
      <c r="H258" s="156">
        <f t="shared" si="382"/>
        <v>1.0825460734867776E-2</v>
      </c>
      <c r="I258" s="156">
        <f t="shared" si="382"/>
        <v>1.0897411909799955E-2</v>
      </c>
      <c r="J258" s="156">
        <f t="shared" si="382"/>
        <v>1.0882733996454974E-2</v>
      </c>
      <c r="K258" s="156">
        <f t="shared" si="382"/>
        <v>1.0402828077340753E-2</v>
      </c>
      <c r="L258" s="156">
        <f t="shared" ref="L258" si="383">IF(L40=0,0,L40/L$31)</f>
        <v>1.085114174110558E-2</v>
      </c>
      <c r="M258" s="156">
        <f t="shared" ref="M258:V258" si="384">IF(M40=0,0,M40/M$31)</f>
        <v>1.1213333168345255E-2</v>
      </c>
      <c r="N258" s="156">
        <f t="shared" si="384"/>
        <v>1.1205218133457012E-2</v>
      </c>
      <c r="O258" s="156">
        <f t="shared" si="384"/>
        <v>1.1123470332249851E-2</v>
      </c>
      <c r="P258" s="156">
        <f t="shared" si="384"/>
        <v>1.0459821164893433E-2</v>
      </c>
      <c r="Q258" s="156">
        <f t="shared" si="384"/>
        <v>1.051680236899593E-2</v>
      </c>
      <c r="R258" s="156">
        <f t="shared" si="384"/>
        <v>1.0239572788616725E-2</v>
      </c>
      <c r="S258" s="156">
        <f t="shared" si="384"/>
        <v>1.0062275132374874E-2</v>
      </c>
      <c r="T258" s="156">
        <f t="shared" si="384"/>
        <v>1.0489336711476725E-2</v>
      </c>
      <c r="U258" s="156">
        <f t="shared" si="384"/>
        <v>1.0545242094588606E-2</v>
      </c>
      <c r="V258" s="156">
        <f t="shared" si="384"/>
        <v>1.3111883237015955E-2</v>
      </c>
      <c r="W258" s="156">
        <f t="shared" ref="W258" si="385">IF(W40=0,0,W40/W$31)</f>
        <v>1.3002781724186578E-2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2.7215302425925966E-5</v>
      </c>
      <c r="C259" s="103">
        <f t="shared" si="386"/>
        <v>2.3450199852812482E-5</v>
      </c>
      <c r="D259" s="103">
        <f t="shared" si="386"/>
        <v>2.1932981790105563E-5</v>
      </c>
      <c r="E259" s="103">
        <f t="shared" si="386"/>
        <v>1.7486485764277966E-5</v>
      </c>
      <c r="F259" s="103">
        <f t="shared" si="386"/>
        <v>1.4992262368589736E-5</v>
      </c>
      <c r="G259" s="103">
        <f t="shared" si="386"/>
        <v>1.5103582885926672E-5</v>
      </c>
      <c r="H259" s="103">
        <f t="shared" si="386"/>
        <v>1.4253684075602576E-5</v>
      </c>
      <c r="I259" s="103">
        <f t="shared" si="386"/>
        <v>1.3373287297451424E-5</v>
      </c>
      <c r="J259" s="103">
        <f t="shared" si="386"/>
        <v>1.3624580013602186E-5</v>
      </c>
      <c r="K259" s="103">
        <f t="shared" si="386"/>
        <v>1.389018414463439E-5</v>
      </c>
      <c r="L259" s="103">
        <f t="shared" ref="L259" si="387">IF(L41=0,0,L41/L$31)</f>
        <v>1.4542029198203067E-5</v>
      </c>
      <c r="M259" s="103">
        <f t="shared" ref="M259:V259" si="388">IF(M41=0,0,M41/M$31)</f>
        <v>1.4600451108019873E-5</v>
      </c>
      <c r="N259" s="103">
        <f t="shared" si="388"/>
        <v>1.5067806768666682E-5</v>
      </c>
      <c r="O259" s="103">
        <f t="shared" si="388"/>
        <v>2.8676486635612281E-5</v>
      </c>
      <c r="P259" s="103">
        <f t="shared" si="388"/>
        <v>1.6581673605448577E-5</v>
      </c>
      <c r="Q259" s="103">
        <f t="shared" si="388"/>
        <v>1.6430435495503351E-5</v>
      </c>
      <c r="R259" s="103">
        <f t="shared" si="388"/>
        <v>1.5412835378915596E-5</v>
      </c>
      <c r="S259" s="103">
        <f t="shared" si="388"/>
        <v>1.434098971325182E-5</v>
      </c>
      <c r="T259" s="103">
        <f t="shared" si="388"/>
        <v>1.4048088706328495E-5</v>
      </c>
      <c r="U259" s="103">
        <f t="shared" si="388"/>
        <v>2.5379148542106524E-5</v>
      </c>
      <c r="V259" s="103">
        <f t="shared" si="388"/>
        <v>3.0756584509143636E-5</v>
      </c>
      <c r="W259" s="103">
        <f t="shared" ref="W259" si="389">IF(W41=0,0,W41/W$31)</f>
        <v>2.890363696996205E-5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9.6422819278297201E-3</v>
      </c>
      <c r="C260" s="103">
        <f t="shared" si="390"/>
        <v>9.4862394773721805E-3</v>
      </c>
      <c r="D260" s="103">
        <f t="shared" si="390"/>
        <v>9.5980771410731705E-3</v>
      </c>
      <c r="E260" s="103">
        <f t="shared" si="390"/>
        <v>9.6154945524584111E-3</v>
      </c>
      <c r="F260" s="103">
        <f t="shared" si="390"/>
        <v>9.6824597815256732E-3</v>
      </c>
      <c r="G260" s="103">
        <f t="shared" si="390"/>
        <v>1.0343790636425121E-2</v>
      </c>
      <c r="H260" s="103">
        <f t="shared" si="390"/>
        <v>1.0489115177079945E-2</v>
      </c>
      <c r="I260" s="103">
        <f t="shared" si="390"/>
        <v>1.0507211155472866E-2</v>
      </c>
      <c r="J260" s="103">
        <f t="shared" si="390"/>
        <v>1.0465722427828224E-2</v>
      </c>
      <c r="K260" s="103">
        <f t="shared" si="390"/>
        <v>9.9426359040159697E-3</v>
      </c>
      <c r="L260" s="103">
        <f t="shared" ref="L260" si="391">IF(L42=0,0,L42/L$31)</f>
        <v>1.0350317601567986E-2</v>
      </c>
      <c r="M260" s="103">
        <f t="shared" ref="M260:V260" si="392">IF(M42=0,0,M42/M$31)</f>
        <v>1.0626920685415956E-2</v>
      </c>
      <c r="N260" s="103">
        <f t="shared" si="392"/>
        <v>1.0580170730311996E-2</v>
      </c>
      <c r="O260" s="103">
        <f t="shared" si="392"/>
        <v>1.0428690161264836E-2</v>
      </c>
      <c r="P260" s="103">
        <f t="shared" si="392"/>
        <v>9.8392910773013563E-3</v>
      </c>
      <c r="Q260" s="103">
        <f t="shared" si="392"/>
        <v>9.9645451288199963E-3</v>
      </c>
      <c r="R260" s="103">
        <f t="shared" si="392"/>
        <v>9.7568141097288796E-3</v>
      </c>
      <c r="S260" s="103">
        <f t="shared" si="392"/>
        <v>9.5030974907398379E-3</v>
      </c>
      <c r="T260" s="103">
        <f t="shared" si="392"/>
        <v>9.8646068422013431E-3</v>
      </c>
      <c r="U260" s="103">
        <f t="shared" si="392"/>
        <v>9.8591383831378478E-3</v>
      </c>
      <c r="V260" s="103">
        <f t="shared" si="392"/>
        <v>1.2238076528984624E-2</v>
      </c>
      <c r="W260" s="103">
        <f t="shared" ref="W260" si="393">IF(W42=0,0,W42/W$31)</f>
        <v>1.2026214982312752E-2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5.0720703395724454E-6</v>
      </c>
      <c r="C261" s="103">
        <f t="shared" si="394"/>
        <v>5.5034791984560799E-6</v>
      </c>
      <c r="D261" s="103">
        <f t="shared" si="394"/>
        <v>5.175932503299896E-6</v>
      </c>
      <c r="E261" s="103">
        <f t="shared" si="394"/>
        <v>6.0213205195177614E-6</v>
      </c>
      <c r="F261" s="103">
        <f t="shared" si="394"/>
        <v>9.4204087715608809E-6</v>
      </c>
      <c r="G261" s="103">
        <f t="shared" si="394"/>
        <v>1.4518222746074356E-5</v>
      </c>
      <c r="H261" s="103">
        <f t="shared" si="394"/>
        <v>1.6408310929206725E-5</v>
      </c>
      <c r="I261" s="103">
        <f t="shared" si="394"/>
        <v>1.9764542734380559E-5</v>
      </c>
      <c r="J261" s="103">
        <f t="shared" si="394"/>
        <v>2.3529771588007951E-5</v>
      </c>
      <c r="K261" s="103">
        <f t="shared" si="394"/>
        <v>3.0724330435575962E-5</v>
      </c>
      <c r="L261" s="103">
        <f t="shared" ref="L261" si="395">IF(L43=0,0,L43/L$31)</f>
        <v>3.2386999424733197E-5</v>
      </c>
      <c r="M261" s="103">
        <f t="shared" ref="M261:V261" si="396">IF(M43=0,0,M43/M$31)</f>
        <v>3.1829208142833952E-5</v>
      </c>
      <c r="N261" s="103">
        <f t="shared" si="396"/>
        <v>3.1131404195327887E-5</v>
      </c>
      <c r="O261" s="103">
        <f t="shared" si="396"/>
        <v>2.9933546285090893E-5</v>
      </c>
      <c r="P261" s="103">
        <f t="shared" si="396"/>
        <v>2.6859930305176364E-5</v>
      </c>
      <c r="Q261" s="103">
        <f t="shared" si="396"/>
        <v>2.6872519373863859E-5</v>
      </c>
      <c r="R261" s="103">
        <f t="shared" si="396"/>
        <v>2.4571243033248117E-5</v>
      </c>
      <c r="S261" s="103">
        <f t="shared" si="396"/>
        <v>1.8902962638160319E-5</v>
      </c>
      <c r="T261" s="103">
        <f t="shared" si="396"/>
        <v>2.2052044830680636E-5</v>
      </c>
      <c r="U261" s="103">
        <f t="shared" si="396"/>
        <v>2.1648957442735988E-5</v>
      </c>
      <c r="V261" s="103">
        <f t="shared" si="396"/>
        <v>2.6985412303451214E-5</v>
      </c>
      <c r="W261" s="103">
        <f t="shared" ref="W261" si="397">IF(W43=0,0,W43/W$31)</f>
        <v>2.4341372327952167E-5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9.7108144492877413E-5</v>
      </c>
      <c r="C262" s="103">
        <f t="shared" si="398"/>
        <v>8.8243182413358034E-5</v>
      </c>
      <c r="D262" s="103">
        <f t="shared" si="398"/>
        <v>7.4413611519303559E-5</v>
      </c>
      <c r="E262" s="103">
        <f t="shared" si="398"/>
        <v>1.1792017100759456E-4</v>
      </c>
      <c r="F262" s="103">
        <f t="shared" si="398"/>
        <v>1.1815281115266926E-4</v>
      </c>
      <c r="G262" s="103">
        <f t="shared" si="398"/>
        <v>1.9513930080567235E-4</v>
      </c>
      <c r="H262" s="103">
        <f t="shared" si="398"/>
        <v>3.0568356278302229E-4</v>
      </c>
      <c r="I262" s="103">
        <f t="shared" si="398"/>
        <v>3.5706292429525709E-4</v>
      </c>
      <c r="J262" s="103">
        <f t="shared" si="398"/>
        <v>3.7985721702514042E-4</v>
      </c>
      <c r="K262" s="103">
        <f t="shared" si="398"/>
        <v>4.155776587445733E-4</v>
      </c>
      <c r="L262" s="103">
        <f t="shared" ref="L262" si="399">IF(L44=0,0,L44/L$31)</f>
        <v>4.5389511091465805E-4</v>
      </c>
      <c r="M262" s="103">
        <f t="shared" ref="M262:V262" si="400">IF(M44=0,0,M44/M$31)</f>
        <v>5.3998282367844397E-4</v>
      </c>
      <c r="N262" s="103">
        <f t="shared" si="400"/>
        <v>5.7884819218102009E-4</v>
      </c>
      <c r="O262" s="103">
        <f t="shared" si="400"/>
        <v>5.770246790116712E-4</v>
      </c>
      <c r="P262" s="103">
        <f t="shared" si="400"/>
        <v>5.2198707278203616E-4</v>
      </c>
      <c r="Q262" s="103">
        <f t="shared" si="400"/>
        <v>4.5413056483764331E-4</v>
      </c>
      <c r="R262" s="103">
        <f t="shared" si="400"/>
        <v>3.9059498102672353E-4</v>
      </c>
      <c r="S262" s="103">
        <f t="shared" si="400"/>
        <v>4.7592792042681421E-4</v>
      </c>
      <c r="T262" s="103">
        <f t="shared" si="400"/>
        <v>5.3501023615104917E-4</v>
      </c>
      <c r="U262" s="103">
        <f t="shared" si="400"/>
        <v>5.8031447894601725E-4</v>
      </c>
      <c r="V262" s="103">
        <f t="shared" si="400"/>
        <v>7.3605756784572544E-4</v>
      </c>
      <c r="W262" s="103">
        <f t="shared" ref="W262" si="401">IF(W44=0,0,W44/W$31)</f>
        <v>8.2268981504750164E-4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5.9145459052640176E-5</v>
      </c>
      <c r="P263" s="103">
        <f t="shared" si="404"/>
        <v>5.5101410899416048E-5</v>
      </c>
      <c r="Q263" s="103">
        <f t="shared" si="404"/>
        <v>5.4823720468921495E-5</v>
      </c>
      <c r="R263" s="103">
        <f t="shared" si="404"/>
        <v>5.2179619448961543E-5</v>
      </c>
      <c r="S263" s="103">
        <f t="shared" si="404"/>
        <v>5.0005768856808291E-5</v>
      </c>
      <c r="T263" s="103">
        <f t="shared" si="404"/>
        <v>5.3619499587322299E-5</v>
      </c>
      <c r="U263" s="103">
        <f t="shared" si="404"/>
        <v>5.8761126519901186E-5</v>
      </c>
      <c r="V263" s="103">
        <f t="shared" si="404"/>
        <v>8.0007143373013313E-5</v>
      </c>
      <c r="W263" s="103">
        <f t="shared" ref="W263" si="405">IF(W45=0,0,W45/W$31)</f>
        <v>1.0063191752840862E-4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0.8362820233913657</v>
      </c>
      <c r="C265" s="154">
        <f t="shared" si="410"/>
        <v>0.8316946711143991</v>
      </c>
      <c r="D265" s="154">
        <f t="shared" si="410"/>
        <v>0.83711590620063348</v>
      </c>
      <c r="E265" s="154">
        <f t="shared" si="410"/>
        <v>0.85216850939829292</v>
      </c>
      <c r="F265" s="154">
        <f t="shared" si="410"/>
        <v>0.84046718375961904</v>
      </c>
      <c r="G265" s="154">
        <f t="shared" si="410"/>
        <v>0.85002711615261795</v>
      </c>
      <c r="H265" s="154">
        <f t="shared" si="410"/>
        <v>0.85119772341504607</v>
      </c>
      <c r="I265" s="154">
        <f t="shared" si="410"/>
        <v>0.85893004226576719</v>
      </c>
      <c r="J265" s="154">
        <f t="shared" si="410"/>
        <v>0.86018063766052211</v>
      </c>
      <c r="K265" s="154">
        <f t="shared" si="410"/>
        <v>0.86326089809189499</v>
      </c>
      <c r="L265" s="154">
        <f t="shared" ref="L265" si="411">IF(L47=0,0,L47/L$46)</f>
        <v>0.86937713046704579</v>
      </c>
      <c r="M265" s="154">
        <f t="shared" ref="M265:V265" si="412">IF(M47=0,0,M47/M$46)</f>
        <v>0.89034978994585667</v>
      </c>
      <c r="N265" s="154">
        <f t="shared" si="412"/>
        <v>0.8888464050080106</v>
      </c>
      <c r="O265" s="154">
        <f t="shared" si="412"/>
        <v>0.87337807286797731</v>
      </c>
      <c r="P265" s="154">
        <f t="shared" si="412"/>
        <v>0.88257569019606419</v>
      </c>
      <c r="Q265" s="154">
        <f t="shared" si="412"/>
        <v>0.86053728136655228</v>
      </c>
      <c r="R265" s="154">
        <f t="shared" si="412"/>
        <v>0.85274094026718195</v>
      </c>
      <c r="S265" s="154">
        <f t="shared" si="412"/>
        <v>0.84870603256117427</v>
      </c>
      <c r="T265" s="154">
        <f t="shared" si="412"/>
        <v>0.85265943453570214</v>
      </c>
      <c r="U265" s="154">
        <f t="shared" si="412"/>
        <v>0.84909459184216785</v>
      </c>
      <c r="V265" s="154">
        <f t="shared" si="412"/>
        <v>0.84998593100685504</v>
      </c>
      <c r="W265" s="154">
        <f t="shared" ref="W265" si="413">IF(W47=0,0,W47/W$46)</f>
        <v>0.86219742345194328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3.7792577959473043E-2</v>
      </c>
      <c r="C266" s="103">
        <f t="shared" si="414"/>
        <v>4.1323677622166426E-2</v>
      </c>
      <c r="D266" s="103">
        <f t="shared" si="414"/>
        <v>4.2011650696224458E-2</v>
      </c>
      <c r="E266" s="103">
        <f t="shared" si="414"/>
        <v>4.04461950701051E-2</v>
      </c>
      <c r="F266" s="103">
        <f t="shared" si="414"/>
        <v>3.679972904339144E-2</v>
      </c>
      <c r="G266" s="103">
        <f t="shared" si="414"/>
        <v>3.4457626227480137E-2</v>
      </c>
      <c r="H266" s="103">
        <f t="shared" si="414"/>
        <v>3.894551372045995E-2</v>
      </c>
      <c r="I266" s="103">
        <f t="shared" si="414"/>
        <v>3.1893890693376614E-2</v>
      </c>
      <c r="J266" s="103">
        <f t="shared" si="414"/>
        <v>3.0982651364156594E-2</v>
      </c>
      <c r="K266" s="103">
        <f t="shared" si="414"/>
        <v>2.9733811033387327E-2</v>
      </c>
      <c r="L266" s="103">
        <f t="shared" ref="L266" si="415">IF(L48=0,0,L48/L$46)</f>
        <v>2.6586976367088393E-2</v>
      </c>
      <c r="M266" s="103">
        <f t="shared" ref="M266:V266" si="416">IF(M48=0,0,M48/M$46)</f>
        <v>2.6674614247805713E-2</v>
      </c>
      <c r="N266" s="103">
        <f t="shared" si="416"/>
        <v>2.737877188512006E-2</v>
      </c>
      <c r="O266" s="103">
        <f t="shared" si="416"/>
        <v>2.9192417532733123E-2</v>
      </c>
      <c r="P266" s="103">
        <f t="shared" si="416"/>
        <v>2.7654777415089624E-2</v>
      </c>
      <c r="Q266" s="103">
        <f t="shared" si="416"/>
        <v>3.1140694522189739E-2</v>
      </c>
      <c r="R266" s="103">
        <f t="shared" si="416"/>
        <v>3.1771545425573353E-2</v>
      </c>
      <c r="S266" s="103">
        <f t="shared" si="416"/>
        <v>2.9587044227395484E-2</v>
      </c>
      <c r="T266" s="103">
        <f t="shared" si="416"/>
        <v>2.8049118951767024E-2</v>
      </c>
      <c r="U266" s="103">
        <f t="shared" si="416"/>
        <v>2.7668097524429412E-2</v>
      </c>
      <c r="V266" s="103">
        <f t="shared" si="416"/>
        <v>2.8895650555957841E-2</v>
      </c>
      <c r="W266" s="103">
        <f t="shared" ref="W266" si="417">IF(W48=0,0,W48/W$46)</f>
        <v>2.519199439701365E-2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0.79595855674783345</v>
      </c>
      <c r="C267" s="103">
        <f t="shared" si="418"/>
        <v>0.78725676438008496</v>
      </c>
      <c r="D267" s="103">
        <f t="shared" si="418"/>
        <v>0.79153989175662665</v>
      </c>
      <c r="E267" s="103">
        <f t="shared" si="418"/>
        <v>0.80785779178215322</v>
      </c>
      <c r="F267" s="103">
        <f t="shared" si="418"/>
        <v>0.79970606351107654</v>
      </c>
      <c r="G267" s="103">
        <f t="shared" si="418"/>
        <v>0.81138916448356224</v>
      </c>
      <c r="H267" s="103">
        <f t="shared" si="418"/>
        <v>0.80704704958447615</v>
      </c>
      <c r="I267" s="103">
        <f t="shared" si="418"/>
        <v>0.82219728727749763</v>
      </c>
      <c r="J267" s="103">
        <f t="shared" si="418"/>
        <v>0.82278407632133732</v>
      </c>
      <c r="K267" s="103">
        <f t="shared" si="418"/>
        <v>0.82448968609852535</v>
      </c>
      <c r="L267" s="103">
        <f t="shared" ref="L267" si="419">IF(L49=0,0,L49/L$46)</f>
        <v>0.83025730607590253</v>
      </c>
      <c r="M267" s="103">
        <f t="shared" ref="M267:V267" si="420">IF(M49=0,0,M49/M$46)</f>
        <v>0.85094755044051806</v>
      </c>
      <c r="N267" s="103">
        <f t="shared" si="420"/>
        <v>0.84333100072956912</v>
      </c>
      <c r="O267" s="103">
        <f t="shared" si="420"/>
        <v>0.82382481683383624</v>
      </c>
      <c r="P267" s="103">
        <f t="shared" si="420"/>
        <v>0.83399043575523624</v>
      </c>
      <c r="Q267" s="103">
        <f t="shared" si="420"/>
        <v>0.80454376907073366</v>
      </c>
      <c r="R267" s="103">
        <f t="shared" si="420"/>
        <v>0.79401886995956483</v>
      </c>
      <c r="S267" s="103">
        <f t="shared" si="420"/>
        <v>0.79288512185637361</v>
      </c>
      <c r="T267" s="103">
        <f t="shared" si="420"/>
        <v>0.79805988563153629</v>
      </c>
      <c r="U267" s="103">
        <f t="shared" si="420"/>
        <v>0.79462207475136803</v>
      </c>
      <c r="V267" s="103">
        <f t="shared" si="420"/>
        <v>0.79353508135465511</v>
      </c>
      <c r="W267" s="103">
        <f t="shared" ref="W267" si="421">IF(W49=0,0,W49/W$46)</f>
        <v>0.81264231503552131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1.113091406390038E-3</v>
      </c>
      <c r="C268" s="103">
        <f t="shared" si="422"/>
        <v>1.3395554008892633E-3</v>
      </c>
      <c r="D268" s="103">
        <f t="shared" si="422"/>
        <v>1.4989829579376977E-3</v>
      </c>
      <c r="E268" s="103">
        <f t="shared" si="422"/>
        <v>1.5884486844970527E-3</v>
      </c>
      <c r="F268" s="103">
        <f t="shared" si="422"/>
        <v>1.5907858087802623E-3</v>
      </c>
      <c r="G268" s="103">
        <f t="shared" si="422"/>
        <v>1.6394009450010219E-3</v>
      </c>
      <c r="H268" s="103">
        <f t="shared" si="422"/>
        <v>1.9722961188734767E-3</v>
      </c>
      <c r="I268" s="103">
        <f t="shared" si="422"/>
        <v>1.7949556664070164E-3</v>
      </c>
      <c r="J268" s="103">
        <f t="shared" si="422"/>
        <v>2.1628941357807281E-3</v>
      </c>
      <c r="K268" s="103">
        <f t="shared" si="422"/>
        <v>2.8887891280269008E-3</v>
      </c>
      <c r="L268" s="103">
        <f t="shared" ref="L268" si="423">IF(L50=0,0,L50/L$46)</f>
        <v>3.4452574602321187E-3</v>
      </c>
      <c r="M268" s="103">
        <f t="shared" ref="M268:V268" si="424">IF(M50=0,0,M50/M$46)</f>
        <v>3.7682258481773574E-3</v>
      </c>
      <c r="N268" s="103">
        <f t="shared" si="424"/>
        <v>4.6794870143122246E-3</v>
      </c>
      <c r="O268" s="103">
        <f t="shared" si="424"/>
        <v>5.3275143578970525E-3</v>
      </c>
      <c r="P268" s="103">
        <f t="shared" si="424"/>
        <v>5.5527088523084625E-3</v>
      </c>
      <c r="Q268" s="103">
        <f t="shared" si="424"/>
        <v>6.5385757345656978E-3</v>
      </c>
      <c r="R268" s="103">
        <f t="shared" si="424"/>
        <v>6.7159014533951849E-3</v>
      </c>
      <c r="S268" s="103">
        <f t="shared" si="424"/>
        <v>6.6967270173479473E-3</v>
      </c>
      <c r="T268" s="103">
        <f t="shared" si="424"/>
        <v>7.0212022338145439E-3</v>
      </c>
      <c r="U268" s="103">
        <f t="shared" si="424"/>
        <v>6.8216494904728359E-3</v>
      </c>
      <c r="V268" s="103">
        <f t="shared" si="424"/>
        <v>6.7526795931363856E-3</v>
      </c>
      <c r="W268" s="103">
        <f t="shared" ref="W268" si="425">IF(W50=0,0,W50/W$46)</f>
        <v>5.9359159291807054E-3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1.4177972776690706E-3</v>
      </c>
      <c r="C269" s="103">
        <f t="shared" si="426"/>
        <v>1.7746737112585363E-3</v>
      </c>
      <c r="D269" s="103">
        <f t="shared" si="426"/>
        <v>2.065380789844582E-3</v>
      </c>
      <c r="E269" s="103">
        <f t="shared" si="426"/>
        <v>2.276073861537557E-3</v>
      </c>
      <c r="F269" s="103">
        <f t="shared" si="426"/>
        <v>2.3706053963708945E-3</v>
      </c>
      <c r="G269" s="103">
        <f t="shared" si="426"/>
        <v>2.5409244965745579E-3</v>
      </c>
      <c r="H269" s="103">
        <f t="shared" si="426"/>
        <v>3.2328639912364864E-3</v>
      </c>
      <c r="I269" s="103">
        <f t="shared" si="426"/>
        <v>3.0439086284860684E-3</v>
      </c>
      <c r="J269" s="103">
        <f t="shared" si="426"/>
        <v>4.2510158392473161E-3</v>
      </c>
      <c r="K269" s="103">
        <f t="shared" si="426"/>
        <v>6.1486118319554837E-3</v>
      </c>
      <c r="L269" s="103">
        <f t="shared" ref="L269" si="427">IF(L51=0,0,L51/L$46)</f>
        <v>9.0875905638227988E-3</v>
      </c>
      <c r="M269" s="103">
        <f t="shared" ref="M269:V269" si="428">IF(M51=0,0,M51/M$46)</f>
        <v>8.9591895006982079E-3</v>
      </c>
      <c r="N269" s="103">
        <f t="shared" si="428"/>
        <v>1.341007876648022E-2</v>
      </c>
      <c r="O269" s="103">
        <f t="shared" si="428"/>
        <v>1.5008383831008942E-2</v>
      </c>
      <c r="P269" s="103">
        <f t="shared" si="428"/>
        <v>1.5336375604283406E-2</v>
      </c>
      <c r="Q269" s="103">
        <f t="shared" si="428"/>
        <v>1.8160367100619329E-2</v>
      </c>
      <c r="R269" s="103">
        <f t="shared" si="428"/>
        <v>1.9940877109446292E-2</v>
      </c>
      <c r="S269" s="103">
        <f t="shared" si="428"/>
        <v>1.9198883625973669E-2</v>
      </c>
      <c r="T269" s="103">
        <f t="shared" si="428"/>
        <v>1.9064811239558121E-2</v>
      </c>
      <c r="U269" s="103">
        <f t="shared" si="428"/>
        <v>1.9161793067628313E-2</v>
      </c>
      <c r="V269" s="103">
        <f t="shared" si="428"/>
        <v>1.9824575913876413E-2</v>
      </c>
      <c r="W269" s="103">
        <f t="shared" ref="W269" si="429">IF(W51=0,0,W51/W$46)</f>
        <v>1.7153377232493151E-2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2.0990865742610551E-7</v>
      </c>
      <c r="N270" s="103">
        <f t="shared" si="432"/>
        <v>4.7066612529146714E-5</v>
      </c>
      <c r="O270" s="103">
        <f t="shared" si="432"/>
        <v>2.4940312501939065E-5</v>
      </c>
      <c r="P270" s="103">
        <f t="shared" si="432"/>
        <v>4.1392569146404538E-5</v>
      </c>
      <c r="Q270" s="103">
        <f t="shared" si="432"/>
        <v>1.5387493844395731E-4</v>
      </c>
      <c r="R270" s="103">
        <f t="shared" si="432"/>
        <v>2.9374631920225822E-4</v>
      </c>
      <c r="S270" s="103">
        <f t="shared" si="432"/>
        <v>3.3825583408348921E-4</v>
      </c>
      <c r="T270" s="103">
        <f t="shared" si="432"/>
        <v>4.6441647902615766E-4</v>
      </c>
      <c r="U270" s="103">
        <f t="shared" si="432"/>
        <v>8.2097700826930969E-4</v>
      </c>
      <c r="V270" s="103">
        <f t="shared" si="432"/>
        <v>9.7794358922920275E-4</v>
      </c>
      <c r="W270" s="103">
        <f t="shared" ref="W270" si="433">IF(W52=0,0,W52/W$46)</f>
        <v>1.2738208577344409E-3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0.16371797660863432</v>
      </c>
      <c r="C271" s="156">
        <f t="shared" si="434"/>
        <v>0.16830532888560082</v>
      </c>
      <c r="D271" s="156">
        <f t="shared" si="434"/>
        <v>0.16288409379936658</v>
      </c>
      <c r="E271" s="156">
        <f t="shared" si="434"/>
        <v>0.14783149060170706</v>
      </c>
      <c r="F271" s="156">
        <f t="shared" si="434"/>
        <v>0.15953281624038101</v>
      </c>
      <c r="G271" s="156">
        <f t="shared" si="434"/>
        <v>0.14997288384738197</v>
      </c>
      <c r="H271" s="156">
        <f t="shared" si="434"/>
        <v>0.1488022765849539</v>
      </c>
      <c r="I271" s="156">
        <f t="shared" si="434"/>
        <v>0.14106995773423273</v>
      </c>
      <c r="J271" s="156">
        <f t="shared" si="434"/>
        <v>0.13981936233947778</v>
      </c>
      <c r="K271" s="156">
        <f t="shared" si="434"/>
        <v>0.13673910190810495</v>
      </c>
      <c r="L271" s="156">
        <f t="shared" ref="L271" si="435">IF(L53=0,0,L53/L$46)</f>
        <v>0.13062286953295416</v>
      </c>
      <c r="M271" s="156">
        <f t="shared" ref="M271:V271" si="436">IF(M53=0,0,M53/M$46)</f>
        <v>0.10965021005414335</v>
      </c>
      <c r="N271" s="156">
        <f t="shared" si="436"/>
        <v>0.11115359499198933</v>
      </c>
      <c r="O271" s="156">
        <f t="shared" si="436"/>
        <v>0.12662192713202272</v>
      </c>
      <c r="P271" s="156">
        <f t="shared" si="436"/>
        <v>0.11742430980393591</v>
      </c>
      <c r="Q271" s="156">
        <f t="shared" si="436"/>
        <v>0.13946271863344775</v>
      </c>
      <c r="R271" s="156">
        <f t="shared" si="436"/>
        <v>0.14725905973281805</v>
      </c>
      <c r="S271" s="156">
        <f t="shared" si="436"/>
        <v>0.1512939674388257</v>
      </c>
      <c r="T271" s="156">
        <f t="shared" si="436"/>
        <v>0.14734056546429786</v>
      </c>
      <c r="U271" s="156">
        <f t="shared" si="436"/>
        <v>0.15090540815783218</v>
      </c>
      <c r="V271" s="156">
        <f t="shared" si="436"/>
        <v>0.15001406899314501</v>
      </c>
      <c r="W271" s="156">
        <f t="shared" ref="W271" si="437">IF(W53=0,0,W53/W$46)</f>
        <v>0.13780257654805678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0.14042649868760837</v>
      </c>
      <c r="C272" s="104">
        <f t="shared" si="438"/>
        <v>0.14208658449387196</v>
      </c>
      <c r="D272" s="104">
        <f t="shared" si="438"/>
        <v>0.1363464655733663</v>
      </c>
      <c r="E272" s="104">
        <f t="shared" si="438"/>
        <v>0.12267918265550076</v>
      </c>
      <c r="F272" s="104">
        <f t="shared" si="438"/>
        <v>0.13242429038241829</v>
      </c>
      <c r="G272" s="104">
        <f t="shared" si="438"/>
        <v>0.12440084477282747</v>
      </c>
      <c r="H272" s="104">
        <f t="shared" si="438"/>
        <v>0.11818170717427685</v>
      </c>
      <c r="I272" s="104">
        <f t="shared" si="438"/>
        <v>0.11280052689908088</v>
      </c>
      <c r="J272" s="104">
        <f t="shared" si="438"/>
        <v>0.10988876383679962</v>
      </c>
      <c r="K272" s="104">
        <f t="shared" si="438"/>
        <v>0.11025782425923353</v>
      </c>
      <c r="L272" s="104">
        <f t="shared" ref="L272" si="439">IF(L54=0,0,L54/L$46)</f>
        <v>0.10419052720019223</v>
      </c>
      <c r="M272" s="104">
        <f t="shared" ref="M272:V272" si="440">IF(M54=0,0,M54/M$46)</f>
        <v>8.7130178651081011E-2</v>
      </c>
      <c r="N272" s="104">
        <f t="shared" si="440"/>
        <v>8.7353496609388306E-2</v>
      </c>
      <c r="O272" s="104">
        <f t="shared" si="440"/>
        <v>9.8281344167023471E-2</v>
      </c>
      <c r="P272" s="104">
        <f t="shared" si="440"/>
        <v>8.9193147339206524E-2</v>
      </c>
      <c r="Q272" s="104">
        <f t="shared" si="440"/>
        <v>0.10622088063261807</v>
      </c>
      <c r="R272" s="104">
        <f t="shared" si="440"/>
        <v>0.1101575626028779</v>
      </c>
      <c r="S272" s="104">
        <f t="shared" si="440"/>
        <v>0.11099884846993775</v>
      </c>
      <c r="T272" s="104">
        <f t="shared" si="440"/>
        <v>0.1096180228457737</v>
      </c>
      <c r="U272" s="104">
        <f t="shared" si="440"/>
        <v>0.11266591140833795</v>
      </c>
      <c r="V272" s="104">
        <f t="shared" si="440"/>
        <v>0.11129405748531415</v>
      </c>
      <c r="W272" s="104">
        <f t="shared" ref="W272" si="441">IF(W54=0,0,W54/W$46)</f>
        <v>0.10122003187514575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2.3291477921025962E-2</v>
      </c>
      <c r="C273" s="105">
        <f t="shared" si="442"/>
        <v>2.621874439172886E-2</v>
      </c>
      <c r="D273" s="105">
        <f t="shared" si="442"/>
        <v>2.6537628226000289E-2</v>
      </c>
      <c r="E273" s="105">
        <f t="shared" si="442"/>
        <v>2.5152307946206296E-2</v>
      </c>
      <c r="F273" s="105">
        <f t="shared" si="442"/>
        <v>2.7108525857962709E-2</v>
      </c>
      <c r="G273" s="105">
        <f t="shared" si="442"/>
        <v>2.5572039074554524E-2</v>
      </c>
      <c r="H273" s="105">
        <f t="shared" si="442"/>
        <v>3.0620569410677052E-2</v>
      </c>
      <c r="I273" s="105">
        <f t="shared" si="442"/>
        <v>2.8269430835151866E-2</v>
      </c>
      <c r="J273" s="105">
        <f t="shared" si="442"/>
        <v>2.9930598502678183E-2</v>
      </c>
      <c r="K273" s="105">
        <f t="shared" si="442"/>
        <v>2.6481277648871412E-2</v>
      </c>
      <c r="L273" s="105">
        <f t="shared" ref="L273" si="443">IF(L55=0,0,L55/L$46)</f>
        <v>2.6432342332761927E-2</v>
      </c>
      <c r="M273" s="105">
        <f t="shared" ref="M273:V273" si="444">IF(M55=0,0,M55/M$46)</f>
        <v>2.2520031403062333E-2</v>
      </c>
      <c r="N273" s="105">
        <f t="shared" si="444"/>
        <v>2.3800098382601029E-2</v>
      </c>
      <c r="O273" s="105">
        <f t="shared" si="444"/>
        <v>2.8340582964999261E-2</v>
      </c>
      <c r="P273" s="105">
        <f t="shared" si="444"/>
        <v>2.8231162464729381E-2</v>
      </c>
      <c r="Q273" s="105">
        <f t="shared" si="444"/>
        <v>3.3241838000829665E-2</v>
      </c>
      <c r="R273" s="105">
        <f t="shared" si="444"/>
        <v>3.7101497129940132E-2</v>
      </c>
      <c r="S273" s="105">
        <f t="shared" si="444"/>
        <v>4.0295118968887933E-2</v>
      </c>
      <c r="T273" s="105">
        <f t="shared" si="444"/>
        <v>3.7722542618524167E-2</v>
      </c>
      <c r="U273" s="105">
        <f t="shared" si="444"/>
        <v>3.8239496749494242E-2</v>
      </c>
      <c r="V273" s="105">
        <f t="shared" si="444"/>
        <v>3.8720011507830866E-2</v>
      </c>
      <c r="W273" s="105">
        <f t="shared" ref="W273" si="445">IF(W55=0,0,W55/W$46)</f>
        <v>3.6582544672911027E-2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36881.389079965607</v>
      </c>
      <c r="C4" s="145">
        <f t="shared" si="0"/>
        <v>37567.968357695616</v>
      </c>
      <c r="D4" s="145">
        <f t="shared" si="0"/>
        <v>38257.974978503858</v>
      </c>
      <c r="E4" s="145">
        <f t="shared" si="0"/>
        <v>38357.549871023213</v>
      </c>
      <c r="F4" s="145">
        <f t="shared" si="0"/>
        <v>39268.687188306103</v>
      </c>
      <c r="G4" s="145">
        <f t="shared" si="0"/>
        <v>38782.521238177127</v>
      </c>
      <c r="H4" s="145">
        <f t="shared" si="0"/>
        <v>39069.6260533104</v>
      </c>
      <c r="I4" s="145">
        <f t="shared" si="0"/>
        <v>39166.585468615638</v>
      </c>
      <c r="J4" s="145">
        <f t="shared" si="0"/>
        <v>37507.963026655198</v>
      </c>
      <c r="K4" s="145">
        <f t="shared" si="0"/>
        <v>36285.208254514182</v>
      </c>
      <c r="L4" s="145">
        <f t="shared" ref="L4" si="1">L5+L9+L10+L15</f>
        <v>35742.487875538383</v>
      </c>
      <c r="M4" s="145">
        <f t="shared" ref="M4:V4" si="2">M5+M9+M10+M15</f>
        <v>35674.600534458499</v>
      </c>
      <c r="N4" s="145">
        <f t="shared" si="2"/>
        <v>33578.067490208807</v>
      </c>
      <c r="O4" s="145">
        <f t="shared" si="2"/>
        <v>32858.184599970969</v>
      </c>
      <c r="P4" s="145">
        <f t="shared" si="2"/>
        <v>34277.835886026667</v>
      </c>
      <c r="Q4" s="145">
        <f t="shared" si="2"/>
        <v>33614.115767954623</v>
      </c>
      <c r="R4" s="145">
        <f t="shared" si="2"/>
        <v>32970.179894225985</v>
      </c>
      <c r="S4" s="145">
        <f t="shared" si="2"/>
        <v>31659.496334049789</v>
      </c>
      <c r="T4" s="145">
        <f t="shared" si="2"/>
        <v>32811.404142283653</v>
      </c>
      <c r="U4" s="145">
        <f t="shared" si="2"/>
        <v>33146.861895630784</v>
      </c>
      <c r="V4" s="145">
        <f t="shared" si="2"/>
        <v>26992.788669411908</v>
      </c>
      <c r="W4" s="145">
        <f t="shared" ref="W4" si="3">W5+W9+W10+W15</f>
        <v>32653.951782497632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36554.604901117797</v>
      </c>
      <c r="C5" s="97">
        <f t="shared" si="4"/>
        <v>37200.234049871025</v>
      </c>
      <c r="D5" s="97">
        <f t="shared" si="4"/>
        <v>37895.915649183138</v>
      </c>
      <c r="E5" s="97">
        <f t="shared" si="4"/>
        <v>37993.125967325876</v>
      </c>
      <c r="F5" s="97">
        <f t="shared" si="4"/>
        <v>38660.351504729151</v>
      </c>
      <c r="G5" s="97">
        <f t="shared" si="4"/>
        <v>38226.239552880477</v>
      </c>
      <c r="H5" s="97">
        <f t="shared" si="4"/>
        <v>38474.849613069644</v>
      </c>
      <c r="I5" s="97">
        <f t="shared" si="4"/>
        <v>38542.906276870155</v>
      </c>
      <c r="J5" s="97">
        <f t="shared" si="4"/>
        <v>36229.506964746339</v>
      </c>
      <c r="K5" s="97">
        <f t="shared" si="4"/>
        <v>34539.610146173683</v>
      </c>
      <c r="L5" s="97">
        <f t="shared" ref="L5" si="5">SUM(L6:L8)</f>
        <v>33627.051676698196</v>
      </c>
      <c r="M5" s="97">
        <f t="shared" ref="M5:V5" si="6">SUM(M6:M8)</f>
        <v>33549.445829750635</v>
      </c>
      <c r="N5" s="97">
        <f t="shared" si="6"/>
        <v>31451.428288907991</v>
      </c>
      <c r="O5" s="97">
        <f t="shared" si="6"/>
        <v>30785.306190885636</v>
      </c>
      <c r="P5" s="97">
        <f t="shared" si="6"/>
        <v>32339.151590713671</v>
      </c>
      <c r="Q5" s="97">
        <f t="shared" si="6"/>
        <v>31535.052966466039</v>
      </c>
      <c r="R5" s="97">
        <f t="shared" si="6"/>
        <v>31023.841616509024</v>
      </c>
      <c r="S5" s="97">
        <f t="shared" si="6"/>
        <v>29738.047807394669</v>
      </c>
      <c r="T5" s="97">
        <f t="shared" si="6"/>
        <v>30689.629234737738</v>
      </c>
      <c r="U5" s="97">
        <f t="shared" si="6"/>
        <v>30892.507910576096</v>
      </c>
      <c r="V5" s="97">
        <f t="shared" si="6"/>
        <v>24929.411521926049</v>
      </c>
      <c r="W5" s="97">
        <f t="shared" ref="W5" si="7">SUM(W6:W8)</f>
        <v>30321.720550300943</v>
      </c>
      <c r="DA5" s="175"/>
    </row>
    <row r="6" spans="1:105" ht="11.45" customHeight="1" x14ac:dyDescent="0.25">
      <c r="A6" s="128" t="s">
        <v>52</v>
      </c>
      <c r="B6" s="97">
        <v>1562.338779019776</v>
      </c>
      <c r="C6" s="97">
        <v>1527.1806534823729</v>
      </c>
      <c r="D6" s="97">
        <v>1442.5814273430781</v>
      </c>
      <c r="E6" s="97">
        <v>1328.317540842648</v>
      </c>
      <c r="F6" s="97">
        <v>1215.152364574376</v>
      </c>
      <c r="G6" s="97">
        <v>1130.553138435082</v>
      </c>
      <c r="H6" s="97">
        <v>1084.4081685296651</v>
      </c>
      <c r="I6" s="97">
        <v>1033.868357695615</v>
      </c>
      <c r="J6" s="97">
        <v>1101.9871883061051</v>
      </c>
      <c r="K6" s="97">
        <v>1204.1654342218401</v>
      </c>
      <c r="L6" s="97">
        <v>1333.811006018916</v>
      </c>
      <c r="M6" s="97">
        <v>1392.041616509028</v>
      </c>
      <c r="N6" s="97">
        <v>1483.2330180567501</v>
      </c>
      <c r="O6" s="97">
        <v>1688.688220120378</v>
      </c>
      <c r="P6" s="97">
        <v>1718.352880481513</v>
      </c>
      <c r="Q6" s="97">
        <v>1817.235081685297</v>
      </c>
      <c r="R6" s="97">
        <v>1755.7084264832331</v>
      </c>
      <c r="S6" s="97">
        <v>1831.9268271711089</v>
      </c>
      <c r="T6" s="97">
        <v>1773.2874462596731</v>
      </c>
      <c r="U6" s="97">
        <v>1816.155116079105</v>
      </c>
      <c r="V6" s="97">
        <v>1438.6932072227</v>
      </c>
      <c r="W6" s="97">
        <v>1545.823215821152</v>
      </c>
      <c r="DA6" s="175" t="s">
        <v>629</v>
      </c>
    </row>
    <row r="7" spans="1:105" ht="11.45" customHeight="1" x14ac:dyDescent="0.25">
      <c r="A7" s="128" t="s">
        <v>53</v>
      </c>
      <c r="B7" s="97">
        <v>17555.65107480653</v>
      </c>
      <c r="C7" s="97">
        <v>17206.74496990542</v>
      </c>
      <c r="D7" s="97">
        <v>16818.954772141009</v>
      </c>
      <c r="E7" s="97">
        <v>16206.267325881339</v>
      </c>
      <c r="F7" s="97">
        <v>15229.960791057611</v>
      </c>
      <c r="G7" s="97">
        <v>14174.83516766982</v>
      </c>
      <c r="H7" s="97">
        <v>13301.51908856406</v>
      </c>
      <c r="I7" s="97">
        <v>12423.999226139291</v>
      </c>
      <c r="J7" s="97">
        <v>11445.59088564058</v>
      </c>
      <c r="K7" s="97">
        <v>10956.912209802231</v>
      </c>
      <c r="L7" s="97">
        <v>10275.91478933792</v>
      </c>
      <c r="M7" s="97">
        <v>9908.0920894239025</v>
      </c>
      <c r="N7" s="97">
        <v>8769.9435941530519</v>
      </c>
      <c r="O7" s="97">
        <v>8398.9681857265678</v>
      </c>
      <c r="P7" s="97">
        <v>8494.6020636285466</v>
      </c>
      <c r="Q7" s="97">
        <v>8191.9365434221827</v>
      </c>
      <c r="R7" s="97">
        <v>7649.6608770421317</v>
      </c>
      <c r="S7" s="97">
        <v>7432.6370593293204</v>
      </c>
      <c r="T7" s="97">
        <v>7639.9524505588988</v>
      </c>
      <c r="U7" s="97">
        <v>7711.6652622527936</v>
      </c>
      <c r="V7" s="97">
        <v>6078.9959587274288</v>
      </c>
      <c r="W7" s="97">
        <v>7364.8756663800514</v>
      </c>
      <c r="DA7" s="175" t="s">
        <v>630</v>
      </c>
    </row>
    <row r="8" spans="1:105" ht="11.45" customHeight="1" x14ac:dyDescent="0.25">
      <c r="A8" s="128" t="s">
        <v>54</v>
      </c>
      <c r="B8" s="97">
        <v>17436.615047291489</v>
      </c>
      <c r="C8" s="97">
        <v>18466.308426483229</v>
      </c>
      <c r="D8" s="97">
        <v>19634.379449699049</v>
      </c>
      <c r="E8" s="97">
        <v>20458.541100601891</v>
      </c>
      <c r="F8" s="97">
        <v>22215.238349097166</v>
      </c>
      <c r="G8" s="97">
        <v>22920.851246775579</v>
      </c>
      <c r="H8" s="97">
        <v>24088.922355975919</v>
      </c>
      <c r="I8" s="97">
        <v>25085.038693035251</v>
      </c>
      <c r="J8" s="97">
        <v>23681.928890799649</v>
      </c>
      <c r="K8" s="97">
        <v>22378.53250214961</v>
      </c>
      <c r="L8" s="97">
        <v>22017.325881341359</v>
      </c>
      <c r="M8" s="97">
        <v>22249.312123817708</v>
      </c>
      <c r="N8" s="97">
        <v>21198.25167669819</v>
      </c>
      <c r="O8" s="97">
        <v>20697.649785038691</v>
      </c>
      <c r="P8" s="97">
        <v>22126.19664660361</v>
      </c>
      <c r="Q8" s="97">
        <v>21525.881341358559</v>
      </c>
      <c r="R8" s="97">
        <v>21618.47231298366</v>
      </c>
      <c r="S8" s="97">
        <v>20473.483920894239</v>
      </c>
      <c r="T8" s="97">
        <v>21276.389337919169</v>
      </c>
      <c r="U8" s="97">
        <v>21364.687532244199</v>
      </c>
      <c r="V8" s="97">
        <v>17411.722355975919</v>
      </c>
      <c r="W8" s="97">
        <v>21411.02166809974</v>
      </c>
      <c r="DA8" s="175" t="s">
        <v>631</v>
      </c>
    </row>
    <row r="9" spans="1:105" ht="11.45" customHeight="1" x14ac:dyDescent="0.25">
      <c r="A9" s="92" t="s">
        <v>55</v>
      </c>
      <c r="B9" s="97">
        <v>326.78417884780742</v>
      </c>
      <c r="C9" s="97">
        <v>367.73430782459161</v>
      </c>
      <c r="D9" s="97">
        <v>362.05932932072233</v>
      </c>
      <c r="E9" s="97">
        <v>364.42390369733448</v>
      </c>
      <c r="F9" s="97">
        <v>355.58899398108338</v>
      </c>
      <c r="G9" s="97">
        <v>379.5356835769561</v>
      </c>
      <c r="H9" s="97">
        <v>435.70507308684432</v>
      </c>
      <c r="I9" s="97">
        <v>484.04987102321581</v>
      </c>
      <c r="J9" s="97">
        <v>549.57007738607047</v>
      </c>
      <c r="K9" s="97">
        <v>601.09630266552017</v>
      </c>
      <c r="L9" s="97">
        <v>695.29234737747197</v>
      </c>
      <c r="M9" s="97">
        <v>722.39896818572652</v>
      </c>
      <c r="N9" s="97">
        <v>756.79277730008596</v>
      </c>
      <c r="O9" s="97">
        <v>811.62940670679268</v>
      </c>
      <c r="P9" s="97">
        <v>862.40326741186584</v>
      </c>
      <c r="Q9" s="97">
        <v>900.90283748925185</v>
      </c>
      <c r="R9" s="97">
        <v>893.59415305245045</v>
      </c>
      <c r="S9" s="97">
        <v>847.07300085984525</v>
      </c>
      <c r="T9" s="97">
        <v>857.9423903697334</v>
      </c>
      <c r="U9" s="97">
        <v>959.87102321582097</v>
      </c>
      <c r="V9" s="97">
        <v>772.37841788478067</v>
      </c>
      <c r="W9" s="97">
        <v>866.01074806534814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252.74668959587271</v>
      </c>
      <c r="G10" s="97">
        <f t="shared" si="8"/>
        <v>176.74600171969041</v>
      </c>
      <c r="H10" s="97">
        <f t="shared" si="8"/>
        <v>159.07136715391229</v>
      </c>
      <c r="I10" s="97">
        <f t="shared" si="8"/>
        <v>139.62932072226999</v>
      </c>
      <c r="J10" s="97">
        <f t="shared" si="8"/>
        <v>728.88598452278586</v>
      </c>
      <c r="K10" s="97">
        <f t="shared" si="8"/>
        <v>1144.5018056749786</v>
      </c>
      <c r="L10" s="97">
        <f t="shared" si="8"/>
        <v>1419.4237317282893</v>
      </c>
      <c r="M10" s="97">
        <f t="shared" si="8"/>
        <v>1401.001805674978</v>
      </c>
      <c r="N10" s="97">
        <f t="shared" si="8"/>
        <v>1367.9561478933795</v>
      </c>
      <c r="O10" s="97">
        <f t="shared" si="8"/>
        <v>1252.353998280309</v>
      </c>
      <c r="P10" s="97">
        <f t="shared" si="8"/>
        <v>1065.1979363714531</v>
      </c>
      <c r="Q10" s="97">
        <f t="shared" si="8"/>
        <v>1166.6043852106618</v>
      </c>
      <c r="R10" s="97">
        <f t="shared" si="8"/>
        <v>1040.9030094582972</v>
      </c>
      <c r="S10" s="97">
        <f t="shared" si="8"/>
        <v>1061.7665520206363</v>
      </c>
      <c r="T10" s="97">
        <f t="shared" si="8"/>
        <v>1249.7122098022357</v>
      </c>
      <c r="U10" s="97">
        <f t="shared" si="8"/>
        <v>1276.1195184866726</v>
      </c>
      <c r="V10" s="97">
        <f t="shared" si="8"/>
        <v>1264.7375752364578</v>
      </c>
      <c r="W10" s="97">
        <f t="shared" si="8"/>
        <v>1415.5055030094584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2.3903697334479789E-2</v>
      </c>
      <c r="M11" s="97">
        <v>2.3903697334479789E-2</v>
      </c>
      <c r="N11" s="97">
        <v>2.3903697334479789E-2</v>
      </c>
      <c r="O11" s="97">
        <v>2.3903697334479789E-2</v>
      </c>
      <c r="P11" s="97">
        <v>2.3903697334479789E-2</v>
      </c>
      <c r="Q11" s="97">
        <v>2.3903697334479789E-2</v>
      </c>
      <c r="R11" s="97">
        <v>2.3903697334479789E-2</v>
      </c>
      <c r="S11" s="97">
        <v>2.3903697334479789E-2</v>
      </c>
      <c r="T11" s="97">
        <v>2.3903697334479789E-2</v>
      </c>
      <c r="U11" s="97">
        <v>2.3903697334479789E-2</v>
      </c>
      <c r="V11" s="97">
        <v>2.3903697334479789E-2</v>
      </c>
      <c r="W11" s="97">
        <v>2.3903697334479789E-2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70.507308684436794</v>
      </c>
      <c r="K12" s="97">
        <v>92.863284608770414</v>
      </c>
      <c r="L12" s="97">
        <v>122.0844368013758</v>
      </c>
      <c r="M12" s="97">
        <v>114.26732588134141</v>
      </c>
      <c r="N12" s="97">
        <v>105.08237317282889</v>
      </c>
      <c r="O12" s="97">
        <v>74.318228718830611</v>
      </c>
      <c r="P12" s="97">
        <v>10.0006018916595</v>
      </c>
      <c r="Q12" s="97">
        <v>24.801547721410149</v>
      </c>
      <c r="R12" s="97">
        <v>32.543422184006879</v>
      </c>
      <c r="S12" s="97">
        <v>33.060791057609627</v>
      </c>
      <c r="T12" s="97">
        <v>32.611177987962172</v>
      </c>
      <c r="U12" s="97">
        <v>30.436027515047289</v>
      </c>
      <c r="V12" s="97">
        <v>19.636457437661221</v>
      </c>
      <c r="W12" s="97">
        <v>27.08993981083405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252.74668959587271</v>
      </c>
      <c r="G13" s="97">
        <v>176.74600171969041</v>
      </c>
      <c r="H13" s="97">
        <v>159.07136715391229</v>
      </c>
      <c r="I13" s="97">
        <v>139.62932072226999</v>
      </c>
      <c r="J13" s="97">
        <v>658.37867583834907</v>
      </c>
      <c r="K13" s="97">
        <v>1051.6385210662081</v>
      </c>
      <c r="L13" s="97">
        <v>1297.3153912295791</v>
      </c>
      <c r="M13" s="97">
        <v>1286.710576096302</v>
      </c>
      <c r="N13" s="97">
        <v>1262.8498710232161</v>
      </c>
      <c r="O13" s="97">
        <v>1178.0118658641441</v>
      </c>
      <c r="P13" s="97">
        <v>1055.173430782459</v>
      </c>
      <c r="Q13" s="97">
        <v>1141.7789337919171</v>
      </c>
      <c r="R13" s="97">
        <v>1008.3356835769559</v>
      </c>
      <c r="S13" s="97">
        <v>1028.6818572656921</v>
      </c>
      <c r="T13" s="97">
        <v>1217.0771281169391</v>
      </c>
      <c r="U13" s="97">
        <v>1245.659587274291</v>
      </c>
      <c r="V13" s="97">
        <v>1245.077214101462</v>
      </c>
      <c r="W13" s="97">
        <v>1388.39165950129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0.72011973442286825</v>
      </c>
      <c r="M15" s="98">
        <v>1.7539308471608386</v>
      </c>
      <c r="N15" s="98">
        <v>1.8902761073503471</v>
      </c>
      <c r="O15" s="98">
        <v>8.8950040982313059</v>
      </c>
      <c r="P15" s="98">
        <v>11.083091529678496</v>
      </c>
      <c r="Q15" s="98">
        <v>11.555578788667084</v>
      </c>
      <c r="R15" s="98">
        <v>11.841115206214205</v>
      </c>
      <c r="S15" s="98">
        <v>12.60897377464128</v>
      </c>
      <c r="T15" s="98">
        <v>14.120307373945835</v>
      </c>
      <c r="U15" s="98">
        <v>18.363443352196299</v>
      </c>
      <c r="V15" s="98">
        <v>26.26115436462041</v>
      </c>
      <c r="W15" s="98">
        <v>50.714981121882204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36881.3890799656</v>
      </c>
      <c r="C17" s="79">
        <f t="shared" si="9"/>
        <v>37567.968357695616</v>
      </c>
      <c r="D17" s="79">
        <f t="shared" si="9"/>
        <v>38257.974978503858</v>
      </c>
      <c r="E17" s="79">
        <f t="shared" si="9"/>
        <v>38357.549871023213</v>
      </c>
      <c r="F17" s="79">
        <f t="shared" si="9"/>
        <v>39268.687188306103</v>
      </c>
      <c r="G17" s="79">
        <f t="shared" si="9"/>
        <v>38782.521238177127</v>
      </c>
      <c r="H17" s="79">
        <f t="shared" si="9"/>
        <v>39069.626053310407</v>
      </c>
      <c r="I17" s="79">
        <f t="shared" si="9"/>
        <v>39166.585468615653</v>
      </c>
      <c r="J17" s="79">
        <f t="shared" si="9"/>
        <v>37507.96302665519</v>
      </c>
      <c r="K17" s="79">
        <f t="shared" si="9"/>
        <v>36285.208254514175</v>
      </c>
      <c r="L17" s="79">
        <f t="shared" ref="L17" si="10">L18+L42</f>
        <v>35742.487875538383</v>
      </c>
      <c r="M17" s="79">
        <f t="shared" ref="M17:V17" si="11">M18+M42</f>
        <v>35674.600534458506</v>
      </c>
      <c r="N17" s="79">
        <f t="shared" si="11"/>
        <v>33578.067490208807</v>
      </c>
      <c r="O17" s="79">
        <f t="shared" si="11"/>
        <v>32858.184599970969</v>
      </c>
      <c r="P17" s="79">
        <f t="shared" si="11"/>
        <v>34277.835886026674</v>
      </c>
      <c r="Q17" s="79">
        <f t="shared" si="11"/>
        <v>33614.115767954616</v>
      </c>
      <c r="R17" s="79">
        <f t="shared" si="11"/>
        <v>32970.179894225985</v>
      </c>
      <c r="S17" s="79">
        <f t="shared" si="11"/>
        <v>31659.496334049792</v>
      </c>
      <c r="T17" s="79">
        <f t="shared" si="11"/>
        <v>32811.40414228366</v>
      </c>
      <c r="U17" s="79">
        <f t="shared" si="11"/>
        <v>33146.861895630784</v>
      </c>
      <c r="V17" s="79">
        <f t="shared" si="11"/>
        <v>26992.788669411908</v>
      </c>
      <c r="W17" s="79">
        <f t="shared" ref="W17" si="12">W18+W42</f>
        <v>32653.951782497639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27110.780760193415</v>
      </c>
      <c r="C18" s="32">
        <f t="shared" si="13"/>
        <v>27235.870897230277</v>
      </c>
      <c r="D18" s="32">
        <f t="shared" si="13"/>
        <v>27942.417313295515</v>
      </c>
      <c r="E18" s="32">
        <f t="shared" si="13"/>
        <v>27789.274800216761</v>
      </c>
      <c r="F18" s="32">
        <f t="shared" si="13"/>
        <v>28111.219582293525</v>
      </c>
      <c r="G18" s="32">
        <f t="shared" si="13"/>
        <v>27099.029628765777</v>
      </c>
      <c r="H18" s="32">
        <f t="shared" si="13"/>
        <v>27694.986354562276</v>
      </c>
      <c r="I18" s="32">
        <f t="shared" si="13"/>
        <v>27536.45379683893</v>
      </c>
      <c r="J18" s="32">
        <f t="shared" si="13"/>
        <v>27104.534970223154</v>
      </c>
      <c r="K18" s="32">
        <f t="shared" si="13"/>
        <v>26585.614104588054</v>
      </c>
      <c r="L18" s="32">
        <f t="shared" ref="L18" si="14">L19+L21+L33</f>
        <v>26240.799765825912</v>
      </c>
      <c r="M18" s="32">
        <f t="shared" ref="M18:V18" si="15">M19+M21+M33</f>
        <v>25736.848965535239</v>
      </c>
      <c r="N18" s="32">
        <f t="shared" si="15"/>
        <v>23961.607996325554</v>
      </c>
      <c r="O18" s="32">
        <f t="shared" si="15"/>
        <v>24679.444270453587</v>
      </c>
      <c r="P18" s="32">
        <f t="shared" si="15"/>
        <v>26249.961941590329</v>
      </c>
      <c r="Q18" s="32">
        <f t="shared" si="15"/>
        <v>26448.895766025489</v>
      </c>
      <c r="R18" s="32">
        <f t="shared" si="15"/>
        <v>26105.901528831884</v>
      </c>
      <c r="S18" s="32">
        <f t="shared" si="15"/>
        <v>25833.965322972315</v>
      </c>
      <c r="T18" s="32">
        <f t="shared" si="15"/>
        <v>25708.107982429665</v>
      </c>
      <c r="U18" s="32">
        <f t="shared" si="15"/>
        <v>25806.784244575298</v>
      </c>
      <c r="V18" s="32">
        <f t="shared" si="15"/>
        <v>20295.24987528675</v>
      </c>
      <c r="W18" s="32">
        <f t="shared" ref="W18" si="16">W19+W21+W33</f>
        <v>23474.061779793719</v>
      </c>
      <c r="DA18" s="173" t="s">
        <v>390</v>
      </c>
    </row>
    <row r="19" spans="1:105" ht="11.45" customHeight="1" x14ac:dyDescent="0.25">
      <c r="A19" s="107" t="s">
        <v>181</v>
      </c>
      <c r="B19" s="129">
        <v>1434.542907035378</v>
      </c>
      <c r="C19" s="129">
        <v>1448.9574029485786</v>
      </c>
      <c r="D19" s="129">
        <v>1421.7183656079008</v>
      </c>
      <c r="E19" s="129">
        <v>1433.0375677870973</v>
      </c>
      <c r="F19" s="129">
        <v>1474.4307109334966</v>
      </c>
      <c r="G19" s="129">
        <v>1465.0914650340171</v>
      </c>
      <c r="H19" s="129">
        <v>1374.3798348989123</v>
      </c>
      <c r="I19" s="129">
        <v>1203.5537119620737</v>
      </c>
      <c r="J19" s="129">
        <v>1249.4827802569746</v>
      </c>
      <c r="K19" s="129">
        <v>1142.7134119189411</v>
      </c>
      <c r="L19" s="129">
        <v>1152.7690419434789</v>
      </c>
      <c r="M19" s="129">
        <v>1174.4866884975977</v>
      </c>
      <c r="N19" s="129">
        <v>1119.7711477573673</v>
      </c>
      <c r="O19" s="129">
        <v>1077.1532144891364</v>
      </c>
      <c r="P19" s="129">
        <v>1080.7180056063028</v>
      </c>
      <c r="Q19" s="129">
        <v>1066.3987000840093</v>
      </c>
      <c r="R19" s="129">
        <v>1076.9631122000048</v>
      </c>
      <c r="S19" s="129">
        <v>1011.774886563804</v>
      </c>
      <c r="T19" s="129">
        <v>959.71412712719757</v>
      </c>
      <c r="U19" s="129">
        <v>1013.9399590227653</v>
      </c>
      <c r="V19" s="129">
        <v>902.98248332351</v>
      </c>
      <c r="W19" s="129">
        <v>896.69673208980987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7.649958049756834</v>
      </c>
      <c r="K20" s="97">
        <v>9.603463966391125</v>
      </c>
      <c r="L20" s="97">
        <v>13.534830709925449</v>
      </c>
      <c r="M20" s="97">
        <v>13.39060470859846</v>
      </c>
      <c r="N20" s="97">
        <v>13.258351023423653</v>
      </c>
      <c r="O20" s="97">
        <v>9.4475879893724688</v>
      </c>
      <c r="P20" s="97">
        <v>1.2708213371371873</v>
      </c>
      <c r="Q20" s="97">
        <v>3.2188367155928499</v>
      </c>
      <c r="R20" s="97">
        <v>4.5622407152667455</v>
      </c>
      <c r="S20" s="97">
        <v>4.4805025320290675</v>
      </c>
      <c r="T20" s="97">
        <v>4.0791330945579061</v>
      </c>
      <c r="U20" s="97">
        <v>3.9860372961289685</v>
      </c>
      <c r="V20" s="97">
        <v>2.9074349609490797</v>
      </c>
      <c r="W20" s="97">
        <v>3.2861977172269392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23551.154675156537</v>
      </c>
      <c r="C21" s="130">
        <f t="shared" si="17"/>
        <v>23654.629509150873</v>
      </c>
      <c r="D21" s="130">
        <f t="shared" si="17"/>
        <v>24373.573154269012</v>
      </c>
      <c r="E21" s="130">
        <f t="shared" si="17"/>
        <v>24209.684076114427</v>
      </c>
      <c r="F21" s="130">
        <f t="shared" si="17"/>
        <v>24472.305898047907</v>
      </c>
      <c r="G21" s="130">
        <f t="shared" si="17"/>
        <v>23467.267458390506</v>
      </c>
      <c r="H21" s="130">
        <f t="shared" si="17"/>
        <v>24135.703616519921</v>
      </c>
      <c r="I21" s="130">
        <f t="shared" si="17"/>
        <v>24154.109820926238</v>
      </c>
      <c r="J21" s="130">
        <f t="shared" si="17"/>
        <v>23657.294934673966</v>
      </c>
      <c r="K21" s="130">
        <f t="shared" si="17"/>
        <v>23255.255488977058</v>
      </c>
      <c r="L21" s="130">
        <f t="shared" ref="L21" si="18">L22+L24+L26+L27+L29+L32</f>
        <v>22866.078739866771</v>
      </c>
      <c r="M21" s="130">
        <f t="shared" ref="M21:V21" si="19">M22+M24+M26+M27+M29+M32</f>
        <v>22275.556275520845</v>
      </c>
      <c r="N21" s="130">
        <f t="shared" si="19"/>
        <v>20638.525589836911</v>
      </c>
      <c r="O21" s="130">
        <f t="shared" si="19"/>
        <v>21389.909701577992</v>
      </c>
      <c r="P21" s="130">
        <f t="shared" si="19"/>
        <v>22941.825545723601</v>
      </c>
      <c r="Q21" s="130">
        <f t="shared" si="19"/>
        <v>23100.83888116432</v>
      </c>
      <c r="R21" s="130">
        <f t="shared" si="19"/>
        <v>22761.399251687879</v>
      </c>
      <c r="S21" s="130">
        <f t="shared" si="19"/>
        <v>22538.081208086991</v>
      </c>
      <c r="T21" s="130">
        <f t="shared" si="19"/>
        <v>22445.684514613546</v>
      </c>
      <c r="U21" s="130">
        <f t="shared" si="19"/>
        <v>22445.406683586414</v>
      </c>
      <c r="V21" s="130">
        <f t="shared" si="19"/>
        <v>17087.143089472334</v>
      </c>
      <c r="W21" s="130">
        <f t="shared" ref="W21" si="20">W22+W24+W26+W27+W29+W32</f>
        <v>20180.907279766798</v>
      </c>
      <c r="DA21" s="176" t="s">
        <v>392</v>
      </c>
    </row>
    <row r="22" spans="1:105" ht="11.45" customHeight="1" x14ac:dyDescent="0.25">
      <c r="A22" s="111" t="s">
        <v>110</v>
      </c>
      <c r="B22" s="96">
        <v>15825.122348287321</v>
      </c>
      <c r="C22" s="96">
        <v>15460.985183289329</v>
      </c>
      <c r="D22" s="96">
        <v>15096.541404221398</v>
      </c>
      <c r="E22" s="96">
        <v>14471.69108435698</v>
      </c>
      <c r="F22" s="96">
        <v>13460.980877667173</v>
      </c>
      <c r="G22" s="96">
        <v>12415.651892607118</v>
      </c>
      <c r="H22" s="96">
        <v>11638.95045225886</v>
      </c>
      <c r="I22" s="96">
        <v>10972.046374049003</v>
      </c>
      <c r="J22" s="96">
        <v>10030.740536648525</v>
      </c>
      <c r="K22" s="96">
        <v>9684.8856950618756</v>
      </c>
      <c r="L22" s="96">
        <v>9032.1849273568605</v>
      </c>
      <c r="M22" s="96">
        <v>8633.601454145959</v>
      </c>
      <c r="N22" s="96">
        <v>7564.6870901127495</v>
      </c>
      <c r="O22" s="96">
        <v>7209.2807198077744</v>
      </c>
      <c r="P22" s="96">
        <v>7239.1022619511368</v>
      </c>
      <c r="Q22" s="96">
        <v>6979.1216729963526</v>
      </c>
      <c r="R22" s="96">
        <v>6443.283806024464</v>
      </c>
      <c r="S22" s="96">
        <v>6297.6903856769432</v>
      </c>
      <c r="T22" s="96">
        <v>6559.8296021487195</v>
      </c>
      <c r="U22" s="96">
        <v>6573.7129927898177</v>
      </c>
      <c r="V22" s="96">
        <v>5040.1280182285454</v>
      </c>
      <c r="W22" s="96">
        <v>6323.3570071716231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61.413206749095785</v>
      </c>
      <c r="K23" s="96">
        <v>81.392630751533687</v>
      </c>
      <c r="L23" s="96">
        <v>106.04821042592619</v>
      </c>
      <c r="M23" s="96">
        <v>98.433762950465223</v>
      </c>
      <c r="N23" s="96">
        <v>89.567655876777522</v>
      </c>
      <c r="O23" s="96">
        <v>63.231778937570404</v>
      </c>
      <c r="P23" s="96">
        <v>8.5124940719798872</v>
      </c>
      <c r="Q23" s="96">
        <v>21.065904414419037</v>
      </c>
      <c r="R23" s="96">
        <v>27.295096170763308</v>
      </c>
      <c r="S23" s="96">
        <v>27.888434565509712</v>
      </c>
      <c r="T23" s="96">
        <v>27.881654826613783</v>
      </c>
      <c r="U23" s="96">
        <v>25.842817348437759</v>
      </c>
      <c r="V23" s="96">
        <v>16.228270955956809</v>
      </c>
      <c r="W23" s="96">
        <v>23.173722640596317</v>
      </c>
      <c r="DA23" s="171" t="s">
        <v>641</v>
      </c>
    </row>
    <row r="24" spans="1:105" ht="11.45" customHeight="1" x14ac:dyDescent="0.25">
      <c r="A24" s="111" t="s">
        <v>111</v>
      </c>
      <c r="B24" s="96">
        <v>5864.3684771523194</v>
      </c>
      <c r="C24" s="96">
        <v>6328.0847207738216</v>
      </c>
      <c r="D24" s="96">
        <v>7504.2327704086802</v>
      </c>
      <c r="E24" s="96">
        <v>8080.8710588617168</v>
      </c>
      <c r="F24" s="96">
        <v>9479.3752943055952</v>
      </c>
      <c r="G24" s="96">
        <v>9585.9502918299113</v>
      </c>
      <c r="H24" s="96">
        <v>11025.92394252825</v>
      </c>
      <c r="I24" s="96">
        <v>11726.239501070424</v>
      </c>
      <c r="J24" s="96">
        <v>12073.133319508503</v>
      </c>
      <c r="K24" s="96">
        <v>11872.722572420073</v>
      </c>
      <c r="L24" s="96">
        <v>11950.960016334162</v>
      </c>
      <c r="M24" s="96">
        <v>11706.370884928943</v>
      </c>
      <c r="N24" s="96">
        <v>11056.258891276311</v>
      </c>
      <c r="O24" s="96">
        <v>11907.442099031632</v>
      </c>
      <c r="P24" s="96">
        <v>13328.312482875353</v>
      </c>
      <c r="Q24" s="96">
        <v>13609.300657771293</v>
      </c>
      <c r="R24" s="96">
        <v>13839.769513258578</v>
      </c>
      <c r="S24" s="96">
        <v>13735.826979701418</v>
      </c>
      <c r="T24" s="96">
        <v>13435.64084358016</v>
      </c>
      <c r="U24" s="96">
        <v>13297.748416253</v>
      </c>
      <c r="V24" s="96">
        <v>9990.2857096423013</v>
      </c>
      <c r="W24" s="96">
        <v>11671.1998126812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106.63531780649649</v>
      </c>
      <c r="G25" s="96">
        <v>73.353014538125294</v>
      </c>
      <c r="H25" s="96">
        <v>72.33212016217216</v>
      </c>
      <c r="I25" s="96">
        <v>64.90974847590131</v>
      </c>
      <c r="J25" s="96">
        <v>326.56504057544129</v>
      </c>
      <c r="K25" s="96">
        <v>532.894633791518</v>
      </c>
      <c r="L25" s="96">
        <v>664.99690850486513</v>
      </c>
      <c r="M25" s="96">
        <v>639.98541373768023</v>
      </c>
      <c r="N25" s="96">
        <v>621.62557277890983</v>
      </c>
      <c r="O25" s="96">
        <v>641.21983182029135</v>
      </c>
      <c r="P25" s="96">
        <v>606.68032830448146</v>
      </c>
      <c r="Q25" s="96">
        <v>685.5058089836574</v>
      </c>
      <c r="R25" s="96">
        <v>616.75219301018285</v>
      </c>
      <c r="S25" s="96">
        <v>657.13361874045722</v>
      </c>
      <c r="T25" s="96">
        <v>726.97603977608901</v>
      </c>
      <c r="U25" s="96">
        <v>732.6056391928505</v>
      </c>
      <c r="V25" s="96">
        <v>666.71012103216231</v>
      </c>
      <c r="W25" s="96">
        <v>710.72865970120165</v>
      </c>
      <c r="DA25" s="171" t="s">
        <v>643</v>
      </c>
    </row>
    <row r="26" spans="1:105" ht="11.45" customHeight="1" x14ac:dyDescent="0.25">
      <c r="A26" s="111" t="s">
        <v>112</v>
      </c>
      <c r="B26" s="96">
        <v>1551.0170497113245</v>
      </c>
      <c r="C26" s="96">
        <v>1515.092922477314</v>
      </c>
      <c r="D26" s="96">
        <v>1429.6259449076433</v>
      </c>
      <c r="E26" s="96">
        <v>1314.273025430912</v>
      </c>
      <c r="F26" s="96">
        <v>1199.8332218223811</v>
      </c>
      <c r="G26" s="96">
        <v>1113.4205034201173</v>
      </c>
      <c r="H26" s="96">
        <v>1066.6144694188533</v>
      </c>
      <c r="I26" s="96">
        <v>1016.0245827416829</v>
      </c>
      <c r="J26" s="96">
        <v>1081.1756433633334</v>
      </c>
      <c r="K26" s="96">
        <v>1177.4301287132291</v>
      </c>
      <c r="L26" s="96">
        <v>1301.4363662903993</v>
      </c>
      <c r="M26" s="96">
        <v>1357.1321077200359</v>
      </c>
      <c r="N26" s="96">
        <v>1447.2708095232513</v>
      </c>
      <c r="O26" s="96">
        <v>1652.2742065358668</v>
      </c>
      <c r="P26" s="96">
        <v>1680.1468607889383</v>
      </c>
      <c r="Q26" s="96">
        <v>1780.0532995035078</v>
      </c>
      <c r="R26" s="96">
        <v>1720.458778833219</v>
      </c>
      <c r="S26" s="96">
        <v>1797.3699379984077</v>
      </c>
      <c r="T26" s="96">
        <v>1735.9347167718818</v>
      </c>
      <c r="U26" s="96">
        <v>1779.2013264832872</v>
      </c>
      <c r="V26" s="96">
        <v>1402.8684646234206</v>
      </c>
      <c r="W26" s="96">
        <v>1506.9141715785813</v>
      </c>
      <c r="DA26" s="171" t="s">
        <v>644</v>
      </c>
    </row>
    <row r="27" spans="1:105" ht="11.45" customHeight="1" x14ac:dyDescent="0.25">
      <c r="A27" s="111" t="s">
        <v>113</v>
      </c>
      <c r="B27" s="96">
        <v>310.64680000557286</v>
      </c>
      <c r="C27" s="96">
        <v>350.46668261040679</v>
      </c>
      <c r="D27" s="96">
        <v>343.17303473128976</v>
      </c>
      <c r="E27" s="96">
        <v>342.84890746481796</v>
      </c>
      <c r="F27" s="96">
        <v>332.11650425276019</v>
      </c>
      <c r="G27" s="96">
        <v>352.24477053335625</v>
      </c>
      <c r="H27" s="96">
        <v>404.214752313953</v>
      </c>
      <c r="I27" s="96">
        <v>439.79936306512485</v>
      </c>
      <c r="J27" s="96">
        <v>472.24543515360284</v>
      </c>
      <c r="K27" s="96">
        <v>520.217092781882</v>
      </c>
      <c r="L27" s="96">
        <v>580.77731015092672</v>
      </c>
      <c r="M27" s="96">
        <v>576.69822070373914</v>
      </c>
      <c r="N27" s="96">
        <v>568.4482830622909</v>
      </c>
      <c r="O27" s="96">
        <v>613.66439084476735</v>
      </c>
      <c r="P27" s="96">
        <v>677.59562178231761</v>
      </c>
      <c r="Q27" s="96">
        <v>714.82296993929685</v>
      </c>
      <c r="R27" s="96">
        <v>740.74449538231465</v>
      </c>
      <c r="S27" s="96">
        <v>687.6795271351109</v>
      </c>
      <c r="T27" s="96">
        <v>691.67716210778497</v>
      </c>
      <c r="U27" s="96">
        <v>767.97484488130135</v>
      </c>
      <c r="V27" s="96">
        <v>620.2998392987904</v>
      </c>
      <c r="W27" s="96">
        <v>612.04983482373746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1.9966058637521267E-2</v>
      </c>
      <c r="M28" s="96">
        <v>1.9081925915638266E-2</v>
      </c>
      <c r="N28" s="96">
        <v>1.7954170474569663E-2</v>
      </c>
      <c r="O28" s="96">
        <v>1.8072799895804671E-2</v>
      </c>
      <c r="P28" s="96">
        <v>1.8780763409183335E-2</v>
      </c>
      <c r="Q28" s="96">
        <v>1.8965928238136417E-2</v>
      </c>
      <c r="R28" s="96">
        <v>1.9814429762310275E-2</v>
      </c>
      <c r="S28" s="96">
        <v>1.9405198143592421E-2</v>
      </c>
      <c r="T28" s="96">
        <v>1.9270735517850024E-2</v>
      </c>
      <c r="U28" s="96">
        <v>1.9124424702994129E-2</v>
      </c>
      <c r="V28" s="96">
        <v>1.9196549778428409E-2</v>
      </c>
      <c r="W28" s="96">
        <v>1.6893381778046983E-2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4.4130377042841756E-2</v>
      </c>
      <c r="O29" s="96">
        <v>5.2854910101252468</v>
      </c>
      <c r="P29" s="96">
        <v>14.531577447488857</v>
      </c>
      <c r="Q29" s="96">
        <v>15.202359577345659</v>
      </c>
      <c r="R29" s="96">
        <v>14.620395777810863</v>
      </c>
      <c r="S29" s="96">
        <v>16.714179665131788</v>
      </c>
      <c r="T29" s="96">
        <v>18.976444940869026</v>
      </c>
      <c r="U29" s="96">
        <v>20.741326940905914</v>
      </c>
      <c r="V29" s="96">
        <v>22.693245090065361</v>
      </c>
      <c r="W29" s="96">
        <v>40.983019775953672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4.0543916571232408E-4</v>
      </c>
      <c r="O30" s="96">
        <v>3.6445060926812746E-2</v>
      </c>
      <c r="P30" s="96">
        <v>1.3407634878619385E-2</v>
      </c>
      <c r="Q30" s="96">
        <v>3.598887156329942E-2</v>
      </c>
      <c r="R30" s="96">
        <v>4.7628377967685397E-2</v>
      </c>
      <c r="S30" s="96">
        <v>5.6663736625646291E-2</v>
      </c>
      <c r="T30" s="96">
        <v>6.2477598638966111E-2</v>
      </c>
      <c r="U30" s="96">
        <v>6.1716750002681009E-2</v>
      </c>
      <c r="V30" s="96">
        <v>4.943369250946382E-2</v>
      </c>
      <c r="W30" s="96">
        <v>0.10011090272961967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9.8878774187637596E-3</v>
      </c>
      <c r="O31" s="96">
        <v>1.1302595824075445</v>
      </c>
      <c r="P31" s="96">
        <v>3.1296029901188196</v>
      </c>
      <c r="Q31" s="96">
        <v>3.2792677141648112</v>
      </c>
      <c r="R31" s="96">
        <v>3.3772349350543358</v>
      </c>
      <c r="S31" s="96">
        <v>3.9185288900542687</v>
      </c>
      <c r="T31" s="96">
        <v>4.2770878341362186</v>
      </c>
      <c r="U31" s="96">
        <v>5.0422568319763723</v>
      </c>
      <c r="V31" s="96">
        <v>7.3402762286483405</v>
      </c>
      <c r="W31" s="96">
        <v>13.666002648949357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0.72011973442286825</v>
      </c>
      <c r="M32" s="96">
        <v>1.753608022166838</v>
      </c>
      <c r="N32" s="96">
        <v>1.8163854852639232</v>
      </c>
      <c r="O32" s="96">
        <v>1.962794347826208</v>
      </c>
      <c r="P32" s="96">
        <v>2.1367408783631165</v>
      </c>
      <c r="Q32" s="96">
        <v>2.3379213765254083</v>
      </c>
      <c r="R32" s="96">
        <v>2.5222624114926364</v>
      </c>
      <c r="S32" s="96">
        <v>2.800197909981053</v>
      </c>
      <c r="T32" s="96">
        <v>3.6257450641311015</v>
      </c>
      <c r="U32" s="96">
        <v>6.0277762381038142</v>
      </c>
      <c r="V32" s="96">
        <v>10.867812589209969</v>
      </c>
      <c r="W32" s="96">
        <v>26.403433735700037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2125.0831780014987</v>
      </c>
      <c r="C33" s="130">
        <f t="shared" si="21"/>
        <v>2132.2839851308281</v>
      </c>
      <c r="D33" s="130">
        <f t="shared" si="21"/>
        <v>2147.1257934186037</v>
      </c>
      <c r="E33" s="130">
        <f t="shared" si="21"/>
        <v>2146.5531563152349</v>
      </c>
      <c r="F33" s="130">
        <f t="shared" si="21"/>
        <v>2164.4829733121237</v>
      </c>
      <c r="G33" s="130">
        <f t="shared" si="21"/>
        <v>2166.6707053412542</v>
      </c>
      <c r="H33" s="130">
        <f t="shared" si="21"/>
        <v>2184.9029031434443</v>
      </c>
      <c r="I33" s="130">
        <f t="shared" si="21"/>
        <v>2178.7902639506183</v>
      </c>
      <c r="J33" s="130">
        <f t="shared" si="21"/>
        <v>2197.7572552922143</v>
      </c>
      <c r="K33" s="130">
        <f t="shared" si="21"/>
        <v>2187.6452036920555</v>
      </c>
      <c r="L33" s="130">
        <f t="shared" ref="L33" si="22">L34+L36+L38+L39+L41</f>
        <v>2221.9519840156595</v>
      </c>
      <c r="M33" s="130">
        <f t="shared" ref="M33:V33" si="23">M34+M36+M38+M39+M41</f>
        <v>2286.8060015167957</v>
      </c>
      <c r="N33" s="130">
        <f t="shared" si="23"/>
        <v>2203.3112587312767</v>
      </c>
      <c r="O33" s="130">
        <f t="shared" si="23"/>
        <v>2212.3813543864594</v>
      </c>
      <c r="P33" s="130">
        <f t="shared" si="23"/>
        <v>2227.4183902604232</v>
      </c>
      <c r="Q33" s="130">
        <f t="shared" si="23"/>
        <v>2281.6581847771581</v>
      </c>
      <c r="R33" s="130">
        <f t="shared" si="23"/>
        <v>2267.5391649439998</v>
      </c>
      <c r="S33" s="130">
        <f t="shared" si="23"/>
        <v>2284.1092283215207</v>
      </c>
      <c r="T33" s="130">
        <f t="shared" si="23"/>
        <v>2302.7093406889217</v>
      </c>
      <c r="U33" s="130">
        <f t="shared" si="23"/>
        <v>2347.4376019661177</v>
      </c>
      <c r="V33" s="130">
        <f t="shared" si="23"/>
        <v>2305.1243024909045</v>
      </c>
      <c r="W33" s="130">
        <f t="shared" ref="W33" si="24">W34+W36+W38+W39+W41</f>
        <v>2396.4577679371091</v>
      </c>
      <c r="DA33" s="176" t="s">
        <v>393</v>
      </c>
    </row>
    <row r="34" spans="1:105" ht="11.45" customHeight="1" x14ac:dyDescent="0.25">
      <c r="A34" s="111" t="s">
        <v>110</v>
      </c>
      <c r="B34" s="97">
        <v>1.8017458948842244</v>
      </c>
      <c r="C34" s="97">
        <v>1.6164786600064698</v>
      </c>
      <c r="D34" s="97">
        <v>1.5213081086251738</v>
      </c>
      <c r="E34" s="97">
        <v>1.2204876571281087</v>
      </c>
      <c r="F34" s="97">
        <v>1.0546586820067017</v>
      </c>
      <c r="G34" s="97">
        <v>1.0000955689681161</v>
      </c>
      <c r="H34" s="97">
        <v>0.94154468030240823</v>
      </c>
      <c r="I34" s="97">
        <v>0.87249516975857033</v>
      </c>
      <c r="J34" s="97">
        <v>0.87947564204001805</v>
      </c>
      <c r="K34" s="97">
        <v>0.9329521759986712</v>
      </c>
      <c r="L34" s="97">
        <v>0.94389368779929994</v>
      </c>
      <c r="M34" s="97">
        <v>0.93040892085084148</v>
      </c>
      <c r="N34" s="97">
        <v>0.91586927945315244</v>
      </c>
      <c r="O34" s="97">
        <v>1.5587757951561378</v>
      </c>
      <c r="P34" s="97">
        <v>0.90667621902701512</v>
      </c>
      <c r="Q34" s="97">
        <v>0.89795470436826064</v>
      </c>
      <c r="R34" s="97">
        <v>0.8630325015083008</v>
      </c>
      <c r="S34" s="97">
        <v>0.81684435575224468</v>
      </c>
      <c r="T34" s="97">
        <v>0.76724048237296627</v>
      </c>
      <c r="U34" s="97">
        <v>1.3584289035199373</v>
      </c>
      <c r="V34" s="97">
        <v>1.3122430046451246</v>
      </c>
      <c r="W34" s="97">
        <v>1.245099659207235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5.3845894266789287E-3</v>
      </c>
      <c r="K35" s="97">
        <v>7.8406121002148367E-3</v>
      </c>
      <c r="L35" s="97">
        <v>1.108239448466828E-2</v>
      </c>
      <c r="M35" s="97">
        <v>1.0607815480994933E-2</v>
      </c>
      <c r="N35" s="97">
        <v>1.0844105443223229E-2</v>
      </c>
      <c r="O35" s="97">
        <v>1.3671844712849039E-2</v>
      </c>
      <c r="P35" s="97">
        <v>1.0661647895539427E-3</v>
      </c>
      <c r="Q35" s="97">
        <v>2.7104023768335255E-3</v>
      </c>
      <c r="R35" s="97">
        <v>3.6559859593858252E-3</v>
      </c>
      <c r="S35" s="97">
        <v>3.6172801408930677E-3</v>
      </c>
      <c r="T35" s="97">
        <v>3.261050300989621E-3</v>
      </c>
      <c r="U35" s="97">
        <v>5.340304645640735E-3</v>
      </c>
      <c r="V35" s="97">
        <v>4.2251774086731787E-3</v>
      </c>
      <c r="W35" s="97">
        <v>4.5630183666121038E-3</v>
      </c>
      <c r="DA35" s="175" t="s">
        <v>652</v>
      </c>
    </row>
    <row r="36" spans="1:105" ht="11.45" customHeight="1" x14ac:dyDescent="0.25">
      <c r="A36" s="111" t="s">
        <v>111</v>
      </c>
      <c r="B36" s="97">
        <v>2120.7654203883817</v>
      </c>
      <c r="C36" s="97">
        <v>2128.1490397833963</v>
      </c>
      <c r="D36" s="97">
        <v>2143.366986372972</v>
      </c>
      <c r="E36" s="97">
        <v>2142.2888165155564</v>
      </c>
      <c r="F36" s="97">
        <v>2159.7612622878905</v>
      </c>
      <c r="G36" s="97">
        <v>2160.224930343275</v>
      </c>
      <c r="H36" s="97">
        <v>2176.564395767934</v>
      </c>
      <c r="I36" s="97">
        <v>2157.1803635422489</v>
      </c>
      <c r="J36" s="97">
        <v>2151.6180720808798</v>
      </c>
      <c r="K36" s="97">
        <v>2147.0498676990442</v>
      </c>
      <c r="L36" s="97">
        <v>2176.9824625187275</v>
      </c>
      <c r="M36" s="97">
        <v>2208.5746538969756</v>
      </c>
      <c r="N36" s="97">
        <v>2104.8501185814607</v>
      </c>
      <c r="O36" s="97">
        <v>2100.9187270260613</v>
      </c>
      <c r="P36" s="97">
        <v>2132.3560778788278</v>
      </c>
      <c r="Q36" s="97">
        <v>2185.8028009983782</v>
      </c>
      <c r="R36" s="97">
        <v>2206.6926990405577</v>
      </c>
      <c r="S36" s="97">
        <v>2208.4121600675116</v>
      </c>
      <c r="T36" s="97">
        <v>2221.7592703239907</v>
      </c>
      <c r="U36" s="97">
        <v>2252.3069088428942</v>
      </c>
      <c r="V36" s="97">
        <v>2250.7855641875676</v>
      </c>
      <c r="W36" s="97">
        <v>2250.0672669052087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24.295570271236969</v>
      </c>
      <c r="G37" s="97">
        <v>16.530339287920704</v>
      </c>
      <c r="H37" s="97">
        <v>14.27866891119619</v>
      </c>
      <c r="I37" s="97">
        <v>11.940915482913246</v>
      </c>
      <c r="J37" s="97">
        <v>58.198913605681106</v>
      </c>
      <c r="K37" s="97">
        <v>96.368069412944422</v>
      </c>
      <c r="L37" s="97">
        <v>121.13559123832847</v>
      </c>
      <c r="M37" s="97">
        <v>120.74242116013299</v>
      </c>
      <c r="N37" s="97">
        <v>118.34280233880398</v>
      </c>
      <c r="O37" s="97">
        <v>113.13519239546063</v>
      </c>
      <c r="P37" s="97">
        <v>97.060936037605487</v>
      </c>
      <c r="Q37" s="97">
        <v>110.09974392192743</v>
      </c>
      <c r="R37" s="97">
        <v>98.338527973966194</v>
      </c>
      <c r="S37" s="97">
        <v>105.65231176544276</v>
      </c>
      <c r="T37" s="97">
        <v>120.21501426541248</v>
      </c>
      <c r="U37" s="97">
        <v>124.0851226057613</v>
      </c>
      <c r="V37" s="97">
        <v>150.20806807042416</v>
      </c>
      <c r="W37" s="97">
        <v>137.01995668924351</v>
      </c>
      <c r="DA37" s="175" t="s">
        <v>654</v>
      </c>
    </row>
    <row r="38" spans="1:105" ht="11.45" customHeight="1" x14ac:dyDescent="0.25">
      <c r="A38" s="111" t="s">
        <v>112</v>
      </c>
      <c r="B38" s="97">
        <v>0.93442626563253928</v>
      </c>
      <c r="C38" s="97">
        <v>1.0402235768323329</v>
      </c>
      <c r="D38" s="97">
        <v>0.98380804391125887</v>
      </c>
      <c r="E38" s="97">
        <v>1.1347482226568995</v>
      </c>
      <c r="F38" s="97">
        <v>1.748146148057877</v>
      </c>
      <c r="G38" s="97">
        <v>2.5162140710524308</v>
      </c>
      <c r="H38" s="97">
        <v>2.8340362857269668</v>
      </c>
      <c r="I38" s="97">
        <v>3.3824302986212063</v>
      </c>
      <c r="J38" s="97">
        <v>4.0438885392562067</v>
      </c>
      <c r="K38" s="97">
        <v>5.5604597107186331</v>
      </c>
      <c r="L38" s="97">
        <v>5.7166273415149575</v>
      </c>
      <c r="M38" s="97">
        <v>5.5468679299381076</v>
      </c>
      <c r="N38" s="97">
        <v>5.1878555884275386</v>
      </c>
      <c r="O38" s="97">
        <v>5.035480796072954</v>
      </c>
      <c r="P38" s="97">
        <v>4.8416322484443324</v>
      </c>
      <c r="Q38" s="97">
        <v>4.8695159317418097</v>
      </c>
      <c r="R38" s="97">
        <v>4.5625017258077989</v>
      </c>
      <c r="S38" s="97">
        <v>3.5831320040778114</v>
      </c>
      <c r="T38" s="97">
        <v>4.0786622728390789</v>
      </c>
      <c r="U38" s="97">
        <v>4.0359367610401264</v>
      </c>
      <c r="V38" s="97">
        <v>4.030886342334842</v>
      </c>
      <c r="W38" s="97">
        <v>3.6821173082072471</v>
      </c>
      <c r="DA38" s="175" t="s">
        <v>655</v>
      </c>
    </row>
    <row r="39" spans="1:105" ht="11.45" customHeight="1" x14ac:dyDescent="0.25">
      <c r="A39" s="111" t="s">
        <v>113</v>
      </c>
      <c r="B39" s="97">
        <v>1.5815854525998816</v>
      </c>
      <c r="C39" s="97">
        <v>1.4782431105929277</v>
      </c>
      <c r="D39" s="97">
        <v>1.2536908930952109</v>
      </c>
      <c r="E39" s="97">
        <v>1.9091039198931981</v>
      </c>
      <c r="F39" s="97">
        <v>1.9189061941684713</v>
      </c>
      <c r="G39" s="97">
        <v>2.9294653579592591</v>
      </c>
      <c r="H39" s="97">
        <v>4.5629264094810082</v>
      </c>
      <c r="I39" s="97">
        <v>17.354974939989575</v>
      </c>
      <c r="J39" s="97">
        <v>41.215819030037721</v>
      </c>
      <c r="K39" s="97">
        <v>34.101924106294064</v>
      </c>
      <c r="L39" s="97">
        <v>38.309000467617651</v>
      </c>
      <c r="M39" s="97">
        <v>71.7540707690315</v>
      </c>
      <c r="N39" s="97">
        <v>92.35741528193509</v>
      </c>
      <c r="O39" s="97">
        <v>99.096102079099396</v>
      </c>
      <c r="P39" s="97">
        <v>83.549315794006759</v>
      </c>
      <c r="Q39" s="97">
        <v>84.319227001065954</v>
      </c>
      <c r="R39" s="97">
        <v>49.792703455266462</v>
      </c>
      <c r="S39" s="97">
        <v>65.78847119086906</v>
      </c>
      <c r="T39" s="97">
        <v>70.475005968901399</v>
      </c>
      <c r="U39" s="97">
        <v>83.584408191375488</v>
      </c>
      <c r="V39" s="97">
        <v>42.35206474553523</v>
      </c>
      <c r="W39" s="97">
        <v>133.29167069182589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1.3169931681430852E-3</v>
      </c>
      <c r="M40" s="97">
        <v>2.3742155141198429E-3</v>
      </c>
      <c r="N40" s="97">
        <v>2.9170653302523601E-3</v>
      </c>
      <c r="O40" s="97">
        <v>2.9184421485893876E-3</v>
      </c>
      <c r="P40" s="97">
        <v>2.3157173430357163E-3</v>
      </c>
      <c r="Q40" s="97">
        <v>2.237186654107038E-3</v>
      </c>
      <c r="R40" s="97">
        <v>1.3319221829393539E-3</v>
      </c>
      <c r="S40" s="97">
        <v>1.8564436901900259E-3</v>
      </c>
      <c r="T40" s="97">
        <v>1.9634957969509592E-3</v>
      </c>
      <c r="U40" s="97">
        <v>2.0814532291710021E-3</v>
      </c>
      <c r="V40" s="97">
        <v>1.3106782681516528E-3</v>
      </c>
      <c r="W40" s="97">
        <v>3.6790257144325642E-3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5.7722686900695557</v>
      </c>
      <c r="P41" s="97">
        <v>5.7646881201170688</v>
      </c>
      <c r="Q41" s="97">
        <v>5.7686861416038946</v>
      </c>
      <c r="R41" s="97">
        <v>5.628228220859727</v>
      </c>
      <c r="S41" s="97">
        <v>5.5086207033097425</v>
      </c>
      <c r="T41" s="97">
        <v>5.6291616408174763</v>
      </c>
      <c r="U41" s="97">
        <v>6.151919267288017</v>
      </c>
      <c r="V41" s="97">
        <v>6.6435442108217364</v>
      </c>
      <c r="W41" s="97">
        <v>8.1716133726598326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9770.6083197721873</v>
      </c>
      <c r="C42" s="32">
        <f t="shared" si="25"/>
        <v>10332.097460465337</v>
      </c>
      <c r="D42" s="32">
        <f t="shared" si="25"/>
        <v>10315.55766520834</v>
      </c>
      <c r="E42" s="32">
        <f t="shared" si="25"/>
        <v>10568.275070806452</v>
      </c>
      <c r="F42" s="32">
        <f t="shared" si="25"/>
        <v>11157.467606012578</v>
      </c>
      <c r="G42" s="32">
        <f t="shared" si="25"/>
        <v>11683.491609411354</v>
      </c>
      <c r="H42" s="32">
        <f t="shared" si="25"/>
        <v>11374.639698748129</v>
      </c>
      <c r="I42" s="32">
        <f t="shared" si="25"/>
        <v>11630.131671776719</v>
      </c>
      <c r="J42" s="32">
        <f t="shared" si="25"/>
        <v>10403.428056432036</v>
      </c>
      <c r="K42" s="32">
        <f t="shared" si="25"/>
        <v>9699.5941499261244</v>
      </c>
      <c r="L42" s="32">
        <f t="shared" ref="L42" si="26">L43+L52</f>
        <v>9501.6881097124697</v>
      </c>
      <c r="M42" s="32">
        <f t="shared" ref="M42:V42" si="27">M43+M52</f>
        <v>9937.7515689232659</v>
      </c>
      <c r="N42" s="32">
        <f t="shared" si="27"/>
        <v>9616.4594938832561</v>
      </c>
      <c r="O42" s="32">
        <f t="shared" si="27"/>
        <v>8178.7403295173835</v>
      </c>
      <c r="P42" s="32">
        <f t="shared" si="27"/>
        <v>8027.8739444363428</v>
      </c>
      <c r="Q42" s="32">
        <f t="shared" si="27"/>
        <v>7165.2200019291286</v>
      </c>
      <c r="R42" s="32">
        <f t="shared" si="27"/>
        <v>6864.2783653941033</v>
      </c>
      <c r="S42" s="32">
        <f t="shared" si="27"/>
        <v>5825.5310110774753</v>
      </c>
      <c r="T42" s="32">
        <f t="shared" si="27"/>
        <v>7103.2961598539923</v>
      </c>
      <c r="U42" s="32">
        <f t="shared" si="27"/>
        <v>7340.0776510554879</v>
      </c>
      <c r="V42" s="32">
        <f t="shared" si="27"/>
        <v>6697.5387941251593</v>
      </c>
      <c r="W42" s="32">
        <f t="shared" ref="W42" si="28">W43+W52</f>
        <v>9179.8900027039199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7291.9778149716012</v>
      </c>
      <c r="C43" s="141">
        <f t="shared" si="29"/>
        <v>6580.3321342157824</v>
      </c>
      <c r="D43" s="141">
        <f t="shared" si="29"/>
        <v>6540.1169468613925</v>
      </c>
      <c r="E43" s="141">
        <f t="shared" si="29"/>
        <v>6884.9621022591546</v>
      </c>
      <c r="F43" s="141">
        <f t="shared" si="29"/>
        <v>7239.1067664113589</v>
      </c>
      <c r="G43" s="141">
        <f t="shared" si="29"/>
        <v>7747.6576918348283</v>
      </c>
      <c r="H43" s="141">
        <f t="shared" si="29"/>
        <v>6675.4781189375763</v>
      </c>
      <c r="I43" s="141">
        <f t="shared" si="29"/>
        <v>7034.3642355958527</v>
      </c>
      <c r="J43" s="141">
        <f t="shared" si="29"/>
        <v>6853.2169208085434</v>
      </c>
      <c r="K43" s="141">
        <f t="shared" si="29"/>
        <v>6648.250543663401</v>
      </c>
      <c r="L43" s="141">
        <f t="shared" ref="L43" si="30">L44+L46+L48+L49+L51</f>
        <v>7100.2554833453732</v>
      </c>
      <c r="M43" s="141">
        <f t="shared" ref="M43:V43" si="31">M44+M46+M48+M49+M51</f>
        <v>7252.6501448451381</v>
      </c>
      <c r="N43" s="141">
        <f t="shared" si="31"/>
        <v>6307.1643261678391</v>
      </c>
      <c r="O43" s="141">
        <f t="shared" si="31"/>
        <v>5491.8545757315187</v>
      </c>
      <c r="P43" s="141">
        <f t="shared" si="31"/>
        <v>5597.897503809847</v>
      </c>
      <c r="Q43" s="141">
        <f t="shared" si="31"/>
        <v>4523.7375785310251</v>
      </c>
      <c r="R43" s="141">
        <f t="shared" si="31"/>
        <v>4149.5183391929695</v>
      </c>
      <c r="S43" s="141">
        <f t="shared" si="31"/>
        <v>4165.8561845426839</v>
      </c>
      <c r="T43" s="141">
        <f t="shared" si="31"/>
        <v>4279.8220511378731</v>
      </c>
      <c r="U43" s="141">
        <f t="shared" si="31"/>
        <v>4360.3959109154057</v>
      </c>
      <c r="V43" s="141">
        <f t="shared" si="31"/>
        <v>4243.5231746947911</v>
      </c>
      <c r="W43" s="141">
        <f t="shared" ref="W43" si="32">W44+W46+W48+W49+W51</f>
        <v>5110.053166385117</v>
      </c>
      <c r="DA43" s="174" t="s">
        <v>399</v>
      </c>
    </row>
    <row r="44" spans="1:105" ht="11.45" customHeight="1" x14ac:dyDescent="0.25">
      <c r="A44" s="111" t="s">
        <v>110</v>
      </c>
      <c r="B44" s="96">
        <v>294.18407358894768</v>
      </c>
      <c r="C44" s="96">
        <v>295.18590500750628</v>
      </c>
      <c r="D44" s="96">
        <v>299.17369420308421</v>
      </c>
      <c r="E44" s="96">
        <v>300.31818608013202</v>
      </c>
      <c r="F44" s="96">
        <v>293.49454377493339</v>
      </c>
      <c r="G44" s="96">
        <v>293.09171445971754</v>
      </c>
      <c r="H44" s="96">
        <v>287.24725672598527</v>
      </c>
      <c r="I44" s="96">
        <v>247.52664495845679</v>
      </c>
      <c r="J44" s="96">
        <v>234.99540177747588</v>
      </c>
      <c r="K44" s="96">
        <v>221.24343525418539</v>
      </c>
      <c r="L44" s="96">
        <v>212.10136315115741</v>
      </c>
      <c r="M44" s="96">
        <v>213.34086374083356</v>
      </c>
      <c r="N44" s="96">
        <v>189.61761767668634</v>
      </c>
      <c r="O44" s="96">
        <v>181.13847292561323</v>
      </c>
      <c r="P44" s="96">
        <v>172.47374728636933</v>
      </c>
      <c r="Q44" s="96">
        <v>158.39667149568191</v>
      </c>
      <c r="R44" s="96">
        <v>149.85118765740478</v>
      </c>
      <c r="S44" s="96">
        <v>142.62008301535261</v>
      </c>
      <c r="T44" s="96">
        <v>137.55330168183866</v>
      </c>
      <c r="U44" s="96">
        <v>137.39083894280924</v>
      </c>
      <c r="V44" s="96">
        <v>138.85670274697262</v>
      </c>
      <c r="W44" s="96">
        <v>143.34975014324175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1.4387592961575018</v>
      </c>
      <c r="K45" s="96">
        <v>1.8593492787453816</v>
      </c>
      <c r="L45" s="96">
        <v>2.4903132710394997</v>
      </c>
      <c r="M45" s="96">
        <v>2.4323504067967234</v>
      </c>
      <c r="N45" s="96">
        <v>2.2451167280187758</v>
      </c>
      <c r="O45" s="96">
        <v>1.5887448862480769</v>
      </c>
      <c r="P45" s="96">
        <v>0.202812682874252</v>
      </c>
      <c r="Q45" s="96">
        <v>0.47810731745812796</v>
      </c>
      <c r="R45" s="96">
        <v>0.6348009340497508</v>
      </c>
      <c r="S45" s="96">
        <v>0.63157294330430713</v>
      </c>
      <c r="T45" s="96">
        <v>0.58465141785052577</v>
      </c>
      <c r="U45" s="96">
        <v>0.54011581583223711</v>
      </c>
      <c r="V45" s="96">
        <v>0.44709265083719602</v>
      </c>
      <c r="W45" s="96">
        <v>0.52534553191456479</v>
      </c>
      <c r="DA45" s="171" t="s">
        <v>660</v>
      </c>
    </row>
    <row r="46" spans="1:105" ht="11.45" customHeight="1" x14ac:dyDescent="0.25">
      <c r="A46" s="111" t="s">
        <v>111</v>
      </c>
      <c r="B46" s="96">
        <v>6972.8506449502011</v>
      </c>
      <c r="C46" s="96">
        <v>6258.3093396764571</v>
      </c>
      <c r="D46" s="96">
        <v>6211.338974570448</v>
      </c>
      <c r="E46" s="96">
        <v>6552.0682566773203</v>
      </c>
      <c r="F46" s="96">
        <v>6910.487642498334</v>
      </c>
      <c r="G46" s="96">
        <v>7415.5881087455573</v>
      </c>
      <c r="H46" s="96">
        <v>6346.3438050230952</v>
      </c>
      <c r="I46" s="96">
        <v>6745.480712963983</v>
      </c>
      <c r="J46" s="96">
        <v>6565.3450394251222</v>
      </c>
      <c r="K46" s="96">
        <v>6359.0549768339788</v>
      </c>
      <c r="L46" s="96">
        <v>6785.2661673509519</v>
      </c>
      <c r="M46" s="96">
        <v>6935.9757370099651</v>
      </c>
      <c r="N46" s="96">
        <v>5990.6973701482184</v>
      </c>
      <c r="O46" s="96">
        <v>5180.4150710592794</v>
      </c>
      <c r="P46" s="96">
        <v>5290.7250760053921</v>
      </c>
      <c r="Q46" s="96">
        <v>4231.0743929826995</v>
      </c>
      <c r="R46" s="96">
        <v>3865.5857580603474</v>
      </c>
      <c r="S46" s="96">
        <v>3898.251811856212</v>
      </c>
      <c r="T46" s="96">
        <v>4012.5922434158392</v>
      </c>
      <c r="U46" s="96">
        <v>4080.6100542825134</v>
      </c>
      <c r="V46" s="96">
        <v>3961.7126768171438</v>
      </c>
      <c r="W46" s="96">
        <v>4808.3094116958191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77.737406008004015</v>
      </c>
      <c r="G47" s="96">
        <v>56.74510359324254</v>
      </c>
      <c r="H47" s="96">
        <v>41.633200545198783</v>
      </c>
      <c r="I47" s="96">
        <v>37.339119364530021</v>
      </c>
      <c r="J47" s="96">
        <v>177.58539663661398</v>
      </c>
      <c r="K47" s="96">
        <v>285.41947750147233</v>
      </c>
      <c r="L47" s="96">
        <v>377.55803872692604</v>
      </c>
      <c r="M47" s="96">
        <v>379.18867814444593</v>
      </c>
      <c r="N47" s="96">
        <v>336.82014148581572</v>
      </c>
      <c r="O47" s="96">
        <v>278.96712434100994</v>
      </c>
      <c r="P47" s="96">
        <v>240.82409758952838</v>
      </c>
      <c r="Q47" s="96">
        <v>213.12087575752236</v>
      </c>
      <c r="R47" s="96">
        <v>172.26504323418538</v>
      </c>
      <c r="S47" s="96">
        <v>186.49567468141632</v>
      </c>
      <c r="T47" s="96">
        <v>217.11345609156655</v>
      </c>
      <c r="U47" s="96">
        <v>224.8108359051644</v>
      </c>
      <c r="V47" s="96">
        <v>264.38822822715656</v>
      </c>
      <c r="W47" s="96">
        <v>292.80651162274728</v>
      </c>
      <c r="DA47" s="171" t="s">
        <v>662</v>
      </c>
    </row>
    <row r="48" spans="1:105" ht="11.45" customHeight="1" x14ac:dyDescent="0.25">
      <c r="A48" s="111" t="s">
        <v>112</v>
      </c>
      <c r="B48" s="96">
        <v>10.387303042818974</v>
      </c>
      <c r="C48" s="96">
        <v>11.047507428226536</v>
      </c>
      <c r="D48" s="96">
        <v>11.971674391523498</v>
      </c>
      <c r="E48" s="96">
        <v>12.909767189079023</v>
      </c>
      <c r="F48" s="96">
        <v>13.570996603936813</v>
      </c>
      <c r="G48" s="96">
        <v>14.616420943912408</v>
      </c>
      <c r="H48" s="96">
        <v>14.959662825084765</v>
      </c>
      <c r="I48" s="96">
        <v>14.46134465531083</v>
      </c>
      <c r="J48" s="96">
        <v>16.767656403515534</v>
      </c>
      <c r="K48" s="96">
        <v>21.174845797892541</v>
      </c>
      <c r="L48" s="96">
        <v>26.658012387001659</v>
      </c>
      <c r="M48" s="96">
        <v>29.362640859054057</v>
      </c>
      <c r="N48" s="96">
        <v>30.774352945071335</v>
      </c>
      <c r="O48" s="96">
        <v>31.378532788438239</v>
      </c>
      <c r="P48" s="96">
        <v>33.3643874441305</v>
      </c>
      <c r="Q48" s="96">
        <v>32.312266250047507</v>
      </c>
      <c r="R48" s="96">
        <v>30.687145924206288</v>
      </c>
      <c r="S48" s="96">
        <v>30.973757168623347</v>
      </c>
      <c r="T48" s="96">
        <v>33.274067214952233</v>
      </c>
      <c r="U48" s="96">
        <v>32.917852834777811</v>
      </c>
      <c r="V48" s="96">
        <v>31.793856256944608</v>
      </c>
      <c r="W48" s="96">
        <v>35.226926934363256</v>
      </c>
      <c r="DA48" s="171" t="s">
        <v>663</v>
      </c>
    </row>
    <row r="49" spans="1:105" ht="11.45" customHeight="1" x14ac:dyDescent="0.25">
      <c r="A49" s="111" t="s">
        <v>113</v>
      </c>
      <c r="B49" s="96">
        <v>14.555793389634674</v>
      </c>
      <c r="C49" s="96">
        <v>15.789382103591885</v>
      </c>
      <c r="D49" s="96">
        <v>17.632603696337384</v>
      </c>
      <c r="E49" s="96">
        <v>19.665892312623317</v>
      </c>
      <c r="F49" s="96">
        <v>21.553583534154708</v>
      </c>
      <c r="G49" s="96">
        <v>24.361447685640613</v>
      </c>
      <c r="H49" s="96">
        <v>26.927394363410318</v>
      </c>
      <c r="I49" s="96">
        <v>26.895533018101368</v>
      </c>
      <c r="J49" s="96">
        <v>36.108823202429868</v>
      </c>
      <c r="K49" s="96">
        <v>46.777285777344133</v>
      </c>
      <c r="L49" s="96">
        <v>76.229940456262</v>
      </c>
      <c r="M49" s="96">
        <v>73.970580410290381</v>
      </c>
      <c r="N49" s="96">
        <v>96.010982653194489</v>
      </c>
      <c r="O49" s="96">
        <v>98.892817480260348</v>
      </c>
      <c r="P49" s="96">
        <v>101.28223353287595</v>
      </c>
      <c r="Q49" s="96">
        <v>101.78454424622348</v>
      </c>
      <c r="R49" s="96">
        <v>103.08085791220383</v>
      </c>
      <c r="S49" s="96">
        <v>93.628906231199764</v>
      </c>
      <c r="T49" s="96">
        <v>95.814125990381498</v>
      </c>
      <c r="U49" s="96">
        <v>108.33567384047861</v>
      </c>
      <c r="V49" s="96">
        <v>109.75041753778953</v>
      </c>
      <c r="W49" s="96">
        <v>120.69314624711917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2.6206455288154368E-3</v>
      </c>
      <c r="M50" s="96">
        <v>2.4475559047216818E-3</v>
      </c>
      <c r="N50" s="96">
        <v>3.0324615296577649E-3</v>
      </c>
      <c r="O50" s="96">
        <v>2.9124552900857306E-3</v>
      </c>
      <c r="P50" s="96">
        <v>2.8072165822607383E-3</v>
      </c>
      <c r="Q50" s="96">
        <v>2.7005824422363326E-3</v>
      </c>
      <c r="R50" s="96">
        <v>2.7573453892301616E-3</v>
      </c>
      <c r="S50" s="96">
        <v>2.642055500697342E-3</v>
      </c>
      <c r="T50" s="96">
        <v>2.6694660196788077E-3</v>
      </c>
      <c r="U50" s="96">
        <v>2.6978194023146566E-3</v>
      </c>
      <c r="V50" s="96">
        <v>3.396469287899728E-3</v>
      </c>
      <c r="W50" s="96">
        <v>3.3312898420002424E-3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3.2282499400064805E-4</v>
      </c>
      <c r="N51" s="96">
        <v>6.400274466766015E-2</v>
      </c>
      <c r="O51" s="96">
        <v>2.9681477927998277E-2</v>
      </c>
      <c r="P51" s="96">
        <v>5.2059541079491629E-2</v>
      </c>
      <c r="Q51" s="96">
        <v>0.16970355637297097</v>
      </c>
      <c r="R51" s="96">
        <v>0.31338963880750637</v>
      </c>
      <c r="S51" s="96">
        <v>0.3816262712962164</v>
      </c>
      <c r="T51" s="96">
        <v>0.58831283486103669</v>
      </c>
      <c r="U51" s="96">
        <v>1.1414910148280959</v>
      </c>
      <c r="V51" s="96">
        <v>1.4095213359403649</v>
      </c>
      <c r="W51" s="96">
        <v>2.4739313645729823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2478.6305048005861</v>
      </c>
      <c r="C52" s="130">
        <f t="shared" si="33"/>
        <v>3751.7653262495542</v>
      </c>
      <c r="D52" s="130">
        <f t="shared" si="33"/>
        <v>3775.4407183469484</v>
      </c>
      <c r="E52" s="130">
        <f t="shared" si="33"/>
        <v>3683.3129685472968</v>
      </c>
      <c r="F52" s="130">
        <f t="shared" si="33"/>
        <v>3918.3608396012196</v>
      </c>
      <c r="G52" s="130">
        <f t="shared" si="33"/>
        <v>3935.8339175765254</v>
      </c>
      <c r="H52" s="130">
        <f t="shared" si="33"/>
        <v>4699.1615798105531</v>
      </c>
      <c r="I52" s="130">
        <f t="shared" si="33"/>
        <v>4595.7674361808649</v>
      </c>
      <c r="J52" s="130">
        <f t="shared" si="33"/>
        <v>3550.2111356234932</v>
      </c>
      <c r="K52" s="130">
        <f t="shared" si="33"/>
        <v>3051.3436062627225</v>
      </c>
      <c r="L52" s="130">
        <f t="shared" ref="L52" si="34">L53+L55</f>
        <v>2401.4326263670969</v>
      </c>
      <c r="M52" s="130">
        <f t="shared" ref="M52:V52" si="35">M53+M55</f>
        <v>2685.1014240781274</v>
      </c>
      <c r="N52" s="130">
        <f t="shared" si="35"/>
        <v>3309.2951677154169</v>
      </c>
      <c r="O52" s="130">
        <f t="shared" si="35"/>
        <v>2686.8857537858648</v>
      </c>
      <c r="P52" s="130">
        <f t="shared" si="35"/>
        <v>2429.9764406264958</v>
      </c>
      <c r="Q52" s="130">
        <f t="shared" si="35"/>
        <v>2641.4824233981039</v>
      </c>
      <c r="R52" s="130">
        <f t="shared" si="35"/>
        <v>2714.7600262011338</v>
      </c>
      <c r="S52" s="130">
        <f t="shared" si="35"/>
        <v>1659.6748265347919</v>
      </c>
      <c r="T52" s="130">
        <f t="shared" si="35"/>
        <v>2823.4741087161192</v>
      </c>
      <c r="U52" s="130">
        <f t="shared" si="35"/>
        <v>2979.6817401400822</v>
      </c>
      <c r="V52" s="130">
        <f t="shared" si="35"/>
        <v>2454.0156194303681</v>
      </c>
      <c r="W52" s="130">
        <f t="shared" ref="W52" si="36">W53+W55</f>
        <v>4069.8368363188038</v>
      </c>
      <c r="DA52" s="176" t="s">
        <v>400</v>
      </c>
    </row>
    <row r="53" spans="1:105" ht="11.45" customHeight="1" x14ac:dyDescent="0.25">
      <c r="A53" s="128" t="s">
        <v>27</v>
      </c>
      <c r="B53" s="97">
        <v>2115.5372836135721</v>
      </c>
      <c r="C53" s="97">
        <v>3156.4051432868719</v>
      </c>
      <c r="D53" s="97">
        <v>3154.1211666074414</v>
      </c>
      <c r="E53" s="97">
        <v>3054.2635010872309</v>
      </c>
      <c r="F53" s="97">
        <v>3257.1957250653081</v>
      </c>
      <c r="G53" s="97">
        <v>3272.1212351198792</v>
      </c>
      <c r="H53" s="97">
        <v>3745.8913496393307</v>
      </c>
      <c r="I53" s="97">
        <v>3689.2798172075118</v>
      </c>
      <c r="J53" s="97">
        <v>2803.0568838620138</v>
      </c>
      <c r="K53" s="97">
        <v>2469.6529811033174</v>
      </c>
      <c r="L53" s="97">
        <v>1920.5087274855566</v>
      </c>
      <c r="M53" s="97">
        <v>2136.0987851573923</v>
      </c>
      <c r="N53" s="97">
        <v>2600.0196028224896</v>
      </c>
      <c r="O53" s="97">
        <v>2081.9391341236555</v>
      </c>
      <c r="P53" s="97">
        <v>1838.8683696460801</v>
      </c>
      <c r="Q53" s="97">
        <v>2000.2003183979241</v>
      </c>
      <c r="R53" s="97">
        <v>2017.2866609000996</v>
      </c>
      <c r="S53" s="97">
        <v>1207.3207535496765</v>
      </c>
      <c r="T53" s="97">
        <v>2074.7665395913759</v>
      </c>
      <c r="U53" s="97">
        <v>2189.0109049242083</v>
      </c>
      <c r="V53" s="97">
        <v>1789.3608459200111</v>
      </c>
      <c r="W53" s="97">
        <v>2923.6310162764134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36.640821838644676</v>
      </c>
      <c r="G54" s="97">
        <v>25.038723258853718</v>
      </c>
      <c r="H54" s="97">
        <v>24.573746801524262</v>
      </c>
      <c r="I54" s="97">
        <v>20.421740914493412</v>
      </c>
      <c r="J54" s="97">
        <v>75.819620374318418</v>
      </c>
      <c r="K54" s="97">
        <v>110.84776999795787</v>
      </c>
      <c r="L54" s="97">
        <v>106.86441631374943</v>
      </c>
      <c r="M54" s="97">
        <v>116.78017707123118</v>
      </c>
      <c r="N54" s="97">
        <v>146.18314302645163</v>
      </c>
      <c r="O54" s="97">
        <v>112.11313482275246</v>
      </c>
      <c r="P54" s="97">
        <v>83.701914074941996</v>
      </c>
      <c r="Q54" s="97">
        <v>100.75087411708957</v>
      </c>
      <c r="R54" s="97">
        <v>89.897882392362646</v>
      </c>
      <c r="S54" s="97">
        <v>57.759249365399327</v>
      </c>
      <c r="T54" s="97">
        <v>112.2615273787092</v>
      </c>
      <c r="U54" s="97">
        <v>120.5979902012615</v>
      </c>
      <c r="V54" s="97">
        <v>119.41450132923751</v>
      </c>
      <c r="W54" s="97">
        <v>178.03725298244575</v>
      </c>
      <c r="DA54" s="175" t="s">
        <v>668</v>
      </c>
    </row>
    <row r="55" spans="1:105" ht="11.45" customHeight="1" x14ac:dyDescent="0.25">
      <c r="A55" s="128" t="s">
        <v>116</v>
      </c>
      <c r="B55" s="97">
        <v>363.09322118701397</v>
      </c>
      <c r="C55" s="97">
        <v>595.36018296268219</v>
      </c>
      <c r="D55" s="97">
        <v>621.31955173950723</v>
      </c>
      <c r="E55" s="97">
        <v>629.04946746006567</v>
      </c>
      <c r="F55" s="97">
        <v>661.1651145359117</v>
      </c>
      <c r="G55" s="97">
        <v>663.71268245664635</v>
      </c>
      <c r="H55" s="97">
        <v>953.27023017122224</v>
      </c>
      <c r="I55" s="97">
        <v>906.48761897335305</v>
      </c>
      <c r="J55" s="97">
        <v>747.15425176147926</v>
      </c>
      <c r="K55" s="97">
        <v>581.69062515940504</v>
      </c>
      <c r="L55" s="97">
        <v>480.92389888154031</v>
      </c>
      <c r="M55" s="97">
        <v>549.00263892073497</v>
      </c>
      <c r="N55" s="97">
        <v>709.27556489292726</v>
      </c>
      <c r="O55" s="97">
        <v>604.94661966220906</v>
      </c>
      <c r="P55" s="97">
        <v>591.10807098041573</v>
      </c>
      <c r="Q55" s="97">
        <v>641.28210500017974</v>
      </c>
      <c r="R55" s="97">
        <v>697.47336530103416</v>
      </c>
      <c r="S55" s="97">
        <v>452.35407298511552</v>
      </c>
      <c r="T55" s="97">
        <v>748.70756912474337</v>
      </c>
      <c r="U55" s="97">
        <v>790.67083521587392</v>
      </c>
      <c r="V55" s="97">
        <v>664.65477351035724</v>
      </c>
      <c r="W55" s="97">
        <v>1146.2058200423905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7.4375736714905925</v>
      </c>
      <c r="G56" s="98">
        <v>5.0788210415481707</v>
      </c>
      <c r="H56" s="98">
        <v>6.2536307338209021</v>
      </c>
      <c r="I56" s="98">
        <v>5.0177964844320124</v>
      </c>
      <c r="J56" s="98">
        <v>20.209704646294281</v>
      </c>
      <c r="K56" s="98">
        <v>26.10857036231544</v>
      </c>
      <c r="L56" s="98">
        <v>26.760436445709946</v>
      </c>
      <c r="M56" s="98">
        <v>30.013885982811736</v>
      </c>
      <c r="N56" s="98">
        <v>39.87821139323497</v>
      </c>
      <c r="O56" s="98">
        <v>32.576582484629668</v>
      </c>
      <c r="P56" s="98">
        <v>26.906154775901669</v>
      </c>
      <c r="Q56" s="98">
        <v>32.301631011720346</v>
      </c>
      <c r="R56" s="98">
        <v>31.08203696625884</v>
      </c>
      <c r="S56" s="98">
        <v>21.641002712976515</v>
      </c>
      <c r="T56" s="98">
        <v>40.511090605161783</v>
      </c>
      <c r="U56" s="98">
        <v>43.559999369253326</v>
      </c>
      <c r="V56" s="98">
        <v>44.356295442481489</v>
      </c>
      <c r="W56" s="98">
        <v>69.799278505651657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7.9909657086515988</v>
      </c>
      <c r="C60" s="79">
        <f>IF(C17=0,0,C17/TrRoad_act!C30*100)</f>
        <v>7.9206244873685314</v>
      </c>
      <c r="D60" s="79">
        <f>IF(D17=0,0,D17/TrRoad_act!D30*100)</f>
        <v>7.9790403554206524</v>
      </c>
      <c r="E60" s="79">
        <f>IF(E17=0,0,E17/TrRoad_act!E30*100)</f>
        <v>7.8681568615180293</v>
      </c>
      <c r="F60" s="79">
        <f>IF(F17=0,0,F17/TrRoad_act!F30*100)</f>
        <v>7.8845930147602976</v>
      </c>
      <c r="G60" s="79">
        <f>IF(G17=0,0,G17/TrRoad_act!G30*100)</f>
        <v>8.0524947036709342</v>
      </c>
      <c r="H60" s="79">
        <f>IF(H17=0,0,H17/TrRoad_act!H30*100)</f>
        <v>8.3024807721920464</v>
      </c>
      <c r="I60" s="79">
        <f>IF(I17=0,0,I17/TrRoad_act!I30*100)</f>
        <v>8.2764474177499707</v>
      </c>
      <c r="J60" s="79">
        <f>IF(J17=0,0,J17/TrRoad_act!J30*100)</f>
        <v>7.9121027154235763</v>
      </c>
      <c r="K60" s="79">
        <f>IF(K17=0,0,K17/TrRoad_act!K30*100)</f>
        <v>7.3508647088260712</v>
      </c>
      <c r="L60" s="79">
        <f>IF(L17=0,0,L17/TrRoad_act!L30*100)</f>
        <v>7.2878695971141401</v>
      </c>
      <c r="M60" s="79">
        <f>IF(M17=0,0,M17/TrRoad_act!M30*100)</f>
        <v>7.322514089957445</v>
      </c>
      <c r="N60" s="79">
        <f>IF(N17=0,0,N17/TrRoad_act!N30*100)</f>
        <v>7.3058356871668781</v>
      </c>
      <c r="O60" s="79">
        <f>IF(O17=0,0,O17/TrRoad_act!O30*100)</f>
        <v>7.2151031064060138</v>
      </c>
      <c r="P60" s="79">
        <f>IF(P17=0,0,P17/TrRoad_act!P30*100)</f>
        <v>7.066364505310438</v>
      </c>
      <c r="Q60" s="79">
        <f>IF(Q17=0,0,Q17/TrRoad_act!Q30*100)</f>
        <v>7.0806745147835084</v>
      </c>
      <c r="R60" s="79">
        <f>IF(R17=0,0,R17/TrRoad_act!R30*100)</f>
        <v>6.8451217593482649</v>
      </c>
      <c r="S60" s="79">
        <f>IF(S17=0,0,S17/TrRoad_act!S30*100)</f>
        <v>6.4307331712229781</v>
      </c>
      <c r="T60" s="79">
        <f>IF(T17=0,0,T17/TrRoad_act!T30*100)</f>
        <v>6.8620495927550857</v>
      </c>
      <c r="U60" s="79">
        <f>IF(U17=0,0,U17/TrRoad_act!U30*100)</f>
        <v>6.8614333029802435</v>
      </c>
      <c r="V60" s="79">
        <f>IF(V17=0,0,V17/TrRoad_act!V30*100)</f>
        <v>6.787325017828433</v>
      </c>
      <c r="W60" s="79">
        <f>IF(W17=0,0,W17/TrRoad_act!W30*100)</f>
        <v>7.8945940771811953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6.9312438249193864</v>
      </c>
      <c r="C61" s="32">
        <f>IF(C18=0,0,C18/TrRoad_act!C31*100)</f>
        <v>6.6875550141624442</v>
      </c>
      <c r="D61" s="32">
        <f>IF(D18=0,0,D18/TrRoad_act!D31*100)</f>
        <v>6.8185809462935509</v>
      </c>
      <c r="E61" s="32">
        <f>IF(E18=0,0,E18/TrRoad_act!E31*100)</f>
        <v>6.7390067051850719</v>
      </c>
      <c r="F61" s="32">
        <f>IF(F18=0,0,F18/TrRoad_act!F31*100)</f>
        <v>6.7637018834460969</v>
      </c>
      <c r="G61" s="32">
        <f>IF(G18=0,0,G18/TrRoad_act!G31*100)</f>
        <v>6.9269451394654622</v>
      </c>
      <c r="H61" s="32">
        <f>IF(H18=0,0,H18/TrRoad_act!H31*100)</f>
        <v>7.096380247370333</v>
      </c>
      <c r="I61" s="32">
        <f>IF(I18=0,0,I18/TrRoad_act!I31*100)</f>
        <v>7.1145925288993714</v>
      </c>
      <c r="J61" s="32">
        <f>IF(J18=0,0,J18/TrRoad_act!J31*100)</f>
        <v>6.9786966800317956</v>
      </c>
      <c r="K61" s="32">
        <f>IF(K18=0,0,K18/TrRoad_act!K31*100)</f>
        <v>6.5021944484752607</v>
      </c>
      <c r="L61" s="32">
        <f>IF(L18=0,0,L18/TrRoad_act!L31*100)</f>
        <v>6.5806017485312482</v>
      </c>
      <c r="M61" s="32">
        <f>IF(M18=0,0,M18/TrRoad_act!M31*100)</f>
        <v>6.5311081117154526</v>
      </c>
      <c r="N61" s="32">
        <f>IF(N18=0,0,N18/TrRoad_act!N31*100)</f>
        <v>6.3549122941352811</v>
      </c>
      <c r="O61" s="32">
        <f>IF(O18=0,0,O18/TrRoad_act!O31*100)</f>
        <v>6.4806672842021724</v>
      </c>
      <c r="P61" s="32">
        <f>IF(P18=0,0,P18/TrRoad_act!P31*100)</f>
        <v>6.43020860642374</v>
      </c>
      <c r="Q61" s="32">
        <f>IF(Q18=0,0,Q18/TrRoad_act!Q31*100)</f>
        <v>6.4418205106406496</v>
      </c>
      <c r="R61" s="32">
        <f>IF(R18=0,0,R18/TrRoad_act!R31*100)</f>
        <v>6.2026515553670434</v>
      </c>
      <c r="S61" s="32">
        <f>IF(S18=0,0,S18/TrRoad_act!S31*100)</f>
        <v>6.0100459510896158</v>
      </c>
      <c r="T61" s="32">
        <f>IF(T18=0,0,T18/TrRoad_act!T31*100)</f>
        <v>6.2171107072152392</v>
      </c>
      <c r="U61" s="32">
        <f>IF(U18=0,0,U18/TrRoad_act!U31*100)</f>
        <v>6.1935509223070886</v>
      </c>
      <c r="V61" s="32">
        <f>IF(V18=0,0,V18/TrRoad_act!V31*100)</f>
        <v>6.0921932275564705</v>
      </c>
      <c r="W61" s="32">
        <f>IF(W18=0,0,W18/TrRoad_act!W31*100)</f>
        <v>6.9647998080601417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4.0082515400071923</v>
      </c>
      <c r="C62" s="141">
        <f>IF(C19=0,0,C19/TrRoad_act!C32*100)</f>
        <v>3.9485879940191149</v>
      </c>
      <c r="D62" s="141">
        <f>IF(D19=0,0,D19/TrRoad_act!D32*100)</f>
        <v>3.9007361795478257</v>
      </c>
      <c r="E62" s="141">
        <f>IF(E19=0,0,E19/TrRoad_act!E32*100)</f>
        <v>3.8466372726991778</v>
      </c>
      <c r="F62" s="141">
        <f>IF(F19=0,0,F19/TrRoad_act!F32*100)</f>
        <v>3.8027364348542085</v>
      </c>
      <c r="G62" s="141">
        <f>IF(G19=0,0,G19/TrRoad_act!G32*100)</f>
        <v>3.7600491917837613</v>
      </c>
      <c r="H62" s="141">
        <f>IF(H19=0,0,H19/TrRoad_act!H32*100)</f>
        <v>3.7100257137200492</v>
      </c>
      <c r="I62" s="141">
        <f>IF(I19=0,0,I19/TrRoad_act!I32*100)</f>
        <v>3.6536365327970688</v>
      </c>
      <c r="J62" s="141">
        <f>IF(J19=0,0,J19/TrRoad_act!J32*100)</f>
        <v>3.5954087012827736</v>
      </c>
      <c r="K62" s="141">
        <f>IF(K19=0,0,K19/TrRoad_act!K32*100)</f>
        <v>3.5201668346619885</v>
      </c>
      <c r="L62" s="141">
        <f>IF(L19=0,0,L19/TrRoad_act!L32*100)</f>
        <v>3.4765940103247446</v>
      </c>
      <c r="M62" s="141">
        <f>IF(M19=0,0,M19/TrRoad_act!M32*100)</f>
        <v>3.4294586051262814</v>
      </c>
      <c r="N62" s="141">
        <f>IF(N19=0,0,N19/TrRoad_act!N32*100)</f>
        <v>3.352909386344185</v>
      </c>
      <c r="O62" s="141">
        <f>IF(O19=0,0,O19/TrRoad_act!O32*100)</f>
        <v>3.3256760458462327</v>
      </c>
      <c r="P62" s="141">
        <f>IF(P19=0,0,P19/TrRoad_act!P32*100)</f>
        <v>3.2630374565407689</v>
      </c>
      <c r="Q62" s="141">
        <f>IF(Q19=0,0,Q19/TrRoad_act!Q32*100)</f>
        <v>3.2462669713364054</v>
      </c>
      <c r="R62" s="141">
        <f>IF(R19=0,0,R19/TrRoad_act!R32*100)</f>
        <v>3.2193232072585745</v>
      </c>
      <c r="S62" s="141">
        <f>IF(S19=0,0,S19/TrRoad_act!S32*100)</f>
        <v>3.205068406397936</v>
      </c>
      <c r="T62" s="141">
        <f>IF(T19=0,0,T19/TrRoad_act!T32*100)</f>
        <v>3.1902523372792202</v>
      </c>
      <c r="U62" s="141">
        <f>IF(U19=0,0,U19/TrRoad_act!U32*100)</f>
        <v>3.1759578542593601</v>
      </c>
      <c r="V62" s="141">
        <f>IF(V19=0,0,V19/TrRoad_act!V32*100)</f>
        <v>3.1656795746676312</v>
      </c>
      <c r="W62" s="141">
        <f>IF(W19=0,0,W19/TrRoad_act!W32*100)</f>
        <v>3.0001200263105794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6.699672957982723</v>
      </c>
      <c r="C63" s="130">
        <f>IF(C21=0,0,C21/TrRoad_act!C33*100)</f>
        <v>6.4514624010840613</v>
      </c>
      <c r="D63" s="130">
        <f>IF(D21=0,0,D21/TrRoad_act!D33*100)</f>
        <v>6.5985838974519595</v>
      </c>
      <c r="E63" s="130">
        <f>IF(E21=0,0,E21/TrRoad_act!E33*100)</f>
        <v>6.5239940904680243</v>
      </c>
      <c r="F63" s="130">
        <f>IF(F21=0,0,F21/TrRoad_act!F33*100)</f>
        <v>6.5651202790879246</v>
      </c>
      <c r="G63" s="130">
        <f>IF(G21=0,0,G21/TrRoad_act!G33*100)</f>
        <v>6.7412862347250035</v>
      </c>
      <c r="H63" s="130">
        <f>IF(H21=0,0,H21/TrRoad_act!H33*100)</f>
        <v>6.9156875984532569</v>
      </c>
      <c r="I63" s="130">
        <f>IF(I21=0,0,I21/TrRoad_act!I33*100)</f>
        <v>6.9034842158740481</v>
      </c>
      <c r="J63" s="130">
        <f>IF(J21=0,0,J21/TrRoad_act!J33*100)</f>
        <v>6.7706264776023133</v>
      </c>
      <c r="K63" s="130">
        <f>IF(K21=0,0,K21/TrRoad_act!K33*100)</f>
        <v>6.2487909593895896</v>
      </c>
      <c r="L63" s="130">
        <f>IF(L21=0,0,L21/TrRoad_act!L33*100)</f>
        <v>6.3292744335645326</v>
      </c>
      <c r="M63" s="130">
        <f>IF(M21=0,0,M21/TrRoad_act!M33*100)</f>
        <v>6.2677460447156639</v>
      </c>
      <c r="N63" s="130">
        <f>IF(N21=0,0,N21/TrRoad_act!N33*100)</f>
        <v>6.0802680301160841</v>
      </c>
      <c r="O63" s="130">
        <f>IF(O21=0,0,O21/TrRoad_act!O33*100)</f>
        <v>6.2145391477422738</v>
      </c>
      <c r="P63" s="130">
        <f>IF(P21=0,0,P21/TrRoad_act!P33*100)</f>
        <v>6.1864688859844152</v>
      </c>
      <c r="Q63" s="130">
        <f>IF(Q21=0,0,Q21/TrRoad_act!Q33*100)</f>
        <v>6.186403358238068</v>
      </c>
      <c r="R63" s="130">
        <f>IF(R21=0,0,R21/TrRoad_act!R33*100)</f>
        <v>5.9410599167622404</v>
      </c>
      <c r="S63" s="130">
        <f>IF(S21=0,0,S21/TrRoad_act!S33*100)</f>
        <v>5.7210049039913287</v>
      </c>
      <c r="T63" s="130">
        <f>IF(T21=0,0,T21/TrRoad_act!T33*100)</f>
        <v>5.9210067389842989</v>
      </c>
      <c r="U63" s="130">
        <f>IF(U21=0,0,U21/TrRoad_act!U33*100)</f>
        <v>5.901212196232569</v>
      </c>
      <c r="V63" s="130">
        <f>IF(V21=0,0,V21/TrRoad_act!V33*100)</f>
        <v>5.6911007593312917</v>
      </c>
      <c r="W63" s="130">
        <f>IF(W21=0,0,W21/TrRoad_act!W33*100)</f>
        <v>6.6654814214181206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6.5107811398054549</v>
      </c>
      <c r="C64" s="96">
        <f>IF(C22=0,0,C22/TrRoad_act!C34*100)</f>
        <v>6.3465053413507864</v>
      </c>
      <c r="D64" s="96">
        <f>IF(D22=0,0,D22/TrRoad_act!D34*100)</f>
        <v>6.5481879421486671</v>
      </c>
      <c r="E64" s="96">
        <f>IF(E22=0,0,E22/TrRoad_act!E34*100)</f>
        <v>6.4775805898012333</v>
      </c>
      <c r="F64" s="96">
        <f>IF(F22=0,0,F22/TrRoad_act!F34*100)</f>
        <v>6.6901099673633206</v>
      </c>
      <c r="G64" s="96">
        <f>IF(G22=0,0,G22/TrRoad_act!G34*100)</f>
        <v>6.9759643319456197</v>
      </c>
      <c r="H64" s="96">
        <f>IF(H22=0,0,H22/TrRoad_act!H34*100)</f>
        <v>7.6369901352766361</v>
      </c>
      <c r="I64" s="96">
        <f>IF(I22=0,0,I22/TrRoad_act!I34*100)</f>
        <v>7.4587047881377906</v>
      </c>
      <c r="J64" s="96">
        <f>IF(J22=0,0,J22/TrRoad_act!J34*100)</f>
        <v>6.8471709321518119</v>
      </c>
      <c r="K64" s="96">
        <f>IF(K22=0,0,K22/TrRoad_act!K34*100)</f>
        <v>6.1086613888890984</v>
      </c>
      <c r="L64" s="96">
        <f>IF(L22=0,0,L22/TrRoad_act!L34*100)</f>
        <v>5.9538435432456041</v>
      </c>
      <c r="M64" s="96">
        <f>IF(M22=0,0,M22/TrRoad_act!M34*100)</f>
        <v>5.8510452824889887</v>
      </c>
      <c r="N64" s="96">
        <f>IF(N22=0,0,N22/TrRoad_act!N34*100)</f>
        <v>5.8359199130619199</v>
      </c>
      <c r="O64" s="96">
        <f>IF(O22=0,0,O22/TrRoad_act!O34*100)</f>
        <v>5.8208289731662894</v>
      </c>
      <c r="P64" s="96">
        <f>IF(P22=0,0,P22/TrRoad_act!P34*100)</f>
        <v>5.778880491882826</v>
      </c>
      <c r="Q64" s="96">
        <f>IF(Q22=0,0,Q22/TrRoad_act!Q34*100)</f>
        <v>5.7883614079991936</v>
      </c>
      <c r="R64" s="96">
        <f>IF(R22=0,0,R22/TrRoad_act!R34*100)</f>
        <v>5.4328473340497858</v>
      </c>
      <c r="S64" s="96">
        <f>IF(S22=0,0,S22/TrRoad_act!S34*100)</f>
        <v>5.3892584148852958</v>
      </c>
      <c r="T64" s="96">
        <f>IF(T22=0,0,T22/TrRoad_act!T34*100)</f>
        <v>6.0042336830933127</v>
      </c>
      <c r="U64" s="96">
        <f>IF(U22=0,0,U22/TrRoad_act!U34*100)</f>
        <v>5.9423632113696465</v>
      </c>
      <c r="V64" s="96">
        <f>IF(V22=0,0,V22/TrRoad_act!V34*100)</f>
        <v>5.8752859013720462</v>
      </c>
      <c r="W64" s="96">
        <f>IF(W22=0,0,W22/TrRoad_act!W34*100)</f>
        <v>7.2140025390350084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7.1517964851919347</v>
      </c>
      <c r="C65" s="96">
        <f>IF(C24=0,0,C24/TrRoad_act!C35*100)</f>
        <v>6.5532031937891535</v>
      </c>
      <c r="D65" s="96">
        <f>IF(D24=0,0,D24/TrRoad_act!D35*100)</f>
        <v>6.6010963769869742</v>
      </c>
      <c r="E65" s="96">
        <f>IF(E24=0,0,E24/TrRoad_act!E35*100)</f>
        <v>6.5158810714520214</v>
      </c>
      <c r="F65" s="96">
        <f>IF(F24=0,0,F24/TrRoad_act!F35*100)</f>
        <v>6.3908335181925864</v>
      </c>
      <c r="G65" s="96">
        <f>IF(G24=0,0,G24/TrRoad_act!G35*100)</f>
        <v>6.5036331050179159</v>
      </c>
      <c r="H65" s="96">
        <f>IF(H24=0,0,H24/TrRoad_act!H35*100)</f>
        <v>6.3581562147744739</v>
      </c>
      <c r="I65" s="96">
        <f>IF(I24=0,0,I24/TrRoad_act!I35*100)</f>
        <v>6.5295583879079651</v>
      </c>
      <c r="J65" s="96">
        <f>IF(J24=0,0,J24/TrRoad_act!J35*100)</f>
        <v>6.6784695983863775</v>
      </c>
      <c r="K65" s="96">
        <f>IF(K24=0,0,K24/TrRoad_act!K35*100)</f>
        <v>6.3443385092032427</v>
      </c>
      <c r="L65" s="96">
        <f>IF(L24=0,0,L24/TrRoad_act!L35*100)</f>
        <v>6.612564726440942</v>
      </c>
      <c r="M65" s="96">
        <f>IF(M24=0,0,M24/TrRoad_act!M35*100)</f>
        <v>6.5364015868774699</v>
      </c>
      <c r="N65" s="96">
        <f>IF(N24=0,0,N24/TrRoad_act!N35*100)</f>
        <v>6.1592994682150817</v>
      </c>
      <c r="O65" s="96">
        <f>IF(O24=0,0,O24/TrRoad_act!O35*100)</f>
        <v>6.40145637706238</v>
      </c>
      <c r="P65" s="96">
        <f>IF(P24=0,0,P24/TrRoad_act!P35*100)</f>
        <v>6.3747386836449653</v>
      </c>
      <c r="Q65" s="96">
        <f>IF(Q24=0,0,Q24/TrRoad_act!Q35*100)</f>
        <v>6.3803141131832914</v>
      </c>
      <c r="R65" s="96">
        <f>IF(R24=0,0,R24/TrRoad_act!R35*100)</f>
        <v>6.1796364482789787</v>
      </c>
      <c r="S65" s="96">
        <f>IF(S24=0,0,S24/TrRoad_act!S35*100)</f>
        <v>5.8639276062180539</v>
      </c>
      <c r="T65" s="96">
        <f>IF(T24=0,0,T24/TrRoad_act!T35*100)</f>
        <v>5.9173248422959821</v>
      </c>
      <c r="U65" s="96">
        <f>IF(U24=0,0,U24/TrRoad_act!U35*100)</f>
        <v>5.9032070948105337</v>
      </c>
      <c r="V65" s="96">
        <f>IF(V24=0,0,V24/TrRoad_act!V35*100)</f>
        <v>5.6037832705475203</v>
      </c>
      <c r="W65" s="96">
        <f>IF(W24=0,0,W24/TrRoad_act!W35*100)</f>
        <v>6.5961257215883711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6.8564570147002541</v>
      </c>
      <c r="C66" s="96">
        <f>IF(C26=0,0,C26/TrRoad_act!C36*100)</f>
        <v>6.8738367118358967</v>
      </c>
      <c r="D66" s="96">
        <f>IF(D26=0,0,D26/TrRoad_act!D36*100)</f>
        <v>6.8916367315098537</v>
      </c>
      <c r="E66" s="96">
        <f>IF(E26=0,0,E26/TrRoad_act!E36*100)</f>
        <v>6.8243913971423948</v>
      </c>
      <c r="F66" s="96">
        <f>IF(F26=0,0,F26/TrRoad_act!F36*100)</f>
        <v>6.292545666223158</v>
      </c>
      <c r="G66" s="96">
        <f>IF(G26=0,0,G26/TrRoad_act!G36*100)</f>
        <v>6.0230073602267646</v>
      </c>
      <c r="H66" s="96">
        <f>IF(H26=0,0,H26/TrRoad_act!H36*100)</f>
        <v>5.7935142845692118</v>
      </c>
      <c r="I66" s="96">
        <f>IF(I26=0,0,I26/TrRoad_act!I36*100)</f>
        <v>5.6803634318295897</v>
      </c>
      <c r="J66" s="96">
        <f>IF(J26=0,0,J26/TrRoad_act!J36*100)</f>
        <v>6.6329939951220922</v>
      </c>
      <c r="K66" s="96">
        <f>IF(K26=0,0,K26/TrRoad_act!K36*100)</f>
        <v>6.2006143060462886</v>
      </c>
      <c r="L66" s="96">
        <f>IF(L26=0,0,L26/TrRoad_act!L36*100)</f>
        <v>6.1390340216402262</v>
      </c>
      <c r="M66" s="96">
        <f>IF(M26=0,0,M26/TrRoad_act!M36*100)</f>
        <v>6.4677912971602662</v>
      </c>
      <c r="N66" s="96">
        <f>IF(N26=0,0,N26/TrRoad_act!N36*100)</f>
        <v>6.4278596953421347</v>
      </c>
      <c r="O66" s="96">
        <f>IF(O26=0,0,O26/TrRoad_act!O36*100)</f>
        <v>6.4262373021030568</v>
      </c>
      <c r="P66" s="96">
        <f>IF(P26=0,0,P26/TrRoad_act!P36*100)</f>
        <v>6.3724121581206159</v>
      </c>
      <c r="Q66" s="96">
        <f>IF(Q26=0,0,Q26/TrRoad_act!Q36*100)</f>
        <v>6.1663970568570328</v>
      </c>
      <c r="R66" s="96">
        <f>IF(R26=0,0,R26/TrRoad_act!R36*100)</f>
        <v>5.9024314477794135</v>
      </c>
      <c r="S66" s="96">
        <f>IF(S26=0,0,S26/TrRoad_act!S36*100)</f>
        <v>5.8668556474485971</v>
      </c>
      <c r="T66" s="96">
        <f>IF(T26=0,0,T26/TrRoad_act!T36*100)</f>
        <v>5.6562244274600664</v>
      </c>
      <c r="U66" s="96">
        <f>IF(U26=0,0,U26/TrRoad_act!U36*100)</f>
        <v>5.5711442910995945</v>
      </c>
      <c r="V66" s="96">
        <f>IF(V26=0,0,V26/TrRoad_act!V36*100)</f>
        <v>5.5298731021403684</v>
      </c>
      <c r="W66" s="96">
        <f>IF(W26=0,0,W26/TrRoad_act!W36*100)</f>
        <v>5.7373517549106081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8.0753341097933689</v>
      </c>
      <c r="C67" s="96">
        <f>IF(C27=0,0,C27/TrRoad_act!C37*100)</f>
        <v>7.9023694218912448</v>
      </c>
      <c r="D67" s="96">
        <f>IF(D27=0,0,D27/TrRoad_act!D37*100)</f>
        <v>7.7913905386913163</v>
      </c>
      <c r="E67" s="96">
        <f>IF(E27=0,0,E27/TrRoad_act!E37*100)</f>
        <v>7.7950037261251843</v>
      </c>
      <c r="F67" s="96">
        <f>IF(F27=0,0,F27/TrRoad_act!F37*100)</f>
        <v>7.9833667922820952</v>
      </c>
      <c r="G67" s="96">
        <f>IF(G27=0,0,G27/TrRoad_act!G37*100)</f>
        <v>8.2780961963510666</v>
      </c>
      <c r="H67" s="96">
        <f>IF(H27=0,0,H27/TrRoad_act!H37*100)</f>
        <v>8.4693802709860861</v>
      </c>
      <c r="I67" s="96">
        <f>IF(I27=0,0,I27/TrRoad_act!I37*100)</f>
        <v>8.2897468283460274</v>
      </c>
      <c r="J67" s="96">
        <f>IF(J27=0,0,J27/TrRoad_act!J37*100)</f>
        <v>8.087581593511068</v>
      </c>
      <c r="K67" s="96">
        <f>IF(K27=0,0,K27/TrRoad_act!K37*100)</f>
        <v>6.9503194958897287</v>
      </c>
      <c r="L67" s="96">
        <f>IF(L27=0,0,L27/TrRoad_act!L37*100)</f>
        <v>7.6531762670913235</v>
      </c>
      <c r="M67" s="96">
        <f>IF(M27=0,0,M27/TrRoad_act!M37*100)</f>
        <v>7.5501025359412468</v>
      </c>
      <c r="N67" s="96">
        <f>IF(N27=0,0,N27/TrRoad_act!N37*100)</f>
        <v>7.4232283136031709</v>
      </c>
      <c r="O67" s="96">
        <f>IF(O27=0,0,O27/TrRoad_act!O37*100)</f>
        <v>7.3358091464641006</v>
      </c>
      <c r="P67" s="96">
        <f>IF(P27=0,0,P27/TrRoad_act!P37*100)</f>
        <v>7.0040042428877101</v>
      </c>
      <c r="Q67" s="96">
        <f>IF(Q27=0,0,Q27/TrRoad_act!Q37*100)</f>
        <v>7.012860763060222</v>
      </c>
      <c r="R67" s="96">
        <f>IF(R27=0,0,R27/TrRoad_act!R37*100)</f>
        <v>6.7871766124442763</v>
      </c>
      <c r="S67" s="96">
        <f>IF(S27=0,0,S27/TrRoad_act!S37*100)</f>
        <v>5.9044389149379031</v>
      </c>
      <c r="T67" s="96">
        <f>IF(T27=0,0,T27/TrRoad_act!T37*100)</f>
        <v>6.0526149277886754</v>
      </c>
      <c r="U67" s="96">
        <f>IF(U27=0,0,U27/TrRoad_act!U37*100)</f>
        <v>6.5753858270338403</v>
      </c>
      <c r="V67" s="96">
        <f>IF(V27=0,0,V27/TrRoad_act!V37*100)</f>
        <v>6.4932559321389762</v>
      </c>
      <c r="W67" s="96">
        <f>IF(W27=0,0,W27/TrRoad_act!W37*100)</f>
        <v>6.6353144441786123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4.4071834251700599</v>
      </c>
      <c r="O68" s="96">
        <f>IF(O29=0,0,O29/TrRoad_act!O38*100)</f>
        <v>4.9500946358197639</v>
      </c>
      <c r="P68" s="96">
        <f>IF(P29=0,0,P29/TrRoad_act!P38*100)</f>
        <v>4.9596584672135409</v>
      </c>
      <c r="Q68" s="96">
        <f>IF(Q29=0,0,Q29/TrRoad_act!Q38*100)</f>
        <v>4.9881412949578605</v>
      </c>
      <c r="R68" s="96">
        <f>IF(R29=0,0,R29/TrRoad_act!R38*100)</f>
        <v>4.7114522685334306</v>
      </c>
      <c r="S68" s="96">
        <f>IF(S29=0,0,S29/TrRoad_act!S38*100)</f>
        <v>4.6910629968262905</v>
      </c>
      <c r="T68" s="96">
        <f>IF(T29=0,0,T29/TrRoad_act!T38*100)</f>
        <v>5.0247948777031333</v>
      </c>
      <c r="U68" s="96">
        <f>IF(U29=0,0,U29/TrRoad_act!U38*100)</f>
        <v>4.8730214985256159</v>
      </c>
      <c r="V68" s="96">
        <f>IF(V29=0,0,V29/TrRoad_act!V38*100)</f>
        <v>4.2146711197631959</v>
      </c>
      <c r="W68" s="96">
        <f>IF(W29=0,0,W29/TrRoad_act!W38*100)</f>
        <v>4.3110069060375844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1.3810784091625592</v>
      </c>
      <c r="N69" s="96">
        <f>IF(N32=0,0,N32/TrRoad_act!N39*100)</f>
        <v>1.3742914327750295</v>
      </c>
      <c r="O69" s="96">
        <f>IF(O32=0,0,O32/TrRoad_act!O39*100)</f>
        <v>1.36961604102199</v>
      </c>
      <c r="P69" s="96">
        <f>IF(P32=0,0,P32/TrRoad_act!P39*100)</f>
        <v>1.3605921842398778</v>
      </c>
      <c r="Q69" s="96">
        <f>IF(Q32=0,0,Q32/TrRoad_act!Q39*100)</f>
        <v>1.334188846775396</v>
      </c>
      <c r="R69" s="96">
        <f>IF(R32=0,0,R32/TrRoad_act!R39*100)</f>
        <v>1.3181221311535489</v>
      </c>
      <c r="S69" s="96">
        <f>IF(S32=0,0,S32/TrRoad_act!S39*100)</f>
        <v>1.3027640810802674</v>
      </c>
      <c r="T69" s="96">
        <f>IF(T32=0,0,T32/TrRoad_act!T39*100)</f>
        <v>1.2943676002215192</v>
      </c>
      <c r="U69" s="96">
        <f>IF(U32=0,0,U32/TrRoad_act!U39*100)</f>
        <v>1.4229509530345166</v>
      </c>
      <c r="V69" s="96">
        <f>IF(V32=0,0,V32/TrRoad_act!V39*100)</f>
        <v>1.5091765518361939</v>
      </c>
      <c r="W69" s="96">
        <f>IF(W32=0,0,W32/TrRoad_act!W39*100)</f>
        <v>1.5231183225499731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55.60014987296924</v>
      </c>
      <c r="C70" s="130">
        <f>IF(C33=0,0,C33/TrRoad_act!C40*100)</f>
        <v>54.51857353713163</v>
      </c>
      <c r="D70" s="130">
        <f>IF(D33=0,0,D33/TrRoad_act!D40*100)</f>
        <v>54.017403571147646</v>
      </c>
      <c r="E70" s="130">
        <f>IF(E33=0,0,E33/TrRoad_act!E40*100)</f>
        <v>53.351602172861767</v>
      </c>
      <c r="F70" s="130">
        <f>IF(F33=0,0,F33/TrRoad_act!F40*100)</f>
        <v>53.006028766813159</v>
      </c>
      <c r="G70" s="130">
        <f>IF(G33=0,0,G33/TrRoad_act!G40*100)</f>
        <v>52.404121119069224</v>
      </c>
      <c r="H70" s="130">
        <f>IF(H33=0,0,H33/TrRoad_act!H40*100)</f>
        <v>51.715589018809261</v>
      </c>
      <c r="I70" s="130">
        <f>IF(I33=0,0,I33/TrRoad_act!I40*100)</f>
        <v>51.657582826014561</v>
      </c>
      <c r="J70" s="130">
        <f>IF(J33=0,0,J33/TrRoad_act!J40*100)</f>
        <v>51.996495131032347</v>
      </c>
      <c r="K70" s="130">
        <f>IF(K33=0,0,K33/TrRoad_act!K40*100)</f>
        <v>51.432628983984351</v>
      </c>
      <c r="L70" s="130">
        <f>IF(L33=0,0,L33/TrRoad_act!L40*100)</f>
        <v>51.35086628185023</v>
      </c>
      <c r="M70" s="130">
        <f>IF(M33=0,0,M33/TrRoad_act!M40*100)</f>
        <v>51.751875841032792</v>
      </c>
      <c r="N70" s="130">
        <f>IF(N33=0,0,N33/TrRoad_act!N40*100)</f>
        <v>52.14937890488229</v>
      </c>
      <c r="O70" s="130">
        <f>IF(O33=0,0,O33/TrRoad_act!O40*100)</f>
        <v>52.228077299019347</v>
      </c>
      <c r="P70" s="130">
        <f>IF(P33=0,0,P33/TrRoad_act!P40*100)</f>
        <v>52.164365111485331</v>
      </c>
      <c r="Q70" s="130">
        <f>IF(Q33=0,0,Q33/TrRoad_act!Q40*100)</f>
        <v>52.840624936942064</v>
      </c>
      <c r="R70" s="130">
        <f>IF(R33=0,0,R33/TrRoad_act!R40*100)</f>
        <v>52.615251233613748</v>
      </c>
      <c r="S70" s="130">
        <f>IF(S33=0,0,S33/TrRoad_act!S40*100)</f>
        <v>52.808933964479635</v>
      </c>
      <c r="T70" s="130">
        <f>IF(T33=0,0,T33/TrRoad_act!T40*100)</f>
        <v>53.089615676210613</v>
      </c>
      <c r="U70" s="130">
        <f>IF(U33=0,0,U33/TrRoad_act!U40*100)</f>
        <v>53.424851547408124</v>
      </c>
      <c r="V70" s="130">
        <f>IF(V33=0,0,V33/TrRoad_act!V40*100)</f>
        <v>52.772606265633684</v>
      </c>
      <c r="W70" s="130">
        <f>IF(W33=0,0,W33/TrRoad_act!W40*100)</f>
        <v>54.683197647852936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16.925812600711147</v>
      </c>
      <c r="C71" s="97">
        <f>IF(C34=0,0,C34/TrRoad_act!C41*100)</f>
        <v>16.925812600711154</v>
      </c>
      <c r="D71" s="97">
        <f>IF(D34=0,0,D34/TrRoad_act!D41*100)</f>
        <v>16.925812600711147</v>
      </c>
      <c r="E71" s="97">
        <f>IF(E34=0,0,E34/TrRoad_act!E41*100)</f>
        <v>16.925812600711151</v>
      </c>
      <c r="F71" s="97">
        <f>IF(F34=0,0,F34/TrRoad_act!F41*100)</f>
        <v>16.925812600711147</v>
      </c>
      <c r="G71" s="97">
        <f>IF(G34=0,0,G34/TrRoad_act!G41*100)</f>
        <v>16.925812600711147</v>
      </c>
      <c r="H71" s="97">
        <f>IF(H34=0,0,H34/TrRoad_act!H41*100)</f>
        <v>16.925812600711151</v>
      </c>
      <c r="I71" s="97">
        <f>IF(I34=0,0,I34/TrRoad_act!I41*100)</f>
        <v>16.856479569212691</v>
      </c>
      <c r="J71" s="97">
        <f>IF(J34=0,0,J34/TrRoad_act!J41*100)</f>
        <v>16.620077866000766</v>
      </c>
      <c r="K71" s="97">
        <f>IF(K34=0,0,K34/TrRoad_act!K41*100)</f>
        <v>16.427241243166868</v>
      </c>
      <c r="L71" s="97">
        <f>IF(L34=0,0,L34/TrRoad_act!L41*100)</f>
        <v>16.277459022213726</v>
      </c>
      <c r="M71" s="97">
        <f>IF(M34=0,0,M34/TrRoad_act!M41*100)</f>
        <v>16.171082411653401</v>
      </c>
      <c r="N71" s="97">
        <f>IF(N34=0,0,N34/TrRoad_act!N41*100)</f>
        <v>16.120445955784895</v>
      </c>
      <c r="O71" s="97">
        <f>IF(O34=0,0,O34/TrRoad_act!O41*100)</f>
        <v>14.273880649637027</v>
      </c>
      <c r="P71" s="97">
        <f>IF(P34=0,0,P34/TrRoad_act!P41*100)</f>
        <v>13.394306942369369</v>
      </c>
      <c r="Q71" s="97">
        <f>IF(Q34=0,0,Q34/TrRoad_act!Q41*100)</f>
        <v>13.310869636418929</v>
      </c>
      <c r="R71" s="97">
        <f>IF(R34=0,0,R34/TrRoad_act!R41*100)</f>
        <v>13.304032607853975</v>
      </c>
      <c r="S71" s="97">
        <f>IF(S34=0,0,S34/TrRoad_act!S41*100)</f>
        <v>13.250946740707487</v>
      </c>
      <c r="T71" s="97">
        <f>IF(T34=0,0,T34/TrRoad_act!T41*100)</f>
        <v>13.20786904358488</v>
      </c>
      <c r="U71" s="97">
        <f>IF(U34=0,0,U34/TrRoad_act!U41*100)</f>
        <v>12.845934036846435</v>
      </c>
      <c r="V71" s="97">
        <f>IF(V34=0,0,V34/TrRoad_act!V41*100)</f>
        <v>12.807236439346822</v>
      </c>
      <c r="W71" s="97">
        <f>IF(W34=0,0,W34/TrRoad_act!W41*100)</f>
        <v>12.781211309168786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56.231796624535988</v>
      </c>
      <c r="C72" s="97">
        <f>IF(C36=0,0,C36/TrRoad_act!C42*100)</f>
        <v>55.085089092986358</v>
      </c>
      <c r="D72" s="97">
        <f>IF(D36=0,0,D36/TrRoad_act!D42*100)</f>
        <v>54.493201938234733</v>
      </c>
      <c r="E72" s="97">
        <f>IF(E36=0,0,E36/TrRoad_act!E42*100)</f>
        <v>54.028768618883035</v>
      </c>
      <c r="F72" s="97">
        <f>IF(F36=0,0,F36/TrRoad_act!F42*100)</f>
        <v>53.669162164836294</v>
      </c>
      <c r="G72" s="97">
        <f>IF(G36=0,0,G36/TrRoad_act!G42*100)</f>
        <v>53.383526588328401</v>
      </c>
      <c r="H72" s="97">
        <f>IF(H36=0,0,H36/TrRoad_act!H42*100)</f>
        <v>53.170211678831258</v>
      </c>
      <c r="I72" s="97">
        <f>IF(I36=0,0,I36/TrRoad_act!I42*100)</f>
        <v>53.044580614136706</v>
      </c>
      <c r="J72" s="97">
        <f>IF(J36=0,0,J36/TrRoad_act!J42*100)</f>
        <v>52.93322241870392</v>
      </c>
      <c r="K72" s="97">
        <f>IF(K36=0,0,K36/TrRoad_act!K42*100)</f>
        <v>52.814582607118851</v>
      </c>
      <c r="L72" s="97">
        <f>IF(L36=0,0,L36/TrRoad_act!L42*100)</f>
        <v>52.746032160768678</v>
      </c>
      <c r="M72" s="97">
        <f>IF(M36=0,0,M36/TrRoad_act!M42*100)</f>
        <v>52.739516440009538</v>
      </c>
      <c r="N72" s="97">
        <f>IF(N36=0,0,N36/TrRoad_act!N42*100)</f>
        <v>52.762103612080956</v>
      </c>
      <c r="O72" s="97">
        <f>IF(O36=0,0,O36/TrRoad_act!O42*100)</f>
        <v>52.900994556986191</v>
      </c>
      <c r="P72" s="97">
        <f>IF(P36=0,0,P36/TrRoad_act!P42*100)</f>
        <v>53.087503680121408</v>
      </c>
      <c r="Q72" s="97">
        <f>IF(Q36=0,0,Q36/TrRoad_act!Q42*100)</f>
        <v>53.426235544703303</v>
      </c>
      <c r="R72" s="97">
        <f>IF(R36=0,0,R36/TrRoad_act!R42*100)</f>
        <v>53.736888547422133</v>
      </c>
      <c r="S72" s="97">
        <f>IF(S36=0,0,S36/TrRoad_act!S42*100)</f>
        <v>54.063189714577121</v>
      </c>
      <c r="T72" s="97">
        <f>IF(T36=0,0,T36/TrRoad_act!T42*100)</f>
        <v>54.467282196403666</v>
      </c>
      <c r="U72" s="97">
        <f>IF(U36=0,0,U36/TrRoad_act!U42*100)</f>
        <v>54.826993091498366</v>
      </c>
      <c r="V72" s="97">
        <f>IF(V36=0,0,V36/TrRoad_act!V42*100)</f>
        <v>55.207772299190182</v>
      </c>
      <c r="W72" s="97">
        <f>IF(W36=0,0,W36/TrRoad_act!W42*100)</f>
        <v>55.512007515342944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47.100869164727854</v>
      </c>
      <c r="C73" s="97">
        <f>IF(C38=0,0,C38/TrRoad_act!C43*100)</f>
        <v>46.410416339853377</v>
      </c>
      <c r="D73" s="97">
        <f>IF(D38=0,0,D38/TrRoad_act!D43*100)</f>
        <v>46.382247712309663</v>
      </c>
      <c r="E73" s="97">
        <f>IF(E38=0,0,E38/TrRoad_act!E43*100)</f>
        <v>45.701077606074278</v>
      </c>
      <c r="F73" s="97">
        <f>IF(F38=0,0,F38/TrRoad_act!F43*100)</f>
        <v>44.649105155600722</v>
      </c>
      <c r="G73" s="97">
        <f>IF(G38=0,0,G38/TrRoad_act!G43*100)</f>
        <v>44.301878295429603</v>
      </c>
      <c r="H73" s="97">
        <f>IF(H38=0,0,H38/TrRoad_act!H43*100)</f>
        <v>44.256519077413451</v>
      </c>
      <c r="I73" s="97">
        <f>IF(I38=0,0,I38/TrRoad_act!I43*100)</f>
        <v>44.216473936417493</v>
      </c>
      <c r="J73" s="97">
        <f>IF(J38=0,0,J38/TrRoad_act!J43*100)</f>
        <v>44.250056294814222</v>
      </c>
      <c r="K73" s="97">
        <f>IF(K38=0,0,K38/TrRoad_act!K43*100)</f>
        <v>44.263069491912468</v>
      </c>
      <c r="L73" s="97">
        <f>IF(L38=0,0,L38/TrRoad_act!L43*100)</f>
        <v>44.264718814583034</v>
      </c>
      <c r="M73" s="97">
        <f>IF(M38=0,0,M38/TrRoad_act!M43*100)</f>
        <v>44.22353859607739</v>
      </c>
      <c r="N73" s="97">
        <f>IF(N38=0,0,N38/TrRoad_act!N43*100)</f>
        <v>44.195980199182451</v>
      </c>
      <c r="O73" s="97">
        <f>IF(O38=0,0,O38/TrRoad_act!O43*100)</f>
        <v>44.174040175661375</v>
      </c>
      <c r="P73" s="97">
        <f>IF(P38=0,0,P38/TrRoad_act!P43*100)</f>
        <v>44.155346980745911</v>
      </c>
      <c r="Q73" s="97">
        <f>IF(Q38=0,0,Q38/TrRoad_act!Q43*100)</f>
        <v>44.134527473067173</v>
      </c>
      <c r="R73" s="97">
        <f>IF(R38=0,0,R38/TrRoad_act!R43*100)</f>
        <v>44.117876770321004</v>
      </c>
      <c r="S73" s="97">
        <f>IF(S38=0,0,S38/TrRoad_act!S43*100)</f>
        <v>44.098077088233346</v>
      </c>
      <c r="T73" s="97">
        <f>IF(T38=0,0,T38/TrRoad_act!T43*100)</f>
        <v>44.728812106387508</v>
      </c>
      <c r="U73" s="97">
        <f>IF(U38=0,0,U38/TrRoad_act!U43*100)</f>
        <v>44.741772752239221</v>
      </c>
      <c r="V73" s="97">
        <f>IF(V38=0,0,V38/TrRoad_act!V43*100)</f>
        <v>44.838467577860335</v>
      </c>
      <c r="W73" s="97">
        <f>IF(W38=0,0,W38/TrRoad_act!W43*100)</f>
        <v>44.882077954747999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4.1639562466334681</v>
      </c>
      <c r="C74" s="97">
        <f>IF(C39=0,0,C39/TrRoad_act!C44*100)</f>
        <v>4.113303946920599</v>
      </c>
      <c r="D74" s="97">
        <f>IF(D39=0,0,D39/TrRoad_act!D44*100)</f>
        <v>4.1111953603408278</v>
      </c>
      <c r="E74" s="97">
        <f>IF(E39=0,0,E39/TrRoad_act!E44*100)</f>
        <v>3.9260890341063019</v>
      </c>
      <c r="F74" s="97">
        <f>IF(F39=0,0,F39/TrRoad_act!F44*100)</f>
        <v>3.9076391814686002</v>
      </c>
      <c r="G74" s="97">
        <f>IF(G39=0,0,G39/TrRoad_act!G44*100)</f>
        <v>3.837351925771189</v>
      </c>
      <c r="H74" s="97">
        <f>IF(H39=0,0,H39/TrRoad_act!H44*100)</f>
        <v>3.8247856471316939</v>
      </c>
      <c r="I74" s="97">
        <f>IF(I39=0,0,I39/TrRoad_act!I44*100)</f>
        <v>12.558022453659353</v>
      </c>
      <c r="J74" s="97">
        <f>IF(J39=0,0,J39/TrRoad_act!J44*100)</f>
        <v>27.936752128493243</v>
      </c>
      <c r="K74" s="97">
        <f>IF(K39=0,0,K39/TrRoad_act!K44*100)</f>
        <v>20.069656889310806</v>
      </c>
      <c r="L74" s="97">
        <f>IF(L39=0,0,L39/TrRoad_act!L44*100)</f>
        <v>21.165759507574588</v>
      </c>
      <c r="M74" s="97">
        <f>IF(M39=0,0,M39/TrRoad_act!M44*100)</f>
        <v>33.720817747912605</v>
      </c>
      <c r="N74" s="97">
        <f>IF(N39=0,0,N39/TrRoad_act!N44*100)</f>
        <v>42.315618309029425</v>
      </c>
      <c r="O74" s="97">
        <f>IF(O39=0,0,O39/TrRoad_act!O44*100)</f>
        <v>45.096883816024061</v>
      </c>
      <c r="P74" s="97">
        <f>IF(P39=0,0,P39/TrRoad_act!P44*100)</f>
        <v>39.208437392052211</v>
      </c>
      <c r="Q74" s="97">
        <f>IF(Q39=0,0,Q39/TrRoad_act!Q44*100)</f>
        <v>45.22170770645927</v>
      </c>
      <c r="R74" s="97">
        <f>IF(R39=0,0,R39/TrRoad_act!R44*100)</f>
        <v>30.288497991645315</v>
      </c>
      <c r="S74" s="97">
        <f>IF(S39=0,0,S39/TrRoad_act!S44*100)</f>
        <v>32.158466502364412</v>
      </c>
      <c r="T74" s="97">
        <f>IF(T39=0,0,T39/TrRoad_act!T44*100)</f>
        <v>31.856020009125864</v>
      </c>
      <c r="U74" s="97">
        <f>IF(U39=0,0,U39/TrRoad_act!U44*100)</f>
        <v>34.567477362675994</v>
      </c>
      <c r="V74" s="97">
        <f>IF(V39=0,0,V39/TrRoad_act!V44*100)</f>
        <v>17.27197784954819</v>
      </c>
      <c r="W74" s="97">
        <f>IF(W39=0,0,W39/TrRoad_act!W44*100)</f>
        <v>48.071456996477863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25.627691128829987</v>
      </c>
      <c r="P75" s="97">
        <f>IF(P41=0,0,P41/TrRoad_act!P45*100)</f>
        <v>25.627691128829987</v>
      </c>
      <c r="Q75" s="97">
        <f>IF(Q41=0,0,Q41/TrRoad_act!Q45*100)</f>
        <v>25.627691128829987</v>
      </c>
      <c r="R75" s="97">
        <f>IF(R41=0,0,R41/TrRoad_act!R45*100)</f>
        <v>25.627691128829987</v>
      </c>
      <c r="S75" s="97">
        <f>IF(S41=0,0,S41/TrRoad_act!S45*100)</f>
        <v>25.627691128829987</v>
      </c>
      <c r="T75" s="97">
        <f>IF(T41=0,0,T41/TrRoad_act!T45*100)</f>
        <v>25.388640638844716</v>
      </c>
      <c r="U75" s="97">
        <f>IF(U41=0,0,U41/TrRoad_act!U45*100)</f>
        <v>25.126172443983947</v>
      </c>
      <c r="V75" s="97">
        <f>IF(V41=0,0,V41/TrRoad_act!V45*100)</f>
        <v>24.925870357829847</v>
      </c>
      <c r="W75" s="97">
        <f>IF(W41=0,0,W41/TrRoad_act!W45*100)</f>
        <v>24.093087444776259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13.878740809160679</v>
      </c>
      <c r="C76" s="32">
        <f>IF(C42=0,0,C42/TrRoad_act!C46*100)</f>
        <v>15.411006076163428</v>
      </c>
      <c r="D76" s="32">
        <f>IF(D42=0,0,D42/TrRoad_act!D46*100)</f>
        <v>14.803597811487251</v>
      </c>
      <c r="E76" s="32">
        <f>IF(E42=0,0,E42/TrRoad_act!E46*100)</f>
        <v>14.064952785474505</v>
      </c>
      <c r="F76" s="32">
        <f>IF(F42=0,0,F42/TrRoad_act!F46*100)</f>
        <v>13.536598535877555</v>
      </c>
      <c r="G76" s="32">
        <f>IF(G42=0,0,G42/TrRoad_act!G46*100)</f>
        <v>12.922879222077121</v>
      </c>
      <c r="H76" s="32">
        <f>IF(H42=0,0,H42/TrRoad_act!H46*100)</f>
        <v>14.163674408285281</v>
      </c>
      <c r="I76" s="32">
        <f>IF(I42=0,0,I42/TrRoad_act!I46*100)</f>
        <v>13.493982518844911</v>
      </c>
      <c r="J76" s="32">
        <f>IF(J42=0,0,J42/TrRoad_act!J46*100)</f>
        <v>12.143826734506003</v>
      </c>
      <c r="K76" s="32">
        <f>IF(K42=0,0,K42/TrRoad_act!K46*100)</f>
        <v>11.445378287333522</v>
      </c>
      <c r="L76" s="32">
        <f>IF(L42=0,0,L42/TrRoad_act!L46*100)</f>
        <v>10.364173926326844</v>
      </c>
      <c r="M76" s="32">
        <f>IF(M42=0,0,M42/TrRoad_act!M46*100)</f>
        <v>10.671408301581769</v>
      </c>
      <c r="N76" s="32">
        <f>IF(N42=0,0,N42/TrRoad_act!N46*100)</f>
        <v>11.649304698283887</v>
      </c>
      <c r="O76" s="32">
        <f>IF(O42=0,0,O42/TrRoad_act!O46*100)</f>
        <v>10.964637746255804</v>
      </c>
      <c r="P76" s="32">
        <f>IF(P42=0,0,P42/TrRoad_act!P46*100)</f>
        <v>10.445387943788296</v>
      </c>
      <c r="Q76" s="32">
        <f>IF(Q42=0,0,Q42/TrRoad_act!Q46*100)</f>
        <v>11.169591701370141</v>
      </c>
      <c r="R76" s="32">
        <f>IF(R42=0,0,R42/TrRoad_act!R46*100)</f>
        <v>11.294281908282022</v>
      </c>
      <c r="S76" s="32">
        <f>IF(S42=0,0,S42/TrRoad_act!S46*100)</f>
        <v>9.3254576572759156</v>
      </c>
      <c r="T76" s="32">
        <f>IF(T42=0,0,T42/TrRoad_act!T46*100)</f>
        <v>10.987008335419381</v>
      </c>
      <c r="U76" s="32">
        <f>IF(U42=0,0,U42/TrRoad_act!U46*100)</f>
        <v>11.051403693226499</v>
      </c>
      <c r="V76" s="32">
        <f>IF(V42=0,0,V42/TrRoad_act!V46*100)</f>
        <v>10.374339144933712</v>
      </c>
      <c r="W76" s="32">
        <f>IF(W42=0,0,W42/TrRoad_act!W46*100)</f>
        <v>11.986439095511127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12.385713752254478</v>
      </c>
      <c r="C77" s="141">
        <f>IF(C43=0,0,C43/TrRoad_act!C47*100)</f>
        <v>11.80120605264756</v>
      </c>
      <c r="D77" s="141">
        <f>IF(D43=0,0,D43/TrRoad_act!D47*100)</f>
        <v>11.211777912087575</v>
      </c>
      <c r="E77" s="141">
        <f>IF(E43=0,0,E43/TrRoad_act!E47*100)</f>
        <v>10.752519594767302</v>
      </c>
      <c r="F77" s="141">
        <f>IF(F43=0,0,F43/TrRoad_act!F47*100)</f>
        <v>10.449803771338686</v>
      </c>
      <c r="G77" s="141">
        <f>IF(G43=0,0,G43/TrRoad_act!G47*100)</f>
        <v>10.081479671391271</v>
      </c>
      <c r="H77" s="141">
        <f>IF(H43=0,0,H43/TrRoad_act!H47*100)</f>
        <v>9.7654038679452313</v>
      </c>
      <c r="I77" s="141">
        <f>IF(I43=0,0,I43/TrRoad_act!I47*100)</f>
        <v>9.5021650685839791</v>
      </c>
      <c r="J77" s="141">
        <f>IF(J43=0,0,J43/TrRoad_act!J47*100)</f>
        <v>9.3000205872245711</v>
      </c>
      <c r="K77" s="141">
        <f>IF(K43=0,0,K43/TrRoad_act!K47*100)</f>
        <v>9.0874471147568681</v>
      </c>
      <c r="L77" s="141">
        <f>IF(L43=0,0,L43/TrRoad_act!L47*100)</f>
        <v>8.9083995244229737</v>
      </c>
      <c r="M77" s="141">
        <f>IF(M43=0,0,M43/TrRoad_act!M47*100)</f>
        <v>8.7472123340259369</v>
      </c>
      <c r="N77" s="141">
        <f>IF(N43=0,0,N43/TrRoad_act!N47*100)</f>
        <v>8.5959172124824814</v>
      </c>
      <c r="O77" s="141">
        <f>IF(O43=0,0,O43/TrRoad_act!O47*100)</f>
        <v>8.4299425010165443</v>
      </c>
      <c r="P77" s="141">
        <f>IF(P43=0,0,P43/TrRoad_act!P47*100)</f>
        <v>8.2527181143967425</v>
      </c>
      <c r="Q77" s="141">
        <f>IF(Q43=0,0,Q43/TrRoad_act!Q47*100)</f>
        <v>8.1947457152962873</v>
      </c>
      <c r="R77" s="141">
        <f>IF(R43=0,0,R43/TrRoad_act!R47*100)</f>
        <v>8.006529550638108</v>
      </c>
      <c r="S77" s="141">
        <f>IF(S43=0,0,S43/TrRoad_act!S47*100)</f>
        <v>7.8574498866514864</v>
      </c>
      <c r="T77" s="141">
        <f>IF(T43=0,0,T43/TrRoad_act!T47*100)</f>
        <v>7.7637160299761172</v>
      </c>
      <c r="U77" s="141">
        <f>IF(U43=0,0,U43/TrRoad_act!U47*100)</f>
        <v>7.7319072911827238</v>
      </c>
      <c r="V77" s="141">
        <f>IF(V43=0,0,V43/TrRoad_act!V47*100)</f>
        <v>7.7332142833477171</v>
      </c>
      <c r="W77" s="141">
        <f>IF(W43=0,0,W43/TrRoad_act!W47*100)</f>
        <v>7.7387604536564387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11.057096532781152</v>
      </c>
      <c r="C78" s="96">
        <f>IF(C44=0,0,C44/TrRoad_act!C48*100)</f>
        <v>10.654649045030974</v>
      </c>
      <c r="D78" s="96">
        <f>IF(D44=0,0,D44/TrRoad_act!D48*100)</f>
        <v>10.219466506280988</v>
      </c>
      <c r="E78" s="96">
        <f>IF(E44=0,0,E44/TrRoad_act!E48*100)</f>
        <v>9.8818471058556074</v>
      </c>
      <c r="F78" s="96">
        <f>IF(F44=0,0,F44/TrRoad_act!F48*100)</f>
        <v>9.6760772121673586</v>
      </c>
      <c r="G78" s="96">
        <f>IF(G44=0,0,G44/TrRoad_act!G48*100)</f>
        <v>9.4081627155796816</v>
      </c>
      <c r="H78" s="96">
        <f>IF(H44=0,0,H44/TrRoad_act!H48*100)</f>
        <v>9.184102852061395</v>
      </c>
      <c r="I78" s="96">
        <f>IF(I44=0,0,I44/TrRoad_act!I48*100)</f>
        <v>9.0047148645716604</v>
      </c>
      <c r="J78" s="96">
        <f>IF(J44=0,0,J44/TrRoad_act!J48*100)</f>
        <v>8.853599619193437</v>
      </c>
      <c r="K78" s="96">
        <f>IF(K44=0,0,K44/TrRoad_act!K48*100)</f>
        <v>8.7800381822468143</v>
      </c>
      <c r="L78" s="96">
        <f>IF(L44=0,0,L44/TrRoad_act!L48*100)</f>
        <v>8.7017866670288129</v>
      </c>
      <c r="M78" s="96">
        <f>IF(M44=0,0,M44/TrRoad_act!M48*100)</f>
        <v>8.588345405964505</v>
      </c>
      <c r="N78" s="96">
        <f>IF(N44=0,0,N44/TrRoad_act!N48*100)</f>
        <v>8.3897596767648999</v>
      </c>
      <c r="O78" s="96">
        <f>IF(O44=0,0,O44/TrRoad_act!O48*100)</f>
        <v>8.3185667949920905</v>
      </c>
      <c r="P78" s="96">
        <f>IF(P44=0,0,P44/TrRoad_act!P48*100)</f>
        <v>8.1147820873506955</v>
      </c>
      <c r="Q78" s="96">
        <f>IF(Q44=0,0,Q44/TrRoad_act!Q48*100)</f>
        <v>7.9291297637841565</v>
      </c>
      <c r="R78" s="96">
        <f>IF(R44=0,0,R44/TrRoad_act!R48*100)</f>
        <v>7.7604264234542226</v>
      </c>
      <c r="S78" s="96">
        <f>IF(S44=0,0,S44/TrRoad_act!S48*100)</f>
        <v>7.7163823680914785</v>
      </c>
      <c r="T78" s="96">
        <f>IF(T44=0,0,T44/TrRoad_act!T48*100)</f>
        <v>7.585274934115656</v>
      </c>
      <c r="U78" s="96">
        <f>IF(U44=0,0,U44/TrRoad_act!U48*100)</f>
        <v>7.4764471326964248</v>
      </c>
      <c r="V78" s="96">
        <f>IF(V44=0,0,V44/TrRoad_act!V48*100)</f>
        <v>7.4435408352587062</v>
      </c>
      <c r="W78" s="96">
        <f>IF(W44=0,0,W44/TrRoad_act!W48*100)</f>
        <v>7.4299705946425139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12.443666652077724</v>
      </c>
      <c r="C79" s="96">
        <f>IF(C46=0,0,C46/TrRoad_act!C49*100)</f>
        <v>11.857226679670038</v>
      </c>
      <c r="D79" s="96">
        <f>IF(D46=0,0,D46/TrRoad_act!D49*100)</f>
        <v>11.261260116462328</v>
      </c>
      <c r="E79" s="96">
        <f>IF(E46=0,0,E46/TrRoad_act!E49*100)</f>
        <v>10.793881976108224</v>
      </c>
      <c r="F79" s="96">
        <f>IF(F46=0,0,F46/TrRoad_act!F49*100)</f>
        <v>10.483884316006211</v>
      </c>
      <c r="G79" s="96">
        <f>IF(G46=0,0,G46/TrRoad_act!G49*100)</f>
        <v>10.108879741021628</v>
      </c>
      <c r="H79" s="96">
        <f>IF(H46=0,0,H46/TrRoad_act!H49*100)</f>
        <v>9.7918111176657625</v>
      </c>
      <c r="I79" s="96">
        <f>IF(I46=0,0,I46/TrRoad_act!I49*100)</f>
        <v>9.5190230148337545</v>
      </c>
      <c r="J79" s="96">
        <f>IF(J46=0,0,J46/TrRoad_act!J49*100)</f>
        <v>9.3143117818810044</v>
      </c>
      <c r="K79" s="96">
        <f>IF(K46=0,0,K46/TrRoad_act!K49*100)</f>
        <v>9.1008915856732049</v>
      </c>
      <c r="L79" s="96">
        <f>IF(L46=0,0,L46/TrRoad_act!L49*100)</f>
        <v>8.9143176244352453</v>
      </c>
      <c r="M79" s="96">
        <f>IF(M46=0,0,M46/TrRoad_act!M49*100)</f>
        <v>8.752626050245043</v>
      </c>
      <c r="N79" s="96">
        <f>IF(N46=0,0,N46/TrRoad_act!N49*100)</f>
        <v>8.6052623245966249</v>
      </c>
      <c r="O79" s="96">
        <f>IF(O46=0,0,O46/TrRoad_act!O49*100)</f>
        <v>8.4301937441778723</v>
      </c>
      <c r="P79" s="96">
        <f>IF(P46=0,0,P46/TrRoad_act!P49*100)</f>
        <v>8.2542601886553744</v>
      </c>
      <c r="Q79" s="96">
        <f>IF(Q46=0,0,Q46/TrRoad_act!Q49*100)</f>
        <v>8.1980158585057712</v>
      </c>
      <c r="R79" s="96">
        <f>IF(R46=0,0,R46/TrRoad_act!R49*100)</f>
        <v>8.0102897457310842</v>
      </c>
      <c r="S79" s="96">
        <f>IF(S46=0,0,S46/TrRoad_act!S49*100)</f>
        <v>7.8703538178842001</v>
      </c>
      <c r="T79" s="96">
        <f>IF(T46=0,0,T46/TrRoad_act!T49*100)</f>
        <v>7.7769459297049437</v>
      </c>
      <c r="U79" s="96">
        <f>IF(U46=0,0,U46/TrRoad_act!U49*100)</f>
        <v>7.731811521279325</v>
      </c>
      <c r="V79" s="96">
        <f>IF(V46=0,0,V46/TrRoad_act!V49*100)</f>
        <v>7.7332499488101281</v>
      </c>
      <c r="W79" s="96">
        <f>IF(W46=0,0,W46/TrRoad_act!W49*100)</f>
        <v>7.7258394607567169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13.255631844038515</v>
      </c>
      <c r="C80" s="96">
        <f>IF(C48=0,0,C48/TrRoad_act!C50*100)</f>
        <v>12.301161493041725</v>
      </c>
      <c r="D80" s="96">
        <f>IF(D48=0,0,D48/TrRoad_act!D50*100)</f>
        <v>11.461270626286478</v>
      </c>
      <c r="E80" s="96">
        <f>IF(E48=0,0,E48/TrRoad_act!E50*100)</f>
        <v>10.816316607439084</v>
      </c>
      <c r="F80" s="96">
        <f>IF(F48=0,0,F48/TrRoad_act!F50*100)</f>
        <v>10.350085754470408</v>
      </c>
      <c r="G80" s="96">
        <f>IF(G48=0,0,G48/TrRoad_act!G50*100)</f>
        <v>9.8614890141896705</v>
      </c>
      <c r="H80" s="96">
        <f>IF(H48=0,0,H48/TrRoad_act!H50*100)</f>
        <v>9.444695720197652</v>
      </c>
      <c r="I80" s="96">
        <f>IF(I48=0,0,I48/TrRoad_act!I50*100)</f>
        <v>9.3478225988885644</v>
      </c>
      <c r="J80" s="96">
        <f>IF(J48=0,0,J48/TrRoad_act!J50*100)</f>
        <v>9.0493252282261345</v>
      </c>
      <c r="K80" s="96">
        <f>IF(K48=0,0,K48/TrRoad_act!K50*100)</f>
        <v>8.6493008563646239</v>
      </c>
      <c r="L80" s="96">
        <f>IF(L48=0,0,L48/TrRoad_act!L50*100)</f>
        <v>8.4399525576665031</v>
      </c>
      <c r="M80" s="96">
        <f>IF(M48=0,0,M48/TrRoad_act!M50*100)</f>
        <v>8.3674242625797248</v>
      </c>
      <c r="N80" s="96">
        <f>IF(N48=0,0,N48/TrRoad_act!N50*100)</f>
        <v>7.9666453109695805</v>
      </c>
      <c r="O80" s="96">
        <f>IF(O48=0,0,O48/TrRoad_act!O50*100)</f>
        <v>7.8961587665736452</v>
      </c>
      <c r="P80" s="96">
        <f>IF(P48=0,0,P48/TrRoad_act!P50*100)</f>
        <v>7.8181191196627209</v>
      </c>
      <c r="Q80" s="96">
        <f>IF(Q48=0,0,Q48/TrRoad_act!Q50*100)</f>
        <v>7.703569920163436</v>
      </c>
      <c r="R80" s="96">
        <f>IF(R48=0,0,R48/TrRoad_act!R50*100)</f>
        <v>7.5182354118174546</v>
      </c>
      <c r="S80" s="96">
        <f>IF(S48=0,0,S48/TrRoad_act!S50*100)</f>
        <v>7.4039918037563197</v>
      </c>
      <c r="T80" s="96">
        <f>IF(T48=0,0,T48/TrRoad_act!T50*100)</f>
        <v>7.3301681801629561</v>
      </c>
      <c r="U80" s="96">
        <f>IF(U48=0,0,U48/TrRoad_act!U50*100)</f>
        <v>7.2653892601738681</v>
      </c>
      <c r="V80" s="96">
        <f>IF(V48=0,0,V48/TrRoad_act!V50*100)</f>
        <v>7.2931016450402995</v>
      </c>
      <c r="W80" s="96">
        <f>IF(W48=0,0,W48/TrRoad_act!W50*100)</f>
        <v>7.7488940512065891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14.58311181432359</v>
      </c>
      <c r="C81" s="96">
        <f>IF(C49=0,0,C49/TrRoad_act!C51*100)</f>
        <v>13.270555918483062</v>
      </c>
      <c r="D81" s="96">
        <f>IF(D49=0,0,D49/TrRoad_act!D51*100)</f>
        <v>12.251545567428467</v>
      </c>
      <c r="E81" s="96">
        <f>IF(E49=0,0,E49/TrRoad_act!E51*100)</f>
        <v>11.499037106182957</v>
      </c>
      <c r="F81" s="96">
        <f>IF(F49=0,0,F49/TrRoad_act!F51*100)</f>
        <v>11.030726906425842</v>
      </c>
      <c r="G81" s="96">
        <f>IF(G49=0,0,G49/TrRoad_act!G51*100)</f>
        <v>10.604689741155719</v>
      </c>
      <c r="H81" s="96">
        <f>IF(H49=0,0,H49/TrRoad_act!H51*100)</f>
        <v>10.371586236158164</v>
      </c>
      <c r="I81" s="96">
        <f>IF(I49=0,0,I49/TrRoad_act!I51*100)</f>
        <v>10.251892779107314</v>
      </c>
      <c r="J81" s="96">
        <f>IF(J49=0,0,J49/TrRoad_act!J51*100)</f>
        <v>9.9151595187099684</v>
      </c>
      <c r="K81" s="96">
        <f>IF(K49=0,0,K49/TrRoad_act!K51*100)</f>
        <v>8.9770683224111316</v>
      </c>
      <c r="L81" s="96">
        <f>IF(L49=0,0,L49/TrRoad_act!L51*100)</f>
        <v>9.1497820751588712</v>
      </c>
      <c r="M81" s="96">
        <f>IF(M49=0,0,M49/TrRoad_act!M51*100)</f>
        <v>8.8659219732059569</v>
      </c>
      <c r="N81" s="96">
        <f>IF(N49=0,0,N49/TrRoad_act!N51*100)</f>
        <v>8.6731006038621015</v>
      </c>
      <c r="O81" s="96">
        <f>IF(O49=0,0,O49/TrRoad_act!O51*100)</f>
        <v>8.8336195363060117</v>
      </c>
      <c r="P81" s="96">
        <f>IF(P49=0,0,P49/TrRoad_act!P51*100)</f>
        <v>8.5927972319180483</v>
      </c>
      <c r="Q81" s="96">
        <f>IF(Q49=0,0,Q49/TrRoad_act!Q51*100)</f>
        <v>8.7370532276693851</v>
      </c>
      <c r="R81" s="96">
        <f>IF(R49=0,0,R49/TrRoad_act!R51*100)</f>
        <v>8.5054540749110785</v>
      </c>
      <c r="S81" s="96">
        <f>IF(S49=0,0,S49/TrRoad_act!S51*100)</f>
        <v>7.8067201234319397</v>
      </c>
      <c r="T81" s="96">
        <f>IF(T49=0,0,T49/TrRoad_act!T51*100)</f>
        <v>7.7734993116568436</v>
      </c>
      <c r="U81" s="96">
        <f>IF(U49=0,0,U49/TrRoad_act!U51*100)</f>
        <v>8.5124021390611446</v>
      </c>
      <c r="V81" s="96">
        <f>IF(V49=0,0,V49/TrRoad_act!V51*100)</f>
        <v>8.5752635995102846</v>
      </c>
      <c r="W81" s="96">
        <f>IF(W49=0,0,W49/TrRoad_act!W51*100)</f>
        <v>9.1872529908750451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1.5954804945809389</v>
      </c>
      <c r="P82" s="96">
        <f>IF(P51=0,0,P51/TrRoad_act!P52*100)</f>
        <v>1.6364471434037617</v>
      </c>
      <c r="Q82" s="96">
        <f>IF(Q51=0,0,Q51/TrRoad_act!Q52*100)</f>
        <v>1.7192174867731225</v>
      </c>
      <c r="R82" s="96">
        <f>IF(R51=0,0,R51/TrRoad_act!R52*100)</f>
        <v>1.7553993657030351</v>
      </c>
      <c r="S82" s="96">
        <f>IF(S51=0,0,S51/TrRoad_act!S52*100)</f>
        <v>1.8060409956458368</v>
      </c>
      <c r="T82" s="96">
        <f>IF(T51=0,0,T51/TrRoad_act!T52*100)</f>
        <v>1.9593870504023436</v>
      </c>
      <c r="U82" s="96">
        <f>IF(U51=0,0,U51/TrRoad_act!U52*100)</f>
        <v>2.0934292676850501</v>
      </c>
      <c r="V82" s="96">
        <f>IF(V51=0,0,V51/TrRoad_act!V52*100)</f>
        <v>2.2325595588267362</v>
      </c>
      <c r="W82" s="96">
        <f>IF(W51=0,0,W51/TrRoad_act!W52*100)</f>
        <v>2.5358992573440773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21.505219672335933</v>
      </c>
      <c r="C83" s="130">
        <f>IF(C52=0,0,C52/TrRoad_act!C53*100)</f>
        <v>33.249130770286726</v>
      </c>
      <c r="D83" s="130">
        <f>IF(D52=0,0,D52/TrRoad_act!D53*100)</f>
        <v>33.263163137117118</v>
      </c>
      <c r="E83" s="130">
        <f>IF(E52=0,0,E52/TrRoad_act!E53*100)</f>
        <v>33.15933682447163</v>
      </c>
      <c r="F83" s="130">
        <f>IF(F52=0,0,F52/TrRoad_act!F53*100)</f>
        <v>29.79876806146784</v>
      </c>
      <c r="G83" s="130">
        <f>IF(G52=0,0,G52/TrRoad_act!G53*100)</f>
        <v>29.027568309503792</v>
      </c>
      <c r="H83" s="130">
        <f>IF(H52=0,0,H52/TrRoad_act!H53*100)</f>
        <v>39.323221404621158</v>
      </c>
      <c r="I83" s="130">
        <f>IF(I52=0,0,I52/TrRoad_act!I53*100)</f>
        <v>37.798887591045307</v>
      </c>
      <c r="J83" s="130">
        <f>IF(J52=0,0,J52/TrRoad_act!J53*100)</f>
        <v>29.639164606325064</v>
      </c>
      <c r="K83" s="130">
        <f>IF(K52=0,0,K52/TrRoad_act!K53*100)</f>
        <v>26.331462467156157</v>
      </c>
      <c r="L83" s="130">
        <f>IF(L52=0,0,L52/TrRoad_act!L53*100)</f>
        <v>20.053265711401068</v>
      </c>
      <c r="M83" s="130">
        <f>IF(M52=0,0,M52/TrRoad_act!M53*100)</f>
        <v>26.295705552649935</v>
      </c>
      <c r="N83" s="130">
        <f>IF(N52=0,0,N52/TrRoad_act!N53*100)</f>
        <v>36.065901300909466</v>
      </c>
      <c r="O83" s="130">
        <f>IF(O52=0,0,O52/TrRoad_act!O53*100)</f>
        <v>28.447764869147552</v>
      </c>
      <c r="P83" s="130">
        <f>IF(P52=0,0,P52/TrRoad_act!P53*100)</f>
        <v>26.925766591774792</v>
      </c>
      <c r="Q83" s="130">
        <f>IF(Q52=0,0,Q52/TrRoad_act!Q53*100)</f>
        <v>29.525507192079864</v>
      </c>
      <c r="R83" s="130">
        <f>IF(R52=0,0,R52/TrRoad_act!R53*100)</f>
        <v>30.332845932184359</v>
      </c>
      <c r="S83" s="130">
        <f>IF(S52=0,0,S52/TrRoad_act!S53*100)</f>
        <v>17.560465779985137</v>
      </c>
      <c r="T83" s="130">
        <f>IF(T52=0,0,T52/TrRoad_act!T53*100)</f>
        <v>29.640191766892578</v>
      </c>
      <c r="U83" s="130">
        <f>IF(U52=0,0,U52/TrRoad_act!U53*100)</f>
        <v>29.729107010969496</v>
      </c>
      <c r="V83" s="130">
        <f>IF(V52=0,0,V52/TrRoad_act!V53*100)</f>
        <v>25.339062050244042</v>
      </c>
      <c r="W83" s="130">
        <f>IF(W52=0,0,W52/TrRoad_act!W53*100)</f>
        <v>38.56313796718841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21.399325142763221</v>
      </c>
      <c r="C84" s="97">
        <f>IF(C53=0,0,C53/TrRoad_act!C54*100)</f>
        <v>33.134633038913201</v>
      </c>
      <c r="D84" s="97">
        <f>IF(D53=0,0,D53/TrRoad_act!D54*100)</f>
        <v>33.197780934716782</v>
      </c>
      <c r="E84" s="97">
        <f>IF(E53=0,0,E53/TrRoad_act!E54*100)</f>
        <v>33.133689532298014</v>
      </c>
      <c r="F84" s="97">
        <f>IF(F53=0,0,F53/TrRoad_act!F54*100)</f>
        <v>29.841463353782029</v>
      </c>
      <c r="G84" s="97">
        <f>IF(G53=0,0,G53/TrRoad_act!G54*100)</f>
        <v>29.093280298033957</v>
      </c>
      <c r="H84" s="97">
        <f>IF(H53=0,0,H53/TrRoad_act!H54*100)</f>
        <v>39.467825831201459</v>
      </c>
      <c r="I84" s="97">
        <f>IF(I53=0,0,I53/TrRoad_act!I54*100)</f>
        <v>37.947745496888622</v>
      </c>
      <c r="J84" s="97">
        <f>IF(J53=0,0,J53/TrRoad_act!J54*100)</f>
        <v>29.775407731697616</v>
      </c>
      <c r="K84" s="97">
        <f>IF(K53=0,0,K53/TrRoad_act!K54*100)</f>
        <v>26.430361527218722</v>
      </c>
      <c r="L84" s="97">
        <f>IF(L53=0,0,L53/TrRoad_act!L54*100)</f>
        <v>20.105828386574085</v>
      </c>
      <c r="M84" s="97">
        <f>IF(M53=0,0,M53/TrRoad_act!M54*100)</f>
        <v>26.326088059617845</v>
      </c>
      <c r="N84" s="97">
        <f>IF(N53=0,0,N53/TrRoad_act!N54*100)</f>
        <v>36.056297362674933</v>
      </c>
      <c r="O84" s="97">
        <f>IF(O53=0,0,O53/TrRoad_act!O54*100)</f>
        <v>28.399115183790148</v>
      </c>
      <c r="P84" s="97">
        <f>IF(P53=0,0,P53/TrRoad_act!P54*100)</f>
        <v>26.825213269818821</v>
      </c>
      <c r="Q84" s="97">
        <f>IF(Q53=0,0,Q53/TrRoad_act!Q54*100)</f>
        <v>29.354275292015323</v>
      </c>
      <c r="R84" s="97">
        <f>IF(R53=0,0,R53/TrRoad_act!R54*100)</f>
        <v>30.131242134430163</v>
      </c>
      <c r="S84" s="97">
        <f>IF(S53=0,0,S53/TrRoad_act!S54*100)</f>
        <v>17.411605906398563</v>
      </c>
      <c r="T84" s="97">
        <f>IF(T53=0,0,T53/TrRoad_act!T54*100)</f>
        <v>29.275667272349033</v>
      </c>
      <c r="U84" s="97">
        <f>IF(U53=0,0,U53/TrRoad_act!U54*100)</f>
        <v>29.253119135697027</v>
      </c>
      <c r="V84" s="97">
        <f>IF(V53=0,0,V53/TrRoad_act!V54*100)</f>
        <v>24.904117549339055</v>
      </c>
      <c r="W84" s="97">
        <f>IF(W53=0,0,W53/TrRoad_act!W54*100)</f>
        <v>37.714538393658586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22.143667694762318</v>
      </c>
      <c r="C85" s="98">
        <f>IF(C55=0,0,C55/TrRoad_act!C55*100)</f>
        <v>33.869625456839785</v>
      </c>
      <c r="D85" s="98">
        <f>IF(D55=0,0,D55/TrRoad_act!D55*100)</f>
        <v>33.599087362627003</v>
      </c>
      <c r="E85" s="98">
        <f>IF(E55=0,0,E55/TrRoad_act!E55*100)</f>
        <v>33.28443026909369</v>
      </c>
      <c r="F85" s="98">
        <f>IF(F55=0,0,F55/TrRoad_act!F55*100)</f>
        <v>29.590202910526038</v>
      </c>
      <c r="G85" s="98">
        <f>IF(G55=0,0,G55/TrRoad_act!G55*100)</f>
        <v>28.707897795118065</v>
      </c>
      <c r="H85" s="98">
        <f>IF(H55=0,0,H55/TrRoad_act!H55*100)</f>
        <v>38.765112972050346</v>
      </c>
      <c r="I85" s="98">
        <f>IF(I55=0,0,I55/TrRoad_act!I55*100)</f>
        <v>37.204915596697951</v>
      </c>
      <c r="J85" s="98">
        <f>IF(J55=0,0,J55/TrRoad_act!J55*100)</f>
        <v>29.138954474305397</v>
      </c>
      <c r="K85" s="98">
        <f>IF(K55=0,0,K55/TrRoad_act!K55*100)</f>
        <v>25.919684934048881</v>
      </c>
      <c r="L85" s="98">
        <f>IF(L55=0,0,L55/TrRoad_act!L55*100)</f>
        <v>19.846075112536095</v>
      </c>
      <c r="M85" s="98">
        <f>IF(M55=0,0,M55/TrRoad_act!M55*100)</f>
        <v>26.178155394188689</v>
      </c>
      <c r="N85" s="98">
        <f>IF(N55=0,0,N55/TrRoad_act!N55*100)</f>
        <v>36.101150633602131</v>
      </c>
      <c r="O85" s="98">
        <f>IF(O55=0,0,O55/TrRoad_act!O55*100)</f>
        <v>28.616475459050832</v>
      </c>
      <c r="P85" s="98">
        <f>IF(P55=0,0,P55/TrRoad_act!P55*100)</f>
        <v>27.243453377498589</v>
      </c>
      <c r="Q85" s="98">
        <f>IF(Q55=0,0,Q55/TrRoad_act!Q55*100)</f>
        <v>30.072661149595625</v>
      </c>
      <c r="R85" s="98">
        <f>IF(R55=0,0,R55/TrRoad_act!R55*100)</f>
        <v>30.931425091788263</v>
      </c>
      <c r="S85" s="98">
        <f>IF(S55=0,0,S55/TrRoad_act!S55*100)</f>
        <v>17.970522257650526</v>
      </c>
      <c r="T85" s="98">
        <f>IF(T55=0,0,T55/TrRoad_act!T55*100)</f>
        <v>30.699464329052685</v>
      </c>
      <c r="U85" s="98">
        <f>IF(U55=0,0,U55/TrRoad_act!U55*100)</f>
        <v>31.131521068304085</v>
      </c>
      <c r="V85" s="98">
        <f>IF(V55=0,0,V55/TrRoad_act!V55*100)</f>
        <v>26.589235704682423</v>
      </c>
      <c r="W85" s="98">
        <f>IF(W55=0,0,W55/TrRoad_act!W55*100)</f>
        <v>40.911123233110288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31.785879044644783</v>
      </c>
      <c r="C88" s="29">
        <f>IF(TrRoad_act!C4=0,0,C18/TrRoad_act!C4*1000)</f>
        <v>31.663658565145226</v>
      </c>
      <c r="D88" s="29">
        <f>IF(TrRoad_act!D4=0,0,D18/TrRoad_act!D4*1000)</f>
        <v>32.323310937161878</v>
      </c>
      <c r="E88" s="29">
        <f>IF(TrRoad_act!E4=0,0,E18/TrRoad_act!E4*1000)</f>
        <v>31.946637768903983</v>
      </c>
      <c r="F88" s="29">
        <f>IF(TrRoad_act!F4=0,0,F18/TrRoad_act!F4*1000)</f>
        <v>32.049703921568288</v>
      </c>
      <c r="G88" s="29">
        <f>IF(TrRoad_act!G4=0,0,G18/TrRoad_act!G4*1000)</f>
        <v>32.737940798816254</v>
      </c>
      <c r="H88" s="29">
        <f>IF(TrRoad_act!H4=0,0,H18/TrRoad_act!H4*1000)</f>
        <v>33.48390880741578</v>
      </c>
      <c r="I88" s="29">
        <f>IF(TrRoad_act!I4=0,0,I18/TrRoad_act!I4*1000)</f>
        <v>33.516278520733387</v>
      </c>
      <c r="J88" s="29">
        <f>IF(TrRoad_act!J4=0,0,J18/TrRoad_act!J4*1000)</f>
        <v>32.924456320954576</v>
      </c>
      <c r="K88" s="29">
        <f>IF(TrRoad_act!K4=0,0,K18/TrRoad_act!K4*1000)</f>
        <v>30.857671502169492</v>
      </c>
      <c r="L88" s="29">
        <f>IF(TrRoad_act!L4=0,0,L18/TrRoad_act!L4*1000)</f>
        <v>31.214345032724079</v>
      </c>
      <c r="M88" s="29">
        <f>IF(TrRoad_act!M4=0,0,M18/TrRoad_act!M4*1000)</f>
        <v>31.733267612874567</v>
      </c>
      <c r="N88" s="29">
        <f>IF(TrRoad_act!N4=0,0,N18/TrRoad_act!N4*1000)</f>
        <v>33.165134347937304</v>
      </c>
      <c r="O88" s="29">
        <f>IF(TrRoad_act!O4=0,0,O18/TrRoad_act!O4*1000)</f>
        <v>32.326931677317795</v>
      </c>
      <c r="P88" s="29">
        <f>IF(TrRoad_act!P4=0,0,P18/TrRoad_act!P4*1000)</f>
        <v>33.373695188605815</v>
      </c>
      <c r="Q88" s="29">
        <f>IF(TrRoad_act!Q4=0,0,Q18/TrRoad_act!Q4*1000)</f>
        <v>32.343484370246586</v>
      </c>
      <c r="R88" s="29">
        <f>IF(TrRoad_act!R4=0,0,R18/TrRoad_act!R4*1000)</f>
        <v>30.839862033053706</v>
      </c>
      <c r="S88" s="29">
        <f>IF(TrRoad_act!S4=0,0,S18/TrRoad_act!S4*1000)</f>
        <v>29.192297487403042</v>
      </c>
      <c r="T88" s="29">
        <f>IF(TrRoad_act!T4=0,0,T18/TrRoad_act!T4*1000)</f>
        <v>29.843829893533439</v>
      </c>
      <c r="U88" s="29">
        <f>IF(TrRoad_act!U4=0,0,U18/TrRoad_act!U4*1000)</f>
        <v>29.510481019372502</v>
      </c>
      <c r="V88" s="29">
        <f>IF(TrRoad_act!V4=0,0,V18/TrRoad_act!V4*1000)</f>
        <v>35.004792896216642</v>
      </c>
      <c r="W88" s="29">
        <f>IF(TrRoad_act!W4=0,0,W18/TrRoad_act!W4*1000)</f>
        <v>37.030622208674686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31.482044492145462</v>
      </c>
      <c r="C89" s="152">
        <f>IF(TrRoad_act!C5=0,0,C19/TrRoad_act!C5*1000)</f>
        <v>30.658706335229748</v>
      </c>
      <c r="D89" s="152">
        <f>IF(TrRoad_act!D5=0,0,D19/TrRoad_act!D5*1000)</f>
        <v>30.484442857701509</v>
      </c>
      <c r="E89" s="152">
        <f>IF(TrRoad_act!E5=0,0,E19/TrRoad_act!E5*1000)</f>
        <v>30.177148891288923</v>
      </c>
      <c r="F89" s="152">
        <f>IF(TrRoad_act!F5=0,0,F19/TrRoad_act!F5*1000)</f>
        <v>29.536828787379079</v>
      </c>
      <c r="G89" s="152">
        <f>IF(TrRoad_act!G5=0,0,G19/TrRoad_act!G5*1000)</f>
        <v>29.426549243385566</v>
      </c>
      <c r="H89" s="152">
        <f>IF(TrRoad_act!H5=0,0,H19/TrRoad_act!H5*1000)</f>
        <v>28.747122362309618</v>
      </c>
      <c r="I89" s="152">
        <f>IF(TrRoad_act!I5=0,0,I19/TrRoad_act!I5*1000)</f>
        <v>28.744006879342056</v>
      </c>
      <c r="J89" s="152">
        <f>IF(TrRoad_act!J5=0,0,J19/TrRoad_act!J5*1000)</f>
        <v>28.118012845659074</v>
      </c>
      <c r="K89" s="152">
        <f>IF(TrRoad_act!K5=0,0,K19/TrRoad_act!K5*1000)</f>
        <v>28.612135988688639</v>
      </c>
      <c r="L89" s="152">
        <f>IF(TrRoad_act!L5=0,0,L19/TrRoad_act!L5*1000)</f>
        <v>28.779110496317241</v>
      </c>
      <c r="M89" s="152">
        <f>IF(TrRoad_act!M5=0,0,M19/TrRoad_act!M5*1000)</f>
        <v>27.146449471117595</v>
      </c>
      <c r="N89" s="152">
        <f>IF(TrRoad_act!N5=0,0,N19/TrRoad_act!N5*1000)</f>
        <v>26.463421227444464</v>
      </c>
      <c r="O89" s="152">
        <f>IF(TrRoad_act!O5=0,0,O19/TrRoad_act!O5*1000)</f>
        <v>26.084391766298374</v>
      </c>
      <c r="P89" s="152">
        <f>IF(TrRoad_act!P5=0,0,P19/TrRoad_act!P5*1000)</f>
        <v>26.474907421580443</v>
      </c>
      <c r="Q89" s="152">
        <f>IF(TrRoad_act!Q5=0,0,Q19/TrRoad_act!Q5*1000)</f>
        <v>27.419943344212005</v>
      </c>
      <c r="R89" s="152">
        <f>IF(TrRoad_act!R5=0,0,R19/TrRoad_act!R5*1000)</f>
        <v>27.166094816611441</v>
      </c>
      <c r="S89" s="152">
        <f>IF(TrRoad_act!S5=0,0,S19/TrRoad_act!S5*1000)</f>
        <v>27.081567205174665</v>
      </c>
      <c r="T89" s="152">
        <f>IF(TrRoad_act!T5=0,0,T19/TrRoad_act!T5*1000)</f>
        <v>26.986910976356697</v>
      </c>
      <c r="U89" s="152">
        <f>IF(TrRoad_act!U5=0,0,U19/TrRoad_act!U5*1000)</f>
        <v>26.842593204594252</v>
      </c>
      <c r="V89" s="152">
        <f>IF(TrRoad_act!V5=0,0,V19/TrRoad_act!V5*1000)</f>
        <v>26.788463408718613</v>
      </c>
      <c r="W89" s="152">
        <f>IF(TrRoad_act!W5=0,0,W19/TrRoad_act!W5*1000)</f>
        <v>25.384583272440082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32.987998385217253</v>
      </c>
      <c r="C90" s="116">
        <f>IF(TrRoad_act!C6=0,0,C21/TrRoad_act!C6*1000)</f>
        <v>32.976996877231251</v>
      </c>
      <c r="D90" s="116">
        <f>IF(TrRoad_act!D6=0,0,D21/TrRoad_act!D6*1000)</f>
        <v>33.820106197650134</v>
      </c>
      <c r="E90" s="116">
        <f>IF(TrRoad_act!E6=0,0,E21/TrRoad_act!E6*1000)</f>
        <v>33.436070396753003</v>
      </c>
      <c r="F90" s="116">
        <f>IF(TrRoad_act!F6=0,0,F21/TrRoad_act!F6*1000)</f>
        <v>33.641920932420327</v>
      </c>
      <c r="G90" s="116">
        <f>IF(TrRoad_act!G6=0,0,G21/TrRoad_act!G6*1000)</f>
        <v>34.662898342413165</v>
      </c>
      <c r="H90" s="116">
        <f>IF(TrRoad_act!H6=0,0,H21/TrRoad_act!H6*1000)</f>
        <v>35.690240540210304</v>
      </c>
      <c r="I90" s="116">
        <f>IF(TrRoad_act!I6=0,0,I21/TrRoad_act!I6*1000)</f>
        <v>35.675202377537808</v>
      </c>
      <c r="J90" s="116">
        <f>IF(TrRoad_act!J6=0,0,J21/TrRoad_act!J6*1000)</f>
        <v>34.97742313575182</v>
      </c>
      <c r="K90" s="116">
        <f>IF(TrRoad_act!K6=0,0,K21/TrRoad_act!K6*1000)</f>
        <v>32.302914090857016</v>
      </c>
      <c r="L90" s="116">
        <f>IF(TrRoad_act!L6=0,0,L21/TrRoad_act!L6*1000)</f>
        <v>32.741131373397053</v>
      </c>
      <c r="M90" s="116">
        <f>IF(TrRoad_act!M6=0,0,M21/TrRoad_act!M6*1000)</f>
        <v>33.480563384557463</v>
      </c>
      <c r="N90" s="116">
        <f>IF(TrRoad_act!N6=0,0,N21/TrRoad_act!N6*1000)</f>
        <v>35.665572642407923</v>
      </c>
      <c r="O90" s="116">
        <f>IF(TrRoad_act!O6=0,0,O21/TrRoad_act!O6*1000)</f>
        <v>34.479389171553002</v>
      </c>
      <c r="P90" s="116">
        <f>IF(TrRoad_act!P6=0,0,P21/TrRoad_act!P6*1000)</f>
        <v>35.683795100049153</v>
      </c>
      <c r="Q90" s="116">
        <f>IF(TrRoad_act!Q6=0,0,Q21/TrRoad_act!Q6*1000)</f>
        <v>34.155154699732854</v>
      </c>
      <c r="R90" s="116">
        <f>IF(TrRoad_act!R6=0,0,R21/TrRoad_act!R6*1000)</f>
        <v>32.306660570537851</v>
      </c>
      <c r="S90" s="116">
        <f>IF(TrRoad_act!S6=0,0,S21/TrRoad_act!S6*1000)</f>
        <v>30.255747548507944</v>
      </c>
      <c r="T90" s="116">
        <f>IF(TrRoad_act!T6=0,0,T21/TrRoad_act!T6*1000)</f>
        <v>31.049759044359956</v>
      </c>
      <c r="U90" s="116">
        <f>IF(TrRoad_act!U6=0,0,U21/TrRoad_act!U6*1000)</f>
        <v>30.645163809169784</v>
      </c>
      <c r="V90" s="116">
        <f>IF(TrRoad_act!V6=0,0,V21/TrRoad_act!V6*1000)</f>
        <v>34.993196974542933</v>
      </c>
      <c r="W90" s="116">
        <f>IF(TrRoad_act!W6=0,0,W21/TrRoad_act!W6*1000)</f>
        <v>38.938608421719735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32.258235033766745</v>
      </c>
      <c r="C91" s="87">
        <f>IF(TrRoad_act!C7=0,0,C22/TrRoad_act!C7*1000)</f>
        <v>32.68201820146983</v>
      </c>
      <c r="D91" s="87">
        <f>IF(TrRoad_act!D7=0,0,D22/TrRoad_act!D7*1000)</f>
        <v>33.870116106683156</v>
      </c>
      <c r="E91" s="87">
        <f>IF(TrRoad_act!E7=0,0,E22/TrRoad_act!E7*1000)</f>
        <v>33.53868484974987</v>
      </c>
      <c r="F91" s="87">
        <f>IF(TrRoad_act!F7=0,0,F22/TrRoad_act!F7*1000)</f>
        <v>34.7153051691147</v>
      </c>
      <c r="G91" s="87">
        <f>IF(TrRoad_act!G7=0,0,G22/TrRoad_act!G7*1000)</f>
        <v>36.354167671474421</v>
      </c>
      <c r="H91" s="87">
        <f>IF(TrRoad_act!H7=0,0,H22/TrRoad_act!H7*1000)</f>
        <v>40.05121633472114</v>
      </c>
      <c r="I91" s="87">
        <f>IF(TrRoad_act!I7=0,0,I22/TrRoad_act!I7*1000)</f>
        <v>39.192241121367587</v>
      </c>
      <c r="J91" s="87">
        <f>IF(TrRoad_act!J7=0,0,J22/TrRoad_act!J7*1000)</f>
        <v>35.974212476346374</v>
      </c>
      <c r="K91" s="87">
        <f>IF(TrRoad_act!K7=0,0,K22/TrRoad_act!K7*1000)</f>
        <v>32.094801979241062</v>
      </c>
      <c r="L91" s="87">
        <f>IF(TrRoad_act!L7=0,0,L22/TrRoad_act!L7*1000)</f>
        <v>31.295145262156183</v>
      </c>
      <c r="M91" s="87">
        <f>IF(TrRoad_act!M7=0,0,M22/TrRoad_act!M7*1000)</f>
        <v>31.7613700602164</v>
      </c>
      <c r="N91" s="87">
        <f>IF(TrRoad_act!N7=0,0,N22/TrRoad_act!N7*1000)</f>
        <v>34.814902275198413</v>
      </c>
      <c r="O91" s="87">
        <f>IF(TrRoad_act!O7=0,0,O22/TrRoad_act!O7*1000)</f>
        <v>32.8538657907756</v>
      </c>
      <c r="P91" s="87">
        <f>IF(TrRoad_act!P7=0,0,P22/TrRoad_act!P7*1000)</f>
        <v>33.93997533246602</v>
      </c>
      <c r="Q91" s="87">
        <f>IF(TrRoad_act!Q7=0,0,Q22/TrRoad_act!Q7*1000)</f>
        <v>32.545392085399513</v>
      </c>
      <c r="R91" s="87">
        <f>IF(TrRoad_act!R7=0,0,R22/TrRoad_act!R7*1000)</f>
        <v>30.101580178167346</v>
      </c>
      <c r="S91" s="87">
        <f>IF(TrRoad_act!S7=0,0,S22/TrRoad_act!S7*1000)</f>
        <v>29.049958230269581</v>
      </c>
      <c r="T91" s="87">
        <f>IF(TrRoad_act!T7=0,0,T22/TrRoad_act!T7*1000)</f>
        <v>32.095534563835976</v>
      </c>
      <c r="U91" s="87">
        <f>IF(TrRoad_act!U7=0,0,U22/TrRoad_act!U7*1000)</f>
        <v>31.445478139106918</v>
      </c>
      <c r="V91" s="87">
        <f>IF(TrRoad_act!V7=0,0,V22/TrRoad_act!V7*1000)</f>
        <v>36.809151382081424</v>
      </c>
      <c r="W91" s="87">
        <f>IF(TrRoad_act!W7=0,0,W22/TrRoad_act!W7*1000)</f>
        <v>42.91023454742151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34.252043147950062</v>
      </c>
      <c r="C92" s="87">
        <f>IF(TrRoad_act!C8=0,0,C24/TrRoad_act!C8*1000)</f>
        <v>32.620580234589163</v>
      </c>
      <c r="D92" s="87">
        <f>IF(TrRoad_act!D8=0,0,D24/TrRoad_act!D8*1000)</f>
        <v>33.004674428689199</v>
      </c>
      <c r="E92" s="87">
        <f>IF(TrRoad_act!E8=0,0,E24/TrRoad_act!E8*1000)</f>
        <v>32.611455503784178</v>
      </c>
      <c r="F92" s="87">
        <f>IF(TrRoad_act!F8=0,0,F24/TrRoad_act!F8*1000)</f>
        <v>32.055980483715423</v>
      </c>
      <c r="G92" s="87">
        <f>IF(TrRoad_act!G8=0,0,G24/TrRoad_act!G8*1000)</f>
        <v>32.761955602883823</v>
      </c>
      <c r="H92" s="87">
        <f>IF(TrRoad_act!H8=0,0,H24/TrRoad_act!H8*1000)</f>
        <v>32.232092752964917</v>
      </c>
      <c r="I92" s="87">
        <f>IF(TrRoad_act!I8=0,0,I24/TrRoad_act!I8*1000)</f>
        <v>33.165329745476285</v>
      </c>
      <c r="J92" s="87">
        <f>IF(TrRoad_act!J8=0,0,J24/TrRoad_act!J8*1000)</f>
        <v>33.917271583836417</v>
      </c>
      <c r="K92" s="87">
        <f>IF(TrRoad_act!K8=0,0,K24/TrRoad_act!K8*1000)</f>
        <v>32.220985929276551</v>
      </c>
      <c r="L92" s="87">
        <f>IF(TrRoad_act!L8=0,0,L24/TrRoad_act!L8*1000)</f>
        <v>33.597991801051805</v>
      </c>
      <c r="M92" s="87">
        <f>IF(TrRoad_act!M8=0,0,M24/TrRoad_act!M8*1000)</f>
        <v>34.297962826654789</v>
      </c>
      <c r="N92" s="87">
        <f>IF(TrRoad_act!N8=0,0,N24/TrRoad_act!N8*1000)</f>
        <v>35.518204805659636</v>
      </c>
      <c r="O92" s="87">
        <f>IF(TrRoad_act!O8=0,0,O24/TrRoad_act!O8*1000)</f>
        <v>34.925630884025146</v>
      </c>
      <c r="P92" s="87">
        <f>IF(TrRoad_act!P8=0,0,P24/TrRoad_act!P8*1000)</f>
        <v>36.190453526855116</v>
      </c>
      <c r="Q92" s="87">
        <f>IF(TrRoad_act!Q8=0,0,Q24/TrRoad_act!Q8*1000)</f>
        <v>34.676859496840969</v>
      </c>
      <c r="R92" s="87">
        <f>IF(TrRoad_act!R8=0,0,R24/TrRoad_act!R8*1000)</f>
        <v>33.096993832245843</v>
      </c>
      <c r="S92" s="87">
        <f>IF(TrRoad_act!S8=0,0,S24/TrRoad_act!S8*1000)</f>
        <v>30.554060459300914</v>
      </c>
      <c r="T92" s="87">
        <f>IF(TrRoad_act!T8=0,0,T24/TrRoad_act!T8*1000)</f>
        <v>30.575690110235232</v>
      </c>
      <c r="U92" s="87">
        <f>IF(TrRoad_act!U8=0,0,U24/TrRoad_act!U8*1000)</f>
        <v>30.196100245382702</v>
      </c>
      <c r="V92" s="87">
        <f>IF(TrRoad_act!V8=0,0,V24/TrRoad_act!V8*1000)</f>
        <v>33.93688371733306</v>
      </c>
      <c r="W92" s="87">
        <f>IF(TrRoad_act!W8=0,0,W24/TrRoad_act!W8*1000)</f>
        <v>37.926027191717154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34.804098147351439</v>
      </c>
      <c r="C93" s="87">
        <f>IF(TrRoad_act!C9=0,0,C26/TrRoad_act!C9*1000)</f>
        <v>36.222665847835138</v>
      </c>
      <c r="D93" s="87">
        <f>IF(TrRoad_act!D9=0,0,D26/TrRoad_act!D9*1000)</f>
        <v>36.414543246007781</v>
      </c>
      <c r="E93" s="87">
        <f>IF(TrRoad_act!E9=0,0,E26/TrRoad_act!E9*1000)</f>
        <v>36.057354898878941</v>
      </c>
      <c r="F93" s="87">
        <f>IF(TrRoad_act!F9=0,0,F26/TrRoad_act!F9*1000)</f>
        <v>33.242428270638491</v>
      </c>
      <c r="G93" s="87">
        <f>IF(TrRoad_act!G9=0,0,G26/TrRoad_act!G9*1000)</f>
        <v>31.927415595008597</v>
      </c>
      <c r="H93" s="87">
        <f>IF(TrRoad_act!H9=0,0,H26/TrRoad_act!H9*1000)</f>
        <v>30.823677781850016</v>
      </c>
      <c r="I93" s="87">
        <f>IF(TrRoad_act!I9=0,0,I26/TrRoad_act!I9*1000)</f>
        <v>30.26233941443499</v>
      </c>
      <c r="J93" s="87">
        <f>IF(TrRoad_act!J9=0,0,J26/TrRoad_act!J9*1000)</f>
        <v>35.326192037071188</v>
      </c>
      <c r="K93" s="87">
        <f>IF(TrRoad_act!K9=0,0,K26/TrRoad_act!K9*1000)</f>
        <v>33.0452232024873</v>
      </c>
      <c r="L93" s="87">
        <f>IF(TrRoad_act!L9=0,0,L26/TrRoad_act!L9*1000)</f>
        <v>32.739199889074023</v>
      </c>
      <c r="M93" s="87">
        <f>IF(TrRoad_act!M9=0,0,M26/TrRoad_act!M9*1000)</f>
        <v>35.617680119902623</v>
      </c>
      <c r="N93" s="87">
        <f>IF(TrRoad_act!N9=0,0,N26/TrRoad_act!N9*1000)</f>
        <v>38.870589895104928</v>
      </c>
      <c r="O93" s="87">
        <f>IF(TrRoad_act!O9=0,0,O26/TrRoad_act!O9*1000)</f>
        <v>36.756627720030053</v>
      </c>
      <c r="P93" s="87">
        <f>IF(TrRoad_act!P9=0,0,P26/TrRoad_act!P9*1000)</f>
        <v>37.893116684941781</v>
      </c>
      <c r="Q93" s="87">
        <f>IF(TrRoad_act!Q9=0,0,Q26/TrRoad_act!Q9*1000)</f>
        <v>35.097628700455395</v>
      </c>
      <c r="R93" s="87">
        <f>IF(TrRoad_act!R9=0,0,R26/TrRoad_act!R9*1000)</f>
        <v>33.089282792766106</v>
      </c>
      <c r="S93" s="87">
        <f>IF(TrRoad_act!S9=0,0,S26/TrRoad_act!S9*1000)</f>
        <v>31.986685194209233</v>
      </c>
      <c r="T93" s="87">
        <f>IF(TrRoad_act!T9=0,0,T26/TrRoad_act!T9*1000)</f>
        <v>30.578598573106579</v>
      </c>
      <c r="U93" s="87">
        <f>IF(TrRoad_act!U9=0,0,U26/TrRoad_act!U9*1000)</f>
        <v>29.825888383823553</v>
      </c>
      <c r="V93" s="87">
        <f>IF(TrRoad_act!V9=0,0,V26/TrRoad_act!V9*1000)</f>
        <v>35.053450773971747</v>
      </c>
      <c r="W93" s="87">
        <f>IF(TrRoad_act!W9=0,0,W26/TrRoad_act!W9*1000)</f>
        <v>34.553229710091721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40.99124669305467</v>
      </c>
      <c r="C94" s="87">
        <f>IF(TrRoad_act!C10=0,0,C27/TrRoad_act!C10*1000)</f>
        <v>41.642666093949899</v>
      </c>
      <c r="D94" s="87">
        <f>IF(TrRoad_act!D10=0,0,D27/TrRoad_act!D10*1000)</f>
        <v>41.168729399286256</v>
      </c>
      <c r="E94" s="87">
        <f>IF(TrRoad_act!E10=0,0,E27/TrRoad_act!E10*1000)</f>
        <v>41.185682273245931</v>
      </c>
      <c r="F94" s="87">
        <f>IF(TrRoad_act!F10=0,0,F27/TrRoad_act!F10*1000)</f>
        <v>42.17474326410764</v>
      </c>
      <c r="G94" s="87">
        <f>IF(TrRoad_act!G10=0,0,G27/TrRoad_act!G10*1000)</f>
        <v>43.881436928280571</v>
      </c>
      <c r="H94" s="87">
        <f>IF(TrRoad_act!H10=0,0,H27/TrRoad_act!H10*1000)</f>
        <v>45.060292537838137</v>
      </c>
      <c r="I94" s="87">
        <f>IF(TrRoad_act!I10=0,0,I27/TrRoad_act!I10*1000)</f>
        <v>44.163922817583099</v>
      </c>
      <c r="J94" s="87">
        <f>IF(TrRoad_act!J10=0,0,J27/TrRoad_act!J10*1000)</f>
        <v>43.073076908853032</v>
      </c>
      <c r="K94" s="87">
        <f>IF(TrRoad_act!K10=0,0,K27/TrRoad_act!K10*1000)</f>
        <v>37.040662059292494</v>
      </c>
      <c r="L94" s="87">
        <f>IF(TrRoad_act!L10=0,0,L27/TrRoad_act!L10*1000)</f>
        <v>40.814054248827226</v>
      </c>
      <c r="M94" s="87">
        <f>IF(TrRoad_act!M10=0,0,M27/TrRoad_act!M10*1000)</f>
        <v>41.577893386215344</v>
      </c>
      <c r="N94" s="87">
        <f>IF(TrRoad_act!N10=0,0,N27/TrRoad_act!N10*1000)</f>
        <v>44.889788693566352</v>
      </c>
      <c r="O94" s="87">
        <f>IF(TrRoad_act!O10=0,0,O27/TrRoad_act!O10*1000)</f>
        <v>41.959173486097356</v>
      </c>
      <c r="P94" s="87">
        <f>IF(TrRoad_act!P10=0,0,P27/TrRoad_act!P10*1000)</f>
        <v>41.648836178833335</v>
      </c>
      <c r="Q94" s="87">
        <f>IF(TrRoad_act!Q10=0,0,Q27/TrRoad_act!Q10*1000)</f>
        <v>39.915493751116486</v>
      </c>
      <c r="R94" s="87">
        <f>IF(TrRoad_act!R10=0,0,R27/TrRoad_act!R10*1000)</f>
        <v>38.049201973893062</v>
      </c>
      <c r="S94" s="87">
        <f>IF(TrRoad_act!S10=0,0,S27/TrRoad_act!S10*1000)</f>
        <v>32.191592936616871</v>
      </c>
      <c r="T94" s="87">
        <f>IF(TrRoad_act!T10=0,0,T27/TrRoad_act!T10*1000)</f>
        <v>32.721559154531818</v>
      </c>
      <c r="U94" s="87">
        <f>IF(TrRoad_act!U10=0,0,U27/TrRoad_act!U10*1000)</f>
        <v>35.202233780051401</v>
      </c>
      <c r="V94" s="87">
        <f>IF(TrRoad_act!V10=0,0,V27/TrRoad_act!V10*1000)</f>
        <v>41.160262265681204</v>
      </c>
      <c r="W94" s="87">
        <f>IF(TrRoad_act!W10=0,0,W27/TrRoad_act!W10*1000)</f>
        <v>39.961214508446211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26.651144802744632</v>
      </c>
      <c r="O95" s="87">
        <f>IF(TrRoad_act!O11=0,0,O29/TrRoad_act!O11*1000)</f>
        <v>28.313424661146588</v>
      </c>
      <c r="P95" s="87">
        <f>IF(TrRoad_act!P11=0,0,P29/TrRoad_act!P11*1000)</f>
        <v>29.492272682972448</v>
      </c>
      <c r="Q95" s="87">
        <f>IF(TrRoad_act!Q11=0,0,Q29/TrRoad_act!Q11*1000)</f>
        <v>28.391284158576806</v>
      </c>
      <c r="R95" s="87">
        <f>IF(TrRoad_act!R11=0,0,R29/TrRoad_act!R11*1000)</f>
        <v>26.412602646452346</v>
      </c>
      <c r="S95" s="87">
        <f>IF(TrRoad_act!S11=0,0,S29/TrRoad_act!S11*1000)</f>
        <v>25.576145779373547</v>
      </c>
      <c r="T95" s="87">
        <f>IF(TrRoad_act!T11=0,0,T29/TrRoad_act!T11*1000)</f>
        <v>27.164973287045381</v>
      </c>
      <c r="U95" s="87">
        <f>IF(TrRoad_act!U11=0,0,U29/TrRoad_act!U11*1000)</f>
        <v>26.088391847828262</v>
      </c>
      <c r="V95" s="87">
        <f>IF(TrRoad_act!V11=0,0,V29/TrRoad_act!V11*1000)</f>
        <v>26.716484066861579</v>
      </c>
      <c r="W95" s="87">
        <f>IF(TrRoad_act!W11=0,0,W29/TrRoad_act!W11*1000)</f>
        <v>25.963060706294328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7.9157760540093847</v>
      </c>
      <c r="M96" s="87">
        <f>IF(TrRoad_act!M12=0,0,M32/TrRoad_act!M12*1000)</f>
        <v>8.1970426028269294</v>
      </c>
      <c r="N96" s="87">
        <f>IF(TrRoad_act!N12=0,0,N32/TrRoad_act!N12*1000)</f>
        <v>8.9570047980892689</v>
      </c>
      <c r="O96" s="87">
        <f>IF(TrRoad_act!O12=0,0,O32/TrRoad_act!O12*1000)</f>
        <v>8.4431977212939966</v>
      </c>
      <c r="P96" s="87">
        <f>IF(TrRoad_act!P12=0,0,P32/TrRoad_act!P12*1000)</f>
        <v>8.7199434069440951</v>
      </c>
      <c r="Q96" s="87">
        <f>IF(TrRoad_act!Q12=0,0,Q32/TrRoad_act!Q12*1000)</f>
        <v>8.1845125729708741</v>
      </c>
      <c r="R96" s="87">
        <f>IF(TrRoad_act!R12=0,0,R32/TrRoad_act!R12*1000)</f>
        <v>7.9641838845668831</v>
      </c>
      <c r="S96" s="87">
        <f>IF(TrRoad_act!S12=0,0,S32/TrRoad_act!S12*1000)</f>
        <v>7.6552404135483618</v>
      </c>
      <c r="T96" s="87">
        <f>IF(TrRoad_act!T12=0,0,T32/TrRoad_act!T12*1000)</f>
        <v>7.5418484790005387</v>
      </c>
      <c r="U96" s="87">
        <f>IF(TrRoad_act!U12=0,0,U32/TrRoad_act!U12*1000)</f>
        <v>8.2104722438771258</v>
      </c>
      <c r="V96" s="87">
        <f>IF(TrRoad_act!V12=0,0,V32/TrRoad_act!V12*1000)</f>
        <v>10.310622492723525</v>
      </c>
      <c r="W96" s="87">
        <f>IF(TrRoad_act!W12=0,0,W32/TrRoad_act!W12*1000)</f>
        <v>9.8864423357738609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22.74738204473832</v>
      </c>
      <c r="C97" s="116">
        <f>IF(TrRoad_act!C13=0,0,C33/TrRoad_act!C13*1000)</f>
        <v>22.30562572055598</v>
      </c>
      <c r="D97" s="116">
        <f>IF(TrRoad_act!D13=0,0,D33/TrRoad_act!D13*1000)</f>
        <v>22.102050454147406</v>
      </c>
      <c r="E97" s="116">
        <f>IF(TrRoad_act!E13=0,0,E33/TrRoad_act!E13*1000)</f>
        <v>21.832536501746709</v>
      </c>
      <c r="F97" s="116">
        <f>IF(TrRoad_act!F13=0,0,F33/TrRoad_act!F13*1000)</f>
        <v>21.696902298637973</v>
      </c>
      <c r="G97" s="116">
        <f>IF(TrRoad_act!G13=0,0,G33/TrRoad_act!G13*1000)</f>
        <v>21.461959955437667</v>
      </c>
      <c r="H97" s="116">
        <f>IF(TrRoad_act!H13=0,0,H33/TrRoad_act!H13*1000)</f>
        <v>21.20256288895035</v>
      </c>
      <c r="I97" s="116">
        <f>IF(TrRoad_act!I13=0,0,I33/TrRoad_act!I13*1000)</f>
        <v>21.223981452318093</v>
      </c>
      <c r="J97" s="116">
        <f>IF(TrRoad_act!J13=0,0,J33/TrRoad_act!J13*1000)</f>
        <v>21.454511561063416</v>
      </c>
      <c r="K97" s="116">
        <f>IF(TrRoad_act!K13=0,0,K33/TrRoad_act!K13*1000)</f>
        <v>21.509499967475424</v>
      </c>
      <c r="L97" s="116">
        <f>IF(TrRoad_act!L13=0,0,L33/TrRoad_act!L13*1000)</f>
        <v>21.737171993618205</v>
      </c>
      <c r="M97" s="116">
        <f>IF(TrRoad_act!M13=0,0,M33/TrRoad_act!M13*1000)</f>
        <v>22.32249816013428</v>
      </c>
      <c r="N97" s="116">
        <f>IF(TrRoad_act!N13=0,0,N33/TrRoad_act!N13*1000)</f>
        <v>21.704933985452723</v>
      </c>
      <c r="O97" s="116">
        <f>IF(TrRoad_act!O13=0,0,O33/TrRoad_act!O13*1000)</f>
        <v>21.739032665682018</v>
      </c>
      <c r="P97" s="116">
        <f>IF(TrRoad_act!P13=0,0,P33/TrRoad_act!P13*1000)</f>
        <v>21.666229502756874</v>
      </c>
      <c r="Q97" s="116">
        <f>IF(TrRoad_act!Q13=0,0,Q33/TrRoad_act!Q13*1000)</f>
        <v>22.258125479491149</v>
      </c>
      <c r="R97" s="116">
        <f>IF(TrRoad_act!R13=0,0,R33/TrRoad_act!R13*1000)</f>
        <v>22.16276685214978</v>
      </c>
      <c r="S97" s="116">
        <f>IF(TrRoad_act!S13=0,0,S33/TrRoad_act!S13*1000)</f>
        <v>22.245144852613688</v>
      </c>
      <c r="T97" s="116">
        <f>IF(TrRoad_act!T13=0,0,T33/TrRoad_act!T13*1000)</f>
        <v>22.364000783653875</v>
      </c>
      <c r="U97" s="116">
        <f>IF(TrRoad_act!U13=0,0,U33/TrRoad_act!U13*1000)</f>
        <v>22.508103151372747</v>
      </c>
      <c r="V97" s="116">
        <f>IF(TrRoad_act!V13=0,0,V33/TrRoad_act!V13*1000)</f>
        <v>39.896228711462918</v>
      </c>
      <c r="W97" s="116">
        <f>IF(TrRoad_act!W13=0,0,W33/TrRoad_act!W13*1000)</f>
        <v>29.840091743706996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18.00438684008531</v>
      </c>
      <c r="C98" s="101">
        <f>IF(TrRoad_act!C14=0,0,C34/TrRoad_act!C14*1000)</f>
        <v>18.004986605886739</v>
      </c>
      <c r="D98" s="101">
        <f>IF(TrRoad_act!D14=0,0,D34/TrRoad_act!D14*1000)</f>
        <v>18.006186197428811</v>
      </c>
      <c r="E98" s="101">
        <f>IF(TrRoad_act!E14=0,0,E34/TrRoad_act!E14*1000)</f>
        <v>18.00858562028851</v>
      </c>
      <c r="F98" s="101">
        <f>IF(TrRoad_act!F14=0,0,F34/TrRoad_act!F14*1000)</f>
        <v>18.013385425259187</v>
      </c>
      <c r="G98" s="101">
        <f>IF(TrRoad_act!G14=0,0,G34/TrRoad_act!G14*1000)</f>
        <v>18.022988873398898</v>
      </c>
      <c r="H98" s="101">
        <f>IF(TrRoad_act!H14=0,0,H34/TrRoad_act!H14*1000)</f>
        <v>18.042211132021954</v>
      </c>
      <c r="I98" s="101">
        <f>IF(TrRoad_act!I14=0,0,I34/TrRoad_act!I14*1000)</f>
        <v>18.006653319931807</v>
      </c>
      <c r="J98" s="101">
        <f>IF(TrRoad_act!J14=0,0,J34/TrRoad_act!J14*1000)</f>
        <v>17.829984400690915</v>
      </c>
      <c r="K98" s="101">
        <f>IF(TrRoad_act!K14=0,0,K34/TrRoad_act!K14*1000)</f>
        <v>17.861978963755746</v>
      </c>
      <c r="L98" s="101">
        <f>IF(TrRoad_act!L14=0,0,L34/TrRoad_act!L14*1000)</f>
        <v>17.914934551473682</v>
      </c>
      <c r="M98" s="101">
        <f>IF(TrRoad_act!M14=0,0,M34/TrRoad_act!M14*1000)</f>
        <v>18.135483476480744</v>
      </c>
      <c r="N98" s="101">
        <f>IF(TrRoad_act!N14=0,0,N34/TrRoad_act!N14*1000)</f>
        <v>17.444548311952978</v>
      </c>
      <c r="O98" s="101">
        <f>IF(TrRoad_act!O14=0,0,O34/TrRoad_act!O14*1000)</f>
        <v>15.447264608710064</v>
      </c>
      <c r="P98" s="101">
        <f>IF(TrRoad_act!P14=0,0,P34/TrRoad_act!P14*1000)</f>
        <v>14.464486087794942</v>
      </c>
      <c r="Q98" s="101">
        <f>IF(TrRoad_act!Q14=0,0,Q34/TrRoad_act!Q14*1000)</f>
        <v>14.578083020432159</v>
      </c>
      <c r="R98" s="101">
        <f>IF(TrRoad_act!R14=0,0,R34/TrRoad_act!R14*1000)</f>
        <v>14.57031623943911</v>
      </c>
      <c r="S98" s="101">
        <f>IF(TrRoad_act!S14=0,0,S34/TrRoad_act!S14*1000)</f>
        <v>14.512695857236867</v>
      </c>
      <c r="T98" s="101">
        <f>IF(TrRoad_act!T14=0,0,T34/TrRoad_act!T14*1000)</f>
        <v>14.465918686449891</v>
      </c>
      <c r="U98" s="101">
        <f>IF(TrRoad_act!U14=0,0,U34/TrRoad_act!U14*1000)</f>
        <v>14.071312507312941</v>
      </c>
      <c r="V98" s="101">
        <f>IF(TrRoad_act!V14=0,0,V34/TrRoad_act!V14*1000)</f>
        <v>19.676956267090432</v>
      </c>
      <c r="W98" s="101">
        <f>IF(TrRoad_act!W14=0,0,W34/TrRoad_act!W14*1000)</f>
        <v>18.13391662545396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22.966331786867286</v>
      </c>
      <c r="C99" s="101">
        <f>IF(TrRoad_act!C15=0,0,C36/TrRoad_act!C15*1000)</f>
        <v>22.503510468894984</v>
      </c>
      <c r="D99" s="101">
        <f>IF(TrRoad_act!D15=0,0,D36/TrRoad_act!D15*1000)</f>
        <v>22.265677236065184</v>
      </c>
      <c r="E99" s="101">
        <f>IF(TrRoad_act!E15=0,0,E36/TrRoad_act!E15*1000)</f>
        <v>22.085244917353382</v>
      </c>
      <c r="F99" s="101">
        <f>IF(TrRoad_act!F15=0,0,F36/TrRoad_act!F15*1000)</f>
        <v>21.947700920723847</v>
      </c>
      <c r="G99" s="101">
        <f>IF(TrRoad_act!G15=0,0,G36/TrRoad_act!G15*1000)</f>
        <v>21.843834649141058</v>
      </c>
      <c r="H99" s="101">
        <f>IF(TrRoad_act!H15=0,0,H36/TrRoad_act!H15*1000)</f>
        <v>21.78126299772099</v>
      </c>
      <c r="I99" s="101">
        <f>IF(TrRoad_act!I15=0,0,I36/TrRoad_act!I15*1000)</f>
        <v>21.777375478598778</v>
      </c>
      <c r="J99" s="101">
        <f>IF(TrRoad_act!J15=0,0,J36/TrRoad_act!J15*1000)</f>
        <v>21.824183862832548</v>
      </c>
      <c r="K99" s="101">
        <f>IF(TrRoad_act!K15=0,0,K36/TrRoad_act!K15*1000)</f>
        <v>22.0692848796491</v>
      </c>
      <c r="L99" s="101">
        <f>IF(TrRoad_act!L15=0,0,L36/TrRoad_act!L15*1000)</f>
        <v>22.309332022556728</v>
      </c>
      <c r="M99" s="101">
        <f>IF(TrRoad_act!M15=0,0,M36/TrRoad_act!M15*1000)</f>
        <v>22.730267282283464</v>
      </c>
      <c r="N99" s="101">
        <f>IF(TrRoad_act!N15=0,0,N36/TrRoad_act!N15*1000)</f>
        <v>21.941772652176525</v>
      </c>
      <c r="O99" s="101">
        <f>IF(TrRoad_act!O15=0,0,O36/TrRoad_act!O15*1000)</f>
        <v>21.984155437815303</v>
      </c>
      <c r="P99" s="101">
        <f>IF(TrRoad_act!P15=0,0,P36/TrRoad_act!P15*1000)</f>
        <v>22.028127148047446</v>
      </c>
      <c r="Q99" s="101">
        <f>IF(TrRoad_act!Q15=0,0,Q36/TrRoad_act!Q15*1000)</f>
        <v>22.483153481893204</v>
      </c>
      <c r="R99" s="101">
        <f>IF(TrRoad_act!R15=0,0,R36/TrRoad_act!R15*1000)</f>
        <v>22.614247614156366</v>
      </c>
      <c r="S99" s="101">
        <f>IF(TrRoad_act!S15=0,0,S36/TrRoad_act!S15*1000)</f>
        <v>22.753500715351525</v>
      </c>
      <c r="T99" s="101">
        <f>IF(TrRoad_act!T15=0,0,T36/TrRoad_act!T15*1000)</f>
        <v>22.925423066786657</v>
      </c>
      <c r="U99" s="101">
        <f>IF(TrRoad_act!U15=0,0,U36/TrRoad_act!U15*1000)</f>
        <v>23.064588963680478</v>
      </c>
      <c r="V99" s="101">
        <f>IF(TrRoad_act!V15=0,0,V36/TrRoad_act!V15*1000)</f>
        <v>41.687434544248767</v>
      </c>
      <c r="W99" s="101">
        <f>IF(TrRoad_act!W15=0,0,W36/TrRoad_act!W15*1000)</f>
        <v>30.25089207155056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19.237055431641078</v>
      </c>
      <c r="C100" s="101">
        <f>IF(TrRoad_act!C16=0,0,C38/TrRoad_act!C16*1000)</f>
        <v>18.959709554189352</v>
      </c>
      <c r="D100" s="101">
        <f>IF(TrRoad_act!D16=0,0,D38/TrRoad_act!D16*1000)</f>
        <v>18.951577817285518</v>
      </c>
      <c r="E100" s="101">
        <f>IF(TrRoad_act!E16=0,0,E38/TrRoad_act!E16*1000)</f>
        <v>18.681149278763449</v>
      </c>
      <c r="F100" s="101">
        <f>IF(TrRoad_act!F16=0,0,F38/TrRoad_act!F16*1000)</f>
        <v>18.258999522357513</v>
      </c>
      <c r="G100" s="101">
        <f>IF(TrRoad_act!G16=0,0,G38/TrRoad_act!G16*1000)</f>
        <v>18.127744006019174</v>
      </c>
      <c r="H100" s="101">
        <f>IF(TrRoad_act!H16=0,0,H38/TrRoad_act!H16*1000)</f>
        <v>18.129754442421802</v>
      </c>
      <c r="I100" s="101">
        <f>IF(TrRoad_act!I16=0,0,I38/TrRoad_act!I16*1000)</f>
        <v>18.15300911242225</v>
      </c>
      <c r="J100" s="101">
        <f>IF(TrRoad_act!J16=0,0,J38/TrRoad_act!J16*1000)</f>
        <v>18.244144610728991</v>
      </c>
      <c r="K100" s="101">
        <f>IF(TrRoad_act!K16=0,0,K38/TrRoad_act!K16*1000)</f>
        <v>18.49591991536542</v>
      </c>
      <c r="L100" s="101">
        <f>IF(TrRoad_act!L16=0,0,L38/TrRoad_act!L16*1000)</f>
        <v>18.722096591260552</v>
      </c>
      <c r="M100" s="101">
        <f>IF(TrRoad_act!M16=0,0,M38/TrRoad_act!M16*1000)</f>
        <v>19.059955803740323</v>
      </c>
      <c r="N100" s="101">
        <f>IF(TrRoad_act!N16=0,0,N38/TrRoad_act!N16*1000)</f>
        <v>18.379444398204686</v>
      </c>
      <c r="O100" s="101">
        <f>IF(TrRoad_act!O16=0,0,O38/TrRoad_act!O16*1000)</f>
        <v>18.35748030203694</v>
      </c>
      <c r="P100" s="101">
        <f>IF(TrRoad_act!P16=0,0,P38/TrRoad_act!P16*1000)</f>
        <v>18.321818321290475</v>
      </c>
      <c r="Q100" s="101">
        <f>IF(TrRoad_act!Q16=0,0,Q38/TrRoad_act!Q16*1000)</f>
        <v>18.572960361347729</v>
      </c>
      <c r="R100" s="101">
        <f>IF(TrRoad_act!R16=0,0,R38/TrRoad_act!R16*1000)</f>
        <v>18.566251535282415</v>
      </c>
      <c r="S100" s="101">
        <f>IF(TrRoad_act!S16=0,0,S38/TrRoad_act!S16*1000)</f>
        <v>18.559497393144003</v>
      </c>
      <c r="T100" s="101">
        <f>IF(TrRoad_act!T16=0,0,T38/TrRoad_act!T16*1000)</f>
        <v>18.826475261169698</v>
      </c>
      <c r="U100" s="101">
        <f>IF(TrRoad_act!U16=0,0,U38/TrRoad_act!U16*1000)</f>
        <v>18.821944079891811</v>
      </c>
      <c r="V100" s="101">
        <f>IF(TrRoad_act!V16=0,0,V38/TrRoad_act!V16*1000)</f>
        <v>33.857563969193009</v>
      </c>
      <c r="W100" s="101">
        <f>IF(TrRoad_act!W16=0,0,W38/TrRoad_act!W16*1000)</f>
        <v>24.458184038484646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1.7006534816007568</v>
      </c>
      <c r="C101" s="101">
        <f>IF(TrRoad_act!C17=0,0,C39/TrRoad_act!C17*1000)</f>
        <v>1.6803781196581622</v>
      </c>
      <c r="D101" s="101">
        <f>IF(TrRoad_act!D17=0,0,D39/TrRoad_act!D17*1000)</f>
        <v>1.679815934683226</v>
      </c>
      <c r="E101" s="101">
        <f>IF(TrRoad_act!E17=0,0,E39/TrRoad_act!E17*1000)</f>
        <v>1.6048605234224866</v>
      </c>
      <c r="F101" s="101">
        <f>IF(TrRoad_act!F17=0,0,F39/TrRoad_act!F17*1000)</f>
        <v>1.5980069857913084</v>
      </c>
      <c r="G101" s="101">
        <f>IF(TrRoad_act!G17=0,0,G39/TrRoad_act!G17*1000)</f>
        <v>1.570193771638825</v>
      </c>
      <c r="H101" s="101">
        <f>IF(TrRoad_act!H17=0,0,H39/TrRoad_act!H17*1000)</f>
        <v>1.5668296111608617</v>
      </c>
      <c r="I101" s="101">
        <f>IF(TrRoad_act!I17=0,0,I39/TrRoad_act!I17*1000)</f>
        <v>5.15567786710203</v>
      </c>
      <c r="J101" s="101">
        <f>IF(TrRoad_act!J17=0,0,J39/TrRoad_act!J17*1000)</f>
        <v>11.518225929264018</v>
      </c>
      <c r="K101" s="101">
        <f>IF(TrRoad_act!K17=0,0,K39/TrRoad_act!K17*1000)</f>
        <v>8.3863765169150692</v>
      </c>
      <c r="L101" s="101">
        <f>IF(TrRoad_act!L17=0,0,L39/TrRoad_act!L17*1000)</f>
        <v>8.9522175796054597</v>
      </c>
      <c r="M101" s="101">
        <f>IF(TrRoad_act!M17=0,0,M39/TrRoad_act!M17*1000)</f>
        <v>14.533375581080376</v>
      </c>
      <c r="N101" s="101">
        <f>IF(TrRoad_act!N17=0,0,N39/TrRoad_act!N17*1000)</f>
        <v>17.597472674694639</v>
      </c>
      <c r="O101" s="101">
        <f>IF(TrRoad_act!O17=0,0,O39/TrRoad_act!O17*1000)</f>
        <v>18.740987988507339</v>
      </c>
      <c r="P101" s="101">
        <f>IF(TrRoad_act!P17=0,0,P39/TrRoad_act!P17*1000)</f>
        <v>16.26914780835309</v>
      </c>
      <c r="Q101" s="101">
        <f>IF(TrRoad_act!Q17=0,0,Q39/TrRoad_act!Q17*1000)</f>
        <v>19.030474161461584</v>
      </c>
      <c r="R101" s="101">
        <f>IF(TrRoad_act!R17=0,0,R39/TrRoad_act!R17*1000)</f>
        <v>12.746394738494837</v>
      </c>
      <c r="S101" s="101">
        <f>IF(TrRoad_act!S17=0,0,S39/TrRoad_act!S17*1000)</f>
        <v>13.534489815144271</v>
      </c>
      <c r="T101" s="101">
        <f>IF(TrRoad_act!T17=0,0,T39/TrRoad_act!T17*1000)</f>
        <v>13.408283036774174</v>
      </c>
      <c r="U101" s="101">
        <f>IF(TrRoad_act!U17=0,0,U39/TrRoad_act!U17*1000)</f>
        <v>14.54182715347709</v>
      </c>
      <c r="V101" s="101">
        <f>IF(TrRoad_act!V17=0,0,V39/TrRoad_act!V17*1000)</f>
        <v>13.042084765722679</v>
      </c>
      <c r="W101" s="101">
        <f>IF(TrRoad_act!W17=0,0,W39/TrRoad_act!W17*1000)</f>
        <v>26.196214520267691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10.650142780994555</v>
      </c>
      <c r="P102" s="101">
        <f>IF(TrRoad_act!P18=0,0,P41/TrRoad_act!P18*1000)</f>
        <v>10.633953370614835</v>
      </c>
      <c r="Q102" s="101">
        <f>IF(TrRoad_act!Q18=0,0,Q41/TrRoad_act!Q18*1000)</f>
        <v>10.784800897190694</v>
      </c>
      <c r="R102" s="101">
        <f>IF(TrRoad_act!R18=0,0,R41/TrRoad_act!R18*1000)</f>
        <v>10.784974132900034</v>
      </c>
      <c r="S102" s="101">
        <f>IF(TrRoad_act!S18=0,0,S41/TrRoad_act!S18*1000)</f>
        <v>10.785891315536155</v>
      </c>
      <c r="T102" s="101">
        <f>IF(TrRoad_act!T18=0,0,T41/TrRoad_act!T18*1000)</f>
        <v>10.686145962585934</v>
      </c>
      <c r="U102" s="101">
        <f>IF(TrRoad_act!U18=0,0,U41/TrRoad_act!U18*1000)</f>
        <v>10.57006425072229</v>
      </c>
      <c r="V102" s="101">
        <f>IF(TrRoad_act!V18=0,0,V41/TrRoad_act!V18*1000)</f>
        <v>18.82154533186452</v>
      </c>
      <c r="W102" s="101">
        <f>IF(TrRoad_act!W18=0,0,W41/TrRoad_act!W18*1000)</f>
        <v>13.129364629101433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50.624491493071368</v>
      </c>
      <c r="C103" s="29">
        <f>IF(TrRoad_act!C19=0,0,C42/TrRoad_act!C19*1000)</f>
        <v>54.149068864253486</v>
      </c>
      <c r="D103" s="29">
        <f>IF(TrRoad_act!D19=0,0,D42/TrRoad_act!D19*1000)</f>
        <v>52.046871630996115</v>
      </c>
      <c r="E103" s="29">
        <f>IF(TrRoad_act!E19=0,0,E42/TrRoad_act!E19*1000)</f>
        <v>57.82122268475711</v>
      </c>
      <c r="F103" s="29">
        <f>IF(TrRoad_act!F19=0,0,F42/TrRoad_act!F19*1000)</f>
        <v>54.970353849682439</v>
      </c>
      <c r="G103" s="29">
        <f>IF(TrRoad_act!G19=0,0,G42/TrRoad_act!G19*1000)</f>
        <v>53.396197715460005</v>
      </c>
      <c r="H103" s="29">
        <f>IF(TrRoad_act!H19=0,0,H42/TrRoad_act!H19*1000)</f>
        <v>55.839798816175602</v>
      </c>
      <c r="I103" s="29">
        <f>IF(TrRoad_act!I19=0,0,I42/TrRoad_act!I19*1000)</f>
        <v>57.734607564136297</v>
      </c>
      <c r="J103" s="29">
        <f>IF(TrRoad_act!J19=0,0,J42/TrRoad_act!J19*1000)</f>
        <v>51.460144609512867</v>
      </c>
      <c r="K103" s="29">
        <f>IF(TrRoad_act!K19=0,0,K42/TrRoad_act!K19*1000)</f>
        <v>50.774650082821132</v>
      </c>
      <c r="L103" s="29">
        <f>IF(TrRoad_act!L19=0,0,L42/TrRoad_act!L19*1000)</f>
        <v>47.678512427479482</v>
      </c>
      <c r="M103" s="29">
        <f>IF(TrRoad_act!M19=0,0,M42/TrRoad_act!M19*1000)</f>
        <v>57.264638342864231</v>
      </c>
      <c r="N103" s="29">
        <f>IF(TrRoad_act!N19=0,0,N42/TrRoad_act!N19*1000)</f>
        <v>62.378002970910309</v>
      </c>
      <c r="O103" s="29">
        <f>IF(TrRoad_act!O19=0,0,O42/TrRoad_act!O19*1000)</f>
        <v>52.719181123354716</v>
      </c>
      <c r="P103" s="29">
        <f>IF(TrRoad_act!P19=0,0,P42/TrRoad_act!P19*1000)</f>
        <v>54.676781153851387</v>
      </c>
      <c r="Q103" s="29">
        <f>IF(TrRoad_act!Q19=0,0,Q42/TrRoad_act!Q19*1000)</f>
        <v>49.186721455653021</v>
      </c>
      <c r="R103" s="29">
        <f>IF(TrRoad_act!R19=0,0,R42/TrRoad_act!R19*1000)</f>
        <v>48.048580517498763</v>
      </c>
      <c r="S103" s="29">
        <f>IF(TrRoad_act!S19=0,0,S42/TrRoad_act!S19*1000)</f>
        <v>37.952535033839681</v>
      </c>
      <c r="T103" s="29">
        <f>IF(TrRoad_act!T19=0,0,T42/TrRoad_act!T19*1000)</f>
        <v>44.934517018289021</v>
      </c>
      <c r="U103" s="29">
        <f>IF(TrRoad_act!U19=0,0,U42/TrRoad_act!U19*1000)</f>
        <v>43.082866765964766</v>
      </c>
      <c r="V103" s="29">
        <f>IF(TrRoad_act!V19=0,0,V42/TrRoad_act!V19*1000)</f>
        <v>40.661679795715621</v>
      </c>
      <c r="W103" s="29">
        <f>IF(TrRoad_act!W19=0,0,W42/TrRoad_act!W19*1000)</f>
        <v>50.526287543245608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641.13816902536462</v>
      </c>
      <c r="C104" s="152">
        <f>IF(TrRoad_act!C20=0,0,C43/TrRoad_act!C20*1000)</f>
        <v>597.15638854755775</v>
      </c>
      <c r="D104" s="152">
        <f>IF(TrRoad_act!D20=0,0,D43/TrRoad_act!D20*1000)</f>
        <v>563.78913153572557</v>
      </c>
      <c r="E104" s="152">
        <f>IF(TrRoad_act!E20=0,0,E43/TrRoad_act!E20*1000)</f>
        <v>544.18853818334662</v>
      </c>
      <c r="F104" s="152">
        <f>IF(TrRoad_act!F20=0,0,F43/TrRoad_act!F20*1000)</f>
        <v>534.87867855041134</v>
      </c>
      <c r="G104" s="152">
        <f>IF(TrRoad_act!G20=0,0,G43/TrRoad_act!G20*1000)</f>
        <v>521.56570856041321</v>
      </c>
      <c r="H104" s="152">
        <f>IF(TrRoad_act!H20=0,0,H43/TrRoad_act!H20*1000)</f>
        <v>489.74530633018821</v>
      </c>
      <c r="I104" s="152">
        <f>IF(TrRoad_act!I20=0,0,I43/TrRoad_act!I20*1000)</f>
        <v>480.36461970665937</v>
      </c>
      <c r="J104" s="152">
        <f>IF(TrRoad_act!J20=0,0,J43/TrRoad_act!J20*1000)</f>
        <v>467.443664713879</v>
      </c>
      <c r="K104" s="152">
        <f>IF(TrRoad_act!K20=0,0,K43/TrRoad_act!K20*1000)</f>
        <v>455.19577137924279</v>
      </c>
      <c r="L104" s="152">
        <f>IF(TrRoad_act!L20=0,0,L43/TrRoad_act!L20*1000)</f>
        <v>452.82887620968683</v>
      </c>
      <c r="M104" s="152">
        <f>IF(TrRoad_act!M20=0,0,M43/TrRoad_act!M20*1000)</f>
        <v>447.14361489424817</v>
      </c>
      <c r="N104" s="152">
        <f>IF(TrRoad_act!N20=0,0,N43/TrRoad_act!N20*1000)</f>
        <v>428.94739647072259</v>
      </c>
      <c r="O104" s="152">
        <f>IF(TrRoad_act!O20=0,0,O43/TrRoad_act!O20*1000)</f>
        <v>411.53497337816225</v>
      </c>
      <c r="P104" s="152">
        <f>IF(TrRoad_act!P20=0,0,P43/TrRoad_act!P20*1000)</f>
        <v>405.72844260860217</v>
      </c>
      <c r="Q104" s="152">
        <f>IF(TrRoad_act!Q20=0,0,Q43/TrRoad_act!Q20*1000)</f>
        <v>386.51771374436527</v>
      </c>
      <c r="R104" s="152">
        <f>IF(TrRoad_act!R20=0,0,R43/TrRoad_act!R20*1000)</f>
        <v>371.61860005522317</v>
      </c>
      <c r="S104" s="152">
        <f>IF(TrRoad_act!S20=0,0,S43/TrRoad_act!S20*1000)</f>
        <v>364.83834876044517</v>
      </c>
      <c r="T104" s="152">
        <f>IF(TrRoad_act!T20=0,0,T43/TrRoad_act!T20*1000)</f>
        <v>362.20376455628178</v>
      </c>
      <c r="U104" s="152">
        <f>IF(TrRoad_act!U20=0,0,U43/TrRoad_act!U20*1000)</f>
        <v>361.43409318232756</v>
      </c>
      <c r="V104" s="152">
        <f>IF(TrRoad_act!V20=0,0,V43/TrRoad_act!V20*1000)</f>
        <v>358.11000831793058</v>
      </c>
      <c r="W104" s="152">
        <f>IF(TrRoad_act!W20=0,0,W43/TrRoad_act!W20*1000)</f>
        <v>370.28231644077738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664.61936905152447</v>
      </c>
      <c r="C105" s="87">
        <f>IF(TrRoad_act!C21=0,0,C44/TrRoad_act!C21*1000)</f>
        <v>640.33264521043861</v>
      </c>
      <c r="D105" s="87">
        <f>IF(TrRoad_act!D21=0,0,D44/TrRoad_act!D21*1000)</f>
        <v>614.08617598152455</v>
      </c>
      <c r="E105" s="87">
        <f>IF(TrRoad_act!E21=0,0,E44/TrRoad_act!E21*1000)</f>
        <v>593.70926756658309</v>
      </c>
      <c r="F105" s="87">
        <f>IF(TrRoad_act!F21=0,0,F44/TrRoad_act!F21*1000)</f>
        <v>581.25891257348667</v>
      </c>
      <c r="G105" s="87">
        <f>IF(TrRoad_act!G21=0,0,G44/TrRoad_act!G21*1000)</f>
        <v>565.07972043405834</v>
      </c>
      <c r="H105" s="87">
        <f>IF(TrRoad_act!H21=0,0,H44/TrRoad_act!H21*1000)</f>
        <v>549.69281093223185</v>
      </c>
      <c r="I105" s="87">
        <f>IF(TrRoad_act!I21=0,0,I44/TrRoad_act!I21*1000)</f>
        <v>539.43807637470252</v>
      </c>
      <c r="J105" s="87">
        <f>IF(TrRoad_act!J21=0,0,J44/TrRoad_act!J21*1000)</f>
        <v>530.18062075219518</v>
      </c>
      <c r="K105" s="87">
        <f>IF(TrRoad_act!K21=0,0,K44/TrRoad_act!K21*1000)</f>
        <v>525.59453588532767</v>
      </c>
      <c r="L105" s="87">
        <f>IF(TrRoad_act!L21=0,0,L44/TrRoad_act!L21*1000)</f>
        <v>522.11168072640464</v>
      </c>
      <c r="M105" s="87">
        <f>IF(TrRoad_act!M21=0,0,M44/TrRoad_act!M21*1000)</f>
        <v>515.5474794318942</v>
      </c>
      <c r="N105" s="87">
        <f>IF(TrRoad_act!N21=0,0,N44/TrRoad_act!N21*1000)</f>
        <v>502.34602281672403</v>
      </c>
      <c r="O105" s="87">
        <f>IF(TrRoad_act!O21=0,0,O44/TrRoad_act!O21*1000)</f>
        <v>496.88959857169959</v>
      </c>
      <c r="P105" s="87">
        <f>IF(TrRoad_act!P21=0,0,P44/TrRoad_act!P21*1000)</f>
        <v>485.01047484732328</v>
      </c>
      <c r="Q105" s="87">
        <f>IF(TrRoad_act!Q21=0,0,Q44/TrRoad_act!Q21*1000)</f>
        <v>471.81044663749907</v>
      </c>
      <c r="R105" s="87">
        <f>IF(TrRoad_act!R21=0,0,R44/TrRoad_act!R21*1000)</f>
        <v>461.652403543037</v>
      </c>
      <c r="S105" s="87">
        <f>IF(TrRoad_act!S21=0,0,S44/TrRoad_act!S21*1000)</f>
        <v>459.08947036672623</v>
      </c>
      <c r="T105" s="87">
        <f>IF(TrRoad_act!T21=0,0,T44/TrRoad_act!T21*1000)</f>
        <v>451.54779264624301</v>
      </c>
      <c r="U105" s="87">
        <f>IF(TrRoad_act!U21=0,0,U44/TrRoad_act!U21*1000)</f>
        <v>445.01335136950917</v>
      </c>
      <c r="V105" s="87">
        <f>IF(TrRoad_act!V21=0,0,V44/TrRoad_act!V21*1000)</f>
        <v>442.58868501835207</v>
      </c>
      <c r="W105" s="87">
        <f>IF(TrRoad_act!W21=0,0,W44/TrRoad_act!W21*1000)</f>
        <v>443.38760427515319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639.61489233011343</v>
      </c>
      <c r="C106" s="87">
        <f>IF(TrRoad_act!C22=0,0,C46/TrRoad_act!C22*1000)</f>
        <v>594.65853218414964</v>
      </c>
      <c r="D106" s="87">
        <f>IF(TrRoad_act!D22=0,0,D46/TrRoad_act!D22*1000)</f>
        <v>560.97791251770252</v>
      </c>
      <c r="E106" s="87">
        <f>IF(TrRoad_act!E22=0,0,E46/TrRoad_act!E22*1000)</f>
        <v>541.57003735583214</v>
      </c>
      <c r="F106" s="87">
        <f>IF(TrRoad_act!F22=0,0,F46/TrRoad_act!F22*1000)</f>
        <v>532.57782444036889</v>
      </c>
      <c r="G106" s="87">
        <f>IF(TrRoad_act!G22=0,0,G46/TrRoad_act!G22*1000)</f>
        <v>519.52332926882036</v>
      </c>
      <c r="H106" s="87">
        <f>IF(TrRoad_act!H22=0,0,H46/TrRoad_act!H22*1000)</f>
        <v>486.73246222330351</v>
      </c>
      <c r="I106" s="87">
        <f>IF(TrRoad_act!I22=0,0,I46/TrRoad_act!I22*1000)</f>
        <v>477.86182386341392</v>
      </c>
      <c r="J106" s="87">
        <f>IF(TrRoad_act!J22=0,0,J46/TrRoad_act!J22*1000)</f>
        <v>464.7427403422443</v>
      </c>
      <c r="K106" s="87">
        <f>IF(TrRoad_act!K22=0,0,K46/TrRoad_act!K22*1000)</f>
        <v>452.36399209033135</v>
      </c>
      <c r="L106" s="87">
        <f>IF(TrRoad_act!L22=0,0,L46/TrRoad_act!L22*1000)</f>
        <v>449.83019239880667</v>
      </c>
      <c r="M106" s="87">
        <f>IF(TrRoad_act!M22=0,0,M46/TrRoad_act!M22*1000)</f>
        <v>444.30257111830019</v>
      </c>
      <c r="N106" s="87">
        <f>IF(TrRoad_act!N22=0,0,N46/TrRoad_act!N22*1000)</f>
        <v>425.52845907701118</v>
      </c>
      <c r="O106" s="87">
        <f>IF(TrRoad_act!O22=0,0,O46/TrRoad_act!O22*1000)</f>
        <v>407.0340028153131</v>
      </c>
      <c r="P106" s="87">
        <f>IF(TrRoad_act!P22=0,0,P46/TrRoad_act!P22*1000)</f>
        <v>401.60635446724399</v>
      </c>
      <c r="Q106" s="87">
        <f>IF(TrRoad_act!Q22=0,0,Q46/TrRoad_act!Q22*1000)</f>
        <v>381.17182452837824</v>
      </c>
      <c r="R106" s="87">
        <f>IF(TrRoad_act!R22=0,0,R46/TrRoad_act!R22*1000)</f>
        <v>365.84982845783497</v>
      </c>
      <c r="S106" s="87">
        <f>IF(TrRoad_act!S22=0,0,S46/TrRoad_act!S22*1000)</f>
        <v>359.87561187567297</v>
      </c>
      <c r="T106" s="87">
        <f>IF(TrRoad_act!T22=0,0,T46/TrRoad_act!T22*1000)</f>
        <v>357.52438434975676</v>
      </c>
      <c r="U106" s="87">
        <f>IF(TrRoad_act!U22=0,0,U46/TrRoad_act!U22*1000)</f>
        <v>356.18294469763077</v>
      </c>
      <c r="V106" s="87">
        <f>IF(TrRoad_act!V22=0,0,V46/TrRoad_act!V22*1000)</f>
        <v>352.58045952270407</v>
      </c>
      <c r="W106" s="87">
        <f>IF(TrRoad_act!W22=0,0,W46/TrRoad_act!W22*1000)</f>
        <v>365.22550745736953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813.04027036339414</v>
      </c>
      <c r="C107" s="87">
        <f>IF(TrRoad_act!C23=0,0,C48/TrRoad_act!C23*1000)</f>
        <v>754.15662198759208</v>
      </c>
      <c r="D107" s="87">
        <f>IF(TrRoad_act!D23=0,0,D48/TrRoad_act!D23*1000)</f>
        <v>702.34743619383028</v>
      </c>
      <c r="E107" s="87">
        <f>IF(TrRoad_act!E23=0,0,E48/TrRoad_act!E23*1000)</f>
        <v>662.52524392546525</v>
      </c>
      <c r="F107" s="87">
        <f>IF(TrRoad_act!F23=0,0,F48/TrRoad_act!F23*1000)</f>
        <v>633.68115671632006</v>
      </c>
      <c r="G107" s="87">
        <f>IF(TrRoad_act!G23=0,0,G48/TrRoad_act!G23*1000)</f>
        <v>603.49426254218065</v>
      </c>
      <c r="H107" s="87">
        <f>IF(TrRoad_act!H23=0,0,H48/TrRoad_act!H23*1000)</f>
        <v>571.94447828920693</v>
      </c>
      <c r="I107" s="87">
        <f>IF(TrRoad_act!I23=0,0,I48/TrRoad_act!I23*1000)</f>
        <v>567.59858624306935</v>
      </c>
      <c r="J107" s="87">
        <f>IF(TrRoad_act!J23=0,0,J48/TrRoad_act!J23*1000)</f>
        <v>548.83785118066714</v>
      </c>
      <c r="K107" s="87">
        <f>IF(TrRoad_act!K23=0,0,K48/TrRoad_act!K23*1000)</f>
        <v>524.03495922852551</v>
      </c>
      <c r="L107" s="87">
        <f>IF(TrRoad_act!L23=0,0,L48/TrRoad_act!L23*1000)</f>
        <v>514.89761857807298</v>
      </c>
      <c r="M107" s="87">
        <f>IF(TrRoad_act!M23=0,0,M48/TrRoad_act!M23*1000)</f>
        <v>511.19339221883507</v>
      </c>
      <c r="N107" s="87">
        <f>IF(TrRoad_act!N23=0,0,N48/TrRoad_act!N23*1000)</f>
        <v>483.00515947264989</v>
      </c>
      <c r="O107" s="87">
        <f>IF(TrRoad_act!O23=0,0,O48/TrRoad_act!O23*1000)</f>
        <v>475.29802539829774</v>
      </c>
      <c r="P107" s="87">
        <f>IF(TrRoad_act!P23=0,0,P48/TrRoad_act!P23*1000)</f>
        <v>471.45581604048431</v>
      </c>
      <c r="Q107" s="87">
        <f>IF(TrRoad_act!Q23=0,0,Q48/TrRoad_act!Q23*1000)</f>
        <v>458.38886145317656</v>
      </c>
      <c r="R107" s="87">
        <f>IF(TrRoad_act!R23=0,0,R48/TrRoad_act!R23*1000)</f>
        <v>447.01326565086418</v>
      </c>
      <c r="S107" s="87">
        <f>IF(TrRoad_act!S23=0,0,S48/TrRoad_act!S23*1000)</f>
        <v>440.38513441577544</v>
      </c>
      <c r="T107" s="87">
        <f>IF(TrRoad_act!T23=0,0,T48/TrRoad_act!T23*1000)</f>
        <v>436.74412838323786</v>
      </c>
      <c r="U107" s="87">
        <f>IF(TrRoad_act!U23=0,0,U48/TrRoad_act!U23*1000)</f>
        <v>432.72118308544736</v>
      </c>
      <c r="V107" s="87">
        <f>IF(TrRoad_act!V23=0,0,V48/TrRoad_act!V23*1000)</f>
        <v>431.51657625125995</v>
      </c>
      <c r="W107" s="87">
        <f>IF(TrRoad_act!W23=0,0,W48/TrRoad_act!W23*1000)</f>
        <v>463.50252310450367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885.46615049595709</v>
      </c>
      <c r="C108" s="87">
        <f>IF(TrRoad_act!C24=0,0,C49/TrRoad_act!C24*1000)</f>
        <v>805.52695555193441</v>
      </c>
      <c r="D108" s="87">
        <f>IF(TrRoad_act!D24=0,0,D49/TrRoad_act!D24*1000)</f>
        <v>743.4487658091241</v>
      </c>
      <c r="E108" s="87">
        <f>IF(TrRoad_act!E24=0,0,E49/TrRoad_act!E24*1000)</f>
        <v>697.57489786995518</v>
      </c>
      <c r="F108" s="87">
        <f>IF(TrRoad_act!F24=0,0,F49/TrRoad_act!F24*1000)</f>
        <v>668.96393533268156</v>
      </c>
      <c r="G108" s="87">
        <f>IF(TrRoad_act!G24=0,0,G49/TrRoad_act!G24*1000)</f>
        <v>642.93303774335038</v>
      </c>
      <c r="H108" s="87">
        <f>IF(TrRoad_act!H24=0,0,H49/TrRoad_act!H24*1000)</f>
        <v>624.40991743295467</v>
      </c>
      <c r="I108" s="87">
        <f>IF(TrRoad_act!I24=0,0,I49/TrRoad_act!I24*1000)</f>
        <v>618.30860883938374</v>
      </c>
      <c r="J108" s="87">
        <f>IF(TrRoad_act!J24=0,0,J49/TrRoad_act!J24*1000)</f>
        <v>597.53812561640655</v>
      </c>
      <c r="K108" s="87">
        <f>IF(TrRoad_act!K24=0,0,K49/TrRoad_act!K24*1000)</f>
        <v>540.63153859645104</v>
      </c>
      <c r="L108" s="87">
        <f>IF(TrRoad_act!L24=0,0,L49/TrRoad_act!L24*1000)</f>
        <v>553.57781610490235</v>
      </c>
      <c r="M108" s="87">
        <f>IF(TrRoad_act!M24=0,0,M49/TrRoad_act!M24*1000)</f>
        <v>536.90841186362752</v>
      </c>
      <c r="N108" s="87">
        <f>IF(TrRoad_act!N24=0,0,N49/TrRoad_act!N24*1000)</f>
        <v>522.56371640473549</v>
      </c>
      <c r="O108" s="87">
        <f>IF(TrRoad_act!O24=0,0,O49/TrRoad_act!O24*1000)</f>
        <v>529.68717537079192</v>
      </c>
      <c r="P108" s="87">
        <f>IF(TrRoad_act!P24=0,0,P49/TrRoad_act!P24*1000)</f>
        <v>515.87092239922595</v>
      </c>
      <c r="Q108" s="87">
        <f>IF(TrRoad_act!Q24=0,0,Q49/TrRoad_act!Q24*1000)</f>
        <v>519.88466684835419</v>
      </c>
      <c r="R108" s="87">
        <f>IF(TrRoad_act!R24=0,0,R49/TrRoad_act!R24*1000)</f>
        <v>505.84155891358785</v>
      </c>
      <c r="S108" s="87">
        <f>IF(TrRoad_act!S24=0,0,S49/TrRoad_act!S24*1000)</f>
        <v>464.40166322323</v>
      </c>
      <c r="T108" s="87">
        <f>IF(TrRoad_act!T24=0,0,T49/TrRoad_act!T24*1000)</f>
        <v>462.95558837486629</v>
      </c>
      <c r="U108" s="87">
        <f>IF(TrRoad_act!U24=0,0,U49/TrRoad_act!U24*1000)</f>
        <v>506.83389778708897</v>
      </c>
      <c r="V108" s="87">
        <f>IF(TrRoad_act!V24=0,0,V49/TrRoad_act!V24*1000)</f>
        <v>509.50319850786451</v>
      </c>
      <c r="W108" s="87">
        <f>IF(TrRoad_act!W24=0,0,W49/TrRoad_act!W24*1000)</f>
        <v>549.8402817181742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97.777966585512132</v>
      </c>
      <c r="N109" s="87">
        <f>IF(TrRoad_act!N25=0,0,N51/TrRoad_act!N25*1000)</f>
        <v>97.654871428713179</v>
      </c>
      <c r="O109" s="87">
        <f>IF(TrRoad_act!O25=0,0,O51/TrRoad_act!O25*1000)</f>
        <v>94.696948039459073</v>
      </c>
      <c r="P109" s="87">
        <f>IF(TrRoad_act!P25=0,0,P51/TrRoad_act!P25*1000)</f>
        <v>97.157849849678144</v>
      </c>
      <c r="Q109" s="87">
        <f>IF(TrRoad_act!Q25=0,0,Q51/TrRoad_act!Q25*1000)</f>
        <v>102.29934361854973</v>
      </c>
      <c r="R109" s="87">
        <f>IF(TrRoad_act!R25=0,0,R51/TrRoad_act!R25*1000)</f>
        <v>104.64680736725667</v>
      </c>
      <c r="S109" s="87">
        <f>IF(TrRoad_act!S25=0,0,S51/TrRoad_act!S25*1000)</f>
        <v>107.87352902804929</v>
      </c>
      <c r="T109" s="87">
        <f>IF(TrRoad_act!T25=0,0,T51/TrRoad_act!T25*1000)</f>
        <v>117.23232771546751</v>
      </c>
      <c r="U109" s="87">
        <f>IF(TrRoad_act!U25=0,0,U51/TrRoad_act!U25*1000)</f>
        <v>125.49384038582537</v>
      </c>
      <c r="V109" s="87">
        <f>IF(TrRoad_act!V25=0,0,V51/TrRoad_act!V25*1000)</f>
        <v>132.7820444885393</v>
      </c>
      <c r="W109" s="87">
        <f>IF(TrRoad_act!W25=0,0,W51/TrRoad_act!W25*1000)</f>
        <v>151.82272273529784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13.646733230970026</v>
      </c>
      <c r="C110" s="116">
        <f>IF(TrRoad_act!C26=0,0,C52/TrRoad_act!C26*1000)</f>
        <v>20.867606844803888</v>
      </c>
      <c r="D110" s="116">
        <f>IF(TrRoad_act!D26=0,0,D52/TrRoad_act!D26*1000)</f>
        <v>20.233108237138573</v>
      </c>
      <c r="E110" s="116">
        <f>IF(TrRoad_act!E26=0,0,E52/TrRoad_act!E26*1000)</f>
        <v>21.650853389774142</v>
      </c>
      <c r="F110" s="116">
        <f>IF(TrRoad_act!F26=0,0,F52/TrRoad_act!F26*1000)</f>
        <v>20.684095718589866</v>
      </c>
      <c r="G110" s="116">
        <f>IF(TrRoad_act!G26=0,0,G52/TrRoad_act!G26*1000)</f>
        <v>19.297754975715527</v>
      </c>
      <c r="H110" s="116">
        <f>IF(TrRoad_act!H26=0,0,H52/TrRoad_act!H26*1000)</f>
        <v>24.723217764667378</v>
      </c>
      <c r="I110" s="116">
        <f>IF(TrRoad_act!I26=0,0,I52/TrRoad_act!I26*1000)</f>
        <v>24.602945124044123</v>
      </c>
      <c r="J110" s="116">
        <f>IF(TrRoad_act!J26=0,0,J52/TrRoad_act!J26*1000)</f>
        <v>18.934084641837487</v>
      </c>
      <c r="K110" s="116">
        <f>IF(TrRoad_act!K26=0,0,K52/TrRoad_act!K26*1000)</f>
        <v>17.295222453328932</v>
      </c>
      <c r="L110" s="116">
        <f>IF(TrRoad_act!L26=0,0,L52/TrRoad_act!L26*1000)</f>
        <v>13.079213081849534</v>
      </c>
      <c r="M110" s="116">
        <f>IF(TrRoad_act!M26=0,0,M52/TrRoad_act!M26*1000)</f>
        <v>17.067676765426416</v>
      </c>
      <c r="N110" s="116">
        <f>IF(TrRoad_act!N26=0,0,N52/TrRoad_act!N26*1000)</f>
        <v>23.729272612226115</v>
      </c>
      <c r="O110" s="116">
        <f>IF(TrRoad_act!O26=0,0,O52/TrRoad_act!O26*1000)</f>
        <v>18.949348409511643</v>
      </c>
      <c r="P110" s="116">
        <f>IF(TrRoad_act!P26=0,0,P52/TrRoad_act!P26*1000)</f>
        <v>18.266786614881056</v>
      </c>
      <c r="Q110" s="116">
        <f>IF(TrRoad_act!Q26=0,0,Q52/TrRoad_act!Q26*1000)</f>
        <v>19.71696393994965</v>
      </c>
      <c r="R110" s="116">
        <f>IF(TrRoad_act!R26=0,0,R52/TrRoad_act!R26*1000)</f>
        <v>20.613972291343192</v>
      </c>
      <c r="S110" s="116">
        <f>IF(TrRoad_act!S26=0,0,S52/TrRoad_act!S26*1000)</f>
        <v>11.681531878743755</v>
      </c>
      <c r="T110" s="116">
        <f>IF(TrRoad_act!T26=0,0,T52/TrRoad_act!T26*1000)</f>
        <v>19.303825991974289</v>
      </c>
      <c r="U110" s="116">
        <f>IF(TrRoad_act!U26=0,0,U52/TrRoad_act!U26*1000)</f>
        <v>18.822172993866868</v>
      </c>
      <c r="V110" s="116">
        <f>IF(TrRoad_act!V26=0,0,V52/TrRoad_act!V26*1000)</f>
        <v>16.053587629725563</v>
      </c>
      <c r="W110" s="116">
        <f>IF(TrRoad_act!W26=0,0,W52/TrRoad_act!W26*1000)</f>
        <v>24.241813362234886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13.368324067068386</v>
      </c>
      <c r="C111" s="101">
        <f>IF(TrRoad_act!C27=0,0,C53/TrRoad_act!C27*1000)</f>
        <v>20.396934024044558</v>
      </c>
      <c r="D111" s="101">
        <f>IF(TrRoad_act!D27=0,0,D53/TrRoad_act!D27*1000)</f>
        <v>19.703159422092686</v>
      </c>
      <c r="E111" s="101">
        <f>IF(TrRoad_act!E27=0,0,E53/TrRoad_act!E27*1000)</f>
        <v>21.331039090172304</v>
      </c>
      <c r="F111" s="101">
        <f>IF(TrRoad_act!F27=0,0,F53/TrRoad_act!F27*1000)</f>
        <v>20.592745397828367</v>
      </c>
      <c r="G111" s="101">
        <f>IF(TrRoad_act!G27=0,0,G53/TrRoad_act!G27*1000)</f>
        <v>19.069750244015449</v>
      </c>
      <c r="H111" s="101">
        <f>IF(TrRoad_act!H27=0,0,H53/TrRoad_act!H27*1000)</f>
        <v>24.100957694317714</v>
      </c>
      <c r="I111" s="101">
        <f>IF(TrRoad_act!I27=0,0,I53/TrRoad_act!I27*1000)</f>
        <v>24.206919787984148</v>
      </c>
      <c r="J111" s="101">
        <f>IF(TrRoad_act!J27=0,0,J53/TrRoad_act!J27*1000)</f>
        <v>18.462662994816426</v>
      </c>
      <c r="K111" s="101">
        <f>IF(TrRoad_act!K27=0,0,K53/TrRoad_act!K27*1000)</f>
        <v>16.960737456928214</v>
      </c>
      <c r="L111" s="101">
        <f>IF(TrRoad_act!L27=0,0,L53/TrRoad_act!L27*1000)</f>
        <v>12.867902601613132</v>
      </c>
      <c r="M111" s="101">
        <f>IF(TrRoad_act!M27=0,0,M53/TrRoad_act!M27*1000)</f>
        <v>16.729965971110754</v>
      </c>
      <c r="N111" s="101">
        <f>IF(TrRoad_act!N27=0,0,N53/TrRoad_act!N27*1000)</f>
        <v>23.259109923715073</v>
      </c>
      <c r="O111" s="101">
        <f>IF(TrRoad_act!O27=0,0,O53/TrRoad_act!O27*1000)</f>
        <v>18.592892468172856</v>
      </c>
      <c r="P111" s="101">
        <f>IF(TrRoad_act!P27=0,0,P53/TrRoad_act!P27*1000)</f>
        <v>17.96629607572061</v>
      </c>
      <c r="Q111" s="101">
        <f>IF(TrRoad_act!Q27=0,0,Q53/TrRoad_act!Q27*1000)</f>
        <v>19.213481887323486</v>
      </c>
      <c r="R111" s="101">
        <f>IF(TrRoad_act!R27=0,0,R53/TrRoad_act!R27*1000)</f>
        <v>20.116139096748167</v>
      </c>
      <c r="S111" s="101">
        <f>IF(TrRoad_act!S27=0,0,S53/TrRoad_act!S27*1000)</f>
        <v>11.313929712491463</v>
      </c>
      <c r="T111" s="101">
        <f>IF(TrRoad_act!T27=0,0,T53/TrRoad_act!T27*1000)</f>
        <v>18.567638911334029</v>
      </c>
      <c r="U111" s="101">
        <f>IF(TrRoad_act!U27=0,0,U53/TrRoad_act!U27*1000)</f>
        <v>17.870789730871721</v>
      </c>
      <c r="V111" s="101">
        <f>IF(TrRoad_act!V27=0,0,V53/TrRoad_act!V27*1000)</f>
        <v>15.144694889759808</v>
      </c>
      <c r="W111" s="101">
        <f>IF(TrRoad_act!W27=0,0,W53/TrRoad_act!W27*1000)</f>
        <v>22.743673646809441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15.531326587765539</v>
      </c>
      <c r="C112" s="88">
        <f>IF(TrRoad_act!C28=0,0,C55/TrRoad_act!C28*1000)</f>
        <v>23.77640339181627</v>
      </c>
      <c r="D112" s="88">
        <f>IF(TrRoad_act!D28=0,0,D55/TrRoad_act!D28*1000)</f>
        <v>23.432607588481822</v>
      </c>
      <c r="E112" s="88">
        <f>IF(TrRoad_act!E28=0,0,E55/TrRoad_act!E28*1000)</f>
        <v>23.350690462045229</v>
      </c>
      <c r="F112" s="88">
        <f>IF(TrRoad_act!F28=0,0,F55/TrRoad_act!F28*1000)</f>
        <v>21.146224036051542</v>
      </c>
      <c r="G112" s="88">
        <f>IF(TrRoad_act!G28=0,0,G55/TrRoad_act!G28*1000)</f>
        <v>20.506514692278763</v>
      </c>
      <c r="H112" s="88">
        <f>IF(TrRoad_act!H28=0,0,H55/TrRoad_act!H28*1000)</f>
        <v>27.51474787615664</v>
      </c>
      <c r="I112" s="88">
        <f>IF(TrRoad_act!I28=0,0,I55/TrRoad_act!I28*1000)</f>
        <v>26.357934681580083</v>
      </c>
      <c r="J112" s="88">
        <f>IF(TrRoad_act!J28=0,0,J55/TrRoad_act!J28*1000)</f>
        <v>20.940004552494521</v>
      </c>
      <c r="K112" s="88">
        <f>IF(TrRoad_act!K28=0,0,K55/TrRoad_act!K28*1000)</f>
        <v>18.875662329292389</v>
      </c>
      <c r="L112" s="88">
        <f>IF(TrRoad_act!L28=0,0,L55/TrRoad_act!L28*1000)</f>
        <v>13.997104711132822</v>
      </c>
      <c r="M112" s="88">
        <f>IF(TrRoad_act!M28=0,0,M55/TrRoad_act!M28*1000)</f>
        <v>18.522449689810891</v>
      </c>
      <c r="N112" s="88">
        <f>IF(TrRoad_act!N28=0,0,N55/TrRoad_act!N28*1000)</f>
        <v>25.628324864238227</v>
      </c>
      <c r="O112" s="88">
        <f>IF(TrRoad_act!O28=0,0,O55/TrRoad_act!O28*1000)</f>
        <v>20.287939122821765</v>
      </c>
      <c r="P112" s="88">
        <f>IF(TrRoad_act!P28=0,0,P55/TrRoad_act!P28*1000)</f>
        <v>19.269377346252259</v>
      </c>
      <c r="Q112" s="88">
        <f>IF(TrRoad_act!Q28=0,0,Q55/TrRoad_act!Q28*1000)</f>
        <v>21.471950465478052</v>
      </c>
      <c r="R112" s="88">
        <f>IF(TrRoad_act!R28=0,0,R55/TrRoad_act!R28*1000)</f>
        <v>22.203234104894644</v>
      </c>
      <c r="S112" s="88">
        <f>IF(TrRoad_act!S28=0,0,S55/TrRoad_act!S28*1000)</f>
        <v>12.790715885625652</v>
      </c>
      <c r="T112" s="88">
        <f>IF(TrRoad_act!T28=0,0,T55/TrRoad_act!T28*1000)</f>
        <v>21.686582352124415</v>
      </c>
      <c r="U112" s="88">
        <f>IF(TrRoad_act!U28=0,0,U55/TrRoad_act!U28*1000)</f>
        <v>22.07591119097258</v>
      </c>
      <c r="V112" s="88">
        <f>IF(TrRoad_act!V28=0,0,V55/TrRoad_act!V28*1000)</f>
        <v>19.147142958268006</v>
      </c>
      <c r="W112" s="88">
        <f>IF(TrRoad_act!W28=0,0,W55/TrRoad_act!W28*1000)</f>
        <v>29.137368957303128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160.41288415588312</v>
      </c>
      <c r="C116" s="152">
        <f>IF(C19=0,0,1000000*C19/TrRoad_act!C59)</f>
        <v>155.40905401246317</v>
      </c>
      <c r="D116" s="152">
        <f>IF(D19=0,0,1000000*D19/TrRoad_act!D59)</f>
        <v>145.95386611653478</v>
      </c>
      <c r="E116" s="152">
        <f>IF(E19=0,0,1000000*E19/TrRoad_act!E59)</f>
        <v>143.20682008219609</v>
      </c>
      <c r="F116" s="152">
        <f>IF(F19=0,0,1000000*F19/TrRoad_act!F59)</f>
        <v>145.89632205581057</v>
      </c>
      <c r="G116" s="152">
        <f>IF(G19=0,0,1000000*G19/TrRoad_act!G59)</f>
        <v>144.34412891382328</v>
      </c>
      <c r="H116" s="152">
        <f>IF(H19=0,0,1000000*H19/TrRoad_act!H59)</f>
        <v>136.26143413683673</v>
      </c>
      <c r="I116" s="152">
        <f>IF(I19=0,0,1000000*I19/TrRoad_act!I59)</f>
        <v>120.62702325257217</v>
      </c>
      <c r="J116" s="152">
        <f>IF(J19=0,0,1000000*J19/TrRoad_act!J59)</f>
        <v>127.4798623685151</v>
      </c>
      <c r="K116" s="152">
        <f>IF(K19=0,0,1000000*K19/TrRoad_act!K59)</f>
        <v>118.73354984199085</v>
      </c>
      <c r="L116" s="152">
        <f>IF(L19=0,0,1000000*L19/TrRoad_act!L59)</f>
        <v>118.1315652825574</v>
      </c>
      <c r="M116" s="152">
        <f>IF(M19=0,0,1000000*M19/TrRoad_act!M59)</f>
        <v>121.27926221902133</v>
      </c>
      <c r="N116" s="152">
        <f>IF(N19=0,0,1000000*N19/TrRoad_act!N59)</f>
        <v>123.14547329829503</v>
      </c>
      <c r="O116" s="152">
        <f>IF(O19=0,0,1000000*O19/TrRoad_act!O59)</f>
        <v>116.24078064806257</v>
      </c>
      <c r="P116" s="152">
        <f>IF(P19=0,0,1000000*P19/TrRoad_act!P59)</f>
        <v>114.6842903080711</v>
      </c>
      <c r="Q116" s="152">
        <f>IF(Q19=0,0,1000000*Q19/TrRoad_act!Q59)</f>
        <v>111.33273401268336</v>
      </c>
      <c r="R116" s="152">
        <f>IF(R19=0,0,1000000*R19/TrRoad_act!R59)</f>
        <v>111.06620424279231</v>
      </c>
      <c r="S116" s="152">
        <f>IF(S19=0,0,1000000*S19/TrRoad_act!S59)</f>
        <v>102.91412332178622</v>
      </c>
      <c r="T116" s="152">
        <f>IF(T19=0,0,1000000*T19/TrRoad_act!T59)</f>
        <v>96.282771940621345</v>
      </c>
      <c r="U116" s="152">
        <f>IF(U19=0,0,1000000*U19/TrRoad_act!U59)</f>
        <v>100.04877015342463</v>
      </c>
      <c r="V116" s="152">
        <f>IF(V19=0,0,1000000*V19/TrRoad_act!V59)</f>
        <v>88.149042453764551</v>
      </c>
      <c r="W116" s="152">
        <f>IF(W19=0,0,1000000*W19/TrRoad_act!W59)</f>
        <v>83.474092504731786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718.35152280483567</v>
      </c>
      <c r="C117" s="116">
        <f>IF(C21=0,0,1000000*C21/TrRoad_act!C60)</f>
        <v>711.65286287646654</v>
      </c>
      <c r="D117" s="116">
        <f>IF(D21=0,0,1000000*D21/TrRoad_act!D60)</f>
        <v>723.12268303177518</v>
      </c>
      <c r="E117" s="116">
        <f>IF(E21=0,0,1000000*E21/TrRoad_act!E60)</f>
        <v>705.61597423825197</v>
      </c>
      <c r="F117" s="116">
        <f>IF(F21=0,0,1000000*F21/TrRoad_act!F60)</f>
        <v>720.34574214958673</v>
      </c>
      <c r="G117" s="116">
        <f>IF(G21=0,0,1000000*G21/TrRoad_act!G60)</f>
        <v>676.93389847377932</v>
      </c>
      <c r="H117" s="116">
        <f>IF(H21=0,0,1000000*H21/TrRoad_act!H60)</f>
        <v>683.78909302546731</v>
      </c>
      <c r="I117" s="116">
        <f>IF(I21=0,0,1000000*I21/TrRoad_act!I60)</f>
        <v>676.96496134882955</v>
      </c>
      <c r="J117" s="116">
        <f>IF(J21=0,0,1000000*J21/TrRoad_act!J60)</f>
        <v>655.23597658700919</v>
      </c>
      <c r="K117" s="116">
        <f>IF(K21=0,0,1000000*K21/TrRoad_act!K60)</f>
        <v>639.37247027870501</v>
      </c>
      <c r="L117" s="116">
        <f>IF(L21=0,0,1000000*L21/TrRoad_act!L60)</f>
        <v>609.29714913725491</v>
      </c>
      <c r="M117" s="116">
        <f>IF(M21=0,0,1000000*M21/TrRoad_act!M60)</f>
        <v>590.17570172909461</v>
      </c>
      <c r="N117" s="116">
        <f>IF(N21=0,0,1000000*N21/TrRoad_act!N60)</f>
        <v>544.15140696750518</v>
      </c>
      <c r="O117" s="116">
        <f>IF(O21=0,0,1000000*O21/TrRoad_act!O60)</f>
        <v>564.63014356284839</v>
      </c>
      <c r="P117" s="116">
        <f>IF(P21=0,0,1000000*P21/TrRoad_act!P60)</f>
        <v>601.82770408339616</v>
      </c>
      <c r="Q117" s="116">
        <f>IF(Q21=0,0,1000000*Q21/TrRoad_act!Q60)</f>
        <v>599.96437954259954</v>
      </c>
      <c r="R117" s="116">
        <f>IF(R21=0,0,1000000*R21/TrRoad_act!R60)</f>
        <v>585.48509246694925</v>
      </c>
      <c r="S117" s="116">
        <f>IF(S21=0,0,1000000*S21/TrRoad_act!S60)</f>
        <v>577.26912546929179</v>
      </c>
      <c r="T117" s="116">
        <f>IF(T21=0,0,1000000*T21/TrRoad_act!T60)</f>
        <v>575.26235891159286</v>
      </c>
      <c r="U117" s="116">
        <f>IF(U21=0,0,1000000*U21/TrRoad_act!U60)</f>
        <v>567.58819074791154</v>
      </c>
      <c r="V117" s="116">
        <f>IF(V21=0,0,1000000*V21/TrRoad_act!V60)</f>
        <v>430.21293358935412</v>
      </c>
      <c r="W117" s="116">
        <f>IF(W21=0,0,1000000*W21/TrRoad_act!W60)</f>
        <v>506.76864261057176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603.91325698557455</v>
      </c>
      <c r="C118" s="87">
        <f>IF(C22=0,0,1000000*C22/TrRoad_act!C61)</f>
        <v>596.83551351467702</v>
      </c>
      <c r="D118" s="87">
        <f>IF(D22=0,0,1000000*D22/TrRoad_act!D61)</f>
        <v>589.55133511918746</v>
      </c>
      <c r="E118" s="87">
        <f>IF(E22=0,0,1000000*E22/TrRoad_act!E61)</f>
        <v>573.8929100726059</v>
      </c>
      <c r="F118" s="87">
        <f>IF(F22=0,0,1000000*F22/TrRoad_act!F61)</f>
        <v>565.29476116051069</v>
      </c>
      <c r="G118" s="87">
        <f>IF(G22=0,0,1000000*G22/TrRoad_act!G61)</f>
        <v>535.60722688861279</v>
      </c>
      <c r="H118" s="87">
        <f>IF(H22=0,0,1000000*H22/TrRoad_act!H61)</f>
        <v>515.70976092033516</v>
      </c>
      <c r="I118" s="87">
        <f>IF(I22=0,0,1000000*I22/TrRoad_act!I61)</f>
        <v>501.55771016235207</v>
      </c>
      <c r="J118" s="87">
        <f>IF(J22=0,0,1000000*J22/TrRoad_act!J61)</f>
        <v>465.9198968014162</v>
      </c>
      <c r="K118" s="87">
        <f>IF(K22=0,0,1000000*K22/TrRoad_act!K61)</f>
        <v>462.89131661857158</v>
      </c>
      <c r="L118" s="87">
        <f>IF(L22=0,0,1000000*L22/TrRoad_act!L61)</f>
        <v>431.81435801902148</v>
      </c>
      <c r="M118" s="87">
        <f>IF(M22=0,0,1000000*M22/TrRoad_act!M61)</f>
        <v>420.1928203742653</v>
      </c>
      <c r="N118" s="87">
        <f>IF(N22=0,0,1000000*N22/TrRoad_act!N61)</f>
        <v>373.57293016172594</v>
      </c>
      <c r="O118" s="87">
        <f>IF(O22=0,0,1000000*O22/TrRoad_act!O61)</f>
        <v>363.43456843549626</v>
      </c>
      <c r="P118" s="87">
        <f>IF(P22=0,0,1000000*P22/TrRoad_act!P61)</f>
        <v>370.6549595125025</v>
      </c>
      <c r="Q118" s="87">
        <f>IF(Q22=0,0,1000000*Q22/TrRoad_act!Q61)</f>
        <v>363.55657003594672</v>
      </c>
      <c r="R118" s="87">
        <f>IF(R22=0,0,1000000*R22/TrRoad_act!R61)</f>
        <v>336.40463586334522</v>
      </c>
      <c r="S118" s="87">
        <f>IF(S22=0,0,1000000*S22/TrRoad_act!S61)</f>
        <v>332.66710638903021</v>
      </c>
      <c r="T118" s="87">
        <f>IF(T22=0,0,1000000*T22/TrRoad_act!T61)</f>
        <v>358.36497209071348</v>
      </c>
      <c r="U118" s="87">
        <f>IF(U22=0,0,1000000*U22/TrRoad_act!U61)</f>
        <v>355.21475721788119</v>
      </c>
      <c r="V118" s="87">
        <f>IF(V22=0,0,1000000*V22/TrRoad_act!V61)</f>
        <v>271.3953311727015</v>
      </c>
      <c r="W118" s="87">
        <f>IF(W22=0,0,1000000*W22/TrRoad_act!W61)</f>
        <v>340.92864556430254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1221.8190327927205</v>
      </c>
      <c r="C119" s="87">
        <f>IF(C24=0,0,1000000*C24/TrRoad_act!C62)</f>
        <v>1149.2935010345541</v>
      </c>
      <c r="D119" s="87">
        <f>IF(D24=0,0,1000000*D24/TrRoad_act!D62)</f>
        <v>1178.767445603263</v>
      </c>
      <c r="E119" s="87">
        <f>IF(E24=0,0,1000000*E24/TrRoad_act!E62)</f>
        <v>1100.3232884548383</v>
      </c>
      <c r="F119" s="87">
        <f>IF(F24=0,0,1000000*F24/TrRoad_act!F62)</f>
        <v>1119.2131854724105</v>
      </c>
      <c r="G119" s="87">
        <f>IF(G24=0,0,1000000*G24/TrRoad_act!G62)</f>
        <v>991.58157686802917</v>
      </c>
      <c r="H119" s="87">
        <f>IF(H24=0,0,1000000*H24/TrRoad_act!H62)</f>
        <v>1017.1470574098189</v>
      </c>
      <c r="I119" s="87">
        <f>IF(I24=0,0,1000000*I24/TrRoad_act!I62)</f>
        <v>985.65023942006212</v>
      </c>
      <c r="J119" s="87">
        <f>IF(J24=0,0,1000000*J24/TrRoad_act!J62)</f>
        <v>948.46328486834807</v>
      </c>
      <c r="K119" s="87">
        <f>IF(K24=0,0,1000000*K24/TrRoad_act!K62)</f>
        <v>888.45013816609764</v>
      </c>
      <c r="L119" s="87">
        <f>IF(L24=0,0,1000000*L24/TrRoad_act!L62)</f>
        <v>841.96608130894299</v>
      </c>
      <c r="M119" s="87">
        <f>IF(M24=0,0,1000000*M24/TrRoad_act!M62)</f>
        <v>794.66231959978313</v>
      </c>
      <c r="N119" s="87">
        <f>IF(N24=0,0,1000000*N24/TrRoad_act!N62)</f>
        <v>733.07814275370038</v>
      </c>
      <c r="O119" s="87">
        <f>IF(O24=0,0,1000000*O24/TrRoad_act!O62)</f>
        <v>778.02406989369888</v>
      </c>
      <c r="P119" s="87">
        <f>IF(P24=0,0,1000000*P24/TrRoad_act!P62)</f>
        <v>850.62046246140312</v>
      </c>
      <c r="Q119" s="87">
        <f>IF(Q24=0,0,1000000*Q24/TrRoad_act!Q62)</f>
        <v>837.98594338860346</v>
      </c>
      <c r="R119" s="87">
        <f>IF(R24=0,0,1000000*R24/TrRoad_act!R62)</f>
        <v>836.73187842292384</v>
      </c>
      <c r="S119" s="87">
        <f>IF(S24=0,0,1000000*S24/TrRoad_act!S62)</f>
        <v>816.50874626471477</v>
      </c>
      <c r="T119" s="87">
        <f>IF(T24=0,0,1000000*T24/TrRoad_act!T62)</f>
        <v>776.78590191758735</v>
      </c>
      <c r="U119" s="87">
        <f>IF(U24=0,0,1000000*U24/TrRoad_act!U62)</f>
        <v>760.22899323167292</v>
      </c>
      <c r="V119" s="87">
        <f>IF(V24=0,0,1000000*V24/TrRoad_act!V62)</f>
        <v>569.03046075011343</v>
      </c>
      <c r="W119" s="87">
        <f>IF(W24=0,0,1000000*W24/TrRoad_act!W62)</f>
        <v>665.6835380996888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1039.5556633453916</v>
      </c>
      <c r="C120" s="87">
        <f>IF(C26=0,0,1000000*C26/TrRoad_act!C63)</f>
        <v>1014.797670781858</v>
      </c>
      <c r="D120" s="87">
        <f>IF(D26=0,0,1000000*D26/TrRoad_act!D63)</f>
        <v>1022.6222781885861</v>
      </c>
      <c r="E120" s="87">
        <f>IF(E26=0,0,1000000*E26/TrRoad_act!E63)</f>
        <v>932.10852867440565</v>
      </c>
      <c r="F120" s="87">
        <f>IF(F26=0,0,1000000*F26/TrRoad_act!F63)</f>
        <v>872.60597950718625</v>
      </c>
      <c r="G120" s="87">
        <f>IF(G26=0,0,1000000*G26/TrRoad_act!G63)</f>
        <v>760.45521525807953</v>
      </c>
      <c r="H120" s="87">
        <f>IF(H26=0,0,1000000*H26/TrRoad_act!H63)</f>
        <v>719.15433386004077</v>
      </c>
      <c r="I120" s="87">
        <f>IF(I26=0,0,1000000*I26/TrRoad_act!I63)</f>
        <v>699.21077993264259</v>
      </c>
      <c r="J120" s="87">
        <f>IF(J26=0,0,1000000*J26/TrRoad_act!J63)</f>
        <v>806.27407773675395</v>
      </c>
      <c r="K120" s="87">
        <f>IF(K26=0,0,1000000*K26/TrRoad_act!K63)</f>
        <v>798.79927321114599</v>
      </c>
      <c r="L120" s="87">
        <f>IF(L26=0,0,1000000*L26/TrRoad_act!L63)</f>
        <v>742.40522891637158</v>
      </c>
      <c r="M120" s="87">
        <f>IF(M26=0,0,1000000*M26/TrRoad_act!M63)</f>
        <v>764.15096155407434</v>
      </c>
      <c r="N120" s="87">
        <f>IF(N26=0,0,1000000*N26/TrRoad_act!N63)</f>
        <v>775.18522202637996</v>
      </c>
      <c r="O120" s="87">
        <f>IF(O26=0,0,1000000*O26/TrRoad_act!O63)</f>
        <v>850.05685305607835</v>
      </c>
      <c r="P120" s="87">
        <f>IF(P26=0,0,1000000*P26/TrRoad_act!P63)</f>
        <v>822.79474083689433</v>
      </c>
      <c r="Q120" s="87">
        <f>IF(Q26=0,0,1000000*Q26/TrRoad_act!Q63)</f>
        <v>832.93791780342497</v>
      </c>
      <c r="R120" s="87">
        <f>IF(R26=0,0,1000000*R26/TrRoad_act!R63)</f>
        <v>773.97979049330263</v>
      </c>
      <c r="S120" s="87">
        <f>IF(S26=0,0,1000000*S26/TrRoad_act!S63)</f>
        <v>778.41245983075407</v>
      </c>
      <c r="T120" s="87">
        <f>IF(T26=0,0,1000000*T26/TrRoad_act!T63)</f>
        <v>720.3526859757834</v>
      </c>
      <c r="U120" s="87">
        <f>IF(U26=0,0,1000000*U26/TrRoad_act!U63)</f>
        <v>710.26001057217047</v>
      </c>
      <c r="V120" s="87">
        <f>IF(V26=0,0,1000000*V26/TrRoad_act!V63)</f>
        <v>567.2308229796605</v>
      </c>
      <c r="W120" s="87">
        <f>IF(W26=0,0,1000000*W26/TrRoad_act!W63)</f>
        <v>599.79452646513482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1074.9024221646121</v>
      </c>
      <c r="C121" s="87">
        <f>IF(C27=0,0,1000000*C27/TrRoad_act!C64)</f>
        <v>1046.1692018221099</v>
      </c>
      <c r="D121" s="87">
        <f>IF(D27=0,0,1000000*D27/TrRoad_act!D64)</f>
        <v>1024.3971186008648</v>
      </c>
      <c r="E121" s="87">
        <f>IF(E27=0,0,1000000*E27/TrRoad_act!E64)</f>
        <v>1010.7514326708508</v>
      </c>
      <c r="F121" s="87">
        <f>IF(F27=0,0,1000000*F27/TrRoad_act!F64)</f>
        <v>1051.0015957365829</v>
      </c>
      <c r="G121" s="87">
        <f>IF(G27=0,0,1000000*G27/TrRoad_act!G64)</f>
        <v>992.23879023480629</v>
      </c>
      <c r="H121" s="87">
        <f>IF(H27=0,0,1000000*H27/TrRoad_act!H64)</f>
        <v>998.06111682457527</v>
      </c>
      <c r="I121" s="87">
        <f>IF(I27=0,0,1000000*I27/TrRoad_act!I64)</f>
        <v>968.72106402009888</v>
      </c>
      <c r="J121" s="87">
        <f>IF(J27=0,0,1000000*J27/TrRoad_act!J64)</f>
        <v>933.29137382134945</v>
      </c>
      <c r="K121" s="87">
        <f>IF(K27=0,0,1000000*K27/TrRoad_act!K64)</f>
        <v>850.0279293821601</v>
      </c>
      <c r="L121" s="87">
        <f>IF(L27=0,0,1000000*L27/TrRoad_act!L64)</f>
        <v>878.63435726312662</v>
      </c>
      <c r="M121" s="87">
        <f>IF(M27=0,0,1000000*M27/TrRoad_act!M64)</f>
        <v>846.84026535057149</v>
      </c>
      <c r="N121" s="87">
        <f>IF(N27=0,0,1000000*N27/TrRoad_act!N64)</f>
        <v>789.51150425318178</v>
      </c>
      <c r="O121" s="87">
        <f>IF(O27=0,0,1000000*O27/TrRoad_act!O64)</f>
        <v>792.84805018703787</v>
      </c>
      <c r="P121" s="87">
        <f>IF(P27=0,0,1000000*P27/TrRoad_act!P64)</f>
        <v>812.78833034531453</v>
      </c>
      <c r="Q121" s="87">
        <f>IF(Q27=0,0,1000000*Q27/TrRoad_act!Q64)</f>
        <v>809.36488178002105</v>
      </c>
      <c r="R121" s="87">
        <f>IF(R27=0,0,1000000*R27/TrRoad_act!R64)</f>
        <v>812.89190337440675</v>
      </c>
      <c r="S121" s="87">
        <f>IF(S27=0,0,1000000*S27/TrRoad_act!S64)</f>
        <v>742.07031278068382</v>
      </c>
      <c r="T121" s="87">
        <f>IF(T27=0,0,1000000*T27/TrRoad_act!T64)</f>
        <v>731.79101858239767</v>
      </c>
      <c r="U121" s="87">
        <f>IF(U27=0,0,1000000*U27/TrRoad_act!U64)</f>
        <v>795.82885479927609</v>
      </c>
      <c r="V121" s="87">
        <f>IF(V27=0,0,1000000*V27/TrRoad_act!V64)</f>
        <v>632.31380152781901</v>
      </c>
      <c r="W121" s="87">
        <f>IF(W27=0,0,1000000*W27/TrRoad_act!W64)</f>
        <v>629.5876277832682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312.98139746696279</v>
      </c>
      <c r="O122" s="87">
        <f>IF(O29=0,0,1000000*O29/TrRoad_act!O65)</f>
        <v>376.03094835836987</v>
      </c>
      <c r="P122" s="87">
        <f>IF(P29=0,0,1000000*P29/TrRoad_act!P65)</f>
        <v>425.82129307533427</v>
      </c>
      <c r="Q122" s="87">
        <f>IF(Q29=0,0,1000000*Q29/TrRoad_act!Q65)</f>
        <v>448.3413818964745</v>
      </c>
      <c r="R122" s="87">
        <f>IF(R29=0,0,1000000*R29/TrRoad_act!R65)</f>
        <v>417.48702963480474</v>
      </c>
      <c r="S122" s="87">
        <f>IF(S29=0,0,1000000*S29/TrRoad_act!S65)</f>
        <v>436.19655684356667</v>
      </c>
      <c r="T122" s="87">
        <f>IF(T29=0,0,1000000*T29/TrRoad_act!T65)</f>
        <v>449.47641916836085</v>
      </c>
      <c r="U122" s="87">
        <f>IF(U29=0,0,1000000*U29/TrRoad_act!U65)</f>
        <v>436.35636170462442</v>
      </c>
      <c r="V122" s="87">
        <f>IF(V29=0,0,1000000*V29/TrRoad_act!V65)</f>
        <v>303.65355915734955</v>
      </c>
      <c r="W122" s="87">
        <f>IF(W29=0,0,1000000*W29/TrRoad_act!W65)</f>
        <v>302.63415405257439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195.63154969379741</v>
      </c>
      <c r="M123" s="87">
        <f>IF(M32=0,0,1000000*M32/TrRoad_act!M66)</f>
        <v>196.4386716889031</v>
      </c>
      <c r="N123" s="87">
        <f>IF(N32=0,0,1000000*N32/TrRoad_act!N66)</f>
        <v>196.47219959588136</v>
      </c>
      <c r="O123" s="87">
        <f>IF(O32=0,0,1000000*O32/TrRoad_act!O66)</f>
        <v>195.96588935964536</v>
      </c>
      <c r="P123" s="87">
        <f>IF(P32=0,0,1000000*P32/TrRoad_act!P66)</f>
        <v>194.92253953321625</v>
      </c>
      <c r="Q123" s="87">
        <f>IF(Q32=0,0,1000000*Q32/TrRoad_act!Q66)</f>
        <v>191.2723043872542</v>
      </c>
      <c r="R123" s="87">
        <f>IF(R32=0,0,1000000*R32/TrRoad_act!R66)</f>
        <v>188.83449962511315</v>
      </c>
      <c r="S123" s="87">
        <f>IF(S32=0,0,1000000*S32/TrRoad_act!S66)</f>
        <v>186.60521857797232</v>
      </c>
      <c r="T123" s="87">
        <f>IF(T32=0,0,1000000*T32/TrRoad_act!T66)</f>
        <v>185.09087059733022</v>
      </c>
      <c r="U123" s="87">
        <f>IF(U32=0,0,1000000*U32/TrRoad_act!U66)</f>
        <v>203.46237217659538</v>
      </c>
      <c r="V123" s="87">
        <f>IF(V32=0,0,1000000*V32/TrRoad_act!V66)</f>
        <v>177.85471874985629</v>
      </c>
      <c r="W123" s="87">
        <f>IF(W32=0,0,1000000*W32/TrRoad_act!W66)</f>
        <v>215.24128945128791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24102.658311422496</v>
      </c>
      <c r="C124" s="116">
        <f>IF(C33=0,0,1000000*C33/TrRoad_act!C67)</f>
        <v>23729.484131972982</v>
      </c>
      <c r="D124" s="116">
        <f>IF(D33=0,0,1000000*D33/TrRoad_act!D67)</f>
        <v>23410.591319056693</v>
      </c>
      <c r="E124" s="116">
        <f>IF(E33=0,0,1000000*E33/TrRoad_act!E67)</f>
        <v>23155.663437451967</v>
      </c>
      <c r="F124" s="116">
        <f>IF(F33=0,0,1000000*F33/TrRoad_act!F67)</f>
        <v>23305.58577548209</v>
      </c>
      <c r="G124" s="116">
        <f>IF(G33=0,0,1000000*G33/TrRoad_act!G67)</f>
        <v>22943.027683442444</v>
      </c>
      <c r="H124" s="116">
        <f>IF(H33=0,0,1000000*H33/TrRoad_act!H67)</f>
        <v>22735.958783581973</v>
      </c>
      <c r="I124" s="116">
        <f>IF(I33=0,0,1000000*I33/TrRoad_act!I67)</f>
        <v>22597.104968425501</v>
      </c>
      <c r="J124" s="116">
        <f>IF(J33=0,0,1000000*J33/TrRoad_act!J67)</f>
        <v>22518.69683793779</v>
      </c>
      <c r="K124" s="116">
        <f>IF(K33=0,0,1000000*K33/TrRoad_act!K67)</f>
        <v>22431.865014684136</v>
      </c>
      <c r="L124" s="116">
        <f>IF(L33=0,0,1000000*L33/TrRoad_act!L67)</f>
        <v>22849.94995954031</v>
      </c>
      <c r="M124" s="116">
        <f>IF(M33=0,0,1000000*M33/TrRoad_act!M67)</f>
        <v>23221.72691610016</v>
      </c>
      <c r="N124" s="116">
        <f>IF(N33=0,0,1000000*N33/TrRoad_act!N67)</f>
        <v>22913.923818911731</v>
      </c>
      <c r="O124" s="116">
        <f>IF(O33=0,0,1000000*O33/TrRoad_act!O67)</f>
        <v>23322.594922901742</v>
      </c>
      <c r="P124" s="116">
        <f>IF(P33=0,0,1000000*P33/TrRoad_act!P67)</f>
        <v>23628.32309943272</v>
      </c>
      <c r="Q124" s="116">
        <f>IF(Q33=0,0,1000000*Q33/TrRoad_act!Q67)</f>
        <v>24268.828548089245</v>
      </c>
      <c r="R124" s="116">
        <f>IF(R33=0,0,1000000*R33/TrRoad_act!R67)</f>
        <v>24161.569808351713</v>
      </c>
      <c r="S124" s="116">
        <f>IF(S33=0,0,1000000*S33/TrRoad_act!S67)</f>
        <v>24023.025119073631</v>
      </c>
      <c r="T124" s="116">
        <f>IF(T33=0,0,1000000*T33/TrRoad_act!T67)</f>
        <v>23990.554057852572</v>
      </c>
      <c r="U124" s="116">
        <f>IF(U33=0,0,1000000*U33/TrRoad_act!U67)</f>
        <v>24430.589284246591</v>
      </c>
      <c r="V124" s="116">
        <f>IF(V33=0,0,1000000*V33/TrRoad_act!V67)</f>
        <v>24054.0566465017</v>
      </c>
      <c r="W124" s="116">
        <f>IF(W33=0,0,1000000*W33/TrRoad_act!W67)</f>
        <v>24928.305988902044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1776.8697188207343</v>
      </c>
      <c r="C125" s="101">
        <f>IF(C34=0,0,1000000*C34/TrRoad_act!C68)</f>
        <v>1749.4357792277813</v>
      </c>
      <c r="D125" s="101">
        <f>IF(D34=0,0,1000000*D34/TrRoad_act!D68)</f>
        <v>1707.4165079968282</v>
      </c>
      <c r="E125" s="101">
        <f>IF(E34=0,0,1000000*E34/TrRoad_act!E68)</f>
        <v>1676.4940345166328</v>
      </c>
      <c r="F125" s="101">
        <f>IF(F34=0,0,1000000*F34/TrRoad_act!F68)</f>
        <v>1666.1274597262268</v>
      </c>
      <c r="G125" s="101">
        <f>IF(G34=0,0,1000000*G34/TrRoad_act!G68)</f>
        <v>1626.1716568587256</v>
      </c>
      <c r="H125" s="101">
        <f>IF(H34=0,0,1000000*H34/TrRoad_act!H68)</f>
        <v>1601.2664630993336</v>
      </c>
      <c r="I125" s="101">
        <f>IF(I34=0,0,1000000*I34/TrRoad_act!I68)</f>
        <v>1555.2498569671486</v>
      </c>
      <c r="J125" s="101">
        <f>IF(J34=0,0,1000000*J34/TrRoad_act!J68)</f>
        <v>1548.3726092253837</v>
      </c>
      <c r="K125" s="101">
        <f>IF(K34=0,0,1000000*K34/TrRoad_act!K68)</f>
        <v>1573.2751703181639</v>
      </c>
      <c r="L125" s="101">
        <f>IF(L34=0,0,1000000*L34/TrRoad_act!L68)</f>
        <v>1624.6018722879517</v>
      </c>
      <c r="M125" s="101">
        <f>IF(M34=0,0,1000000*M34/TrRoad_act!M68)</f>
        <v>1661.4445015193596</v>
      </c>
      <c r="N125" s="101">
        <f>IF(N34=0,0,1000000*N34/TrRoad_act!N68)</f>
        <v>1653.1936452222969</v>
      </c>
      <c r="O125" s="101">
        <f>IF(O34=0,0,1000000*O34/TrRoad_act!O68)</f>
        <v>1519.2746541482825</v>
      </c>
      <c r="P125" s="101">
        <f>IF(P34=0,0,1000000*P34/TrRoad_act!P68)</f>
        <v>1476.67136649351</v>
      </c>
      <c r="Q125" s="101">
        <f>IF(Q34=0,0,1000000*Q34/TrRoad_act!Q68)</f>
        <v>1519.3819024843667</v>
      </c>
      <c r="R125" s="101">
        <f>IF(R34=0,0,1000000*R34/TrRoad_act!R68)</f>
        <v>1487.9870715660359</v>
      </c>
      <c r="S125" s="101">
        <f>IF(S34=0,0,1000000*S34/TrRoad_act!S68)</f>
        <v>1438.1062601271915</v>
      </c>
      <c r="T125" s="101">
        <f>IF(T34=0,0,1000000*T34/TrRoad_act!T68)</f>
        <v>1394.9826952235751</v>
      </c>
      <c r="U125" s="101">
        <f>IF(U34=0,0,1000000*U34/TrRoad_act!U68)</f>
        <v>1346.312094667926</v>
      </c>
      <c r="V125" s="101">
        <f>IF(V34=0,0,1000000*V34/TrRoad_act!V68)</f>
        <v>1310.932072572552</v>
      </c>
      <c r="W125" s="101">
        <f>IF(W34=0,0,1000000*W34/TrRoad_act!W68)</f>
        <v>1282.2859518097168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24548.453199851625</v>
      </c>
      <c r="C126" s="101">
        <f>IF(C36=0,0,1000000*C36/TrRoad_act!C69)</f>
        <v>24140.716908473572</v>
      </c>
      <c r="D126" s="101">
        <f>IF(D36=0,0,1000000*D36/TrRoad_act!D69)</f>
        <v>23784.269187533671</v>
      </c>
      <c r="E126" s="101">
        <f>IF(E36=0,0,1000000*E36/TrRoad_act!E69)</f>
        <v>23569.089450519907</v>
      </c>
      <c r="F126" s="101">
        <f>IF(F36=0,0,1000000*F36/TrRoad_act!F69)</f>
        <v>23697.443051689072</v>
      </c>
      <c r="G126" s="101">
        <f>IF(G36=0,0,1000000*G36/TrRoad_act!G69)</f>
        <v>23413.011622301554</v>
      </c>
      <c r="H126" s="101">
        <f>IF(H36=0,0,1000000*H36/TrRoad_act!H69)</f>
        <v>23331.915441250483</v>
      </c>
      <c r="I126" s="101">
        <f>IF(I36=0,0,1000000*I36/TrRoad_act!I69)</f>
        <v>23159.130435469571</v>
      </c>
      <c r="J126" s="101">
        <f>IF(J36=0,0,1000000*J36/TrRoad_act!J69)</f>
        <v>22937.136315557589</v>
      </c>
      <c r="K126" s="101">
        <f>IF(K36=0,0,1000000*K36/TrRoad_act!K69)</f>
        <v>23005.420320793804</v>
      </c>
      <c r="L126" s="101">
        <f>IF(L36=0,0,1000000*L36/TrRoad_act!L69)</f>
        <v>23452.292057384002</v>
      </c>
      <c r="M126" s="101">
        <f>IF(M36=0,0,1000000*M36/TrRoad_act!M69)</f>
        <v>23511.733154808917</v>
      </c>
      <c r="N126" s="101">
        <f>IF(N36=0,0,1000000*N36/TrRoad_act!N69)</f>
        <v>22993.774509301515</v>
      </c>
      <c r="O126" s="101">
        <f>IF(O36=0,0,1000000*O36/TrRoad_act!O69)</f>
        <v>23517.571440057105</v>
      </c>
      <c r="P126" s="101">
        <f>IF(P36=0,0,1000000*P36/TrRoad_act!P69)</f>
        <v>23868.410730918844</v>
      </c>
      <c r="Q126" s="101">
        <f>IF(Q36=0,0,1000000*Q36/TrRoad_act!Q69)</f>
        <v>24475.156493873696</v>
      </c>
      <c r="R126" s="101">
        <f>IF(R36=0,0,1000000*R36/TrRoad_act!R69)</f>
        <v>24725.40223916007</v>
      </c>
      <c r="S126" s="101">
        <f>IF(S36=0,0,1000000*S36/TrRoad_act!S69)</f>
        <v>24606.537789474107</v>
      </c>
      <c r="T126" s="101">
        <f>IF(T36=0,0,1000000*T36/TrRoad_act!T69)</f>
        <v>24614.285702048357</v>
      </c>
      <c r="U126" s="101">
        <f>IF(U36=0,0,1000000*U36/TrRoad_act!U69)</f>
        <v>25161.504444476774</v>
      </c>
      <c r="V126" s="101">
        <f>IF(V36=0,0,1000000*V36/TrRoad_act!V69)</f>
        <v>25251.422720452883</v>
      </c>
      <c r="W126" s="101">
        <f>IF(W36=0,0,1000000*W36/TrRoad_act!W69)</f>
        <v>25224.403790332151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12978.142578229712</v>
      </c>
      <c r="C127" s="101">
        <f>IF(C38=0,0,1000000*C38/TrRoad_act!C70)</f>
        <v>12842.266380646084</v>
      </c>
      <c r="D127" s="101">
        <f>IF(D38=0,0,1000000*D38/TrRoad_act!D70)</f>
        <v>12776.727843003362</v>
      </c>
      <c r="E127" s="101">
        <f>IF(E38=0,0,1000000*E38/TrRoad_act!E70)</f>
        <v>12608.313585076659</v>
      </c>
      <c r="F127" s="101">
        <f>IF(F38=0,0,1000000*F38/TrRoad_act!F70)</f>
        <v>12486.758200413407</v>
      </c>
      <c r="G127" s="101">
        <f>IF(G38=0,0,1000000*G38/TrRoad_act!G70)</f>
        <v>12334.382701237406</v>
      </c>
      <c r="H127" s="101">
        <f>IF(H38=0,0,1000000*H38/TrRoad_act!H70)</f>
        <v>12375.70430448457</v>
      </c>
      <c r="I127" s="101">
        <f>IF(I38=0,0,1000000*I38/TrRoad_act!I70)</f>
        <v>12299.746540440749</v>
      </c>
      <c r="J127" s="101">
        <f>IF(J38=0,0,1000000*J38/TrRoad_act!J70)</f>
        <v>12180.387166434357</v>
      </c>
      <c r="K127" s="101">
        <f>IF(K38=0,0,1000000*K38/TrRoad_act!K70)</f>
        <v>12274.745498275128</v>
      </c>
      <c r="L127" s="101">
        <f>IF(L38=0,0,1000000*L38/TrRoad_act!L70)</f>
        <v>12536.463468234555</v>
      </c>
      <c r="M127" s="101">
        <f>IF(M38=0,0,1000000*M38/TrRoad_act!M70)</f>
        <v>12635.234464551499</v>
      </c>
      <c r="N127" s="101">
        <f>IF(N38=0,0,1000000*N38/TrRoad_act!N70)</f>
        <v>12352.037115303665</v>
      </c>
      <c r="O127" s="101">
        <f>IF(O38=0,0,1000000*O38/TrRoad_act!O70)</f>
        <v>12557.308718386419</v>
      </c>
      <c r="P127" s="101">
        <f>IF(P38=0,0,1000000*P38/TrRoad_act!P70)</f>
        <v>12741.13749590614</v>
      </c>
      <c r="Q127" s="101">
        <f>IF(Q38=0,0,1000000*Q38/TrRoad_act!Q70)</f>
        <v>13601.999809334664</v>
      </c>
      <c r="R127" s="101">
        <f>IF(R38=0,0,1000000*R38/TrRoad_act!R70)</f>
        <v>13458.707155775219</v>
      </c>
      <c r="S127" s="101">
        <f>IF(S38=0,0,1000000*S38/TrRoad_act!S70)</f>
        <v>13320.193323709336</v>
      </c>
      <c r="T127" s="101">
        <f>IF(T38=0,0,1000000*T38/TrRoad_act!T70)</f>
        <v>13416.652213286443</v>
      </c>
      <c r="U127" s="101">
        <f>IF(U38=0,0,1000000*U38/TrRoad_act!U70)</f>
        <v>13589.012663434769</v>
      </c>
      <c r="V127" s="101">
        <f>IF(V38=0,0,1000000*V38/TrRoad_act!V70)</f>
        <v>13572.007886649299</v>
      </c>
      <c r="W127" s="101">
        <f>IF(W38=0,0,1000000*W38/TrRoad_act!W70)</f>
        <v>13587.148738772128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2288.8356767002629</v>
      </c>
      <c r="C128" s="101">
        <f>IF(C39=0,0,1000000*C39/TrRoad_act!C71)</f>
        <v>2120.8652949683324</v>
      </c>
      <c r="D128" s="101">
        <f>IF(D39=0,0,1000000*D39/TrRoad_act!D71)</f>
        <v>1986.8318432570695</v>
      </c>
      <c r="E128" s="101">
        <f>IF(E39=0,0,1000000*E39/TrRoad_act!E71)</f>
        <v>1930.3376338657208</v>
      </c>
      <c r="F128" s="101">
        <f>IF(F39=0,0,1000000*F39/TrRoad_act!F71)</f>
        <v>1994.7049835431094</v>
      </c>
      <c r="G128" s="101">
        <f>IF(G39=0,0,1000000*G39/TrRoad_act!G71)</f>
        <v>2166.7643180172035</v>
      </c>
      <c r="H128" s="101">
        <f>IF(H39=0,0,1000000*H39/TrRoad_act!H71)</f>
        <v>2287.1811576345908</v>
      </c>
      <c r="I128" s="101">
        <f>IF(I39=0,0,1000000*I39/TrRoad_act!I71)</f>
        <v>7121.450529335074</v>
      </c>
      <c r="J128" s="101">
        <f>IF(J39=0,0,1000000*J39/TrRoad_act!J71)</f>
        <v>14251.666331271688</v>
      </c>
      <c r="K128" s="101">
        <f>IF(K39=0,0,1000000*K39/TrRoad_act!K71)</f>
        <v>10826.007652791766</v>
      </c>
      <c r="L128" s="101">
        <f>IF(L39=0,0,1000000*L39/TrRoad_act!L71)</f>
        <v>11340.734300656499</v>
      </c>
      <c r="M128" s="101">
        <f>IF(M39=0,0,1000000*M39/TrRoad_act!M71)</f>
        <v>20252.348509464155</v>
      </c>
      <c r="N128" s="101">
        <f>IF(N39=0,0,1000000*N39/TrRoad_act!N71)</f>
        <v>25358.982779224352</v>
      </c>
      <c r="O128" s="101">
        <f>IF(O39=0,0,1000000*O39/TrRoad_act!O71)</f>
        <v>27488.516526795949</v>
      </c>
      <c r="P128" s="101">
        <f>IF(P39=0,0,1000000*P39/TrRoad_act!P71)</f>
        <v>24259.383215449117</v>
      </c>
      <c r="Q128" s="101">
        <f>IF(Q39=0,0,1000000*Q39/TrRoad_act!Q71)</f>
        <v>25809.374655973661</v>
      </c>
      <c r="R128" s="101">
        <f>IF(R39=0,0,1000000*R39/TrRoad_act!R71)</f>
        <v>15555.358780151972</v>
      </c>
      <c r="S128" s="101">
        <f>IF(S39=0,0,1000000*S39/TrRoad_act!S71)</f>
        <v>16353.087544337326</v>
      </c>
      <c r="T128" s="101">
        <f>IF(T39=0,0,1000000*T39/TrRoad_act!T71)</f>
        <v>16086.511291691713</v>
      </c>
      <c r="U128" s="101">
        <f>IF(U39=0,0,1000000*U39/TrRoad_act!U71)</f>
        <v>17674.85899585018</v>
      </c>
      <c r="V128" s="101">
        <f>IF(V39=0,0,1000000*V39/TrRoad_act!V71)</f>
        <v>8801.3434633281868</v>
      </c>
      <c r="W128" s="101">
        <f>IF(W39=0,0,1000000*W39/TrRoad_act!W71)</f>
        <v>26949.387523620277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11684.754433339182</v>
      </c>
      <c r="P129" s="101">
        <f>IF(P41=0,0,1000000*P41/TrRoad_act!P72)</f>
        <v>11693.079351150242</v>
      </c>
      <c r="Q129" s="101">
        <f>IF(Q41=0,0,1000000*Q41/TrRoad_act!Q72)</f>
        <v>11701.188928202626</v>
      </c>
      <c r="R129" s="101">
        <f>IF(R41=0,0,1000000*R41/TrRoad_act!R72)</f>
        <v>11701.098172265545</v>
      </c>
      <c r="S129" s="101">
        <f>IF(S41=0,0,1000000*S41/TrRoad_act!S72)</f>
        <v>11695.585357345526</v>
      </c>
      <c r="T129" s="101">
        <f>IF(T41=0,0,1000000*T41/TrRoad_act!T72)</f>
        <v>11582.637121023614</v>
      </c>
      <c r="U129" s="101">
        <f>IF(U41=0,0,1000000*U41/TrRoad_act!U72)</f>
        <v>11456.088021020516</v>
      </c>
      <c r="V129" s="101">
        <f>IF(V41=0,0,1000000*V41/TrRoad_act!V72)</f>
        <v>11337.106161811837</v>
      </c>
      <c r="W129" s="101">
        <f>IF(W41=0,0,1000000*W41/TrRoad_act!W72)</f>
        <v>10983.351307338484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2765.074790332827</v>
      </c>
      <c r="C131" s="152">
        <f>IF(C43=0,0,1000000*C43/TrRoad_act!C74)</f>
        <v>2346.0256424829477</v>
      </c>
      <c r="D131" s="152">
        <f>IF(D43=0,0,1000000*D43/TrRoad_act!D74)</f>
        <v>2160.3923740376326</v>
      </c>
      <c r="E131" s="152">
        <f>IF(E43=0,0,1000000*E43/TrRoad_act!E74)</f>
        <v>2144.8733979589647</v>
      </c>
      <c r="F131" s="152">
        <f>IF(F43=0,0,1000000*F43/TrRoad_act!F74)</f>
        <v>2212.2259408808554</v>
      </c>
      <c r="G131" s="152">
        <f>IF(G43=0,0,1000000*G43/TrRoad_act!G74)</f>
        <v>2256.9321704341141</v>
      </c>
      <c r="H131" s="152">
        <f>IF(H43=0,0,1000000*H43/TrRoad_act!H74)</f>
        <v>1864.7967290700503</v>
      </c>
      <c r="I131" s="152">
        <f>IF(I43=0,0,1000000*I43/TrRoad_act!I74)</f>
        <v>1914.9704154829219</v>
      </c>
      <c r="J131" s="152">
        <f>IF(J43=0,0,1000000*J43/TrRoad_act!J74)</f>
        <v>1821.9178636432268</v>
      </c>
      <c r="K131" s="152">
        <f>IF(K43=0,0,1000000*K43/TrRoad_act!K74)</f>
        <v>1748.1889107950806</v>
      </c>
      <c r="L131" s="152">
        <f>IF(L43=0,0,1000000*L43/TrRoad_act!L74)</f>
        <v>1841.406525488266</v>
      </c>
      <c r="M131" s="152">
        <f>IF(M43=0,0,1000000*M43/TrRoad_act!M74)</f>
        <v>1859.5108439979331</v>
      </c>
      <c r="N131" s="152">
        <f>IF(N43=0,0,1000000*N43/TrRoad_act!N74)</f>
        <v>1611.3871610427575</v>
      </c>
      <c r="O131" s="152">
        <f>IF(O43=0,0,1000000*O43/TrRoad_act!O74)</f>
        <v>1410.0037371047531</v>
      </c>
      <c r="P131" s="152">
        <f>IF(P43=0,0,1000000*P43/TrRoad_act!P74)</f>
        <v>1431.8202697104225</v>
      </c>
      <c r="Q131" s="152">
        <f>IF(Q43=0,0,1000000*Q43/TrRoad_act!Q74)</f>
        <v>1146.9163877671951</v>
      </c>
      <c r="R131" s="152">
        <f>IF(R43=0,0,1000000*R43/TrRoad_act!R74)</f>
        <v>1031.6467239532342</v>
      </c>
      <c r="S131" s="152">
        <f>IF(S43=0,0,1000000*S43/TrRoad_act!S74)</f>
        <v>1018.6899587454676</v>
      </c>
      <c r="T131" s="152">
        <f>IF(T43=0,0,1000000*T43/TrRoad_act!T74)</f>
        <v>1032.6196021397041</v>
      </c>
      <c r="U131" s="152">
        <f>IF(U43=0,0,1000000*U43/TrRoad_act!U74)</f>
        <v>1038.1712110109024</v>
      </c>
      <c r="V131" s="152">
        <f>IF(V43=0,0,1000000*V43/TrRoad_act!V74)</f>
        <v>988.67121420202454</v>
      </c>
      <c r="W131" s="152">
        <f>IF(W43=0,0,1000000*W43/TrRoad_act!W74)</f>
        <v>1174.5118336892726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1165.5054835166245</v>
      </c>
      <c r="C132" s="87">
        <f>IF(C44=0,0,1000000*C44/TrRoad_act!C75)</f>
        <v>1122.2390536834018</v>
      </c>
      <c r="D132" s="87">
        <f>IF(D44=0,0,1000000*D44/TrRoad_act!D75)</f>
        <v>1075.5917504461086</v>
      </c>
      <c r="E132" s="87">
        <f>IF(E44=0,0,1000000*E44/TrRoad_act!E75)</f>
        <v>1039.2747529324322</v>
      </c>
      <c r="F132" s="87">
        <f>IF(F44=0,0,1000000*F44/TrRoad_act!F75)</f>
        <v>1016.8680014098986</v>
      </c>
      <c r="G132" s="87">
        <f>IF(G44=0,0,1000000*G44/TrRoad_act!G75)</f>
        <v>987.96847061028416</v>
      </c>
      <c r="H132" s="87">
        <f>IF(H44=0,0,1000000*H44/TrRoad_act!H75)</f>
        <v>947.69172333401059</v>
      </c>
      <c r="I132" s="87">
        <f>IF(I44=0,0,1000000*I44/TrRoad_act!I75)</f>
        <v>933.3443121463356</v>
      </c>
      <c r="J132" s="87">
        <f>IF(J44=0,0,1000000*J44/TrRoad_act!J75)</f>
        <v>915.91145409625392</v>
      </c>
      <c r="K132" s="87">
        <f>IF(K44=0,0,1000000*K44/TrRoad_act!K75)</f>
        <v>906.73910652988491</v>
      </c>
      <c r="L132" s="87">
        <f>IF(L44=0,0,1000000*L44/TrRoad_act!L75)</f>
        <v>909.06947693977463</v>
      </c>
      <c r="M132" s="87">
        <f>IF(M44=0,0,1000000*M44/TrRoad_act!M75)</f>
        <v>899.33001045785613</v>
      </c>
      <c r="N132" s="87">
        <f>IF(N44=0,0,1000000*N44/TrRoad_act!N75)</f>
        <v>867.42216422164029</v>
      </c>
      <c r="O132" s="87">
        <f>IF(O44=0,0,1000000*O44/TrRoad_act!O75)</f>
        <v>849.80494257933606</v>
      </c>
      <c r="P132" s="87">
        <f>IF(P44=0,0,1000000*P44/TrRoad_act!P75)</f>
        <v>831.49932402733191</v>
      </c>
      <c r="Q132" s="87">
        <f>IF(Q44=0,0,1000000*Q44/TrRoad_act!Q75)</f>
        <v>794.60156965040767</v>
      </c>
      <c r="R132" s="87">
        <f>IF(R44=0,0,1000000*R44/TrRoad_act!R75)</f>
        <v>776.68857889354388</v>
      </c>
      <c r="S132" s="87">
        <f>IF(S44=0,0,1000000*S44/TrRoad_act!S75)</f>
        <v>772.76146389692519</v>
      </c>
      <c r="T132" s="87">
        <f>IF(T44=0,0,1000000*T44/TrRoad_act!T75)</f>
        <v>761.81069933063429</v>
      </c>
      <c r="U132" s="87">
        <f>IF(U44=0,0,1000000*U44/TrRoad_act!U75)</f>
        <v>750.40875940973331</v>
      </c>
      <c r="V132" s="87">
        <f>IF(V44=0,0,1000000*V44/TrRoad_act!V75)</f>
        <v>743.18509284399818</v>
      </c>
      <c r="W132" s="87">
        <f>IF(W44=0,0,1000000*W44/TrRoad_act!W75)</f>
        <v>755.41066874244723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2942.0131450216977</v>
      </c>
      <c r="C133" s="87">
        <f>IF(C46=0,0,1000000*C46/TrRoad_act!C76)</f>
        <v>2478.8544676495212</v>
      </c>
      <c r="D133" s="87">
        <f>IF(D46=0,0,1000000*D46/TrRoad_act!D76)</f>
        <v>2276.282175631165</v>
      </c>
      <c r="E133" s="87">
        <f>IF(E46=0,0,1000000*E46/TrRoad_act!E76)</f>
        <v>2261.5580069355519</v>
      </c>
      <c r="F133" s="87">
        <f>IF(F46=0,0,1000000*F46/TrRoad_act!F76)</f>
        <v>2337.0702317825662</v>
      </c>
      <c r="G133" s="87">
        <f>IF(G46=0,0,1000000*G46/TrRoad_act!G76)</f>
        <v>2388.1323930813601</v>
      </c>
      <c r="H133" s="87">
        <f>IF(H46=0,0,1000000*H46/TrRoad_act!H76)</f>
        <v>1958.1443268026603</v>
      </c>
      <c r="I133" s="87">
        <f>IF(I46=0,0,1000000*I46/TrRoad_act!I76)</f>
        <v>1999.8039510475714</v>
      </c>
      <c r="J133" s="87">
        <f>IF(J46=0,0,1000000*J46/TrRoad_act!J76)</f>
        <v>1898.0394526952255</v>
      </c>
      <c r="K133" s="87">
        <f>IF(K46=0,0,1000000*K46/TrRoad_act!K76)</f>
        <v>1819.4897967058846</v>
      </c>
      <c r="L133" s="87">
        <f>IF(L46=0,0,1000000*L46/TrRoad_act!L76)</f>
        <v>1921.9223588981804</v>
      </c>
      <c r="M133" s="87">
        <f>IF(M46=0,0,1000000*M46/TrRoad_act!M76)</f>
        <v>1943.9535537562676</v>
      </c>
      <c r="N133" s="87">
        <f>IF(N46=0,0,1000000*N46/TrRoad_act!N76)</f>
        <v>1676.6092021831496</v>
      </c>
      <c r="O133" s="87">
        <f>IF(O46=0,0,1000000*O46/TrRoad_act!O76)</f>
        <v>1457.6339631493736</v>
      </c>
      <c r="P133" s="87">
        <f>IF(P46=0,0,1000000*P46/TrRoad_act!P76)</f>
        <v>1482.9807348256761</v>
      </c>
      <c r="Q133" s="87">
        <f>IF(Q46=0,0,1000000*Q46/TrRoad_act!Q76)</f>
        <v>1173.8542756654936</v>
      </c>
      <c r="R133" s="87">
        <f>IF(R46=0,0,1000000*R46/TrRoad_act!R76)</f>
        <v>1048.9785902562478</v>
      </c>
      <c r="S133" s="87">
        <f>IF(S46=0,0,1000000*S46/TrRoad_act!S76)</f>
        <v>1036.6455836794478</v>
      </c>
      <c r="T133" s="87">
        <f>IF(T46=0,0,1000000*T46/TrRoad_act!T76)</f>
        <v>1052.2944194184804</v>
      </c>
      <c r="U133" s="87">
        <f>IF(U46=0,0,1000000*U46/TrRoad_act!U76)</f>
        <v>1057.0263492510776</v>
      </c>
      <c r="V133" s="87">
        <f>IF(V46=0,0,1000000*V46/TrRoad_act!V76)</f>
        <v>1003.8949175761107</v>
      </c>
      <c r="W133" s="87">
        <f>IF(W46=0,0,1000000*W46/TrRoad_act!W76)</f>
        <v>1201.899171371799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1391.2808790274544</v>
      </c>
      <c r="C134" s="87">
        <f>IF(C48=0,0,1000000*C48/TrRoad_act!C77)</f>
        <v>1288.1888325823852</v>
      </c>
      <c r="D134" s="87">
        <f>IF(D48=0,0,1000000*D48/TrRoad_act!D77)</f>
        <v>1197.5266971614983</v>
      </c>
      <c r="E134" s="87">
        <f>IF(E48=0,0,1000000*E48/TrRoad_act!E77)</f>
        <v>1127.5890635932417</v>
      </c>
      <c r="F134" s="87">
        <f>IF(F48=0,0,1000000*F48/TrRoad_act!F77)</f>
        <v>1076.5505794016192</v>
      </c>
      <c r="G134" s="87">
        <f>IF(G48=0,0,1000000*G48/TrRoad_act!G77)</f>
        <v>1023.4155541179392</v>
      </c>
      <c r="H134" s="87">
        <f>IF(H48=0,0,1000000*H48/TrRoad_act!H77)</f>
        <v>929.98028254909639</v>
      </c>
      <c r="I134" s="87">
        <f>IF(I48=0,0,1000000*I48/TrRoad_act!I77)</f>
        <v>932.86960749005482</v>
      </c>
      <c r="J134" s="87">
        <f>IF(J48=0,0,1000000*J48/TrRoad_act!J77)</f>
        <v>897.86647408383044</v>
      </c>
      <c r="K134" s="87">
        <f>IF(K48=0,0,1000000*K48/TrRoad_act!K77)</f>
        <v>853.75557607824135</v>
      </c>
      <c r="L134" s="87">
        <f>IF(L48=0,0,1000000*L48/TrRoad_act!L77)</f>
        <v>862.38394109089222</v>
      </c>
      <c r="M134" s="87">
        <f>IF(M48=0,0,1000000*M48/TrRoad_act!M77)</f>
        <v>861.02401205366425</v>
      </c>
      <c r="N134" s="87">
        <f>IF(N48=0,0,1000000*N48/TrRoad_act!N77)</f>
        <v>789.06574049566257</v>
      </c>
      <c r="O134" s="87">
        <f>IF(O48=0,0,1000000*O48/TrRoad_act!O77)</f>
        <v>754.43673755621842</v>
      </c>
      <c r="P134" s="87">
        <f>IF(P48=0,0,1000000*P48/TrRoad_act!P77)</f>
        <v>753.79303791357142</v>
      </c>
      <c r="Q134" s="87">
        <f>IF(Q48=0,0,1000000*Q48/TrRoad_act!Q77)</f>
        <v>694.79779490920544</v>
      </c>
      <c r="R134" s="87">
        <f>IF(R48=0,0,1000000*R48/TrRoad_act!R77)</f>
        <v>675.45223464092021</v>
      </c>
      <c r="S134" s="87">
        <f>IF(S48=0,0,1000000*S48/TrRoad_act!S77)</f>
        <v>666.43193770302184</v>
      </c>
      <c r="T134" s="87">
        <f>IF(T48=0,0,1000000*T48/TrRoad_act!T77)</f>
        <v>665.48134429904474</v>
      </c>
      <c r="U134" s="87">
        <f>IF(U48=0,0,1000000*U48/TrRoad_act!U77)</f>
        <v>658.35705669555614</v>
      </c>
      <c r="V134" s="87">
        <f>IF(V48=0,0,1000000*V48/TrRoad_act!V77)</f>
        <v>639.43236911115014</v>
      </c>
      <c r="W134" s="87">
        <f>IF(W48=0,0,1000000*W48/TrRoad_act!W77)</f>
        <v>717.39424353134677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2021.076560626864</v>
      </c>
      <c r="C135" s="87">
        <f>IF(C49=0,0,1000000*C49/TrRoad_act!C78)</f>
        <v>1836.401733378912</v>
      </c>
      <c r="D135" s="87">
        <f>IF(D49=0,0,1000000*D49/TrRoad_act!D78)</f>
        <v>1692.8382964993648</v>
      </c>
      <c r="E135" s="87">
        <f>IF(E49=0,0,1000000*E49/TrRoad_act!E78)</f>
        <v>1586.4708222509937</v>
      </c>
      <c r="F135" s="87">
        <f>IF(F49=0,0,1000000*F49/TrRoad_act!F78)</f>
        <v>1519.5701871231465</v>
      </c>
      <c r="G135" s="87">
        <f>IF(G49=0,0,1000000*G49/TrRoad_act!G78)</f>
        <v>1458.6819762673263</v>
      </c>
      <c r="H135" s="87">
        <f>IF(H49=0,0,1000000*H49/TrRoad_act!H78)</f>
        <v>1377.5012463377491</v>
      </c>
      <c r="I135" s="87">
        <f>IF(I49=0,0,1000000*I49/TrRoad_act!I78)</f>
        <v>1373.8332235838673</v>
      </c>
      <c r="J135" s="87">
        <f>IF(J49=0,0,1000000*J49/TrRoad_act!J78)</f>
        <v>1323.5886955181213</v>
      </c>
      <c r="K135" s="87">
        <f>IF(K49=0,0,1000000*K49/TrRoad_act!K78)</f>
        <v>1194.2425330578808</v>
      </c>
      <c r="L135" s="87">
        <f>IF(L49=0,0,1000000*L49/TrRoad_act!L78)</f>
        <v>1245.587262357222</v>
      </c>
      <c r="M135" s="87">
        <f>IF(M49=0,0,1000000*M49/TrRoad_act!M78)</f>
        <v>1212.6324657424652</v>
      </c>
      <c r="N135" s="87">
        <f>IF(N49=0,0,1000000*N49/TrRoad_act!N78)</f>
        <v>1156.4383683219648</v>
      </c>
      <c r="O135" s="87">
        <f>IF(O49=0,0,1000000*O49/TrRoad_act!O78)</f>
        <v>1149.9164823286087</v>
      </c>
      <c r="P135" s="87">
        <f>IF(P49=0,0,1000000*P49/TrRoad_act!P78)</f>
        <v>1125.3581503652883</v>
      </c>
      <c r="Q135" s="87">
        <f>IF(Q49=0,0,1000000*Q49/TrRoad_act!Q78)</f>
        <v>1094.4574650131558</v>
      </c>
      <c r="R135" s="87">
        <f>IF(R49=0,0,1000000*R49/TrRoad_act!R78)</f>
        <v>1062.6892568268436</v>
      </c>
      <c r="S135" s="87">
        <f>IF(S49=0,0,1000000*S49/TrRoad_act!S78)</f>
        <v>976.60324423397628</v>
      </c>
      <c r="T135" s="87">
        <f>IF(T49=0,0,1000000*T49/TrRoad_act!T78)</f>
        <v>978.03448125249065</v>
      </c>
      <c r="U135" s="87">
        <f>IF(U49=0,0,1000000*U49/TrRoad_act!U78)</f>
        <v>1069.6544647118276</v>
      </c>
      <c r="V135" s="87">
        <f>IF(V49=0,0,1000000*V49/TrRoad_act!V78)</f>
        <v>1066.2730380921755</v>
      </c>
      <c r="W135" s="87">
        <f>IF(W49=0,0,1000000*W49/TrRoad_act!W78)</f>
        <v>1184.5784668026263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161.41249700032404</v>
      </c>
      <c r="N136" s="87">
        <f>IF(N51=0,0,1000000*N51/TrRoad_act!N79)</f>
        <v>162.03226498141808</v>
      </c>
      <c r="O136" s="87">
        <f>IF(O51=0,0,1000000*O51/TrRoad_act!O79)</f>
        <v>157.88020174467167</v>
      </c>
      <c r="P136" s="87">
        <f>IF(P51=0,0,1000000*P51/TrRoad_act!P79)</f>
        <v>162.17925569935088</v>
      </c>
      <c r="Q136" s="87">
        <f>IF(Q51=0,0,1000000*Q51/TrRoad_act!Q79)</f>
        <v>172.28787449032583</v>
      </c>
      <c r="R136" s="87">
        <f>IF(R51=0,0,1000000*R51/TrRoad_act!R79)</f>
        <v>177.55786901275147</v>
      </c>
      <c r="S136" s="87">
        <f>IF(S51=0,0,1000000*S51/TrRoad_act!S79)</f>
        <v>184.44962363277739</v>
      </c>
      <c r="T136" s="87">
        <f>IF(T51=0,0,1000000*T51/TrRoad_act!T79)</f>
        <v>201.8225848579886</v>
      </c>
      <c r="U136" s="87">
        <f>IF(U51=0,0,1000000*U51/TrRoad_act!U79)</f>
        <v>217.71714949992293</v>
      </c>
      <c r="V136" s="87">
        <f>IF(V51=0,0,1000000*V51/TrRoad_act!V79)</f>
        <v>223.2021117878646</v>
      </c>
      <c r="W136" s="87">
        <f>IF(W51=0,0,1000000*W51/TrRoad_act!W79)</f>
        <v>262.0412418782949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2693.8444301714103</v>
      </c>
      <c r="C137" s="116">
        <f>IF(C52=0,0,1000000*C52/TrRoad_act!C80)</f>
        <v>4078.8570291295077</v>
      </c>
      <c r="D137" s="116">
        <f>IF(D52=0,0,1000000*D52/TrRoad_act!D80)</f>
        <v>4087.1204356491144</v>
      </c>
      <c r="E137" s="116">
        <f>IF(E52=0,0,1000000*E52/TrRoad_act!E80)</f>
        <v>3977.797254923817</v>
      </c>
      <c r="F137" s="116">
        <f>IF(F52=0,0,1000000*F52/TrRoad_act!F80)</f>
        <v>4244.0859479331966</v>
      </c>
      <c r="G137" s="116">
        <f>IF(G52=0,0,1000000*G52/TrRoad_act!G80)</f>
        <v>4256.6674571573922</v>
      </c>
      <c r="H137" s="116">
        <f>IF(H52=0,0,1000000*H52/TrRoad_act!H80)</f>
        <v>5022.1941283394772</v>
      </c>
      <c r="I137" s="116">
        <f>IF(I52=0,0,1000000*I52/TrRoad_act!I80)</f>
        <v>4892.0495235235448</v>
      </c>
      <c r="J137" s="116">
        <f>IF(J52=0,0,1000000*J52/TrRoad_act!J80)</f>
        <v>3784.4536806404121</v>
      </c>
      <c r="K137" s="116">
        <f>IF(K52=0,0,1000000*K52/TrRoad_act!K80)</f>
        <v>3267.9638585934476</v>
      </c>
      <c r="L137" s="116">
        <f>IF(L52=0,0,1000000*L52/TrRoad_act!L80)</f>
        <v>2601.2474491755138</v>
      </c>
      <c r="M137" s="116">
        <f>IF(M52=0,0,1000000*M52/TrRoad_act!M80)</f>
        <v>2906.8819851339199</v>
      </c>
      <c r="N137" s="116">
        <f>IF(N52=0,0,1000000*N52/TrRoad_act!N80)</f>
        <v>3659.8381229717766</v>
      </c>
      <c r="O137" s="116">
        <f>IF(O52=0,0,1000000*O52/TrRoad_act!O80)</f>
        <v>3045.0817671358182</v>
      </c>
      <c r="P137" s="116">
        <f>IF(P52=0,0,1000000*P52/TrRoad_act!P80)</f>
        <v>2794.3675590634934</v>
      </c>
      <c r="Q137" s="116">
        <f>IF(Q52=0,0,1000000*Q52/TrRoad_act!Q80)</f>
        <v>3039.1734674859817</v>
      </c>
      <c r="R137" s="116">
        <f>IF(R52=0,0,1000000*R52/TrRoad_act!R80)</f>
        <v>3360.6084863188662</v>
      </c>
      <c r="S137" s="116">
        <f>IF(S52=0,0,1000000*S52/TrRoad_act!S80)</f>
        <v>2140.3752923084758</v>
      </c>
      <c r="T137" s="116">
        <f>IF(T52=0,0,1000000*T52/TrRoad_act!T80)</f>
        <v>3630.1052832962446</v>
      </c>
      <c r="U137" s="116">
        <f>IF(U52=0,0,1000000*U52/TrRoad_act!U80)</f>
        <v>3838.0699146132506</v>
      </c>
      <c r="V137" s="116">
        <f>IF(V52=0,0,1000000*V52/TrRoad_act!V80)</f>
        <v>3328.0473944434816</v>
      </c>
      <c r="W137" s="116">
        <f>IF(W52=0,0,1000000*W52/TrRoad_act!W80)</f>
        <v>5464.9808735709967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2348.4624903294252</v>
      </c>
      <c r="C138" s="101">
        <f>IF(C53=0,0,1000000*C53/TrRoad_act!C81)</f>
        <v>3510.5181278826508</v>
      </c>
      <c r="D138" s="101">
        <f>IF(D53=0,0,1000000*D53/TrRoad_act!D81)</f>
        <v>3496.8626637303032</v>
      </c>
      <c r="E138" s="101">
        <f>IF(E53=0,0,1000000*E53/TrRoad_act!E81)</f>
        <v>3379.6045087240614</v>
      </c>
      <c r="F138" s="101">
        <f>IF(F53=0,0,1000000*F53/TrRoad_act!F81)</f>
        <v>3631.3520873894836</v>
      </c>
      <c r="G138" s="101">
        <f>IF(G53=0,0,1000000*G53/TrRoad_act!G81)</f>
        <v>3646.1059706337542</v>
      </c>
      <c r="H138" s="101">
        <f>IF(H53=0,0,1000000*H53/TrRoad_act!H81)</f>
        <v>4131.1272256893108</v>
      </c>
      <c r="I138" s="101">
        <f>IF(I53=0,0,1000000*I53/TrRoad_act!I81)</f>
        <v>4050.7172126586147</v>
      </c>
      <c r="J138" s="101">
        <f>IF(J53=0,0,1000000*J53/TrRoad_act!J81)</f>
        <v>3087.2778580277659</v>
      </c>
      <c r="K138" s="101">
        <f>IF(K53=0,0,1000000*K53/TrRoad_act!K81)</f>
        <v>2721.9445803685139</v>
      </c>
      <c r="L138" s="101">
        <f>IF(L53=0,0,1000000*L53/TrRoad_act!L81)</f>
        <v>2146.5968993083043</v>
      </c>
      <c r="M138" s="101">
        <f>IF(M53=0,0,1000000*M53/TrRoad_act!M81)</f>
        <v>2375.9986131276664</v>
      </c>
      <c r="N138" s="101">
        <f>IF(N53=0,0,1000000*N53/TrRoad_act!N81)</f>
        <v>2950.8623862337517</v>
      </c>
      <c r="O138" s="101">
        <f>IF(O53=0,0,1000000*O53/TrRoad_act!O81)</f>
        <v>2427.9201889724136</v>
      </c>
      <c r="P138" s="101">
        <f>IF(P53=0,0,1000000*P53/TrRoad_act!P81)</f>
        <v>2178.5681430566115</v>
      </c>
      <c r="Q138" s="101">
        <f>IF(Q53=0,0,1000000*Q53/TrRoad_act!Q81)</f>
        <v>2369.7455484616848</v>
      </c>
      <c r="R138" s="101">
        <f>IF(R53=0,0,1000000*R53/TrRoad_act!R81)</f>
        <v>2581.9947278220629</v>
      </c>
      <c r="S138" s="101">
        <f>IF(S53=0,0,1000000*S53/TrRoad_act!S81)</f>
        <v>1618.8286033497986</v>
      </c>
      <c r="T138" s="101">
        <f>IF(T53=0,0,1000000*T53/TrRoad_act!T81)</f>
        <v>2769.6716062583946</v>
      </c>
      <c r="U138" s="101">
        <f>IF(U53=0,0,1000000*U53/TrRoad_act!U81)</f>
        <v>2932.4873570425675</v>
      </c>
      <c r="V138" s="101">
        <f>IF(V53=0,0,1000000*V53/TrRoad_act!V81)</f>
        <v>2527.4672031142895</v>
      </c>
      <c r="W138" s="101">
        <f>IF(W53=0,0,1000000*W53/TrRoad_act!W81)</f>
        <v>4107.6598645824361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18821.897319320615</v>
      </c>
      <c r="C139" s="88">
        <f>IF(C55=0,0,1000000*C55/TrRoad_act!C82)</f>
        <v>28789.17712585504</v>
      </c>
      <c r="D139" s="88">
        <f>IF(D55=0,0,1000000*D55/TrRoad_act!D82)</f>
        <v>28559.850689014351</v>
      </c>
      <c r="E139" s="88">
        <f>IF(E55=0,0,1000000*E55/TrRoad_act!E82)</f>
        <v>28292.231153191766</v>
      </c>
      <c r="F139" s="88">
        <f>IF(F55=0,0,1000000*F55/TrRoad_act!F82)</f>
        <v>25151.790411074358</v>
      </c>
      <c r="G139" s="88">
        <f>IF(G55=0,0,1000000*G55/TrRoad_act!G82)</f>
        <v>24402.098696887617</v>
      </c>
      <c r="H139" s="88">
        <f>IF(H55=0,0,1000000*H55/TrRoad_act!H82)</f>
        <v>32949.78501162152</v>
      </c>
      <c r="I139" s="88">
        <f>IF(I55=0,0,1000000*I55/TrRoad_act!I82)</f>
        <v>31624.602950507709</v>
      </c>
      <c r="J139" s="88">
        <f>IF(J55=0,0,1000000*J55/TrRoad_act!J82)</f>
        <v>24768.091618427345</v>
      </c>
      <c r="K139" s="88">
        <f>IF(K55=0,0,1000000*K55/TrRoad_act!K82)</f>
        <v>22032.066705530073</v>
      </c>
      <c r="L139" s="88">
        <f>IF(L55=0,0,1000000*L55/TrRoad_act!L82)</f>
        <v>16869.195653356495</v>
      </c>
      <c r="M139" s="88">
        <f>IF(M55=0,0,1000000*M55/TrRoad_act!M82)</f>
        <v>22251.150606765899</v>
      </c>
      <c r="N139" s="88">
        <f>IF(N55=0,0,1000000*N55/TrRoad_act!N82)</f>
        <v>30685.972349784861</v>
      </c>
      <c r="O139" s="88">
        <f>IF(O55=0,0,1000000*O55/TrRoad_act!O82)</f>
        <v>24324.35141384033</v>
      </c>
      <c r="P139" s="88">
        <f>IF(P55=0,0,1000000*P55/TrRoad_act!P82)</f>
        <v>23157.097507655555</v>
      </c>
      <c r="Q139" s="88">
        <f>IF(Q55=0,0,1000000*Q55/TrRoad_act!Q82)</f>
        <v>25561.308394458698</v>
      </c>
      <c r="R139" s="88">
        <f>IF(R55=0,0,1000000*R55/TrRoad_act!R82)</f>
        <v>26291.969439876138</v>
      </c>
      <c r="S139" s="88">
        <f>IF(S55=0,0,1000000*S55/TrRoad_act!S82)</f>
        <v>15275.007529719576</v>
      </c>
      <c r="T139" s="88">
        <f>IF(T55=0,0,1000000*T55/TrRoad_act!T82)</f>
        <v>26094.645515291486</v>
      </c>
      <c r="U139" s="88">
        <f>IF(U55=0,0,1000000*U55/TrRoad_act!U82)</f>
        <v>26461.540669875299</v>
      </c>
      <c r="V139" s="88">
        <f>IF(V55=0,0,1000000*V55/TrRoad_act!V82)</f>
        <v>22601.155247223793</v>
      </c>
      <c r="W139" s="88">
        <f>IF(W55=0,0,1000000*W55/TrRoad_act!W82)</f>
        <v>34774.60696102638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0.73508025148977663</v>
      </c>
      <c r="C142" s="46">
        <f t="shared" si="41"/>
        <v>0.72497587939570174</v>
      </c>
      <c r="D142" s="46">
        <f t="shared" si="41"/>
        <v>0.73036843505166227</v>
      </c>
      <c r="E142" s="46">
        <f t="shared" si="41"/>
        <v>0.72447992360455382</v>
      </c>
      <c r="F142" s="46">
        <f t="shared" si="41"/>
        <v>0.71586858627310612</v>
      </c>
      <c r="G142" s="46">
        <f t="shared" si="41"/>
        <v>0.69874337107536377</v>
      </c>
      <c r="H142" s="46">
        <f t="shared" si="41"/>
        <v>0.70886233507258389</v>
      </c>
      <c r="I142" s="46">
        <f t="shared" si="41"/>
        <v>0.70305985235562607</v>
      </c>
      <c r="J142" s="46">
        <f t="shared" si="41"/>
        <v>0.72263414973938211</v>
      </c>
      <c r="K142" s="46">
        <f t="shared" si="41"/>
        <v>0.73268462228766695</v>
      </c>
      <c r="L142" s="46">
        <f t="shared" ref="L142" si="42">IF(L18=0,0,L18/L$17)</f>
        <v>0.73416265418347437</v>
      </c>
      <c r="M142" s="46">
        <f t="shared" ref="M142:V142" si="43">IF(M18=0,0,M18/M$17)</f>
        <v>0.72143341705188035</v>
      </c>
      <c r="N142" s="46">
        <f t="shared" si="43"/>
        <v>0.71360890567370017</v>
      </c>
      <c r="O142" s="46">
        <f t="shared" si="43"/>
        <v>0.75108970781287143</v>
      </c>
      <c r="P142" s="46">
        <f t="shared" si="43"/>
        <v>0.76579986055336413</v>
      </c>
      <c r="Q142" s="46">
        <f t="shared" si="43"/>
        <v>0.78683895624706701</v>
      </c>
      <c r="R142" s="46">
        <f t="shared" si="43"/>
        <v>0.79180343002628772</v>
      </c>
      <c r="S142" s="46">
        <f t="shared" si="43"/>
        <v>0.81599419808798035</v>
      </c>
      <c r="T142" s="46">
        <f t="shared" si="43"/>
        <v>0.78351136302941504</v>
      </c>
      <c r="U142" s="46">
        <f t="shared" si="43"/>
        <v>0.77855889724441729</v>
      </c>
      <c r="V142" s="46">
        <f t="shared" si="43"/>
        <v>0.75187673729632931</v>
      </c>
      <c r="W142" s="46">
        <f t="shared" ref="W142" si="44">IF(W18=0,0,W18/W$17)</f>
        <v>0.71887353592454628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3.8896119230352917E-2</v>
      </c>
      <c r="C143" s="154">
        <f t="shared" si="45"/>
        <v>3.8568958245296402E-2</v>
      </c>
      <c r="D143" s="154">
        <f t="shared" si="45"/>
        <v>3.7161359596443004E-2</v>
      </c>
      <c r="E143" s="154">
        <f t="shared" si="45"/>
        <v>3.7359987084828628E-2</v>
      </c>
      <c r="F143" s="154">
        <f t="shared" si="45"/>
        <v>3.7547237162860132E-2</v>
      </c>
      <c r="G143" s="154">
        <f t="shared" si="45"/>
        <v>3.7777107270473065E-2</v>
      </c>
      <c r="H143" s="154">
        <f t="shared" si="45"/>
        <v>3.5177706411204816E-2</v>
      </c>
      <c r="I143" s="154">
        <f t="shared" si="45"/>
        <v>3.0729094649480902E-2</v>
      </c>
      <c r="J143" s="154">
        <f t="shared" si="45"/>
        <v>3.3312466991849823E-2</v>
      </c>
      <c r="K143" s="154">
        <f t="shared" si="45"/>
        <v>3.149254109012254E-2</v>
      </c>
      <c r="L143" s="154">
        <f t="shared" ref="L143" si="46">IF(L19=0,0,L19/L$17)</f>
        <v>3.2252064992163473E-2</v>
      </c>
      <c r="M143" s="154">
        <f t="shared" ref="M143:V143" si="47">IF(M19=0,0,M19/M$17)</f>
        <v>3.2922209944948017E-2</v>
      </c>
      <c r="N143" s="154">
        <f t="shared" si="47"/>
        <v>3.3348290460250188E-2</v>
      </c>
      <c r="O143" s="154">
        <f t="shared" si="47"/>
        <v>3.2781884562486999E-2</v>
      </c>
      <c r="P143" s="154">
        <f t="shared" si="47"/>
        <v>3.1528186586798394E-2</v>
      </c>
      <c r="Q143" s="154">
        <f t="shared" si="47"/>
        <v>3.1724728606445762E-2</v>
      </c>
      <c r="R143" s="154">
        <f t="shared" si="47"/>
        <v>3.2664762996595348E-2</v>
      </c>
      <c r="S143" s="154">
        <f t="shared" si="47"/>
        <v>3.1958022196191413E-2</v>
      </c>
      <c r="T143" s="154">
        <f t="shared" si="47"/>
        <v>2.9249407400106526E-2</v>
      </c>
      <c r="U143" s="154">
        <f t="shared" si="47"/>
        <v>3.0589319803948519E-2</v>
      </c>
      <c r="V143" s="154">
        <f t="shared" si="47"/>
        <v>3.3452730445252779E-2</v>
      </c>
      <c r="W143" s="154">
        <f t="shared" ref="W143" si="48">IF(W19=0,0,W19/W$17)</f>
        <v>2.7460588478311988E-2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0.63856474125997054</v>
      </c>
      <c r="C144" s="156">
        <f t="shared" si="49"/>
        <v>0.62964888822116294</v>
      </c>
      <c r="D144" s="156">
        <f t="shared" si="49"/>
        <v>0.63708476907007949</v>
      </c>
      <c r="E144" s="156">
        <f t="shared" si="49"/>
        <v>0.6311582506578024</v>
      </c>
      <c r="F144" s="156">
        <f t="shared" si="49"/>
        <v>0.62320152901204096</v>
      </c>
      <c r="G144" s="156">
        <f t="shared" si="49"/>
        <v>0.60509906806392877</v>
      </c>
      <c r="H144" s="156">
        <f t="shared" si="49"/>
        <v>0.61776131626104669</v>
      </c>
      <c r="I144" s="156">
        <f t="shared" si="49"/>
        <v>0.61670195478952405</v>
      </c>
      <c r="J144" s="156">
        <f t="shared" si="49"/>
        <v>0.63072726497735454</v>
      </c>
      <c r="K144" s="156">
        <f t="shared" si="49"/>
        <v>0.64090180565751376</v>
      </c>
      <c r="L144" s="156">
        <f t="shared" ref="L144" si="50">IF(L21=0,0,L21/L$17)</f>
        <v>0.63974502333162908</v>
      </c>
      <c r="M144" s="156">
        <f t="shared" ref="M144:V144" si="51">IF(M21=0,0,M21/M$17)</f>
        <v>0.62440941010690865</v>
      </c>
      <c r="N144" s="156">
        <f t="shared" si="51"/>
        <v>0.6146430432857698</v>
      </c>
      <c r="O144" s="156">
        <f t="shared" si="51"/>
        <v>0.65097661243271765</v>
      </c>
      <c r="P144" s="156">
        <f t="shared" si="51"/>
        <v>0.66929037241454947</v>
      </c>
      <c r="Q144" s="156">
        <f t="shared" si="51"/>
        <v>0.68723625040843916</v>
      </c>
      <c r="R144" s="156">
        <f t="shared" si="51"/>
        <v>0.690363210777447</v>
      </c>
      <c r="S144" s="156">
        <f t="shared" si="51"/>
        <v>0.71189007463290821</v>
      </c>
      <c r="T144" s="156">
        <f t="shared" si="51"/>
        <v>0.68408180330472546</v>
      </c>
      <c r="U144" s="156">
        <f t="shared" si="51"/>
        <v>0.67715027607319378</v>
      </c>
      <c r="V144" s="156">
        <f t="shared" si="51"/>
        <v>0.63302622410538112</v>
      </c>
      <c r="W144" s="156">
        <f t="shared" ref="W144" si="52">IF(W21=0,0,W21/W$17)</f>
        <v>0.61802342988035119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0.42908151626218743</v>
      </c>
      <c r="C145" s="103">
        <f t="shared" si="53"/>
        <v>0.41154701356434203</v>
      </c>
      <c r="D145" s="103">
        <f t="shared" si="53"/>
        <v>0.3945985487392823</v>
      </c>
      <c r="E145" s="103">
        <f t="shared" si="53"/>
        <v>0.37728403229658469</v>
      </c>
      <c r="F145" s="103">
        <f t="shared" si="53"/>
        <v>0.34279172138139985</v>
      </c>
      <c r="G145" s="103">
        <f t="shared" si="53"/>
        <v>0.32013524382177799</v>
      </c>
      <c r="H145" s="103">
        <f t="shared" si="53"/>
        <v>0.29790278607677334</v>
      </c>
      <c r="I145" s="103">
        <f t="shared" si="53"/>
        <v>0.28013793499668099</v>
      </c>
      <c r="J145" s="103">
        <f t="shared" si="53"/>
        <v>0.26742962633081774</v>
      </c>
      <c r="K145" s="103">
        <f t="shared" si="53"/>
        <v>0.26691002094102623</v>
      </c>
      <c r="L145" s="103">
        <f t="shared" ref="L145" si="54">IF(L22=0,0,L22/L$17)</f>
        <v>0.25270162946710689</v>
      </c>
      <c r="M145" s="103">
        <f t="shared" ref="M145:V145" si="55">IF(M22=0,0,M22/M$17)</f>
        <v>0.24200975833791508</v>
      </c>
      <c r="N145" s="103">
        <f t="shared" si="55"/>
        <v>0.22528655326333399</v>
      </c>
      <c r="O145" s="103">
        <f t="shared" si="55"/>
        <v>0.2194059351597332</v>
      </c>
      <c r="P145" s="103">
        <f t="shared" si="55"/>
        <v>0.21118901105720475</v>
      </c>
      <c r="Q145" s="103">
        <f t="shared" si="55"/>
        <v>0.20762472888398173</v>
      </c>
      <c r="R145" s="103">
        <f t="shared" si="55"/>
        <v>0.19542762055577581</v>
      </c>
      <c r="S145" s="103">
        <f t="shared" si="55"/>
        <v>0.19891947487818296</v>
      </c>
      <c r="T145" s="103">
        <f t="shared" si="55"/>
        <v>0.19992529346512014</v>
      </c>
      <c r="U145" s="103">
        <f t="shared" si="55"/>
        <v>0.1983208248638561</v>
      </c>
      <c r="V145" s="103">
        <f t="shared" si="55"/>
        <v>0.18672127878139516</v>
      </c>
      <c r="W145" s="103">
        <f t="shared" ref="W145" si="56">IF(W22=0,0,W22/W$17)</f>
        <v>0.19364752692998438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0.15900617149851096</v>
      </c>
      <c r="C146" s="103">
        <f t="shared" si="57"/>
        <v>0.16844362358172463</v>
      </c>
      <c r="D146" s="103">
        <f t="shared" si="57"/>
        <v>0.19614819588922597</v>
      </c>
      <c r="E146" s="103">
        <f t="shared" si="57"/>
        <v>0.21067224277967561</v>
      </c>
      <c r="F146" s="103">
        <f t="shared" si="57"/>
        <v>0.24139781523250098</v>
      </c>
      <c r="G146" s="103">
        <f t="shared" si="57"/>
        <v>0.24717192141684685</v>
      </c>
      <c r="H146" s="103">
        <f t="shared" si="57"/>
        <v>0.28221216981916858</v>
      </c>
      <c r="I146" s="103">
        <f t="shared" si="57"/>
        <v>0.29939396964963177</v>
      </c>
      <c r="J146" s="103">
        <f t="shared" si="57"/>
        <v>0.32188187108238003</v>
      </c>
      <c r="K146" s="103">
        <f t="shared" si="57"/>
        <v>0.32720557889985402</v>
      </c>
      <c r="L146" s="103">
        <f t="shared" ref="L146" si="58">IF(L24=0,0,L24/L$17)</f>
        <v>0.33436284731912064</v>
      </c>
      <c r="M146" s="103">
        <f t="shared" ref="M146:V146" si="59">IF(M24=0,0,M24/M$17)</f>
        <v>0.32814301238276306</v>
      </c>
      <c r="N146" s="103">
        <f t="shared" si="59"/>
        <v>0.32927025638090279</v>
      </c>
      <c r="O146" s="103">
        <f t="shared" si="59"/>
        <v>0.36238892209042345</v>
      </c>
      <c r="P146" s="103">
        <f t="shared" si="59"/>
        <v>0.38883179577590038</v>
      </c>
      <c r="Q146" s="103">
        <f t="shared" si="59"/>
        <v>0.40486861982981159</v>
      </c>
      <c r="R146" s="103">
        <f t="shared" si="59"/>
        <v>0.41976627236062836</v>
      </c>
      <c r="S146" s="103">
        <f t="shared" si="59"/>
        <v>0.43386119711982069</v>
      </c>
      <c r="T146" s="103">
        <f t="shared" si="59"/>
        <v>0.40948082518254109</v>
      </c>
      <c r="U146" s="103">
        <f t="shared" si="59"/>
        <v>0.40117669232530961</v>
      </c>
      <c r="V146" s="103">
        <f t="shared" si="59"/>
        <v>0.37010943300435062</v>
      </c>
      <c r="W146" s="103">
        <f t="shared" ref="W146" si="60">IF(W24=0,0,W24/W$17)</f>
        <v>0.3574207462061883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4.2054192870784657E-2</v>
      </c>
      <c r="C147" s="103">
        <f t="shared" si="61"/>
        <v>4.032938135093362E-2</v>
      </c>
      <c r="D147" s="103">
        <f t="shared" si="61"/>
        <v>3.7368050601499746E-2</v>
      </c>
      <c r="E147" s="103">
        <f t="shared" si="61"/>
        <v>3.4263737643570526E-2</v>
      </c>
      <c r="F147" s="103">
        <f t="shared" si="61"/>
        <v>3.0554452102480312E-2</v>
      </c>
      <c r="G147" s="103">
        <f t="shared" si="61"/>
        <v>2.8709337811799539E-2</v>
      </c>
      <c r="H147" s="103">
        <f t="shared" si="61"/>
        <v>2.7300350097117912E-2</v>
      </c>
      <c r="I147" s="103">
        <f t="shared" si="61"/>
        <v>2.5941106955974694E-2</v>
      </c>
      <c r="J147" s="103">
        <f t="shared" si="61"/>
        <v>2.8825229527793643E-2</v>
      </c>
      <c r="K147" s="103">
        <f t="shared" si="61"/>
        <v>3.2449314344688854E-2</v>
      </c>
      <c r="L147" s="103">
        <f t="shared" ref="L147" si="62">IF(L26=0,0,L26/L$17)</f>
        <v>3.6411465559482853E-2</v>
      </c>
      <c r="M147" s="103">
        <f t="shared" ref="M147:V147" si="63">IF(M26=0,0,M26/M$17)</f>
        <v>3.80419706846939E-2</v>
      </c>
      <c r="N147" s="103">
        <f t="shared" si="63"/>
        <v>4.3101670754139385E-2</v>
      </c>
      <c r="O147" s="103">
        <f t="shared" si="63"/>
        <v>5.0285011988682009E-2</v>
      </c>
      <c r="P147" s="103">
        <f t="shared" si="63"/>
        <v>4.9015546558289241E-2</v>
      </c>
      <c r="Q147" s="103">
        <f t="shared" si="63"/>
        <v>5.2955529510030665E-2</v>
      </c>
      <c r="R147" s="103">
        <f t="shared" si="63"/>
        <v>5.2182268472684923E-2</v>
      </c>
      <c r="S147" s="103">
        <f t="shared" si="63"/>
        <v>5.6771905624579885E-2</v>
      </c>
      <c r="T147" s="103">
        <f t="shared" si="63"/>
        <v>5.2906444029160081E-2</v>
      </c>
      <c r="U147" s="103">
        <f t="shared" si="63"/>
        <v>5.3676312770887386E-2</v>
      </c>
      <c r="V147" s="103">
        <f t="shared" si="63"/>
        <v>5.1971972285069751E-2</v>
      </c>
      <c r="W147" s="103">
        <f t="shared" ref="W147" si="64">IF(W26=0,0,W26/W$17)</f>
        <v>4.614798789487648E-2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8.4228606284875475E-3</v>
      </c>
      <c r="C148" s="103">
        <f t="shared" si="65"/>
        <v>9.3288697241626431E-3</v>
      </c>
      <c r="D148" s="103">
        <f t="shared" si="65"/>
        <v>8.9699738400715046E-3</v>
      </c>
      <c r="E148" s="103">
        <f t="shared" si="65"/>
        <v>8.938237937971617E-3</v>
      </c>
      <c r="F148" s="103">
        <f t="shared" si="65"/>
        <v>8.4575402956598399E-3</v>
      </c>
      <c r="G148" s="103">
        <f t="shared" si="65"/>
        <v>9.0825650135043304E-3</v>
      </c>
      <c r="H148" s="103">
        <f t="shared" si="65"/>
        <v>1.0346010267986773E-2</v>
      </c>
      <c r="I148" s="103">
        <f t="shared" si="65"/>
        <v>1.1228943187236424E-2</v>
      </c>
      <c r="J148" s="103">
        <f t="shared" si="65"/>
        <v>1.2590538036363097E-2</v>
      </c>
      <c r="K148" s="103">
        <f t="shared" si="65"/>
        <v>1.4336891471944708E-2</v>
      </c>
      <c r="L148" s="103">
        <f t="shared" ref="L148" si="66">IF(L27=0,0,L27/L$17)</f>
        <v>1.6248933542994972E-2</v>
      </c>
      <c r="M148" s="103">
        <f t="shared" ref="M148:V148" si="67">IF(M27=0,0,M27/M$17)</f>
        <v>1.6165513055898122E-2</v>
      </c>
      <c r="N148" s="103">
        <f t="shared" si="67"/>
        <v>1.6929154223305064E-2</v>
      </c>
      <c r="O148" s="103">
        <f t="shared" si="67"/>
        <v>1.8676150198672557E-2</v>
      </c>
      <c r="P148" s="103">
        <f t="shared" si="67"/>
        <v>1.9767748000057928E-2</v>
      </c>
      <c r="Q148" s="103">
        <f t="shared" si="67"/>
        <v>2.1265559233325418E-2</v>
      </c>
      <c r="R148" s="103">
        <f t="shared" si="67"/>
        <v>2.2467105055500168E-2</v>
      </c>
      <c r="S148" s="103">
        <f t="shared" si="67"/>
        <v>2.1721113939374693E-2</v>
      </c>
      <c r="T148" s="103">
        <f t="shared" si="67"/>
        <v>2.1080388974162461E-2</v>
      </c>
      <c r="U148" s="103">
        <f t="shared" si="67"/>
        <v>2.3168855238828237E-2</v>
      </c>
      <c r="V148" s="103">
        <f t="shared" si="67"/>
        <v>2.2980205820738748E-2</v>
      </c>
      <c r="W148" s="103">
        <f t="shared" ref="W148" si="68">IF(W27=0,0,W27/W$17)</f>
        <v>1.8743514993238682E-2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1.3142619674497333E-6</v>
      </c>
      <c r="O149" s="103">
        <f t="shared" si="71"/>
        <v>1.6085766984612766E-4</v>
      </c>
      <c r="P149" s="103">
        <f t="shared" si="71"/>
        <v>4.23935090179151E-4</v>
      </c>
      <c r="Q149" s="103">
        <f t="shared" si="71"/>
        <v>4.5226117748539864E-4</v>
      </c>
      <c r="R149" s="103">
        <f t="shared" si="71"/>
        <v>4.4344300894673947E-4</v>
      </c>
      <c r="S149" s="103">
        <f t="shared" si="71"/>
        <v>5.2793574126306253E-4</v>
      </c>
      <c r="T149" s="103">
        <f t="shared" si="71"/>
        <v>5.7834906603141409E-4</v>
      </c>
      <c r="U149" s="103">
        <f t="shared" si="71"/>
        <v>6.2574028896653739E-4</v>
      </c>
      <c r="V149" s="103">
        <f t="shared" si="71"/>
        <v>8.4071510239255983E-4</v>
      </c>
      <c r="W149" s="103">
        <f t="shared" ref="W149" si="72">IF(W29=0,0,W29/W$17)</f>
        <v>1.2550707506685415E-3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2.0147442923683755E-5</v>
      </c>
      <c r="M150" s="103">
        <f t="shared" ref="M150:V150" si="75">IF(M32=0,0,M32/M$17)</f>
        <v>4.9155645638498678E-5</v>
      </c>
      <c r="N150" s="103">
        <f t="shared" si="75"/>
        <v>5.4094402121074178E-5</v>
      </c>
      <c r="O150" s="103">
        <f t="shared" si="75"/>
        <v>5.9735325360243491E-5</v>
      </c>
      <c r="P150" s="103">
        <f t="shared" si="75"/>
        <v>6.2335932917928366E-5</v>
      </c>
      <c r="Q150" s="103">
        <f t="shared" si="75"/>
        <v>6.9551773804331983E-5</v>
      </c>
      <c r="R150" s="103">
        <f t="shared" si="75"/>
        <v>7.6501323911015609E-5</v>
      </c>
      <c r="S150" s="103">
        <f t="shared" si="75"/>
        <v>8.8447329686967886E-5</v>
      </c>
      <c r="T150" s="103">
        <f t="shared" si="75"/>
        <v>1.1050258771030916E-4</v>
      </c>
      <c r="U150" s="103">
        <f t="shared" si="75"/>
        <v>1.8185058534601005E-4</v>
      </c>
      <c r="V150" s="103">
        <f t="shared" si="75"/>
        <v>4.0261911143420757E-4</v>
      </c>
      <c r="W150" s="103">
        <f t="shared" ref="W150" si="76">IF(W32=0,0,W32/W$17)</f>
        <v>8.0858310539467842E-4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5.7619390999453124E-2</v>
      </c>
      <c r="C151" s="156">
        <f t="shared" si="77"/>
        <v>5.6758032929242502E-2</v>
      </c>
      <c r="D151" s="156">
        <f t="shared" si="77"/>
        <v>5.6122306385139743E-2</v>
      </c>
      <c r="E151" s="156">
        <f t="shared" si="77"/>
        <v>5.5961685861922704E-2</v>
      </c>
      <c r="F151" s="156">
        <f t="shared" si="77"/>
        <v>5.5119820098205097E-2</v>
      </c>
      <c r="G151" s="156">
        <f t="shared" si="77"/>
        <v>5.5867195740961918E-2</v>
      </c>
      <c r="H151" s="156">
        <f t="shared" si="77"/>
        <v>5.5923312400332416E-2</v>
      </c>
      <c r="I151" s="156">
        <f t="shared" si="77"/>
        <v>5.5628802916621159E-2</v>
      </c>
      <c r="J151" s="156">
        <f t="shared" si="77"/>
        <v>5.859441777017773E-2</v>
      </c>
      <c r="K151" s="156">
        <f t="shared" si="77"/>
        <v>6.0290275540030684E-2</v>
      </c>
      <c r="L151" s="156">
        <f t="shared" ref="L151" si="78">IF(L33=0,0,L33/L$17)</f>
        <v>6.2165565859681797E-2</v>
      </c>
      <c r="M151" s="156">
        <f t="shared" ref="M151:V151" si="79">IF(M33=0,0,M33/M$17)</f>
        <v>6.4101797000023691E-2</v>
      </c>
      <c r="N151" s="156">
        <f t="shared" si="79"/>
        <v>6.561757192768021E-2</v>
      </c>
      <c r="O151" s="156">
        <f t="shared" si="79"/>
        <v>6.7331210817666839E-2</v>
      </c>
      <c r="P151" s="156">
        <f t="shared" si="79"/>
        <v>6.4981301552016243E-2</v>
      </c>
      <c r="Q151" s="156">
        <f t="shared" si="79"/>
        <v>6.7877977232182141E-2</v>
      </c>
      <c r="R151" s="156">
        <f t="shared" si="79"/>
        <v>6.877545625224539E-2</v>
      </c>
      <c r="S151" s="156">
        <f t="shared" si="79"/>
        <v>7.2146101258880768E-2</v>
      </c>
      <c r="T151" s="156">
        <f t="shared" si="79"/>
        <v>7.0180152324583023E-2</v>
      </c>
      <c r="U151" s="156">
        <f t="shared" si="79"/>
        <v>7.0819301367274906E-2</v>
      </c>
      <c r="V151" s="156">
        <f t="shared" si="79"/>
        <v>8.539778274569533E-2</v>
      </c>
      <c r="W151" s="156">
        <f t="shared" ref="W151" si="80">IF(W33=0,0,W33/W$17)</f>
        <v>7.3389517565883064E-2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4.8852441294380472E-5</v>
      </c>
      <c r="C152" s="103">
        <f t="shared" si="81"/>
        <v>4.3028109601655953E-5</v>
      </c>
      <c r="D152" s="103">
        <f t="shared" si="81"/>
        <v>3.9764470270053666E-5</v>
      </c>
      <c r="E152" s="103">
        <f t="shared" si="81"/>
        <v>3.1818707431313608E-5</v>
      </c>
      <c r="F152" s="103">
        <f t="shared" si="81"/>
        <v>2.6857497856988976E-5</v>
      </c>
      <c r="G152" s="103">
        <f t="shared" si="81"/>
        <v>2.5787275737597793E-5</v>
      </c>
      <c r="H152" s="103">
        <f t="shared" si="81"/>
        <v>2.4099147481413642E-5</v>
      </c>
      <c r="I152" s="103">
        <f t="shared" si="81"/>
        <v>2.227651860174802E-5</v>
      </c>
      <c r="J152" s="103">
        <f t="shared" si="81"/>
        <v>2.3447704729126852E-5</v>
      </c>
      <c r="K152" s="103">
        <f t="shared" si="81"/>
        <v>2.5711639008785469E-5</v>
      </c>
      <c r="L152" s="103">
        <f t="shared" ref="L152" si="82">IF(L34=0,0,L34/L$17)</f>
        <v>2.6408169769438083E-5</v>
      </c>
      <c r="M152" s="103">
        <f t="shared" ref="M152:V152" si="83">IF(M34=0,0,M34/M$17)</f>
        <v>2.6080429967313826E-5</v>
      </c>
      <c r="N152" s="103">
        <f t="shared" si="83"/>
        <v>2.7275818649188649E-5</v>
      </c>
      <c r="O152" s="103">
        <f t="shared" si="83"/>
        <v>4.7439498381706548E-5</v>
      </c>
      <c r="P152" s="103">
        <f t="shared" si="83"/>
        <v>2.6450801096128147E-5</v>
      </c>
      <c r="Q152" s="103">
        <f t="shared" si="83"/>
        <v>2.6713619675943069E-5</v>
      </c>
      <c r="R152" s="103">
        <f t="shared" si="83"/>
        <v>2.6176153854090504E-5</v>
      </c>
      <c r="S152" s="103">
        <f t="shared" si="83"/>
        <v>2.5800927062561274E-5</v>
      </c>
      <c r="T152" s="103">
        <f t="shared" si="83"/>
        <v>2.3383348028810286E-5</v>
      </c>
      <c r="U152" s="103">
        <f t="shared" si="83"/>
        <v>4.0982126989794983E-5</v>
      </c>
      <c r="V152" s="103">
        <f t="shared" si="83"/>
        <v>4.8614577053024226E-5</v>
      </c>
      <c r="W152" s="103">
        <f t="shared" ref="W152" si="84">IF(W34=0,0,W34/W$17)</f>
        <v>3.8130137127065964E-5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5.7502319551743952E-2</v>
      </c>
      <c r="C153" s="103">
        <f t="shared" si="85"/>
        <v>5.6647967212937009E-2</v>
      </c>
      <c r="D153" s="103">
        <f t="shared" si="85"/>
        <v>5.6024057404430658E-2</v>
      </c>
      <c r="E153" s="103">
        <f t="shared" si="85"/>
        <v>5.5850512447196861E-2</v>
      </c>
      <c r="F153" s="103">
        <f t="shared" si="85"/>
        <v>5.4999578975765961E-2</v>
      </c>
      <c r="G153" s="103">
        <f t="shared" si="85"/>
        <v>5.5700992647604641E-2</v>
      </c>
      <c r="H153" s="103">
        <f t="shared" si="85"/>
        <v>5.5709885546332522E-2</v>
      </c>
      <c r="I153" s="103">
        <f t="shared" si="85"/>
        <v>5.5077059634693108E-2</v>
      </c>
      <c r="J153" s="103">
        <f t="shared" si="85"/>
        <v>5.7364300763329198E-2</v>
      </c>
      <c r="K153" s="103">
        <f t="shared" si="85"/>
        <v>5.9171490835578537E-2</v>
      </c>
      <c r="L153" s="103">
        <f t="shared" ref="L153" si="86">IF(L36=0,0,L36/L$17)</f>
        <v>6.0907412771583291E-2</v>
      </c>
      <c r="M153" s="103">
        <f t="shared" ref="M153:V153" si="87">IF(M36=0,0,M36/M$17)</f>
        <v>6.1908882532929498E-2</v>
      </c>
      <c r="N153" s="103">
        <f t="shared" si="87"/>
        <v>6.2685266780026103E-2</v>
      </c>
      <c r="O153" s="103">
        <f t="shared" si="87"/>
        <v>6.3938977536449698E-2</v>
      </c>
      <c r="P153" s="103">
        <f t="shared" si="87"/>
        <v>6.2208013509630011E-2</v>
      </c>
      <c r="Q153" s="103">
        <f t="shared" si="87"/>
        <v>6.5026336438163038E-2</v>
      </c>
      <c r="R153" s="103">
        <f t="shared" si="87"/>
        <v>6.6929956285346578E-2</v>
      </c>
      <c r="S153" s="103">
        <f t="shared" si="87"/>
        <v>6.9755126132324596E-2</v>
      </c>
      <c r="T153" s="103">
        <f t="shared" si="87"/>
        <v>6.7713020164865065E-2</v>
      </c>
      <c r="U153" s="103">
        <f t="shared" si="87"/>
        <v>6.7949325517894038E-2</v>
      </c>
      <c r="V153" s="103">
        <f t="shared" si="87"/>
        <v>8.3384699215540717E-2</v>
      </c>
      <c r="W153" s="103">
        <f t="shared" ref="W153" si="88">IF(W36=0,0,W36/W$17)</f>
        <v>6.8906430740527824E-2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2.5335983512077925E-5</v>
      </c>
      <c r="C154" s="103">
        <f t="shared" si="89"/>
        <v>2.7689109161508546E-5</v>
      </c>
      <c r="D154" s="103">
        <f t="shared" si="89"/>
        <v>2.571511023424618E-5</v>
      </c>
      <c r="E154" s="103">
        <f t="shared" si="89"/>
        <v>2.9583438631311863E-5</v>
      </c>
      <c r="F154" s="103">
        <f t="shared" si="89"/>
        <v>4.4517560255451089E-5</v>
      </c>
      <c r="G154" s="103">
        <f t="shared" si="89"/>
        <v>6.4880105540314758E-5</v>
      </c>
      <c r="H154" s="103">
        <f t="shared" si="89"/>
        <v>7.2538096009926777E-5</v>
      </c>
      <c r="I154" s="103">
        <f t="shared" si="89"/>
        <v>8.6360101554718417E-5</v>
      </c>
      <c r="J154" s="103">
        <f t="shared" si="89"/>
        <v>1.078141336649607E-4</v>
      </c>
      <c r="K154" s="103">
        <f t="shared" si="89"/>
        <v>1.5324315273915692E-4</v>
      </c>
      <c r="L154" s="103">
        <f t="shared" ref="L154" si="90">IF(L38=0,0,L38/L$17)</f>
        <v>1.5993926783779735E-4</v>
      </c>
      <c r="M154" s="103">
        <f t="shared" ref="M154:V154" si="91">IF(M38=0,0,M38/M$17)</f>
        <v>1.5548507472649411E-4</v>
      </c>
      <c r="N154" s="103">
        <f t="shared" si="91"/>
        <v>1.5450131517962703E-4</v>
      </c>
      <c r="O154" s="103">
        <f t="shared" si="91"/>
        <v>1.5324890456904313E-4</v>
      </c>
      <c r="P154" s="103">
        <f t="shared" si="91"/>
        <v>1.4124673052705813E-4</v>
      </c>
      <c r="Q154" s="103">
        <f t="shared" si="91"/>
        <v>1.4486520976357412E-4</v>
      </c>
      <c r="R154" s="103">
        <f t="shared" si="91"/>
        <v>1.3838267611657231E-4</v>
      </c>
      <c r="S154" s="103">
        <f t="shared" si="91"/>
        <v>1.1317716385222946E-4</v>
      </c>
      <c r="T154" s="103">
        <f t="shared" si="91"/>
        <v>1.2430623984125555E-4</v>
      </c>
      <c r="U154" s="103">
        <f t="shared" si="91"/>
        <v>1.2175924145543681E-4</v>
      </c>
      <c r="V154" s="103">
        <f t="shared" si="91"/>
        <v>1.493319712795226E-4</v>
      </c>
      <c r="W154" s="103">
        <f t="shared" ref="W154" si="92">IF(W38=0,0,W38/W$17)</f>
        <v>1.1276176717394568E-4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4.2883022902708866E-5</v>
      </c>
      <c r="C155" s="103">
        <f t="shared" si="93"/>
        <v>3.9348497542324957E-5</v>
      </c>
      <c r="D155" s="103">
        <f t="shared" si="93"/>
        <v>3.2769400204784139E-5</v>
      </c>
      <c r="E155" s="103">
        <f t="shared" si="93"/>
        <v>4.9771268663210665E-5</v>
      </c>
      <c r="F155" s="103">
        <f t="shared" si="93"/>
        <v>4.8866064326690963E-5</v>
      </c>
      <c r="G155" s="103">
        <f t="shared" si="93"/>
        <v>7.5535712079376693E-5</v>
      </c>
      <c r="H155" s="103">
        <f t="shared" si="93"/>
        <v>1.1678961050855483E-4</v>
      </c>
      <c r="I155" s="103">
        <f t="shared" si="93"/>
        <v>4.4310666177158048E-4</v>
      </c>
      <c r="J155" s="103">
        <f t="shared" si="93"/>
        <v>1.09885516845443E-3</v>
      </c>
      <c r="K155" s="103">
        <f t="shared" si="93"/>
        <v>9.3982991270420799E-4</v>
      </c>
      <c r="L155" s="103">
        <f t="shared" ref="L155" si="94">IF(L39=0,0,L39/L$17)</f>
        <v>1.0718056504912673E-3</v>
      </c>
      <c r="M155" s="103">
        <f t="shared" ref="M155:V155" si="95">IF(M39=0,0,M39/M$17)</f>
        <v>2.0113489624003895E-3</v>
      </c>
      <c r="N155" s="103">
        <f t="shared" si="95"/>
        <v>2.7505280138252759E-3</v>
      </c>
      <c r="O155" s="103">
        <f t="shared" si="95"/>
        <v>3.0158727052494237E-3</v>
      </c>
      <c r="P155" s="103">
        <f t="shared" si="95"/>
        <v>2.4374151294675388E-3</v>
      </c>
      <c r="Q155" s="103">
        <f t="shared" si="95"/>
        <v>2.5084469745728102E-3</v>
      </c>
      <c r="R155" s="103">
        <f t="shared" si="95"/>
        <v>1.5102345093357097E-3</v>
      </c>
      <c r="S155" s="103">
        <f t="shared" si="95"/>
        <v>2.078001194229788E-3</v>
      </c>
      <c r="T155" s="103">
        <f t="shared" si="95"/>
        <v>2.1478814397364091E-3</v>
      </c>
      <c r="U155" s="103">
        <f t="shared" si="95"/>
        <v>2.5216386532926388E-3</v>
      </c>
      <c r="V155" s="103">
        <f t="shared" si="95"/>
        <v>1.569014052761743E-3</v>
      </c>
      <c r="W155" s="103">
        <f t="shared" ref="W155" si="96">IF(W39=0,0,W39/W$17)</f>
        <v>4.0819460866378075E-3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1.7567217301696746E-4</v>
      </c>
      <c r="P156" s="103">
        <f t="shared" si="99"/>
        <v>1.6817538129549882E-4</v>
      </c>
      <c r="Q156" s="103">
        <f t="shared" si="99"/>
        <v>1.7161499000676862E-4</v>
      </c>
      <c r="R156" s="103">
        <f t="shared" si="99"/>
        <v>1.7070662759245027E-4</v>
      </c>
      <c r="S156" s="103">
        <f t="shared" si="99"/>
        <v>1.7399584141157735E-4</v>
      </c>
      <c r="T156" s="103">
        <f t="shared" si="99"/>
        <v>1.7156113211147961E-4</v>
      </c>
      <c r="U156" s="103">
        <f t="shared" si="99"/>
        <v>1.8559582764300609E-4</v>
      </c>
      <c r="V156" s="103">
        <f t="shared" si="99"/>
        <v>2.4612292906031483E-4</v>
      </c>
      <c r="W156" s="103">
        <f t="shared" ref="W156" si="100">IF(W41=0,0,W41/W$17)</f>
        <v>2.5024883441641444E-4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0.26491974851022343</v>
      </c>
      <c r="C157" s="46">
        <f t="shared" si="101"/>
        <v>0.27502412060429815</v>
      </c>
      <c r="D157" s="46">
        <f t="shared" si="101"/>
        <v>0.26963156494833768</v>
      </c>
      <c r="E157" s="46">
        <f t="shared" si="101"/>
        <v>0.27552007639544618</v>
      </c>
      <c r="F157" s="46">
        <f t="shared" si="101"/>
        <v>0.28413141372689388</v>
      </c>
      <c r="G157" s="46">
        <f t="shared" si="101"/>
        <v>0.30125662892463634</v>
      </c>
      <c r="H157" s="46">
        <f t="shared" si="101"/>
        <v>0.29113766492741605</v>
      </c>
      <c r="I157" s="46">
        <f t="shared" si="101"/>
        <v>0.29694014764437382</v>
      </c>
      <c r="J157" s="46">
        <f t="shared" si="101"/>
        <v>0.27736585026061789</v>
      </c>
      <c r="K157" s="46">
        <f t="shared" si="101"/>
        <v>0.2673153777123331</v>
      </c>
      <c r="L157" s="46">
        <f t="shared" ref="L157" si="102">IF(L42=0,0,L42/L$17)</f>
        <v>0.26583734581652557</v>
      </c>
      <c r="M157" s="46">
        <f t="shared" ref="M157:V157" si="103">IF(M42=0,0,M42/M$17)</f>
        <v>0.27856658294811953</v>
      </c>
      <c r="N157" s="46">
        <f t="shared" si="103"/>
        <v>0.28639109432629994</v>
      </c>
      <c r="O157" s="46">
        <f t="shared" si="103"/>
        <v>0.2489102921871286</v>
      </c>
      <c r="P157" s="46">
        <f t="shared" si="103"/>
        <v>0.23420013944663576</v>
      </c>
      <c r="Q157" s="46">
        <f t="shared" si="103"/>
        <v>0.21316104375293299</v>
      </c>
      <c r="R157" s="46">
        <f t="shared" si="103"/>
        <v>0.20819656997371233</v>
      </c>
      <c r="S157" s="46">
        <f t="shared" si="103"/>
        <v>0.18400580191201954</v>
      </c>
      <c r="T157" s="46">
        <f t="shared" si="103"/>
        <v>0.21648863697058487</v>
      </c>
      <c r="U157" s="46">
        <f t="shared" si="103"/>
        <v>0.22144110275558279</v>
      </c>
      <c r="V157" s="46">
        <f t="shared" si="103"/>
        <v>0.2481232627036708</v>
      </c>
      <c r="W157" s="46">
        <f t="shared" ref="W157" si="104">IF(W42=0,0,W42/W$17)</f>
        <v>0.28112646407545372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0.19771429430603221</v>
      </c>
      <c r="C158" s="154">
        <f t="shared" si="105"/>
        <v>0.17515805144325386</v>
      </c>
      <c r="D158" s="154">
        <f t="shared" si="105"/>
        <v>0.17094780762798112</v>
      </c>
      <c r="E158" s="154">
        <f t="shared" si="105"/>
        <v>0.17949431403751684</v>
      </c>
      <c r="F158" s="154">
        <f t="shared" si="105"/>
        <v>0.18434807182877014</v>
      </c>
      <c r="G158" s="154">
        <f t="shared" si="105"/>
        <v>0.19977189322617095</v>
      </c>
      <c r="H158" s="154">
        <f t="shared" si="105"/>
        <v>0.17086107017837598</v>
      </c>
      <c r="I158" s="154">
        <f t="shared" si="105"/>
        <v>0.17960116133259862</v>
      </c>
      <c r="J158" s="154">
        <f t="shared" si="105"/>
        <v>0.18271365245663371</v>
      </c>
      <c r="K158" s="154">
        <f t="shared" si="105"/>
        <v>0.18322205833933183</v>
      </c>
      <c r="L158" s="154">
        <f t="shared" ref="L158" si="106">IF(L43=0,0,L43/L$17)</f>
        <v>0.19865028724552442</v>
      </c>
      <c r="M158" s="154">
        <f t="shared" ref="M158:V158" si="107">IF(M43=0,0,M43/M$17)</f>
        <v>0.20330010809342405</v>
      </c>
      <c r="N158" s="154">
        <f t="shared" si="107"/>
        <v>0.18783583444779769</v>
      </c>
      <c r="O158" s="154">
        <f t="shared" si="107"/>
        <v>0.16713810098128096</v>
      </c>
      <c r="P158" s="154">
        <f t="shared" si="107"/>
        <v>0.16330953688041386</v>
      </c>
      <c r="Q158" s="154">
        <f t="shared" si="107"/>
        <v>0.1345785089145092</v>
      </c>
      <c r="R158" s="154">
        <f t="shared" si="107"/>
        <v>0.12585670907788005</v>
      </c>
      <c r="S158" s="154">
        <f t="shared" si="107"/>
        <v>0.1315831477730208</v>
      </c>
      <c r="T158" s="154">
        <f t="shared" si="107"/>
        <v>0.13043702831426585</v>
      </c>
      <c r="U158" s="154">
        <f t="shared" si="107"/>
        <v>0.13154777440606424</v>
      </c>
      <c r="V158" s="154">
        <f t="shared" si="107"/>
        <v>0.15720951349882312</v>
      </c>
      <c r="W158" s="154">
        <f t="shared" ref="W158" si="108">IF(W43=0,0,W43/W$17)</f>
        <v>0.15649111018544717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7.9764911498073666E-3</v>
      </c>
      <c r="C159" s="103">
        <f t="shared" si="109"/>
        <v>7.8573827095720205E-3</v>
      </c>
      <c r="D159" s="103">
        <f t="shared" si="109"/>
        <v>7.8199040689211075E-3</v>
      </c>
      <c r="E159" s="103">
        <f t="shared" si="109"/>
        <v>7.8294413248486475E-3</v>
      </c>
      <c r="F159" s="103">
        <f t="shared" si="109"/>
        <v>7.4740095681714996E-3</v>
      </c>
      <c r="G159" s="103">
        <f t="shared" si="109"/>
        <v>7.5573146124187762E-3</v>
      </c>
      <c r="H159" s="103">
        <f t="shared" si="109"/>
        <v>7.3521885347465855E-3</v>
      </c>
      <c r="I159" s="103">
        <f t="shared" si="109"/>
        <v>6.3198423349107346E-3</v>
      </c>
      <c r="J159" s="103">
        <f t="shared" si="109"/>
        <v>6.2652136457123893E-3</v>
      </c>
      <c r="K159" s="103">
        <f t="shared" si="109"/>
        <v>6.0973450586896084E-3</v>
      </c>
      <c r="L159" s="103">
        <f t="shared" ref="L159" si="110">IF(L44=0,0,L44/L$17)</f>
        <v>5.9341522025476122E-3</v>
      </c>
      <c r="M159" s="103">
        <f t="shared" ref="M159:V159" si="111">IF(M44=0,0,M44/M$17)</f>
        <v>5.9801892815804667E-3</v>
      </c>
      <c r="N159" s="103">
        <f t="shared" si="111"/>
        <v>5.6470676203142977E-3</v>
      </c>
      <c r="O159" s="103">
        <f t="shared" si="111"/>
        <v>5.5127352630970749E-3</v>
      </c>
      <c r="P159" s="103">
        <f t="shared" si="111"/>
        <v>5.0316404997048864E-3</v>
      </c>
      <c r="Q159" s="103">
        <f t="shared" si="111"/>
        <v>4.7122069962847691E-3</v>
      </c>
      <c r="R159" s="103">
        <f t="shared" si="111"/>
        <v>4.5450521695105453E-3</v>
      </c>
      <c r="S159" s="103">
        <f t="shared" si="111"/>
        <v>4.5048121268424822E-3</v>
      </c>
      <c r="T159" s="103">
        <f t="shared" si="111"/>
        <v>4.1922406333283185E-3</v>
      </c>
      <c r="U159" s="103">
        <f t="shared" si="111"/>
        <v>4.1449124015241774E-3</v>
      </c>
      <c r="V159" s="103">
        <f t="shared" si="111"/>
        <v>5.1442147918686273E-3</v>
      </c>
      <c r="W159" s="103">
        <f t="shared" ref="W159" si="112">IF(W44=0,0,W44/W$17)</f>
        <v>4.3899663690958384E-3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0.18906149738101743</v>
      </c>
      <c r="C160" s="103">
        <f t="shared" si="113"/>
        <v>0.16658631310826455</v>
      </c>
      <c r="D160" s="103">
        <f t="shared" si="113"/>
        <v>0.16235409684021265</v>
      </c>
      <c r="E160" s="103">
        <f t="shared" si="113"/>
        <v>0.17081560940958349</v>
      </c>
      <c r="F160" s="103">
        <f t="shared" si="113"/>
        <v>0.17597959436128593</v>
      </c>
      <c r="G160" s="103">
        <f t="shared" si="113"/>
        <v>0.19120954161808662</v>
      </c>
      <c r="H160" s="103">
        <f t="shared" si="113"/>
        <v>0.16243676856193925</v>
      </c>
      <c r="I160" s="103">
        <f t="shared" si="113"/>
        <v>0.17222539652758764</v>
      </c>
      <c r="J160" s="103">
        <f t="shared" si="113"/>
        <v>0.17503869870937624</v>
      </c>
      <c r="K160" s="103">
        <f t="shared" si="113"/>
        <v>0.17525199062466068</v>
      </c>
      <c r="L160" s="103">
        <f t="shared" ref="L160" si="114">IF(L46=0,0,L46/L$17)</f>
        <v>0.1898375454718888</v>
      </c>
      <c r="M160" s="103">
        <f t="shared" ref="M160:V160" si="115">IF(M46=0,0,M46/M$17)</f>
        <v>0.19442336096546972</v>
      </c>
      <c r="N160" s="103">
        <f t="shared" si="115"/>
        <v>0.17841102296596059</v>
      </c>
      <c r="O160" s="103">
        <f t="shared" si="115"/>
        <v>0.15765980787215664</v>
      </c>
      <c r="P160" s="103">
        <f t="shared" si="115"/>
        <v>0.15434828189261945</v>
      </c>
      <c r="Q160" s="103">
        <f t="shared" si="115"/>
        <v>0.12587195278884339</v>
      </c>
      <c r="R160" s="103">
        <f t="shared" si="115"/>
        <v>0.11724490950494697</v>
      </c>
      <c r="S160" s="103">
        <f t="shared" si="115"/>
        <v>0.12313056944192892</v>
      </c>
      <c r="T160" s="103">
        <f t="shared" si="115"/>
        <v>0.12229260978943782</v>
      </c>
      <c r="U160" s="103">
        <f t="shared" si="115"/>
        <v>0.12310697969331433</v>
      </c>
      <c r="V160" s="103">
        <f t="shared" si="115"/>
        <v>0.14676929921310933</v>
      </c>
      <c r="W160" s="103">
        <f t="shared" ref="W160" si="116">IF(W46=0,0,W46/W$17)</f>
        <v>0.14725045972148001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2.8164077606451863E-4</v>
      </c>
      <c r="C161" s="103">
        <f t="shared" si="117"/>
        <v>2.9406720435451786E-4</v>
      </c>
      <c r="D161" s="103">
        <f t="shared" si="117"/>
        <v>3.1291970885155486E-4</v>
      </c>
      <c r="E161" s="103">
        <f t="shared" si="117"/>
        <v>3.3656391590411683E-4</v>
      </c>
      <c r="F161" s="103">
        <f t="shared" si="117"/>
        <v>3.4559333595389827E-4</v>
      </c>
      <c r="G161" s="103">
        <f t="shared" si="117"/>
        <v>3.7688165898621745E-4</v>
      </c>
      <c r="H161" s="103">
        <f t="shared" si="117"/>
        <v>3.8289751749024531E-4</v>
      </c>
      <c r="I161" s="103">
        <f t="shared" si="117"/>
        <v>3.6922658644570293E-4</v>
      </c>
      <c r="J161" s="103">
        <f t="shared" si="117"/>
        <v>4.4704257577516353E-4</v>
      </c>
      <c r="K161" s="103">
        <f t="shared" si="117"/>
        <v>5.8356688073460947E-4</v>
      </c>
      <c r="L161" s="103">
        <f t="shared" ref="L161" si="118">IF(L48=0,0,L48/L$17)</f>
        <v>7.4583539007775669E-4</v>
      </c>
      <c r="M161" s="103">
        <f t="shared" ref="M161:V161" si="119">IF(M48=0,0,M48/M$17)</f>
        <v>8.2306852548194186E-4</v>
      </c>
      <c r="N161" s="103">
        <f t="shared" si="119"/>
        <v>9.1650161088171556E-4</v>
      </c>
      <c r="O161" s="103">
        <f t="shared" si="119"/>
        <v>9.5496854651142113E-4</v>
      </c>
      <c r="P161" s="103">
        <f t="shared" si="119"/>
        <v>9.7335163033823442E-4</v>
      </c>
      <c r="Q161" s="103">
        <f t="shared" si="119"/>
        <v>9.612707492621834E-4</v>
      </c>
      <c r="R161" s="103">
        <f t="shared" si="119"/>
        <v>9.3075457952173561E-4</v>
      </c>
      <c r="S161" s="103">
        <f t="shared" si="119"/>
        <v>9.7834017451853988E-4</v>
      </c>
      <c r="T161" s="103">
        <f t="shared" si="119"/>
        <v>1.0141006788573349E-3</v>
      </c>
      <c r="U161" s="103">
        <f t="shared" si="119"/>
        <v>9.9309107867966346E-4</v>
      </c>
      <c r="V161" s="103">
        <f t="shared" si="119"/>
        <v>1.177864823317542E-3</v>
      </c>
      <c r="W161" s="103">
        <f t="shared" ref="W161" si="120">IF(W48=0,0,W48/W$17)</f>
        <v>1.0787952150172746E-3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3.9466499914292955E-4</v>
      </c>
      <c r="C162" s="103">
        <f t="shared" si="121"/>
        <v>4.2028842106276706E-4</v>
      </c>
      <c r="D162" s="103">
        <f t="shared" si="121"/>
        <v>4.6088700999581591E-4</v>
      </c>
      <c r="E162" s="103">
        <f t="shared" si="121"/>
        <v>5.1269938718061074E-4</v>
      </c>
      <c r="F162" s="103">
        <f t="shared" si="121"/>
        <v>5.488745633587972E-4</v>
      </c>
      <c r="G162" s="103">
        <f t="shared" si="121"/>
        <v>6.2815533667933494E-4</v>
      </c>
      <c r="H162" s="103">
        <f t="shared" si="121"/>
        <v>6.8921556419987114E-4</v>
      </c>
      <c r="I162" s="103">
        <f t="shared" si="121"/>
        <v>6.8669588365452149E-4</v>
      </c>
      <c r="J162" s="103">
        <f t="shared" si="121"/>
        <v>9.626975257699007E-4</v>
      </c>
      <c r="K162" s="103">
        <f t="shared" si="121"/>
        <v>1.2891557752469191E-3</v>
      </c>
      <c r="L162" s="103">
        <f t="shared" ref="L162" si="122">IF(L49=0,0,L49/L$17)</f>
        <v>2.1327541810102317E-3</v>
      </c>
      <c r="M162" s="103">
        <f t="shared" ref="M162:V162" si="123">IF(M49=0,0,M49/M$17)</f>
        <v>2.073480271736788E-3</v>
      </c>
      <c r="N162" s="103">
        <f t="shared" si="123"/>
        <v>2.8593361628447139E-3</v>
      </c>
      <c r="O162" s="103">
        <f t="shared" si="123"/>
        <v>3.0096859788275618E-3</v>
      </c>
      <c r="P162" s="103">
        <f t="shared" si="123"/>
        <v>2.9547441054808116E-3</v>
      </c>
      <c r="Q162" s="103">
        <f t="shared" si="123"/>
        <v>3.0280298000061583E-3</v>
      </c>
      <c r="R162" s="103">
        <f t="shared" si="123"/>
        <v>3.1264875788638391E-3</v>
      </c>
      <c r="S162" s="103">
        <f t="shared" si="123"/>
        <v>2.9573719443698751E-3</v>
      </c>
      <c r="T162" s="103">
        <f t="shared" si="123"/>
        <v>2.9201470798047011E-3</v>
      </c>
      <c r="U162" s="103">
        <f t="shared" si="123"/>
        <v>3.268353854479321E-3</v>
      </c>
      <c r="V162" s="103">
        <f t="shared" si="123"/>
        <v>4.0659162297728112E-3</v>
      </c>
      <c r="W162" s="103">
        <f t="shared" ref="W162" si="124">IF(W49=0,0,W49/W$17)</f>
        <v>3.6961267980989095E-3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9.0491551177658646E-9</v>
      </c>
      <c r="N163" s="103">
        <f t="shared" si="127"/>
        <v>1.9060877963367911E-6</v>
      </c>
      <c r="O163" s="103">
        <f t="shared" si="127"/>
        <v>9.0332068826542844E-7</v>
      </c>
      <c r="P163" s="103">
        <f t="shared" si="127"/>
        <v>1.5187522704930636E-6</v>
      </c>
      <c r="Q163" s="103">
        <f t="shared" si="127"/>
        <v>5.0485801127261733E-6</v>
      </c>
      <c r="R163" s="103">
        <f t="shared" si="127"/>
        <v>9.5052450369671722E-6</v>
      </c>
      <c r="S163" s="103">
        <f t="shared" si="127"/>
        <v>1.2054085360978321E-5</v>
      </c>
      <c r="T163" s="103">
        <f t="shared" si="127"/>
        <v>1.793013283765217E-5</v>
      </c>
      <c r="U163" s="103">
        <f t="shared" si="127"/>
        <v>3.4437378066807592E-5</v>
      </c>
      <c r="V163" s="103">
        <f t="shared" si="127"/>
        <v>5.221844075479416E-5</v>
      </c>
      <c r="W163" s="103">
        <f t="shared" ref="W163" si="128">IF(W51=0,0,W51/W$17)</f>
        <v>7.5762081755109272E-5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6.7205454204191217E-2</v>
      </c>
      <c r="C164" s="156">
        <f t="shared" si="129"/>
        <v>9.9866069161044305E-2</v>
      </c>
      <c r="D164" s="156">
        <f t="shared" si="129"/>
        <v>9.8683757320356558E-2</v>
      </c>
      <c r="E164" s="156">
        <f t="shared" si="129"/>
        <v>9.6025762357929298E-2</v>
      </c>
      <c r="F164" s="156">
        <f t="shared" si="129"/>
        <v>9.9783341898123754E-2</v>
      </c>
      <c r="G164" s="156">
        <f t="shared" si="129"/>
        <v>0.10148473569846536</v>
      </c>
      <c r="H164" s="156">
        <f t="shared" si="129"/>
        <v>0.12027659474904005</v>
      </c>
      <c r="I164" s="156">
        <f t="shared" si="129"/>
        <v>0.11733898631177518</v>
      </c>
      <c r="J164" s="156">
        <f t="shared" si="129"/>
        <v>9.4652197803984206E-2</v>
      </c>
      <c r="K164" s="156">
        <f t="shared" si="129"/>
        <v>8.4093319373001268E-2</v>
      </c>
      <c r="L164" s="156">
        <f t="shared" ref="L164" si="130">IF(L52=0,0,L52/L$17)</f>
        <v>6.7187058571001185E-2</v>
      </c>
      <c r="M164" s="156">
        <f t="shared" ref="M164:V164" si="131">IF(M52=0,0,M52/M$17)</f>
        <v>7.5266474854695481E-2</v>
      </c>
      <c r="N164" s="156">
        <f t="shared" si="131"/>
        <v>9.8555259878502249E-2</v>
      </c>
      <c r="O164" s="156">
        <f t="shared" si="131"/>
        <v>8.1772191205847652E-2</v>
      </c>
      <c r="P164" s="156">
        <f t="shared" si="131"/>
        <v>7.08906025662219E-2</v>
      </c>
      <c r="Q164" s="156">
        <f t="shared" si="131"/>
        <v>7.8582534838423784E-2</v>
      </c>
      <c r="R164" s="156">
        <f t="shared" si="131"/>
        <v>8.2339860895832284E-2</v>
      </c>
      <c r="S164" s="156">
        <f t="shared" si="131"/>
        <v>5.2422654138998777E-2</v>
      </c>
      <c r="T164" s="156">
        <f t="shared" si="131"/>
        <v>8.6051608656319042E-2</v>
      </c>
      <c r="U164" s="156">
        <f t="shared" si="131"/>
        <v>8.9893328349518534E-2</v>
      </c>
      <c r="V164" s="156">
        <f t="shared" si="131"/>
        <v>9.0913749204847669E-2</v>
      </c>
      <c r="W164" s="156">
        <f t="shared" ref="W164" si="132">IF(W52=0,0,W52/W$17)</f>
        <v>0.12463535389000656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5.7360564132405645E-2</v>
      </c>
      <c r="C165" s="104">
        <f t="shared" si="133"/>
        <v>8.4018521130389989E-2</v>
      </c>
      <c r="D165" s="104">
        <f t="shared" si="133"/>
        <v>8.2443494941372569E-2</v>
      </c>
      <c r="E165" s="104">
        <f t="shared" si="133"/>
        <v>7.9626136480488302E-2</v>
      </c>
      <c r="F165" s="104">
        <f t="shared" si="133"/>
        <v>8.2946387014314921E-2</v>
      </c>
      <c r="G165" s="104">
        <f t="shared" si="133"/>
        <v>8.4371029284677754E-2</v>
      </c>
      <c r="H165" s="104">
        <f t="shared" si="133"/>
        <v>9.5877327940842624E-2</v>
      </c>
      <c r="I165" s="104">
        <f t="shared" si="133"/>
        <v>9.4194573590382219E-2</v>
      </c>
      <c r="J165" s="104">
        <f t="shared" si="133"/>
        <v>7.4732314358687241E-2</v>
      </c>
      <c r="K165" s="104">
        <f t="shared" si="133"/>
        <v>6.8062251807417221E-2</v>
      </c>
      <c r="L165" s="104">
        <f t="shared" ref="L165" si="134">IF(L53=0,0,L53/L$17)</f>
        <v>5.3731814477299543E-2</v>
      </c>
      <c r="M165" s="104">
        <f t="shared" ref="M165:V165" si="135">IF(M53=0,0,M53/M$17)</f>
        <v>5.9877300744940645E-2</v>
      </c>
      <c r="N165" s="104">
        <f t="shared" si="135"/>
        <v>7.7432079841421544E-2</v>
      </c>
      <c r="O165" s="104">
        <f t="shared" si="135"/>
        <v>6.3361356066077221E-2</v>
      </c>
      <c r="P165" s="104">
        <f t="shared" si="135"/>
        <v>5.3645987913597919E-2</v>
      </c>
      <c r="Q165" s="104">
        <f t="shared" si="135"/>
        <v>5.9504772703400322E-2</v>
      </c>
      <c r="R165" s="104">
        <f t="shared" si="135"/>
        <v>6.1185188172218123E-2</v>
      </c>
      <c r="S165" s="104">
        <f t="shared" si="135"/>
        <v>3.8134553399423565E-2</v>
      </c>
      <c r="T165" s="104">
        <f t="shared" si="135"/>
        <v>6.323309208573763E-2</v>
      </c>
      <c r="U165" s="104">
        <f t="shared" si="135"/>
        <v>6.6039763034483528E-2</v>
      </c>
      <c r="V165" s="104">
        <f t="shared" si="135"/>
        <v>6.6290329162903644E-2</v>
      </c>
      <c r="W165" s="104">
        <f t="shared" ref="W165" si="136">IF(W53=0,0,W53/W$17)</f>
        <v>8.9533757988932469E-2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9.8448900717855673E-3</v>
      </c>
      <c r="C166" s="105">
        <f t="shared" si="137"/>
        <v>1.5847548030654298E-2</v>
      </c>
      <c r="D166" s="105">
        <f t="shared" si="137"/>
        <v>1.6240262378983995E-2</v>
      </c>
      <c r="E166" s="105">
        <f t="shared" si="137"/>
        <v>1.6399625877440992E-2</v>
      </c>
      <c r="F166" s="105">
        <f t="shared" si="137"/>
        <v>1.6836954883808829E-2</v>
      </c>
      <c r="G166" s="105">
        <f t="shared" si="137"/>
        <v>1.7113706413787615E-2</v>
      </c>
      <c r="H166" s="105">
        <f t="shared" si="137"/>
        <v>2.4399266808197432E-2</v>
      </c>
      <c r="I166" s="105">
        <f t="shared" si="137"/>
        <v>2.3144412721392966E-2</v>
      </c>
      <c r="J166" s="105">
        <f t="shared" si="137"/>
        <v>1.9919883445296962E-2</v>
      </c>
      <c r="K166" s="105">
        <f t="shared" si="137"/>
        <v>1.6031067565584055E-2</v>
      </c>
      <c r="L166" s="105">
        <f t="shared" ref="L166" si="138">IF(L55=0,0,L55/L$17)</f>
        <v>1.345524409370164E-2</v>
      </c>
      <c r="M166" s="105">
        <f t="shared" ref="M166:V166" si="139">IF(M55=0,0,M55/M$17)</f>
        <v>1.5389174109754839E-2</v>
      </c>
      <c r="N166" s="105">
        <f t="shared" si="139"/>
        <v>2.1123180037080705E-2</v>
      </c>
      <c r="O166" s="105">
        <f t="shared" si="139"/>
        <v>1.8410835139770428E-2</v>
      </c>
      <c r="P166" s="105">
        <f t="shared" si="139"/>
        <v>1.7244614652623981E-2</v>
      </c>
      <c r="Q166" s="105">
        <f t="shared" si="139"/>
        <v>1.9077762135023463E-2</v>
      </c>
      <c r="R166" s="105">
        <f t="shared" si="139"/>
        <v>2.1154672723614151E-2</v>
      </c>
      <c r="S166" s="105">
        <f t="shared" si="139"/>
        <v>1.4288100739575212E-2</v>
      </c>
      <c r="T166" s="105">
        <f t="shared" si="139"/>
        <v>2.2818516570581416E-2</v>
      </c>
      <c r="U166" s="105">
        <f t="shared" si="139"/>
        <v>2.3853565315035005E-2</v>
      </c>
      <c r="V166" s="105">
        <f t="shared" si="139"/>
        <v>2.4623420041944042E-2</v>
      </c>
      <c r="W166" s="105">
        <f t="shared" ref="W166" si="140">IF(W55=0,0,W55/W$17)</f>
        <v>3.5101595901074104E-2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109927.61445564</v>
      </c>
      <c r="C4" s="146">
        <f t="shared" si="0"/>
        <v>112113.12032280001</v>
      </c>
      <c r="D4" s="146">
        <f t="shared" si="0"/>
        <v>114374.98143971997</v>
      </c>
      <c r="E4" s="146">
        <f t="shared" si="0"/>
        <v>114857.87605308001</v>
      </c>
      <c r="F4" s="146">
        <f t="shared" si="0"/>
        <v>117155.20451904001</v>
      </c>
      <c r="G4" s="146">
        <f t="shared" si="0"/>
        <v>116115.91610112</v>
      </c>
      <c r="H4" s="146">
        <f t="shared" si="0"/>
        <v>117215.89815780001</v>
      </c>
      <c r="I4" s="146">
        <f t="shared" si="0"/>
        <v>117740.21845751999</v>
      </c>
      <c r="J4" s="146">
        <f t="shared" si="0"/>
        <v>110882.23367039998</v>
      </c>
      <c r="K4" s="146">
        <f t="shared" si="0"/>
        <v>105811.64054783998</v>
      </c>
      <c r="L4" s="146">
        <f t="shared" ref="L4" si="1">L5+L9+L10+L15</f>
        <v>103278.89876724001</v>
      </c>
      <c r="M4" s="146">
        <f t="shared" ref="M4:V4" si="2">M5+M9+M10+M15</f>
        <v>103148.90283132</v>
      </c>
      <c r="N4" s="146">
        <f t="shared" si="2"/>
        <v>96907.48935803998</v>
      </c>
      <c r="O4" s="146">
        <f t="shared" si="2"/>
        <v>94949.631237959999</v>
      </c>
      <c r="P4" s="146">
        <f t="shared" si="2"/>
        <v>99856.686602519985</v>
      </c>
      <c r="Q4" s="146">
        <f t="shared" si="2"/>
        <v>97467.749103600014</v>
      </c>
      <c r="R4" s="146">
        <f t="shared" si="2"/>
        <v>96001.9059672</v>
      </c>
      <c r="S4" s="146">
        <f t="shared" si="2"/>
        <v>91912.078703880004</v>
      </c>
      <c r="T4" s="146">
        <f t="shared" si="2"/>
        <v>94875.155601119986</v>
      </c>
      <c r="U4" s="146">
        <f t="shared" si="2"/>
        <v>95709.825176760001</v>
      </c>
      <c r="V4" s="146">
        <f t="shared" si="2"/>
        <v>77271.372177479992</v>
      </c>
      <c r="W4" s="146">
        <f t="shared" ref="W4" si="3">W5+W9+W10+W15</f>
        <v>93912.739085879992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109160.06547563999</v>
      </c>
      <c r="C5" s="101">
        <f t="shared" si="4"/>
        <v>111249.3878928</v>
      </c>
      <c r="D5" s="101">
        <f t="shared" si="4"/>
        <v>113524.57836971997</v>
      </c>
      <c r="E5" s="101">
        <f t="shared" si="4"/>
        <v>114001.91908308001</v>
      </c>
      <c r="F5" s="101">
        <f t="shared" si="4"/>
        <v>116319.99893904002</v>
      </c>
      <c r="G5" s="101">
        <f t="shared" si="4"/>
        <v>115224.46466112</v>
      </c>
      <c r="H5" s="101">
        <f t="shared" si="4"/>
        <v>116192.5163478</v>
      </c>
      <c r="I5" s="101">
        <f t="shared" si="4"/>
        <v>116603.28463751999</v>
      </c>
      <c r="J5" s="101">
        <f t="shared" si="4"/>
        <v>109591.40633039997</v>
      </c>
      <c r="K5" s="101">
        <f t="shared" si="4"/>
        <v>104399.78867783998</v>
      </c>
      <c r="L5" s="101">
        <f t="shared" ref="L5" si="5">SUM(L6:L8)</f>
        <v>101645.79971724001</v>
      </c>
      <c r="M5" s="101">
        <f t="shared" ref="M5:V5" si="6">SUM(M6:M8)</f>
        <v>101452.13589131999</v>
      </c>
      <c r="N5" s="101">
        <f t="shared" si="6"/>
        <v>95129.938418039979</v>
      </c>
      <c r="O5" s="101">
        <f t="shared" si="6"/>
        <v>93043.280307959998</v>
      </c>
      <c r="P5" s="101">
        <f t="shared" si="6"/>
        <v>97831.078292519989</v>
      </c>
      <c r="Q5" s="101">
        <f t="shared" si="6"/>
        <v>95351.713203600011</v>
      </c>
      <c r="R5" s="101">
        <f t="shared" si="6"/>
        <v>93903.036667199995</v>
      </c>
      <c r="S5" s="101">
        <f t="shared" si="6"/>
        <v>89922.478044240008</v>
      </c>
      <c r="T5" s="101">
        <f t="shared" si="6"/>
        <v>92860.02497591998</v>
      </c>
      <c r="U5" s="101">
        <f t="shared" si="6"/>
        <v>93455.285108759999</v>
      </c>
      <c r="V5" s="101">
        <f t="shared" si="6"/>
        <v>75457.213765919994</v>
      </c>
      <c r="W5" s="101">
        <f t="shared" ref="W5" si="7">SUM(W6:W8)</f>
        <v>91878.657544079993</v>
      </c>
      <c r="DA5" s="175"/>
    </row>
    <row r="6" spans="1:105" ht="11.45" customHeight="1" x14ac:dyDescent="0.25">
      <c r="A6" s="128" t="s">
        <v>52</v>
      </c>
      <c r="B6" s="101">
        <v>4127.4971999999998</v>
      </c>
      <c r="C6" s="101">
        <v>4034.61397476</v>
      </c>
      <c r="D6" s="101">
        <v>3811.1137495200001</v>
      </c>
      <c r="E6" s="101">
        <v>3509.2433242799998</v>
      </c>
      <c r="F6" s="101">
        <v>3210.2755495199985</v>
      </c>
      <c r="G6" s="101">
        <v>2986.7753242800013</v>
      </c>
      <c r="H6" s="101">
        <v>2864.8662757200018</v>
      </c>
      <c r="I6" s="101">
        <v>2731.3466252400012</v>
      </c>
      <c r="J6" s="101">
        <v>2911.3077747600009</v>
      </c>
      <c r="K6" s="101">
        <v>3181.2494990400005</v>
      </c>
      <c r="L6" s="101">
        <v>3523.7563495199993</v>
      </c>
      <c r="M6" s="101">
        <v>3677.5940990399995</v>
      </c>
      <c r="N6" s="101">
        <v>3918.5100000000016</v>
      </c>
      <c r="O6" s="101">
        <v>4461.2960990399997</v>
      </c>
      <c r="P6" s="101">
        <v>4539.66629904</v>
      </c>
      <c r="Q6" s="101">
        <v>4800.9002990400013</v>
      </c>
      <c r="R6" s="101">
        <v>4638.3548252400005</v>
      </c>
      <c r="S6" s="101">
        <v>4839.7139924399999</v>
      </c>
      <c r="T6" s="101">
        <v>4684.7963242800006</v>
      </c>
      <c r="U6" s="101">
        <v>4798.0471694399985</v>
      </c>
      <c r="V6" s="101">
        <v>3800.8415743200007</v>
      </c>
      <c r="W6" s="101">
        <v>4083.86521584</v>
      </c>
      <c r="DA6" s="175" t="s">
        <v>740</v>
      </c>
    </row>
    <row r="7" spans="1:105" ht="11.45" customHeight="1" x14ac:dyDescent="0.25">
      <c r="A7" s="128" t="s">
        <v>53</v>
      </c>
      <c r="B7" s="101">
        <v>50936.885944559988</v>
      </c>
      <c r="C7" s="101">
        <v>49924.551489120007</v>
      </c>
      <c r="D7" s="101">
        <v>48799.396689119989</v>
      </c>
      <c r="E7" s="101">
        <v>47021.71322772</v>
      </c>
      <c r="F7" s="101">
        <v>44189.006289120007</v>
      </c>
      <c r="G7" s="101">
        <v>41127.609516840006</v>
      </c>
      <c r="H7" s="101">
        <v>38593.724483160011</v>
      </c>
      <c r="I7" s="101">
        <v>36047.642372279988</v>
      </c>
      <c r="J7" s="101">
        <v>33208.837144559991</v>
      </c>
      <c r="K7" s="101">
        <v>31790.959227719988</v>
      </c>
      <c r="L7" s="101">
        <v>29815.077627720002</v>
      </c>
      <c r="M7" s="101">
        <v>28747.857572279998</v>
      </c>
      <c r="N7" s="101">
        <v>25445.573889119998</v>
      </c>
      <c r="O7" s="101">
        <v>24369.206399999995</v>
      </c>
      <c r="P7" s="101">
        <v>24646.683544560001</v>
      </c>
      <c r="Q7" s="101">
        <v>23768.513944559996</v>
      </c>
      <c r="R7" s="101">
        <v>22195.126910880001</v>
      </c>
      <c r="S7" s="101">
        <v>21565.442634120001</v>
      </c>
      <c r="T7" s="101">
        <v>22166.958373559999</v>
      </c>
      <c r="U7" s="101">
        <v>22375.029683159999</v>
      </c>
      <c r="V7" s="101">
        <v>17637.917414039999</v>
      </c>
      <c r="W7" s="101">
        <v>21368.836177920002</v>
      </c>
      <c r="DA7" s="175" t="s">
        <v>741</v>
      </c>
    </row>
    <row r="8" spans="1:105" ht="11.45" customHeight="1" x14ac:dyDescent="0.25">
      <c r="A8" s="128" t="s">
        <v>54</v>
      </c>
      <c r="B8" s="101">
        <v>54095.682331080003</v>
      </c>
      <c r="C8" s="101">
        <v>57290.222428919988</v>
      </c>
      <c r="D8" s="101">
        <v>60914.067931079982</v>
      </c>
      <c r="E8" s="101">
        <v>63470.962531080004</v>
      </c>
      <c r="F8" s="101">
        <v>68920.717100400012</v>
      </c>
      <c r="G8" s="101">
        <v>71110.079819999999</v>
      </c>
      <c r="H8" s="101">
        <v>74733.925588919985</v>
      </c>
      <c r="I8" s="101">
        <v>77824.295639999997</v>
      </c>
      <c r="J8" s="101">
        <v>73471.261411079977</v>
      </c>
      <c r="K8" s="101">
        <v>69427.579951079999</v>
      </c>
      <c r="L8" s="101">
        <v>68306.96574</v>
      </c>
      <c r="M8" s="101">
        <v>69026.684219999996</v>
      </c>
      <c r="N8" s="101">
        <v>65765.854528919983</v>
      </c>
      <c r="O8" s="101">
        <v>64212.77780892</v>
      </c>
      <c r="P8" s="101">
        <v>68644.728448919996</v>
      </c>
      <c r="Q8" s="101">
        <v>66782.298960000015</v>
      </c>
      <c r="R8" s="101">
        <v>67069.554931079998</v>
      </c>
      <c r="S8" s="101">
        <v>63517.321417680003</v>
      </c>
      <c r="T8" s="101">
        <v>66008.270278079988</v>
      </c>
      <c r="U8" s="101">
        <v>66282.208256160011</v>
      </c>
      <c r="V8" s="101">
        <v>54018.454777559986</v>
      </c>
      <c r="W8" s="101">
        <v>66425.956150319995</v>
      </c>
      <c r="DA8" s="175" t="s">
        <v>742</v>
      </c>
    </row>
    <row r="9" spans="1:105" ht="11.45" customHeight="1" x14ac:dyDescent="0.25">
      <c r="A9" s="92" t="s">
        <v>55</v>
      </c>
      <c r="B9" s="101">
        <v>767.54898000000014</v>
      </c>
      <c r="C9" s="101">
        <v>863.73243000000025</v>
      </c>
      <c r="D9" s="101">
        <v>850.40307000000018</v>
      </c>
      <c r="E9" s="101">
        <v>855.95697000000007</v>
      </c>
      <c r="F9" s="101">
        <v>835.20558000000005</v>
      </c>
      <c r="G9" s="101">
        <v>891.45144000000005</v>
      </c>
      <c r="H9" s="101">
        <v>1023.38181</v>
      </c>
      <c r="I9" s="101">
        <v>1136.9338200000002</v>
      </c>
      <c r="J9" s="101">
        <v>1290.82734</v>
      </c>
      <c r="K9" s="101">
        <v>1411.8518700000002</v>
      </c>
      <c r="L9" s="101">
        <v>1633.09905</v>
      </c>
      <c r="M9" s="101">
        <v>1696.76694</v>
      </c>
      <c r="N9" s="101">
        <v>1777.5509400000001</v>
      </c>
      <c r="O9" s="101">
        <v>1906.3509300000001</v>
      </c>
      <c r="P9" s="101">
        <v>2025.6083100000003</v>
      </c>
      <c r="Q9" s="101">
        <v>2116.0358999999999</v>
      </c>
      <c r="R9" s="101">
        <v>2098.8692999999998</v>
      </c>
      <c r="S9" s="101">
        <v>1989.6006596400002</v>
      </c>
      <c r="T9" s="101">
        <v>2015.1306252000002</v>
      </c>
      <c r="U9" s="101">
        <v>2254.5400679999998</v>
      </c>
      <c r="V9" s="101">
        <v>1814.1584115600001</v>
      </c>
      <c r="W9" s="101">
        <v>2034.0815418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109927.61445564</v>
      </c>
      <c r="C17" s="79">
        <f t="shared" si="12"/>
        <v>112113.12032280001</v>
      </c>
      <c r="D17" s="79">
        <f t="shared" si="12"/>
        <v>114374.98143971997</v>
      </c>
      <c r="E17" s="79">
        <f t="shared" si="12"/>
        <v>114857.87605307999</v>
      </c>
      <c r="F17" s="79">
        <f t="shared" si="12"/>
        <v>117155.20451904002</v>
      </c>
      <c r="G17" s="79">
        <f t="shared" si="12"/>
        <v>116115.91610112</v>
      </c>
      <c r="H17" s="79">
        <f t="shared" si="12"/>
        <v>117215.89815780002</v>
      </c>
      <c r="I17" s="79">
        <f t="shared" si="12"/>
        <v>117740.21845751998</v>
      </c>
      <c r="J17" s="79">
        <f t="shared" si="12"/>
        <v>110882.23367039998</v>
      </c>
      <c r="K17" s="79">
        <f t="shared" si="12"/>
        <v>105811.64054783998</v>
      </c>
      <c r="L17" s="79">
        <f t="shared" ref="L17" si="13">SUM(L18,L33)</f>
        <v>103278.89876724</v>
      </c>
      <c r="M17" s="79">
        <f t="shared" ref="M17:V17" si="14">SUM(M18,M33)</f>
        <v>103148.90283131998</v>
      </c>
      <c r="N17" s="79">
        <f t="shared" si="14"/>
        <v>96907.48935803998</v>
      </c>
      <c r="O17" s="79">
        <f t="shared" si="14"/>
        <v>94949.631237959999</v>
      </c>
      <c r="P17" s="79">
        <f t="shared" si="14"/>
        <v>99856.686602520014</v>
      </c>
      <c r="Q17" s="79">
        <f t="shared" si="14"/>
        <v>97467.749103599999</v>
      </c>
      <c r="R17" s="79">
        <f t="shared" si="14"/>
        <v>96001.905967199986</v>
      </c>
      <c r="S17" s="79">
        <f t="shared" si="14"/>
        <v>91912.07870387999</v>
      </c>
      <c r="T17" s="79">
        <f t="shared" si="14"/>
        <v>94875.155601120001</v>
      </c>
      <c r="U17" s="79">
        <f t="shared" si="14"/>
        <v>95709.825176760016</v>
      </c>
      <c r="V17" s="79">
        <f t="shared" si="14"/>
        <v>77271.372177479978</v>
      </c>
      <c r="W17" s="79">
        <f t="shared" ref="W17" si="15">SUM(W18,W33)</f>
        <v>93912.739085879992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79689.970078028084</v>
      </c>
      <c r="C18" s="32">
        <f t="shared" si="16"/>
        <v>80134.936531429688</v>
      </c>
      <c r="D18" s="32">
        <f t="shared" si="16"/>
        <v>82450.727151017913</v>
      </c>
      <c r="E18" s="32">
        <f t="shared" si="16"/>
        <v>82151.780910437388</v>
      </c>
      <c r="F18" s="32">
        <f t="shared" si="16"/>
        <v>82999.590209532995</v>
      </c>
      <c r="G18" s="32">
        <f t="shared" si="16"/>
        <v>80222.308916091308</v>
      </c>
      <c r="H18" s="32">
        <f t="shared" si="16"/>
        <v>82236.714993412024</v>
      </c>
      <c r="I18" s="32">
        <f t="shared" si="16"/>
        <v>81930.118798781084</v>
      </c>
      <c r="J18" s="32">
        <f t="shared" si="16"/>
        <v>79541.645798026977</v>
      </c>
      <c r="K18" s="32">
        <f t="shared" si="16"/>
        <v>77124.685810971918</v>
      </c>
      <c r="L18" s="32">
        <f t="shared" ref="L18" si="17">SUM(L19,L20,L27)</f>
        <v>75506.169291815691</v>
      </c>
      <c r="M18" s="32">
        <f t="shared" ref="M18:V18" si="18">SUM(M19,M20,M27)</f>
        <v>74068.861633775392</v>
      </c>
      <c r="N18" s="32">
        <f t="shared" si="18"/>
        <v>68826.757820606654</v>
      </c>
      <c r="O18" s="32">
        <f t="shared" si="18"/>
        <v>71020.205090428586</v>
      </c>
      <c r="P18" s="32">
        <f t="shared" si="18"/>
        <v>76168.261920739285</v>
      </c>
      <c r="Q18" s="32">
        <f t="shared" si="18"/>
        <v>76437.551742454176</v>
      </c>
      <c r="R18" s="32">
        <f t="shared" si="18"/>
        <v>75740.561155824122</v>
      </c>
      <c r="S18" s="32">
        <f t="shared" si="18"/>
        <v>74780.272683547591</v>
      </c>
      <c r="T18" s="32">
        <f t="shared" si="18"/>
        <v>74104.001085817741</v>
      </c>
      <c r="U18" s="32">
        <f t="shared" si="18"/>
        <v>74274.104873019052</v>
      </c>
      <c r="V18" s="32">
        <f t="shared" si="18"/>
        <v>57952.067315793611</v>
      </c>
      <c r="W18" s="32">
        <f t="shared" ref="W18" si="19">SUM(W19,W20,W27)</f>
        <v>67255.373586961912</v>
      </c>
      <c r="DA18" s="173" t="s">
        <v>402</v>
      </c>
    </row>
    <row r="19" spans="1:105" ht="11.45" customHeight="1" x14ac:dyDescent="0.25">
      <c r="A19" s="136" t="s">
        <v>180</v>
      </c>
      <c r="B19" s="141">
        <v>4162.2579605207748</v>
      </c>
      <c r="C19" s="141">
        <v>4204.0809342829207</v>
      </c>
      <c r="D19" s="141">
        <v>4125.0481640171211</v>
      </c>
      <c r="E19" s="141">
        <v>4157.8902903460366</v>
      </c>
      <c r="F19" s="141">
        <v>4277.9905248717005</v>
      </c>
      <c r="G19" s="141">
        <v>4250.8931474424653</v>
      </c>
      <c r="H19" s="141">
        <v>3987.6976704790536</v>
      </c>
      <c r="I19" s="141">
        <v>3492.0538061012676</v>
      </c>
      <c r="J19" s="141">
        <v>3603.1188223919053</v>
      </c>
      <c r="K19" s="141">
        <v>3287.6645779508017</v>
      </c>
      <c r="L19" s="141">
        <v>3305.4338363457009</v>
      </c>
      <c r="M19" s="141">
        <v>3368.8650189401933</v>
      </c>
      <c r="N19" s="141">
        <v>3210.494209714413</v>
      </c>
      <c r="O19" s="141">
        <v>3097.8970525012437</v>
      </c>
      <c r="P19" s="141">
        <v>3131.9646234710126</v>
      </c>
      <c r="Q19" s="141">
        <v>3084.7657662019637</v>
      </c>
      <c r="R19" s="141">
        <v>3111.5200823314849</v>
      </c>
      <c r="S19" s="141">
        <v>2922.6167080555151</v>
      </c>
      <c r="T19" s="141">
        <v>2772.7294469599879</v>
      </c>
      <c r="U19" s="141">
        <v>2930.3332300831612</v>
      </c>
      <c r="V19" s="141">
        <v>2611.5249092516683</v>
      </c>
      <c r="W19" s="141">
        <v>2592.1881391406137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68936.798473800838</v>
      </c>
      <c r="C20" s="130">
        <f t="shared" si="20"/>
        <v>69317.535645008786</v>
      </c>
      <c r="D20" s="130">
        <f t="shared" si="20"/>
        <v>71666.099193720511</v>
      </c>
      <c r="E20" s="130">
        <f t="shared" si="20"/>
        <v>71336.590382307302</v>
      </c>
      <c r="F20" s="130">
        <f t="shared" si="20"/>
        <v>72084.329848205787</v>
      </c>
      <c r="G20" s="130">
        <f t="shared" si="20"/>
        <v>69304.347412731178</v>
      </c>
      <c r="H20" s="130">
        <f t="shared" si="20"/>
        <v>71519.765050355811</v>
      </c>
      <c r="I20" s="130">
        <f t="shared" si="20"/>
        <v>71730.403076582486</v>
      </c>
      <c r="J20" s="130">
        <f t="shared" si="20"/>
        <v>69333.836956053201</v>
      </c>
      <c r="K20" s="130">
        <f t="shared" si="20"/>
        <v>67377.474863878</v>
      </c>
      <c r="L20" s="130">
        <f t="shared" ref="L20" si="21">SUM(L21:L26)</f>
        <v>65714.851485929903</v>
      </c>
      <c r="M20" s="130">
        <f t="shared" ref="M20:V20" si="22">SUM(M21:M26)</f>
        <v>64036.813765450112</v>
      </c>
      <c r="N20" s="130">
        <f t="shared" si="22"/>
        <v>59220.032669818829</v>
      </c>
      <c r="O20" s="130">
        <f t="shared" si="22"/>
        <v>61504.835340072626</v>
      </c>
      <c r="P20" s="130">
        <f t="shared" si="22"/>
        <v>66510.306075008892</v>
      </c>
      <c r="Q20" s="130">
        <f t="shared" si="22"/>
        <v>66699.580340854212</v>
      </c>
      <c r="R20" s="130">
        <f t="shared" si="22"/>
        <v>65956.546761437552</v>
      </c>
      <c r="S20" s="130">
        <f t="shared" si="22"/>
        <v>65167.669320142428</v>
      </c>
      <c r="T20" s="130">
        <f t="shared" si="22"/>
        <v>64632.882565410182</v>
      </c>
      <c r="U20" s="130">
        <f t="shared" si="22"/>
        <v>64530.230282687509</v>
      </c>
      <c r="V20" s="130">
        <f t="shared" si="22"/>
        <v>48709.753828411907</v>
      </c>
      <c r="W20" s="130">
        <f t="shared" ref="W20" si="23">SUM(W21:W26)</f>
        <v>57781.23456937747</v>
      </c>
      <c r="DA20" s="176" t="s">
        <v>404</v>
      </c>
    </row>
    <row r="21" spans="1:105" ht="11.45" customHeight="1" x14ac:dyDescent="0.25">
      <c r="A21" s="111" t="s">
        <v>110</v>
      </c>
      <c r="B21" s="96">
        <v>45915.839217731889</v>
      </c>
      <c r="C21" s="96">
        <v>44859.312566419263</v>
      </c>
      <c r="D21" s="96">
        <v>43801.89628897755</v>
      </c>
      <c r="E21" s="96">
        <v>41988.922828766168</v>
      </c>
      <c r="F21" s="96">
        <v>39056.395273861526</v>
      </c>
      <c r="G21" s="96">
        <v>36023.422981369469</v>
      </c>
      <c r="H21" s="96">
        <v>33769.860723187558</v>
      </c>
      <c r="I21" s="96">
        <v>31834.87028489578</v>
      </c>
      <c r="J21" s="96">
        <v>28925.528707722293</v>
      </c>
      <c r="K21" s="96">
        <v>27864.077999826597</v>
      </c>
      <c r="L21" s="96">
        <v>25898.760800067383</v>
      </c>
      <c r="M21" s="96">
        <v>24764.382782021628</v>
      </c>
      <c r="N21" s="96">
        <v>21688.703222750606</v>
      </c>
      <c r="O21" s="96">
        <v>20733.920850005314</v>
      </c>
      <c r="P21" s="96">
        <v>20979.212035428423</v>
      </c>
      <c r="Q21" s="96">
        <v>20188.467609085896</v>
      </c>
      <c r="R21" s="96">
        <v>18615.685840577924</v>
      </c>
      <c r="S21" s="96">
        <v>18191.531918576951</v>
      </c>
      <c r="T21" s="96">
        <v>18952.136048432796</v>
      </c>
      <c r="U21" s="96">
        <v>18998.333635422812</v>
      </c>
      <c r="V21" s="96">
        <v>14576.605979083446</v>
      </c>
      <c r="W21" s="96">
        <v>18279.681911342432</v>
      </c>
      <c r="DA21" s="171" t="s">
        <v>750</v>
      </c>
    </row>
    <row r="22" spans="1:105" ht="11.45" customHeight="1" x14ac:dyDescent="0.25">
      <c r="A22" s="111" t="s">
        <v>111</v>
      </c>
      <c r="B22" s="96">
        <v>18193.727013644726</v>
      </c>
      <c r="C22" s="96">
        <v>19632.369005721455</v>
      </c>
      <c r="D22" s="96">
        <v>23281.272826491975</v>
      </c>
      <c r="E22" s="96">
        <v>25070.2462933885</v>
      </c>
      <c r="F22" s="96">
        <v>29078.056702558712</v>
      </c>
      <c r="G22" s="96">
        <v>29512.060629898853</v>
      </c>
      <c r="H22" s="96">
        <v>33982.629197234783</v>
      </c>
      <c r="I22" s="96">
        <v>36178.328657448597</v>
      </c>
      <c r="J22" s="96">
        <v>36442.774264045576</v>
      </c>
      <c r="K22" s="96">
        <v>35180.895385566473</v>
      </c>
      <c r="L22" s="96">
        <v>35013.784121836034</v>
      </c>
      <c r="M22" s="96">
        <v>34332.562333870635</v>
      </c>
      <c r="N22" s="96">
        <v>32372.60257841272</v>
      </c>
      <c r="O22" s="96">
        <v>34952.539766775088</v>
      </c>
      <c r="P22" s="96">
        <v>39467.83076302518</v>
      </c>
      <c r="Q22" s="96">
        <v>40095.024106221921</v>
      </c>
      <c r="R22" s="96">
        <v>41023.337527064243</v>
      </c>
      <c r="S22" s="96">
        <v>40575.584162480474</v>
      </c>
      <c r="T22" s="96">
        <v>39427.600610220063</v>
      </c>
      <c r="U22" s="96">
        <v>38982.335176235618</v>
      </c>
      <c r="V22" s="96">
        <v>28925.636189325163</v>
      </c>
      <c r="W22" s="96">
        <v>34003.97176186282</v>
      </c>
      <c r="DA22" s="171" t="s">
        <v>751</v>
      </c>
    </row>
    <row r="23" spans="1:105" ht="11.45" customHeight="1" x14ac:dyDescent="0.25">
      <c r="A23" s="111" t="s">
        <v>112</v>
      </c>
      <c r="B23" s="96">
        <v>4097.5866539344979</v>
      </c>
      <c r="C23" s="96">
        <v>4002.6797511794803</v>
      </c>
      <c r="D23" s="96">
        <v>3776.8870387739121</v>
      </c>
      <c r="E23" s="96">
        <v>3472.1395291135841</v>
      </c>
      <c r="F23" s="96">
        <v>3169.804353602472</v>
      </c>
      <c r="G23" s="96">
        <v>2941.5131161069085</v>
      </c>
      <c r="H23" s="96">
        <v>2817.8576216151619</v>
      </c>
      <c r="I23" s="96">
        <v>2684.2056772274364</v>
      </c>
      <c r="J23" s="96">
        <v>2856.3263618728047</v>
      </c>
      <c r="K23" s="96">
        <v>3110.6182760877223</v>
      </c>
      <c r="L23" s="96">
        <v>3438.2267341607107</v>
      </c>
      <c r="M23" s="96">
        <v>3585.3676871280181</v>
      </c>
      <c r="N23" s="96">
        <v>3823.5024913718398</v>
      </c>
      <c r="O23" s="96">
        <v>4365.0949798402762</v>
      </c>
      <c r="P23" s="96">
        <v>4438.7309312299622</v>
      </c>
      <c r="Q23" s="96">
        <v>4702.6708344019717</v>
      </c>
      <c r="R23" s="96">
        <v>4545.2298104031397</v>
      </c>
      <c r="S23" s="96">
        <v>4748.4191559958044</v>
      </c>
      <c r="T23" s="96">
        <v>4586.1152389459057</v>
      </c>
      <c r="U23" s="96">
        <v>4700.4200317574641</v>
      </c>
      <c r="V23" s="96">
        <v>3706.1972329294485</v>
      </c>
      <c r="W23" s="96">
        <v>3981.0725479996445</v>
      </c>
      <c r="DA23" s="171" t="s">
        <v>752</v>
      </c>
    </row>
    <row r="24" spans="1:105" ht="11.45" customHeight="1" x14ac:dyDescent="0.25">
      <c r="A24" s="111" t="s">
        <v>113</v>
      </c>
      <c r="B24" s="96">
        <v>729.64558848972956</v>
      </c>
      <c r="C24" s="96">
        <v>823.17432168857397</v>
      </c>
      <c r="D24" s="96">
        <v>806.04303947707285</v>
      </c>
      <c r="E24" s="96">
        <v>805.28173103904567</v>
      </c>
      <c r="F24" s="96">
        <v>780.07351818306108</v>
      </c>
      <c r="G24" s="96">
        <v>827.35068535594053</v>
      </c>
      <c r="H24" s="96">
        <v>949.41750831830086</v>
      </c>
      <c r="I24" s="96">
        <v>1032.9984570106774</v>
      </c>
      <c r="J24" s="96">
        <v>1109.2076224125196</v>
      </c>
      <c r="K24" s="96">
        <v>1221.8832023972022</v>
      </c>
      <c r="L24" s="96">
        <v>1364.0798298657799</v>
      </c>
      <c r="M24" s="96">
        <v>1354.5009624298302</v>
      </c>
      <c r="N24" s="96">
        <v>1335.1262006633881</v>
      </c>
      <c r="O24" s="96">
        <v>1441.3292808629408</v>
      </c>
      <c r="P24" s="96">
        <v>1591.4889607856392</v>
      </c>
      <c r="Q24" s="96">
        <v>1678.9279276403538</v>
      </c>
      <c r="R24" s="96">
        <v>1739.8102788530143</v>
      </c>
      <c r="S24" s="96">
        <v>1615.1725185729151</v>
      </c>
      <c r="T24" s="96">
        <v>1624.5624586341462</v>
      </c>
      <c r="U24" s="96">
        <v>1803.770402838712</v>
      </c>
      <c r="V24" s="96">
        <v>1456.9119482295371</v>
      </c>
      <c r="W24" s="96">
        <v>1437.5397902875791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9.8176620275870166E-2</v>
      </c>
      <c r="O25" s="96">
        <v>11.950462589012707</v>
      </c>
      <c r="P25" s="96">
        <v>33.043384539678101</v>
      </c>
      <c r="Q25" s="96">
        <v>34.489863504075913</v>
      </c>
      <c r="R25" s="96">
        <v>32.483304539239505</v>
      </c>
      <c r="S25" s="96">
        <v>36.961564516285073</v>
      </c>
      <c r="T25" s="96">
        <v>42.468209177269699</v>
      </c>
      <c r="U25" s="96">
        <v>45.371036432906401</v>
      </c>
      <c r="V25" s="96">
        <v>44.40247884431124</v>
      </c>
      <c r="W25" s="96">
        <v>78.96855788499677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6590.9136437064699</v>
      </c>
      <c r="C27" s="130">
        <f t="shared" si="24"/>
        <v>6613.3199521379829</v>
      </c>
      <c r="D27" s="130">
        <f t="shared" si="24"/>
        <v>6659.5797932802861</v>
      </c>
      <c r="E27" s="130">
        <f t="shared" si="24"/>
        <v>6657.3002377840521</v>
      </c>
      <c r="F27" s="130">
        <f t="shared" si="24"/>
        <v>6637.2698364555145</v>
      </c>
      <c r="G27" s="130">
        <f t="shared" si="24"/>
        <v>6667.0683559176723</v>
      </c>
      <c r="H27" s="130">
        <f t="shared" si="24"/>
        <v>6729.2522725771532</v>
      </c>
      <c r="I27" s="130">
        <f t="shared" si="24"/>
        <v>6707.6619160973323</v>
      </c>
      <c r="J27" s="130">
        <f t="shared" si="24"/>
        <v>6604.6900195818698</v>
      </c>
      <c r="K27" s="130">
        <f t="shared" si="24"/>
        <v>6459.5463691431269</v>
      </c>
      <c r="L27" s="130">
        <f t="shared" ref="L27" si="25">SUM(L28:L32)</f>
        <v>6485.8839695400875</v>
      </c>
      <c r="M27" s="130">
        <f t="shared" ref="M27:V27" si="26">SUM(M28:M32)</f>
        <v>6663.1828493850944</v>
      </c>
      <c r="N27" s="130">
        <f t="shared" si="26"/>
        <v>6396.2309410734088</v>
      </c>
      <c r="O27" s="130">
        <f t="shared" si="26"/>
        <v>6417.4726978547114</v>
      </c>
      <c r="P27" s="130">
        <f t="shared" si="26"/>
        <v>6525.9912222593775</v>
      </c>
      <c r="Q27" s="130">
        <f t="shared" si="26"/>
        <v>6653.2056353980015</v>
      </c>
      <c r="R27" s="130">
        <f t="shared" si="26"/>
        <v>6672.4943120550879</v>
      </c>
      <c r="S27" s="130">
        <f t="shared" si="26"/>
        <v>6689.9866553496604</v>
      </c>
      <c r="T27" s="130">
        <f t="shared" si="26"/>
        <v>6698.3890734475654</v>
      </c>
      <c r="U27" s="130">
        <f t="shared" si="26"/>
        <v>6813.5413602483759</v>
      </c>
      <c r="V27" s="130">
        <f t="shared" si="26"/>
        <v>6630.7885781300392</v>
      </c>
      <c r="W27" s="130">
        <f t="shared" ref="W27" si="27">SUM(W28:W32)</f>
        <v>6881.9508784438312</v>
      </c>
      <c r="DA27" s="176" t="s">
        <v>405</v>
      </c>
    </row>
    <row r="28" spans="1:105" ht="11.45" customHeight="1" x14ac:dyDescent="0.25">
      <c r="A28" s="111" t="s">
        <v>110</v>
      </c>
      <c r="B28" s="97">
        <v>5.2276799509019813</v>
      </c>
      <c r="C28" s="97">
        <v>4.6901358876245558</v>
      </c>
      <c r="D28" s="97">
        <v>4.4140030629099716</v>
      </c>
      <c r="E28" s="97">
        <v>3.5411868419447283</v>
      </c>
      <c r="F28" s="97">
        <v>3.0600419640891814</v>
      </c>
      <c r="G28" s="97">
        <v>2.9017296888119062</v>
      </c>
      <c r="H28" s="97">
        <v>2.7318470723706558</v>
      </c>
      <c r="I28" s="97">
        <v>2.5315032042844114</v>
      </c>
      <c r="J28" s="97">
        <v>2.5361335824234992</v>
      </c>
      <c r="K28" s="97">
        <v>2.68416716734093</v>
      </c>
      <c r="L28" s="97">
        <v>2.7065075657348419</v>
      </c>
      <c r="M28" s="97">
        <v>2.6687591246979943</v>
      </c>
      <c r="N28" s="97">
        <v>2.625887463191527</v>
      </c>
      <c r="O28" s="97">
        <v>4.4830455652631613</v>
      </c>
      <c r="P28" s="97">
        <v>2.6275844653314122</v>
      </c>
      <c r="Q28" s="97">
        <v>2.597508728599351</v>
      </c>
      <c r="R28" s="97">
        <v>2.4934400535430368</v>
      </c>
      <c r="S28" s="97">
        <v>2.3595396502775379</v>
      </c>
      <c r="T28" s="97">
        <v>2.2166499567358735</v>
      </c>
      <c r="U28" s="97">
        <v>3.9259221626164651</v>
      </c>
      <c r="V28" s="97">
        <v>3.7951514640779873</v>
      </c>
      <c r="W28" s="97">
        <v>3.5993580138549639</v>
      </c>
      <c r="DA28" s="175" t="s">
        <v>756</v>
      </c>
    </row>
    <row r="29" spans="1:105" ht="11.45" customHeight="1" x14ac:dyDescent="0.25">
      <c r="A29" s="111" t="s">
        <v>111</v>
      </c>
      <c r="B29" s="97">
        <v>6579.5025106028188</v>
      </c>
      <c r="C29" s="97">
        <v>6602.4095902259569</v>
      </c>
      <c r="D29" s="97">
        <v>6649.6220338228522</v>
      </c>
      <c r="E29" s="97">
        <v>6646.2770993876129</v>
      </c>
      <c r="F29" s="97">
        <v>6625.0843013381873</v>
      </c>
      <c r="G29" s="97">
        <v>6650.638400748443</v>
      </c>
      <c r="H29" s="97">
        <v>6708.3158899720083</v>
      </c>
      <c r="I29" s="97">
        <v>6655.4311941609067</v>
      </c>
      <c r="J29" s="97">
        <v>6494.6629535336369</v>
      </c>
      <c r="K29" s="97">
        <v>6362.0737638206037</v>
      </c>
      <c r="L29" s="97">
        <v>6378.0979833814899</v>
      </c>
      <c r="M29" s="97">
        <v>6477.3299700887574</v>
      </c>
      <c r="N29" s="97">
        <v>6162.9776442487628</v>
      </c>
      <c r="O29" s="97">
        <v>6166.9370081684274</v>
      </c>
      <c r="P29" s="97">
        <v>6314.3379115968755</v>
      </c>
      <c r="Q29" s="97">
        <v>6439.7001874914549</v>
      </c>
      <c r="R29" s="97">
        <v>6540.9976173754094</v>
      </c>
      <c r="S29" s="97">
        <v>6523.6416852574866</v>
      </c>
      <c r="T29" s="97">
        <v>6519.8704090281481</v>
      </c>
      <c r="U29" s="97">
        <v>6602.6352801916628</v>
      </c>
      <c r="V29" s="97">
        <v>6516.8711148107523</v>
      </c>
      <c r="W29" s="97">
        <v>6555.5577005034429</v>
      </c>
      <c r="DA29" s="175" t="s">
        <v>757</v>
      </c>
    </row>
    <row r="30" spans="1:105" ht="11.45" customHeight="1" x14ac:dyDescent="0.25">
      <c r="A30" s="111" t="s">
        <v>112</v>
      </c>
      <c r="B30" s="97">
        <v>2.4686334659276499</v>
      </c>
      <c r="C30" s="97">
        <v>2.7481362931048974</v>
      </c>
      <c r="D30" s="97">
        <v>2.5990937440142732</v>
      </c>
      <c r="E30" s="97">
        <v>2.9978581947891616</v>
      </c>
      <c r="F30" s="97">
        <v>4.6183762626865832</v>
      </c>
      <c r="G30" s="97">
        <v>6.6475124808625434</v>
      </c>
      <c r="H30" s="97">
        <v>7.4871577094025312</v>
      </c>
      <c r="I30" s="97">
        <v>8.9359438389626469</v>
      </c>
      <c r="J30" s="97">
        <v>10.683431050315628</v>
      </c>
      <c r="K30" s="97">
        <v>14.690016144324007</v>
      </c>
      <c r="L30" s="97">
        <v>15.102590848029996</v>
      </c>
      <c r="M30" s="97">
        <v>14.654108415559934</v>
      </c>
      <c r="N30" s="97">
        <v>13.705644193683534</v>
      </c>
      <c r="O30" s="97">
        <v>13.303089679105893</v>
      </c>
      <c r="P30" s="97">
        <v>12.79096686150343</v>
      </c>
      <c r="Q30" s="97">
        <v>12.86463195020348</v>
      </c>
      <c r="R30" s="97">
        <v>12.053540084361233</v>
      </c>
      <c r="S30" s="97">
        <v>9.4661718141186526</v>
      </c>
      <c r="T30" s="97">
        <v>10.775298761675197</v>
      </c>
      <c r="U30" s="97">
        <v>10.662423479638489</v>
      </c>
      <c r="V30" s="97">
        <v>10.649080925933225</v>
      </c>
      <c r="W30" s="97">
        <v>9.7276781987273289</v>
      </c>
      <c r="DA30" s="175" t="s">
        <v>758</v>
      </c>
    </row>
    <row r="31" spans="1:105" ht="11.45" customHeight="1" x14ac:dyDescent="0.25">
      <c r="A31" s="111" t="s">
        <v>113</v>
      </c>
      <c r="B31" s="97">
        <v>3.7148196868222487</v>
      </c>
      <c r="C31" s="97">
        <v>3.472089731296494</v>
      </c>
      <c r="D31" s="97">
        <v>2.9446626505093874</v>
      </c>
      <c r="E31" s="97">
        <v>4.4840933597047608</v>
      </c>
      <c r="F31" s="97">
        <v>4.5071168905506962</v>
      </c>
      <c r="G31" s="97">
        <v>6.8807129995548468</v>
      </c>
      <c r="H31" s="97">
        <v>10.717377823371665</v>
      </c>
      <c r="I31" s="97">
        <v>40.763274893177829</v>
      </c>
      <c r="J31" s="97">
        <v>96.807501415493661</v>
      </c>
      <c r="K31" s="97">
        <v>80.098422010858158</v>
      </c>
      <c r="L31" s="97">
        <v>89.976887744832936</v>
      </c>
      <c r="M31" s="97">
        <v>168.53001175607955</v>
      </c>
      <c r="N31" s="97">
        <v>216.92176516777076</v>
      </c>
      <c r="O31" s="97">
        <v>232.74955444191519</v>
      </c>
      <c r="P31" s="97">
        <v>196.23475933566738</v>
      </c>
      <c r="Q31" s="97">
        <v>198.0433072277435</v>
      </c>
      <c r="R31" s="97">
        <v>116.94971454177461</v>
      </c>
      <c r="S31" s="97">
        <v>154.51925862777708</v>
      </c>
      <c r="T31" s="97">
        <v>165.52671570100688</v>
      </c>
      <c r="U31" s="97">
        <v>196.31773441445907</v>
      </c>
      <c r="V31" s="97">
        <v>99.473230929275772</v>
      </c>
      <c r="W31" s="97">
        <v>313.06614172780593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30237.644377611909</v>
      </c>
      <c r="C33" s="32">
        <f t="shared" si="28"/>
        <v>31978.18379137032</v>
      </c>
      <c r="D33" s="32">
        <f t="shared" si="28"/>
        <v>31924.254288702054</v>
      </c>
      <c r="E33" s="32">
        <f t="shared" si="28"/>
        <v>32706.095142642607</v>
      </c>
      <c r="F33" s="32">
        <f t="shared" si="28"/>
        <v>34155.614309507029</v>
      </c>
      <c r="G33" s="32">
        <f t="shared" si="28"/>
        <v>35893.607185028704</v>
      </c>
      <c r="H33" s="32">
        <f t="shared" si="28"/>
        <v>34979.183164387992</v>
      </c>
      <c r="I33" s="32">
        <f t="shared" si="28"/>
        <v>35810.099658738895</v>
      </c>
      <c r="J33" s="32">
        <f t="shared" si="28"/>
        <v>31340.587872372998</v>
      </c>
      <c r="K33" s="32">
        <f t="shared" si="28"/>
        <v>28686.954736868058</v>
      </c>
      <c r="L33" s="32">
        <f t="shared" ref="L33" si="29">L34+L40</f>
        <v>27772.729475424305</v>
      </c>
      <c r="M33" s="32">
        <f t="shared" ref="M33:V33" si="30">M34+M40</f>
        <v>29080.04119754459</v>
      </c>
      <c r="N33" s="32">
        <f t="shared" si="30"/>
        <v>28080.731537433334</v>
      </c>
      <c r="O33" s="32">
        <f t="shared" si="30"/>
        <v>23929.426147531412</v>
      </c>
      <c r="P33" s="32">
        <f t="shared" si="30"/>
        <v>23688.424681780725</v>
      </c>
      <c r="Q33" s="32">
        <f t="shared" si="30"/>
        <v>21030.197361145823</v>
      </c>
      <c r="R33" s="32">
        <f t="shared" si="30"/>
        <v>20261.34481137586</v>
      </c>
      <c r="S33" s="32">
        <f t="shared" si="30"/>
        <v>17131.806020332402</v>
      </c>
      <c r="T33" s="32">
        <f t="shared" si="30"/>
        <v>20771.154515302253</v>
      </c>
      <c r="U33" s="32">
        <f t="shared" si="30"/>
        <v>21435.72030374096</v>
      </c>
      <c r="V33" s="32">
        <f t="shared" si="30"/>
        <v>19319.304861686371</v>
      </c>
      <c r="W33" s="32">
        <f t="shared" ref="W33" si="31">W34+W40</f>
        <v>26657.365498918083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22547.89450126508</v>
      </c>
      <c r="C34" s="141">
        <f t="shared" si="32"/>
        <v>20338.636510025568</v>
      </c>
      <c r="D34" s="141">
        <f t="shared" si="32"/>
        <v>20211.256025816976</v>
      </c>
      <c r="E34" s="141">
        <f t="shared" si="32"/>
        <v>21278.915742737667</v>
      </c>
      <c r="F34" s="141">
        <f t="shared" si="32"/>
        <v>22136.012264269477</v>
      </c>
      <c r="G34" s="141">
        <f t="shared" si="32"/>
        <v>23776.43928110904</v>
      </c>
      <c r="H34" s="141">
        <f t="shared" si="32"/>
        <v>20496.055370566384</v>
      </c>
      <c r="I34" s="141">
        <f t="shared" si="32"/>
        <v>21631.028463393312</v>
      </c>
      <c r="J34" s="141">
        <f t="shared" si="32"/>
        <v>20624.269284540584</v>
      </c>
      <c r="K34" s="141">
        <f t="shared" si="32"/>
        <v>19645.3048926517</v>
      </c>
      <c r="L34" s="141">
        <f t="shared" ref="L34" si="33">SUM(L35:L39)</f>
        <v>20737.040003797829</v>
      </c>
      <c r="M34" s="141">
        <f t="shared" ref="M34:V34" si="34">SUM(M35:M39)</f>
        <v>21205.148720525081</v>
      </c>
      <c r="N34" s="141">
        <f t="shared" si="34"/>
        <v>18391.152238268969</v>
      </c>
      <c r="O34" s="141">
        <f t="shared" si="34"/>
        <v>16042.469370675084</v>
      </c>
      <c r="P34" s="141">
        <f t="shared" si="34"/>
        <v>16492.772641058553</v>
      </c>
      <c r="Q34" s="141">
        <f t="shared" si="34"/>
        <v>13247.997224224704</v>
      </c>
      <c r="R34" s="141">
        <f t="shared" si="34"/>
        <v>12214.352644841641</v>
      </c>
      <c r="S34" s="141">
        <f t="shared" si="34"/>
        <v>12229.132471376817</v>
      </c>
      <c r="T34" s="141">
        <f t="shared" si="34"/>
        <v>12485.520001266501</v>
      </c>
      <c r="U34" s="141">
        <f t="shared" si="34"/>
        <v>12700.786488127422</v>
      </c>
      <c r="V34" s="141">
        <f t="shared" si="34"/>
        <v>12214.006267267512</v>
      </c>
      <c r="W34" s="141">
        <f t="shared" ref="W34" si="35">SUM(W35:W39)</f>
        <v>14799.919899605567</v>
      </c>
      <c r="DA34" s="174" t="s">
        <v>411</v>
      </c>
    </row>
    <row r="35" spans="1:105" ht="11.45" customHeight="1" x14ac:dyDescent="0.25">
      <c r="A35" s="111" t="s">
        <v>110</v>
      </c>
      <c r="B35" s="96">
        <v>853.56108635642886</v>
      </c>
      <c r="C35" s="96">
        <v>856.46785253020118</v>
      </c>
      <c r="D35" s="96">
        <v>868.03823306240486</v>
      </c>
      <c r="E35" s="96">
        <v>871.35892176584571</v>
      </c>
      <c r="F35" s="96">
        <v>851.56044842268557</v>
      </c>
      <c r="G35" s="96">
        <v>850.39165833926222</v>
      </c>
      <c r="H35" s="96">
        <v>833.43424242102628</v>
      </c>
      <c r="I35" s="96">
        <v>718.18677807866243</v>
      </c>
      <c r="J35" s="96">
        <v>677.65348086336314</v>
      </c>
      <c r="K35" s="96">
        <v>636.53248277524676</v>
      </c>
      <c r="L35" s="96">
        <v>608.17648374118789</v>
      </c>
      <c r="M35" s="96">
        <v>611.94101219347317</v>
      </c>
      <c r="N35" s="96">
        <v>543.65239257151381</v>
      </c>
      <c r="O35" s="96">
        <v>520.95498933916338</v>
      </c>
      <c r="P35" s="96">
        <v>499.83591665555389</v>
      </c>
      <c r="Q35" s="96">
        <v>458.19319703946144</v>
      </c>
      <c r="R35" s="96">
        <v>432.94424337780657</v>
      </c>
      <c r="S35" s="96">
        <v>411.97290332096867</v>
      </c>
      <c r="T35" s="96">
        <v>397.40801903320903</v>
      </c>
      <c r="U35" s="96">
        <v>397.06585905850301</v>
      </c>
      <c r="V35" s="96">
        <v>401.58889539649635</v>
      </c>
      <c r="W35" s="96">
        <v>414.39821153810647</v>
      </c>
      <c r="DA35" s="171" t="s">
        <v>761</v>
      </c>
    </row>
    <row r="36" spans="1:105" ht="11.45" customHeight="1" x14ac:dyDescent="0.25">
      <c r="A36" s="111" t="s">
        <v>111</v>
      </c>
      <c r="B36" s="96">
        <v>21632.70293048563</v>
      </c>
      <c r="C36" s="96">
        <v>19415.896551627826</v>
      </c>
      <c r="D36" s="96">
        <v>19270.174807880081</v>
      </c>
      <c r="E36" s="96">
        <v>20327.259738398945</v>
      </c>
      <c r="F36" s="96">
        <v>21197.974051265563</v>
      </c>
      <c r="G36" s="96">
        <v>22830.21288543304</v>
      </c>
      <c r="H36" s="96">
        <v>19559.85270789159</v>
      </c>
      <c r="I36" s="96">
        <v>20811.464593044904</v>
      </c>
      <c r="J36" s="96">
        <v>19817.505605668353</v>
      </c>
      <c r="K36" s="96">
        <v>18842.960957476556</v>
      </c>
      <c r="L36" s="96">
        <v>19879.394163155997</v>
      </c>
      <c r="M36" s="96">
        <v>20341.899439021097</v>
      </c>
      <c r="N36" s="96">
        <v>17540.695007094135</v>
      </c>
      <c r="O36" s="96">
        <v>15206.344257120158</v>
      </c>
      <c r="P36" s="96">
        <v>15666.90773357577</v>
      </c>
      <c r="Q36" s="96">
        <v>12465.374529365514</v>
      </c>
      <c r="R36" s="96">
        <v>11458.227620106125</v>
      </c>
      <c r="S36" s="96">
        <v>11515.422020986465</v>
      </c>
      <c r="T36" s="96">
        <v>11775.164744796026</v>
      </c>
      <c r="U36" s="96">
        <v>11962.303984119193</v>
      </c>
      <c r="V36" s="96">
        <v>11470.64887900521</v>
      </c>
      <c r="W36" s="96">
        <v>14008.98108864122</v>
      </c>
      <c r="DA36" s="171" t="s">
        <v>762</v>
      </c>
    </row>
    <row r="37" spans="1:105" ht="11.45" customHeight="1" x14ac:dyDescent="0.25">
      <c r="A37" s="111" t="s">
        <v>112</v>
      </c>
      <c r="B37" s="96">
        <v>27.441912599574607</v>
      </c>
      <c r="C37" s="96">
        <v>29.186087287414786</v>
      </c>
      <c r="D37" s="96">
        <v>31.627617002073702</v>
      </c>
      <c r="E37" s="96">
        <v>34.105936971625958</v>
      </c>
      <c r="F37" s="96">
        <v>35.852819654839834</v>
      </c>
      <c r="G37" s="96">
        <v>38.614695692230633</v>
      </c>
      <c r="H37" s="96">
        <v>39.521496395436955</v>
      </c>
      <c r="I37" s="96">
        <v>38.20500417360175</v>
      </c>
      <c r="J37" s="96">
        <v>44.297981836880716</v>
      </c>
      <c r="K37" s="96">
        <v>55.941206807955012</v>
      </c>
      <c r="L37" s="96">
        <v>70.427024511257997</v>
      </c>
      <c r="M37" s="96">
        <v>77.572303496421839</v>
      </c>
      <c r="N37" s="96">
        <v>81.301864434477977</v>
      </c>
      <c r="O37" s="96">
        <v>82.89802952061757</v>
      </c>
      <c r="P37" s="96">
        <v>88.144400948535008</v>
      </c>
      <c r="Q37" s="96">
        <v>85.364832687826009</v>
      </c>
      <c r="R37" s="96">
        <v>81.071474752499611</v>
      </c>
      <c r="S37" s="96">
        <v>81.828664630076716</v>
      </c>
      <c r="T37" s="96">
        <v>87.905786572419643</v>
      </c>
      <c r="U37" s="96">
        <v>86.964714202896744</v>
      </c>
      <c r="V37" s="96">
        <v>83.995260464619264</v>
      </c>
      <c r="W37" s="96">
        <v>93.064989641627818</v>
      </c>
      <c r="DA37" s="171" t="s">
        <v>763</v>
      </c>
    </row>
    <row r="38" spans="1:105" ht="11.45" customHeight="1" x14ac:dyDescent="0.25">
      <c r="A38" s="111" t="s">
        <v>113</v>
      </c>
      <c r="B38" s="96">
        <v>34.188571823448299</v>
      </c>
      <c r="C38" s="96">
        <v>37.086018580129682</v>
      </c>
      <c r="D38" s="96">
        <v>41.415367872418031</v>
      </c>
      <c r="E38" s="96">
        <v>46.19114560124963</v>
      </c>
      <c r="F38" s="96">
        <v>50.624944926388203</v>
      </c>
      <c r="G38" s="96">
        <v>57.220041644504711</v>
      </c>
      <c r="H38" s="96">
        <v>63.246923858327477</v>
      </c>
      <c r="I38" s="96">
        <v>63.172088096144805</v>
      </c>
      <c r="J38" s="96">
        <v>84.812216171986634</v>
      </c>
      <c r="K38" s="96">
        <v>109.87024559193988</v>
      </c>
      <c r="L38" s="96">
        <v>179.0423323893871</v>
      </c>
      <c r="M38" s="96">
        <v>173.73596581409021</v>
      </c>
      <c r="N38" s="96">
        <v>225.50297416884138</v>
      </c>
      <c r="O38" s="96">
        <v>232.27209469514406</v>
      </c>
      <c r="P38" s="96">
        <v>237.88458987869382</v>
      </c>
      <c r="Q38" s="96">
        <v>239.06466513190233</v>
      </c>
      <c r="R38" s="96">
        <v>242.1093066052112</v>
      </c>
      <c r="S38" s="96">
        <v>219.90888243930829</v>
      </c>
      <c r="T38" s="96">
        <v>225.04145086484712</v>
      </c>
      <c r="U38" s="96">
        <v>254.45193074682871</v>
      </c>
      <c r="V38" s="96">
        <v>257.7732324011871</v>
      </c>
      <c r="W38" s="96">
        <v>283.4756097846149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7689.7498763468284</v>
      </c>
      <c r="C40" s="130">
        <f t="shared" si="36"/>
        <v>11639.54728134475</v>
      </c>
      <c r="D40" s="130">
        <f t="shared" si="36"/>
        <v>11712.998262885079</v>
      </c>
      <c r="E40" s="130">
        <f t="shared" si="36"/>
        <v>11427.179399904941</v>
      </c>
      <c r="F40" s="130">
        <f t="shared" si="36"/>
        <v>12019.602045237551</v>
      </c>
      <c r="G40" s="130">
        <f t="shared" si="36"/>
        <v>12117.167903919664</v>
      </c>
      <c r="H40" s="130">
        <f t="shared" si="36"/>
        <v>14483.127793821608</v>
      </c>
      <c r="I40" s="130">
        <f t="shared" si="36"/>
        <v>14179.071195345587</v>
      </c>
      <c r="J40" s="130">
        <f t="shared" si="36"/>
        <v>10716.318587832417</v>
      </c>
      <c r="K40" s="130">
        <f t="shared" si="36"/>
        <v>9041.6498442163575</v>
      </c>
      <c r="L40" s="130">
        <f t="shared" ref="L40" si="37">SUM(L41:L42)</f>
        <v>7035.6894716264778</v>
      </c>
      <c r="M40" s="130">
        <f t="shared" ref="M40:V40" si="38">SUM(M41:M42)</f>
        <v>7874.8924770195081</v>
      </c>
      <c r="N40" s="130">
        <f t="shared" si="38"/>
        <v>9689.579299164363</v>
      </c>
      <c r="O40" s="130">
        <f t="shared" si="38"/>
        <v>7886.9567768563302</v>
      </c>
      <c r="P40" s="130">
        <f t="shared" si="38"/>
        <v>7195.6520407221733</v>
      </c>
      <c r="Q40" s="130">
        <f t="shared" si="38"/>
        <v>7782.2001369211212</v>
      </c>
      <c r="R40" s="130">
        <f t="shared" si="38"/>
        <v>8046.992166534219</v>
      </c>
      <c r="S40" s="130">
        <f t="shared" si="38"/>
        <v>4902.6735489555858</v>
      </c>
      <c r="T40" s="130">
        <f t="shared" si="38"/>
        <v>8285.6345140357535</v>
      </c>
      <c r="U40" s="130">
        <f t="shared" si="38"/>
        <v>8734.9338156135382</v>
      </c>
      <c r="V40" s="130">
        <f t="shared" si="38"/>
        <v>7105.2985944188595</v>
      </c>
      <c r="W40" s="130">
        <f t="shared" ref="W40" si="39">SUM(W41:W42)</f>
        <v>11857.445599312516</v>
      </c>
      <c r="DA40" s="176" t="s">
        <v>412</v>
      </c>
    </row>
    <row r="41" spans="1:105" ht="11.45" customHeight="1" x14ac:dyDescent="0.25">
      <c r="A41" s="128" t="s">
        <v>27</v>
      </c>
      <c r="B41" s="97">
        <v>6563.2826407836783</v>
      </c>
      <c r="C41" s="97">
        <v>9792.4906569498853</v>
      </c>
      <c r="D41" s="97">
        <v>9785.4048047608594</v>
      </c>
      <c r="E41" s="97">
        <v>9475.6045059268454</v>
      </c>
      <c r="F41" s="97">
        <v>9991.4729657002154</v>
      </c>
      <c r="G41" s="97">
        <v>10073.809829948868</v>
      </c>
      <c r="H41" s="97">
        <v>11545.085691814946</v>
      </c>
      <c r="I41" s="97">
        <v>11382.334270423295</v>
      </c>
      <c r="J41" s="97">
        <v>8461.0321583047808</v>
      </c>
      <c r="K41" s="97">
        <v>7318.001632471236</v>
      </c>
      <c r="L41" s="97">
        <v>5626.6842074924643</v>
      </c>
      <c r="M41" s="97">
        <v>6264.772012916339</v>
      </c>
      <c r="N41" s="97">
        <v>7612.8283649966716</v>
      </c>
      <c r="O41" s="97">
        <v>6111.2252129599092</v>
      </c>
      <c r="P41" s="97">
        <v>5445.2614088932642</v>
      </c>
      <c r="Q41" s="97">
        <v>5892.8876655864142</v>
      </c>
      <c r="R41" s="97">
        <v>5979.5671813514391</v>
      </c>
      <c r="S41" s="97">
        <v>3566.4212223375807</v>
      </c>
      <c r="T41" s="97">
        <v>6088.5124449828072</v>
      </c>
      <c r="U41" s="97">
        <v>6417.0831127992678</v>
      </c>
      <c r="V41" s="97">
        <v>5180.8729344496942</v>
      </c>
      <c r="W41" s="97">
        <v>8517.9817084059559</v>
      </c>
      <c r="DA41" s="175" t="s">
        <v>766</v>
      </c>
    </row>
    <row r="42" spans="1:105" ht="11.45" customHeight="1" x14ac:dyDescent="0.25">
      <c r="A42" s="138" t="s">
        <v>116</v>
      </c>
      <c r="B42" s="98">
        <v>1126.4672355631506</v>
      </c>
      <c r="C42" s="98">
        <v>1847.0566243948649</v>
      </c>
      <c r="D42" s="98">
        <v>1927.59345812422</v>
      </c>
      <c r="E42" s="98">
        <v>1951.574893978096</v>
      </c>
      <c r="F42" s="98">
        <v>2028.1290795373357</v>
      </c>
      <c r="G42" s="98">
        <v>2043.3580739707952</v>
      </c>
      <c r="H42" s="98">
        <v>2938.0421020066633</v>
      </c>
      <c r="I42" s="98">
        <v>2796.7369249222916</v>
      </c>
      <c r="J42" s="98">
        <v>2255.2864295276358</v>
      </c>
      <c r="K42" s="98">
        <v>1723.6482117451212</v>
      </c>
      <c r="L42" s="98">
        <v>1409.0052641340137</v>
      </c>
      <c r="M42" s="98">
        <v>1610.1204641031686</v>
      </c>
      <c r="N42" s="98">
        <v>2076.750934167691</v>
      </c>
      <c r="O42" s="98">
        <v>1775.7315638964214</v>
      </c>
      <c r="P42" s="98">
        <v>1750.3906318289091</v>
      </c>
      <c r="Q42" s="98">
        <v>1889.3124713347074</v>
      </c>
      <c r="R42" s="98">
        <v>2067.4249851827799</v>
      </c>
      <c r="S42" s="98">
        <v>1336.2523266180053</v>
      </c>
      <c r="T42" s="98">
        <v>2197.1220690529462</v>
      </c>
      <c r="U42" s="98">
        <v>2317.8507028142699</v>
      </c>
      <c r="V42" s="98">
        <v>1924.4256599691655</v>
      </c>
      <c r="W42" s="98">
        <v>3339.4638909065598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2.980571426344512</v>
      </c>
      <c r="C47" s="145">
        <f>IF(C4=0,0,C4/TrRoad_ene!C4)</f>
        <v>2.984274242762829</v>
      </c>
      <c r="D47" s="145">
        <f>IF(D4=0,0,D4/TrRoad_ene!D4)</f>
        <v>2.989572278825114</v>
      </c>
      <c r="E47" s="145">
        <f>IF(E4=0,0,E4/TrRoad_ene!E4)</f>
        <v>2.9944007487258228</v>
      </c>
      <c r="F47" s="145">
        <f>IF(F4=0,0,F4/TrRoad_ene!F4)</f>
        <v>2.9834255460907766</v>
      </c>
      <c r="G47" s="145">
        <f>IF(G4=0,0,G4/TrRoad_ene!G4)</f>
        <v>2.9940270099515001</v>
      </c>
      <c r="H47" s="145">
        <f>IF(H4=0,0,H4/TrRoad_ene!H4)</f>
        <v>3.0001796791671165</v>
      </c>
      <c r="I47" s="145">
        <f>IF(I4=0,0,I4/TrRoad_ene!I4)</f>
        <v>3.0061394693664516</v>
      </c>
      <c r="J47" s="145">
        <f>IF(J4=0,0,J4/TrRoad_ene!J4)</f>
        <v>2.9562318164705728</v>
      </c>
      <c r="K47" s="145">
        <f>IF(K4=0,0,K4/TrRoad_ene!K4)</f>
        <v>2.9161095013055669</v>
      </c>
      <c r="L47" s="145">
        <f>IF(L4=0,0,L4/TrRoad_ene!L4)</f>
        <v>2.8895274197721004</v>
      </c>
      <c r="M47" s="145">
        <f>IF(M4=0,0,M4/TrRoad_ene!M4)</f>
        <v>2.8913821398416868</v>
      </c>
      <c r="N47" s="145">
        <f>IF(N4=0,0,N4/TrRoad_ene!N4)</f>
        <v>2.8860353379865504</v>
      </c>
      <c r="O47" s="145">
        <f>IF(O4=0,0,O4/TrRoad_ene!O4)</f>
        <v>2.8896797675804611</v>
      </c>
      <c r="P47" s="145">
        <f>IF(P4=0,0,P4/TrRoad_ene!P4)</f>
        <v>2.9131560969759613</v>
      </c>
      <c r="Q47" s="145">
        <f>IF(Q4=0,0,Q4/TrRoad_ene!Q4)</f>
        <v>2.8996077057757694</v>
      </c>
      <c r="R47" s="145">
        <f>IF(R4=0,0,R4/TrRoad_ene!R4)</f>
        <v>2.9117798651748532</v>
      </c>
      <c r="S47" s="145">
        <f>IF(S4=0,0,S4/TrRoad_ene!S4)</f>
        <v>2.9031440593395845</v>
      </c>
      <c r="T47" s="145">
        <f>IF(T4=0,0,T4/TrRoad_ene!T4)</f>
        <v>2.8915298836252954</v>
      </c>
      <c r="U47" s="145">
        <f>IF(U4=0,0,U4/TrRoad_ene!U4)</f>
        <v>2.8874475501819941</v>
      </c>
      <c r="V47" s="145">
        <f>IF(V4=0,0,V4/TrRoad_ene!V4)</f>
        <v>2.8626672524963501</v>
      </c>
      <c r="W47" s="145">
        <f>IF(W4=0,0,W4/TrRoad_ene!W4)</f>
        <v>2.8759991964040563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2.9014524000000006</v>
      </c>
      <c r="I48" s="97">
        <f>IF(I7=0,0,(I7+I12)/(TrRoad_ene!I7+TrRoad_ene!I12))</f>
        <v>2.9014524000000002</v>
      </c>
      <c r="J48" s="97">
        <f>IF(J7=0,0,(J7+J12)/(TrRoad_ene!J7+TrRoad_ene!J12))</f>
        <v>2.8836882583134686</v>
      </c>
      <c r="K48" s="97">
        <f>IF(K7=0,0,(K7+K12)/(TrRoad_ene!K7+TrRoad_ene!K12))</f>
        <v>2.8770683389721281</v>
      </c>
      <c r="L48" s="97">
        <f>IF(L7=0,0,(L7+L12)/(TrRoad_ene!L7+TrRoad_ene!L12))</f>
        <v>2.8673860210307147</v>
      </c>
      <c r="M48" s="97">
        <f>IF(M7=0,0,(M7+M12)/(TrRoad_ene!M7+TrRoad_ene!M12))</f>
        <v>2.8683722446012925</v>
      </c>
      <c r="N48" s="97">
        <f>IF(N7=0,0,(N7+N12)/(TrRoad_ene!N7+TrRoad_ene!N12))</f>
        <v>2.8670985282521895</v>
      </c>
      <c r="O48" s="97">
        <f>IF(O7=0,0,(O7+O12)/(TrRoad_ene!O7+TrRoad_ene!O12))</f>
        <v>2.8760040919252972</v>
      </c>
      <c r="P48" s="97">
        <f>IF(P7=0,0,(P7+P12)/(TrRoad_ene!P7+TrRoad_ene!P12))</f>
        <v>2.8980405686069077</v>
      </c>
      <c r="Q48" s="97">
        <f>IF(Q7=0,0,(Q7+Q12)/(TrRoad_ene!Q7+TrRoad_ene!Q12))</f>
        <v>2.8926946047092432</v>
      </c>
      <c r="R48" s="97">
        <f>IF(R7=0,0,(R7+R12)/(TrRoad_ene!R7+TrRoad_ene!R12))</f>
        <v>2.889161241535299</v>
      </c>
      <c r="S48" s="97">
        <f>IF(S7=0,0,(S7+S12)/(TrRoad_ene!S7+TrRoad_ene!S12))</f>
        <v>2.8886037268441438</v>
      </c>
      <c r="T48" s="97">
        <f>IF(T7=0,0,(T7+T12)/(TrRoad_ene!T7+TrRoad_ene!T12))</f>
        <v>2.8891201750461457</v>
      </c>
      <c r="U48" s="97">
        <f>IF(U7=0,0,(U7+U12)/(TrRoad_ene!U7+TrRoad_ene!U12))</f>
        <v>2.8900461057944837</v>
      </c>
      <c r="V48" s="97">
        <f>IF(V7=0,0,(V7+V12)/(TrRoad_ene!V7+TrRoad_ene!V12))</f>
        <v>2.8921102651290767</v>
      </c>
      <c r="W48" s="97">
        <f>IF(W7=0,0,(W7+W12)/(TrRoad_ene!W7+TrRoad_ene!W12))</f>
        <v>2.8908192105254482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3.0675076995871602</v>
      </c>
      <c r="G49" s="97">
        <f>IF(G8=0,0,(G8+G13+G14)/(TrRoad_ene!G8+TrRoad_ene!G13+TrRoad_ene!G14))</f>
        <v>3.0786786631943972</v>
      </c>
      <c r="H49" s="97">
        <f>IF(H8=0,0,(H8+H13+H14)/(TrRoad_ene!H8+TrRoad_ene!H13+TrRoad_ene!H14))</f>
        <v>3.0820663532930688</v>
      </c>
      <c r="I49" s="97">
        <f>IF(I8=0,0,(I8+I13+I14)/(TrRoad_ene!I8+TrRoad_ene!I13+TrRoad_ene!I14))</f>
        <v>3.0852455856923338</v>
      </c>
      <c r="J49" s="97">
        <f>IF(J8=0,0,(J8+J13+J14)/(TrRoad_ene!J8+TrRoad_ene!J13+TrRoad_ene!J14))</f>
        <v>3.0185017674872454</v>
      </c>
      <c r="K49" s="97">
        <f>IF(K8=0,0,(K8+K13+K14)/(TrRoad_ene!K8+TrRoad_ene!K13+TrRoad_ene!K14))</f>
        <v>2.9631700034236874</v>
      </c>
      <c r="L49" s="97">
        <f>IF(L8=0,0,(L8+L13+L14)/(TrRoad_ene!L8+TrRoad_ene!L13+TrRoad_ene!L14))</f>
        <v>2.9297884081262424</v>
      </c>
      <c r="M49" s="97">
        <f>IF(M8=0,0,(M8+M13+M14)/(TrRoad_ene!M8+TrRoad_ene!M13+TrRoad_ene!M14))</f>
        <v>2.9328100631145375</v>
      </c>
      <c r="N49" s="97">
        <f>IF(N8=0,0,(N8+N13+N14)/(TrRoad_ene!N8+TrRoad_ene!N13+TrRoad_ene!N14))</f>
        <v>2.9279888339043496</v>
      </c>
      <c r="O49" s="97">
        <f>IF(O8=0,0,(O8+O13+O14)/(TrRoad_ene!O8+TrRoad_ene!O13+TrRoad_ene!O14))</f>
        <v>2.9353524859564586</v>
      </c>
      <c r="P49" s="97">
        <f>IF(P8=0,0,(P8+P13+P14)/(TrRoad_ene!P8+TrRoad_ene!P13+TrRoad_ene!P14))</f>
        <v>2.9612023888046384</v>
      </c>
      <c r="Q49" s="97">
        <f>IF(Q8=0,0,(Q8+Q13+Q14)/(TrRoad_ene!Q8+TrRoad_ene!Q13+TrRoad_ene!Q14))</f>
        <v>2.9461487488944949</v>
      </c>
      <c r="R49" s="97">
        <f>IF(R8=0,0,(R8+R13+R14)/(TrRoad_ene!R8+TrRoad_ene!R13+TrRoad_ene!R14))</f>
        <v>2.9641633473565911</v>
      </c>
      <c r="S49" s="97">
        <f>IF(S8=0,0,(S8+S13+S14)/(TrRoad_ene!S8+TrRoad_ene!S13+TrRoad_ene!S14))</f>
        <v>2.9539964519385991</v>
      </c>
      <c r="T49" s="97">
        <f>IF(T8=0,0,(T8+T13+T14)/(TrRoad_ene!T8+TrRoad_ene!T13+TrRoad_ene!T14))</f>
        <v>2.9345530346667035</v>
      </c>
      <c r="U49" s="97">
        <f>IF(U8=0,0,(U8+U13+U14)/(TrRoad_ene!U8+TrRoad_ene!U13+TrRoad_ene!U14))</f>
        <v>2.9314989241780185</v>
      </c>
      <c r="V49" s="97">
        <f>IF(V8=0,0,(V8+V13+V14)/(TrRoad_ene!V8+TrRoad_ene!V13+TrRoad_ene!V14))</f>
        <v>2.8953762715121427</v>
      </c>
      <c r="W49" s="97">
        <f>IF(W8=0,0,(W8+W13+W14)/(TrRoad_ene!W8+TrRoad_ene!W13+TrRoad_ene!W14))</f>
        <v>2.9134940972320793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2.6418708000000009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2.3487140527430315</v>
      </c>
      <c r="M51" s="97">
        <f>IF(M9=0,0,(M9+M11)/(TrRoad_ene!M9+TrRoad_ene!M11))</f>
        <v>2.3487170825270556</v>
      </c>
      <c r="N51" s="97">
        <f>IF(N9=0,0,(N9+N11)/(TrRoad_ene!N9+TrRoad_ene!N11))</f>
        <v>2.3487206144258583</v>
      </c>
      <c r="O51" s="97">
        <f>IF(O9=0,0,(O9+O11)/(TrRoad_ene!O9+TrRoad_ene!O11))</f>
        <v>2.3487256265249705</v>
      </c>
      <c r="P51" s="97">
        <f>IF(P9=0,0,(P9+P11)/(TrRoad_ene!P9+TrRoad_ene!P11))</f>
        <v>2.3487296989898736</v>
      </c>
      <c r="Q51" s="97">
        <f>IF(Q9=0,0,(Q9+Q11)/(TrRoad_ene!Q9+TrRoad_ene!Q11))</f>
        <v>2.3487324809706789</v>
      </c>
      <c r="R51" s="97">
        <f>IF(R9=0,0,(R9+R11)/(TrRoad_ene!R9+TrRoad_ene!R11))</f>
        <v>2.3487319712785166</v>
      </c>
      <c r="S51" s="97">
        <f>IF(S9=0,0,(S9+S11)/(TrRoad_ene!S9+TrRoad_ene!S11))</f>
        <v>2.3487285208296975</v>
      </c>
      <c r="T51" s="97">
        <f>IF(T9=0,0,(T9+T11)/(TrRoad_ene!T9+TrRoad_ene!T11))</f>
        <v>2.3487293605061783</v>
      </c>
      <c r="U51" s="97">
        <f>IF(U9=0,0,(U9+U11)/(TrRoad_ene!U9+TrRoad_ene!U11))</f>
        <v>2.3487363093481322</v>
      </c>
      <c r="V51" s="97">
        <f>IF(V9=0,0,(V9+V11)/(TrRoad_ene!V9+TrRoad_ene!V11))</f>
        <v>2.3487221113526058</v>
      </c>
      <c r="W51" s="97">
        <f>IF(W9=0,0,(W9+W11)/(TrRoad_ene!W9+TrRoad_ene!W11))</f>
        <v>2.3487299701691318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238.17644060105783</v>
      </c>
      <c r="C54" s="62">
        <f>IF(TrRoad_act!C30=0,0,C17/TrRoad_act!C30*1000
)</f>
        <v>236.37315644250447</v>
      </c>
      <c r="D54" s="62">
        <f>IF(TrRoad_act!D30=0,0,D17/TrRoad_act!D30*1000
)</f>
        <v>238.53917858192466</v>
      </c>
      <c r="E54" s="62">
        <f>IF(TrRoad_act!E30=0,0,E17/TrRoad_act!E30*1000
)</f>
        <v>235.60414797221804</v>
      </c>
      <c r="F54" s="62">
        <f>IF(TrRoad_act!F30=0,0,F17/TrRoad_act!F30*1000
)</f>
        <v>235.23096220764768</v>
      </c>
      <c r="G54" s="62">
        <f>IF(TrRoad_act!G30=0,0,G17/TrRoad_act!G30*1000
)</f>
        <v>241.09386640282176</v>
      </c>
      <c r="H54" s="62">
        <f>IF(TrRoad_act!H30=0,0,H17/TrRoad_act!H30*1000
)</f>
        <v>249.08934099406284</v>
      </c>
      <c r="I54" s="62">
        <f>IF(TrRoad_act!I30=0,0,I17/TrRoad_act!I30*1000
)</f>
        <v>248.80155248634225</v>
      </c>
      <c r="J54" s="62">
        <f>IF(TrRoad_act!J30=0,0,J17/TrRoad_act!J30*1000
)</f>
        <v>233.90009782518393</v>
      </c>
      <c r="K54" s="62">
        <f>IF(TrRoad_act!K30=0,0,K17/TrRoad_act!K30*1000
)</f>
        <v>214.35926420219491</v>
      </c>
      <c r="L54" s="62">
        <f>IF(TrRoad_act!L30=0,0,L17/TrRoad_act!L30*1000
)</f>
        <v>210.58499032584754</v>
      </c>
      <c r="M54" s="62">
        <f>IF(TrRoad_act!M30=0,0,M17/TrRoad_act!M30*1000
)</f>
        <v>211.72186458442053</v>
      </c>
      <c r="N54" s="62">
        <f>IF(TrRoad_act!N30=0,0,N17/TrRoad_act!N30*1000
)</f>
        <v>210.84899966686862</v>
      </c>
      <c r="O54" s="62">
        <f>IF(TrRoad_act!O30=0,0,O17/TrRoad_act!O30*1000
)</f>
        <v>208.4933746758839</v>
      </c>
      <c r="P54" s="62">
        <f>IF(TrRoad_act!P30=0,0,P17/TrRoad_act!P30*1000
)</f>
        <v>205.85422842099626</v>
      </c>
      <c r="Q54" s="62">
        <f>IF(TrRoad_act!Q30=0,0,Q17/TrRoad_act!Q30*1000
)</f>
        <v>205.31178385156369</v>
      </c>
      <c r="R54" s="62">
        <f>IF(TrRoad_act!R30=0,0,R17/TrRoad_act!R30*1000
)</f>
        <v>199.31487713540542</v>
      </c>
      <c r="S54" s="62">
        <f>IF(TrRoad_act!S30=0,0,S17/TrRoad_act!S30*1000
)</f>
        <v>186.69344803233992</v>
      </c>
      <c r="T54" s="62">
        <f>IF(TrRoad_act!T30=0,0,T17/TrRoad_act!T30*1000
)</f>
        <v>198.41821460370119</v>
      </c>
      <c r="U54" s="62">
        <f>IF(TrRoad_act!U30=0,0,U17/TrRoad_act!U30*1000
)</f>
        <v>198.12028781427458</v>
      </c>
      <c r="V54" s="62">
        <f>IF(TrRoad_act!V30=0,0,V17/TrRoad_act!V30*1000
)</f>
        <v>194.29853060586655</v>
      </c>
      <c r="W54" s="62">
        <f>IF(TrRoad_act!W30=0,0,W17/TrRoad_act!W30*1000
)</f>
        <v>227.04846221909332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203.73836441566289</v>
      </c>
      <c r="C55" s="29">
        <f>IF(TrRoad_act!C31=0,0,C18/TrRoad_act!C31*1000
)</f>
        <v>196.76506715445262</v>
      </c>
      <c r="D55" s="29">
        <f>IF(TrRoad_act!D31=0,0,D18/TrRoad_act!D31*1000
)</f>
        <v>201.19839699497848</v>
      </c>
      <c r="E55" s="29">
        <f>IF(TrRoad_act!E31=0,0,E18/TrRoad_act!E31*1000
)</f>
        <v>199.22124862143366</v>
      </c>
      <c r="F55" s="29">
        <f>IF(TrRoad_act!F31=0,0,F18/TrRoad_act!F31*1000
)</f>
        <v>199.70121999938877</v>
      </c>
      <c r="G55" s="29">
        <f>IF(TrRoad_act!G31=0,0,G18/TrRoad_act!G31*1000
)</f>
        <v>205.0610447811539</v>
      </c>
      <c r="H55" s="29">
        <f>IF(TrRoad_act!H31=0,0,H18/TrRoad_act!H31*1000
)</f>
        <v>210.71792288200118</v>
      </c>
      <c r="I55" s="29">
        <f>IF(TrRoad_act!I31=0,0,I18/TrRoad_act!I31*1000
)</f>
        <v>211.68281703890293</v>
      </c>
      <c r="J55" s="29">
        <f>IF(TrRoad_act!J31=0,0,J18/TrRoad_act!J31*1000
)</f>
        <v>204.79857708858736</v>
      </c>
      <c r="K55" s="29">
        <f>IF(TrRoad_act!K31=0,0,K18/TrRoad_act!K31*1000
)</f>
        <v>188.62821898628127</v>
      </c>
      <c r="L55" s="29">
        <f>IF(TrRoad_act!L31=0,0,L18/TrRoad_act!L31*1000
)</f>
        <v>189.35247176182241</v>
      </c>
      <c r="M55" s="29">
        <f>IF(TrRoad_act!M31=0,0,M18/TrRoad_act!M31*1000
)</f>
        <v>187.96074985313166</v>
      </c>
      <c r="N55" s="29">
        <f>IF(TrRoad_act!N31=0,0,N18/TrRoad_act!N31*1000
)</f>
        <v>182.53700231917534</v>
      </c>
      <c r="O55" s="29">
        <f>IF(TrRoad_act!O31=0,0,O18/TrRoad_act!O31*1000
)</f>
        <v>186.49460441777202</v>
      </c>
      <c r="P55" s="29">
        <f>IF(TrRoad_act!P31=0,0,P18/TrRoad_act!P31*1000
)</f>
        <v>186.58229464442519</v>
      </c>
      <c r="Q55" s="29">
        <f>IF(TrRoad_act!Q31=0,0,Q18/TrRoad_act!Q31*1000
)</f>
        <v>186.16920454962738</v>
      </c>
      <c r="R55" s="29">
        <f>IF(TrRoad_act!R31=0,0,R18/TrRoad_act!R31*1000
)</f>
        <v>179.95636310000521</v>
      </c>
      <c r="S55" s="29">
        <f>IF(TrRoad_act!S31=0,0,S18/TrRoad_act!S31*1000
)</f>
        <v>173.96976013724219</v>
      </c>
      <c r="T55" s="29">
        <f>IF(TrRoad_act!T31=0,0,T18/TrRoad_act!T31*1000
)</f>
        <v>179.20913468739263</v>
      </c>
      <c r="U55" s="29">
        <f>IF(TrRoad_act!U31=0,0,U18/TrRoad_act!U31*1000
)</f>
        <v>178.25562703982345</v>
      </c>
      <c r="V55" s="29">
        <f>IF(TrRoad_act!V31=0,0,V18/TrRoad_act!V31*1000
)</f>
        <v>173.95951968745408</v>
      </c>
      <c r="W55" s="29">
        <f>IF(TrRoad_act!W31=0,0,W18/TrRoad_act!W31*1000
)</f>
        <v>199.54800214963132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116.29751050557566</v>
      </c>
      <c r="C56" s="152">
        <f>IF(TrRoad_act!C32=0,0,C19/TrRoad_act!C32*1000
)</f>
        <v>114.56640111857946</v>
      </c>
      <c r="D56" s="152">
        <f>IF(TrRoad_act!D32=0,0,D19/TrRoad_act!D32*1000
)</f>
        <v>113.17800349915871</v>
      </c>
      <c r="E56" s="152">
        <f>IF(TrRoad_act!E32=0,0,E19/TrRoad_act!E32*1000
)</f>
        <v>111.60834946802485</v>
      </c>
      <c r="F56" s="152">
        <f>IF(TrRoad_act!F32=0,0,F19/TrRoad_act!F32*1000
)</f>
        <v>110.33458755475188</v>
      </c>
      <c r="G56" s="152">
        <f>IF(TrRoad_act!G32=0,0,G19/TrRoad_act!G32*1000
)</f>
        <v>109.09603751619053</v>
      </c>
      <c r="H56" s="152">
        <f>IF(TrRoad_act!H32=0,0,H19/TrRoad_act!H32*1000
)</f>
        <v>107.64463011134752</v>
      </c>
      <c r="I56" s="152">
        <f>IF(TrRoad_act!I32=0,0,I19/TrRoad_act!I32*1000
)</f>
        <v>106.00852486811733</v>
      </c>
      <c r="J56" s="152">
        <f>IF(TrRoad_act!J32=0,0,J19/TrRoad_act!J32*1000
)</f>
        <v>103.68037855727211</v>
      </c>
      <c r="K56" s="152">
        <f>IF(TrRoad_act!K32=0,0,K19/TrRoad_act!K32*1000
)</f>
        <v>101.27760547905743</v>
      </c>
      <c r="L56" s="152">
        <f>IF(TrRoad_act!L32=0,0,L19/TrRoad_act!L32*1000
)</f>
        <v>99.687370660042845</v>
      </c>
      <c r="M56" s="152">
        <f>IF(TrRoad_act!M32=0,0,M19/TrRoad_act!M32*1000
)</f>
        <v>98.369638769532898</v>
      </c>
      <c r="N56" s="152">
        <f>IF(TrRoad_act!N32=0,0,N19/TrRoad_act!N32*1000
)</f>
        <v>96.131215669503632</v>
      </c>
      <c r="O56" s="152">
        <f>IF(TrRoad_act!O32=0,0,O19/TrRoad_act!O32*1000
)</f>
        <v>95.646579162717089</v>
      </c>
      <c r="P56" s="152">
        <f>IF(TrRoad_act!P32=0,0,P19/TrRoad_act!P32*1000
)</f>
        <v>94.564149259390476</v>
      </c>
      <c r="Q56" s="152">
        <f>IF(TrRoad_act!Q32=0,0,Q19/TrRoad_act!Q32*1000
)</f>
        <v>93.904589534306353</v>
      </c>
      <c r="R56" s="152">
        <f>IF(TrRoad_act!R32=0,0,R19/TrRoad_act!R32*1000
)</f>
        <v>93.011438343865819</v>
      </c>
      <c r="S56" s="152">
        <f>IF(TrRoad_act!S32=0,0,S19/TrRoad_act!S32*1000
)</f>
        <v>92.581725435115004</v>
      </c>
      <c r="T56" s="152">
        <f>IF(TrRoad_act!T32=0,0,T19/TrRoad_act!T32*1000
)</f>
        <v>92.17022391121516</v>
      </c>
      <c r="U56" s="152">
        <f>IF(TrRoad_act!U32=0,0,U19/TrRoad_act!U32*1000
)</f>
        <v>91.786646288696673</v>
      </c>
      <c r="V56" s="152">
        <f>IF(TrRoad_act!V32=0,0,V19/TrRoad_act!V32*1000
)</f>
        <v>91.554943940057044</v>
      </c>
      <c r="W56" s="152">
        <f>IF(TrRoad_act!W32=0,0,W19/TrRoad_act!W32*1000
)</f>
        <v>86.728046059407362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196.10673485662477</v>
      </c>
      <c r="C57" s="116">
        <f>IF(TrRoad_act!C33=0,0,C20/TrRoad_act!C33*1000
)</f>
        <v>189.05367965140937</v>
      </c>
      <c r="D57" s="116">
        <f>IF(TrRoad_act!D33=0,0,D20/TrRoad_act!D33*1000
)</f>
        <v>194.01946737138618</v>
      </c>
      <c r="E57" s="116">
        <f>IF(TrRoad_act!E33=0,0,E20/TrRoad_act!E33*1000
)</f>
        <v>192.2369133876802</v>
      </c>
      <c r="F57" s="116">
        <f>IF(TrRoad_act!F33=0,0,F20/TrRoad_act!F33*1000
)</f>
        <v>193.37871047479351</v>
      </c>
      <c r="G57" s="116">
        <f>IF(TrRoad_act!G33=0,0,G20/TrRoad_act!G33*1000
)</f>
        <v>199.08600097920683</v>
      </c>
      <c r="H57" s="116">
        <f>IF(TrRoad_act!H33=0,0,H20/TrRoad_act!H33*1000
)</f>
        <v>204.92808499044409</v>
      </c>
      <c r="I57" s="116">
        <f>IF(TrRoad_act!I33=0,0,I20/TrRoad_act!I33*1000
)</f>
        <v>205.01260825122861</v>
      </c>
      <c r="J57" s="116">
        <f>IF(TrRoad_act!J33=0,0,J20/TrRoad_act!J33*1000
)</f>
        <v>198.43076462659195</v>
      </c>
      <c r="K57" s="116">
        <f>IF(TrRoad_act!K33=0,0,K20/TrRoad_act!K33*1000
)</f>
        <v>181.04628263295857</v>
      </c>
      <c r="L57" s="116">
        <f>IF(TrRoad_act!L33=0,0,L20/TrRoad_act!L33*1000
)</f>
        <v>181.89709488326977</v>
      </c>
      <c r="M57" s="116">
        <f>IF(TrRoad_act!M33=0,0,M20/TrRoad_act!M33*1000
)</f>
        <v>180.18247500991257</v>
      </c>
      <c r="N57" s="116">
        <f>IF(TrRoad_act!N33=0,0,N20/TrRoad_act!N33*1000
)</f>
        <v>174.46676111497112</v>
      </c>
      <c r="O57" s="116">
        <f>IF(TrRoad_act!O33=0,0,O20/TrRoad_act!O33*1000
)</f>
        <v>178.693698257233</v>
      </c>
      <c r="P57" s="116">
        <f>IF(TrRoad_act!P33=0,0,P20/TrRoad_act!P33*1000
)</f>
        <v>179.35100164992772</v>
      </c>
      <c r="Q57" s="116">
        <f>IF(TrRoad_act!Q33=0,0,Q20/TrRoad_act!Q33*1000
)</f>
        <v>178.62143878687277</v>
      </c>
      <c r="R57" s="116">
        <f>IF(TrRoad_act!R33=0,0,R20/TrRoad_act!R33*1000
)</f>
        <v>172.15628612259988</v>
      </c>
      <c r="S57" s="116">
        <f>IF(TrRoad_act!S33=0,0,S20/TrRoad_act!S33*1000
)</f>
        <v>165.41982980718217</v>
      </c>
      <c r="T57" s="116">
        <f>IF(TrRoad_act!T33=0,0,T20/TrRoad_act!T33*1000
)</f>
        <v>170.49679771655804</v>
      </c>
      <c r="U57" s="116">
        <f>IF(TrRoad_act!U33=0,0,U20/TrRoad_act!U33*1000
)</f>
        <v>169.65902526879279</v>
      </c>
      <c r="V57" s="116">
        <f>IF(TrRoad_act!V33=0,0,V20/TrRoad_act!V33*1000
)</f>
        <v>162.23432761589629</v>
      </c>
      <c r="W57" s="116">
        <f>IF(TrRoad_act!W33=0,0,W20/TrRoad_act!W33*1000
)</f>
        <v>190.84362273193025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188.90721563963274</v>
      </c>
      <c r="C58" s="87">
        <f>IF(TrRoad_act!C34=0,0,C21/TrRoad_act!C34*1000
)</f>
        <v>184.14083154275056</v>
      </c>
      <c r="D58" s="87">
        <f>IF(TrRoad_act!D34=0,0,D21/TrRoad_act!D34*1000
)</f>
        <v>189.99255620398313</v>
      </c>
      <c r="E58" s="87">
        <f>IF(TrRoad_act!E34=0,0,E21/TrRoad_act!E34*1000
)</f>
        <v>187.94391748472208</v>
      </c>
      <c r="F58" s="87">
        <f>IF(TrRoad_act!F34=0,0,F21/TrRoad_act!F34*1000
)</f>
        <v>194.11035621070232</v>
      </c>
      <c r="G58" s="87">
        <f>IF(TrRoad_act!G34=0,0,G21/TrRoad_act!G34*1000
)</f>
        <v>202.40428453238013</v>
      </c>
      <c r="H58" s="87">
        <f>IF(TrRoad_act!H34=0,0,H21/TrRoad_act!H34*1000
)</f>
        <v>221.58363356774723</v>
      </c>
      <c r="I58" s="87">
        <f>IF(TrRoad_act!I34=0,0,I21/TrRoad_act!I34*1000
)</f>
        <v>216.41076908433888</v>
      </c>
      <c r="J58" s="87">
        <f>IF(TrRoad_act!J34=0,0,J21/TrRoad_act!J34*1000
)</f>
        <v>197.4510641971147</v>
      </c>
      <c r="K58" s="87">
        <f>IF(TrRoad_act!K34=0,0,K21/TrRoad_act!K34*1000
)</f>
        <v>175.75036275474335</v>
      </c>
      <c r="L58" s="87">
        <f>IF(TrRoad_act!L34=0,0,L21/TrRoad_act!L34*1000
)</f>
        <v>170.71967747306428</v>
      </c>
      <c r="M58" s="87">
        <f>IF(TrRoad_act!M34=0,0,M21/TrRoad_act!M34*1000
)</f>
        <v>167.82975890196747</v>
      </c>
      <c r="N58" s="87">
        <f>IF(TrRoad_act!N34=0,0,N21/TrRoad_act!N34*1000
)</f>
        <v>167.32157393737478</v>
      </c>
      <c r="O58" s="87">
        <f>IF(TrRoad_act!O34=0,0,O21/TrRoad_act!O34*1000
)</f>
        <v>167.40727945223577</v>
      </c>
      <c r="P58" s="87">
        <f>IF(TrRoad_act!P34=0,0,P21/TrRoad_act!P34*1000
)</f>
        <v>167.47430106607473</v>
      </c>
      <c r="Q58" s="87">
        <f>IF(TrRoad_act!Q34=0,0,Q21/TrRoad_act!Q34*1000
)</f>
        <v>167.43961815026464</v>
      </c>
      <c r="R58" s="87">
        <f>IF(TrRoad_act!R34=0,0,R21/TrRoad_act!R34*1000
)</f>
        <v>156.96371948715014</v>
      </c>
      <c r="S58" s="87">
        <f>IF(TrRoad_act!S34=0,0,S21/TrRoad_act!S34*1000
)</f>
        <v>155.67431942163827</v>
      </c>
      <c r="T58" s="87">
        <f>IF(TrRoad_act!T34=0,0,T21/TrRoad_act!T34*1000
)</f>
        <v>173.46952669516517</v>
      </c>
      <c r="U58" s="87">
        <f>IF(TrRoad_act!U34=0,0,U21/TrRoad_act!U34*1000
)</f>
        <v>171.73703658235249</v>
      </c>
      <c r="V58" s="87">
        <f>IF(TrRoad_act!V34=0,0,V21/TrRoad_act!V34*1000
)</f>
        <v>169.91974665926236</v>
      </c>
      <c r="W58" s="87">
        <f>IF(TrRoad_act!W34=0,0,W21/TrRoad_act!W34*1000
)</f>
        <v>208.54377124621763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221.87867869433381</v>
      </c>
      <c r="C59" s="87">
        <f>IF(TrRoad_act!C35=0,0,C22/TrRoad_act!C35*1000
)</f>
        <v>203.30780788631515</v>
      </c>
      <c r="D59" s="87">
        <f>IF(TrRoad_act!D35=0,0,D22/TrRoad_act!D35*1000
)</f>
        <v>204.79365500576279</v>
      </c>
      <c r="E59" s="87">
        <f>IF(TrRoad_act!E35=0,0,E22/TrRoad_act!E35*1000
)</f>
        <v>202.14991934636896</v>
      </c>
      <c r="F59" s="87">
        <f>IF(TrRoad_act!F35=0,0,F22/TrRoad_act!F35*1000
)</f>
        <v>196.03931023835455</v>
      </c>
      <c r="G59" s="87">
        <f>IF(TrRoad_act!G35=0,0,G22/TrRoad_act!G35*1000
)</f>
        <v>200.22596473663381</v>
      </c>
      <c r="H59" s="87">
        <f>IF(TrRoad_act!H35=0,0,H22/TrRoad_act!H35*1000
)</f>
        <v>195.96259338537624</v>
      </c>
      <c r="I59" s="87">
        <f>IF(TrRoad_act!I35=0,0,I22/TrRoad_act!I35*1000
)</f>
        <v>201.45291192813397</v>
      </c>
      <c r="J59" s="87">
        <f>IF(TrRoad_act!J35=0,0,J22/TrRoad_act!J35*1000
)</f>
        <v>201.58972286839119</v>
      </c>
      <c r="K59" s="87">
        <f>IF(TrRoad_act!K35=0,0,K22/TrRoad_act!K35*1000
)</f>
        <v>187.99353562036805</v>
      </c>
      <c r="L59" s="87">
        <f>IF(TrRoad_act!L35=0,0,L22/TrRoad_act!L35*1000
)</f>
        <v>193.7341548351115</v>
      </c>
      <c r="M59" s="87">
        <f>IF(TrRoad_act!M35=0,0,M22/TrRoad_act!M35*1000
)</f>
        <v>191.70024350552075</v>
      </c>
      <c r="N59" s="87">
        <f>IF(TrRoad_act!N35=0,0,N22/TrRoad_act!N35*1000
)</f>
        <v>180.34360067606758</v>
      </c>
      <c r="O59" s="87">
        <f>IF(TrRoad_act!O35=0,0,O22/TrRoad_act!O35*1000
)</f>
        <v>187.90530890151879</v>
      </c>
      <c r="P59" s="87">
        <f>IF(TrRoad_act!P35=0,0,P22/TrRoad_act!P35*1000
)</f>
        <v>188.76891418014807</v>
      </c>
      <c r="Q59" s="87">
        <f>IF(TrRoad_act!Q35=0,0,Q22/TrRoad_act!Q35*1000
)</f>
        <v>187.97354442108843</v>
      </c>
      <c r="R59" s="87">
        <f>IF(TrRoad_act!R35=0,0,R22/TrRoad_act!R35*1000
)</f>
        <v>183.17451859977413</v>
      </c>
      <c r="S59" s="87">
        <f>IF(TrRoad_act!S35=0,0,S22/TrRoad_act!S35*1000
)</f>
        <v>173.22021343192932</v>
      </c>
      <c r="T59" s="87">
        <f>IF(TrRoad_act!T35=0,0,T22/TrRoad_act!T35*1000
)</f>
        <v>173.64703573068343</v>
      </c>
      <c r="U59" s="87">
        <f>IF(TrRoad_act!U35=0,0,U22/TrRoad_act!U35*1000
)</f>
        <v>173.05245247637123</v>
      </c>
      <c r="V59" s="87">
        <f>IF(TrRoad_act!V35=0,0,V22/TrRoad_act!V35*1000
)</f>
        <v>162.25061112239996</v>
      </c>
      <c r="W59" s="87">
        <f>IF(TrRoad_act!W35=0,0,W22/TrRoad_act!W35*1000
)</f>
        <v>192.17773354448406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181.13873578591776</v>
      </c>
      <c r="C60" s="87">
        <f>IF(TrRoad_act!C36=0,0,C23/TrRoad_act!C36*1000
)</f>
        <v>181.59788492967272</v>
      </c>
      <c r="D60" s="87">
        <f>IF(TrRoad_act!D36=0,0,D23/TrRoad_act!D36*1000
)</f>
        <v>182.06813845183325</v>
      </c>
      <c r="E60" s="87">
        <f>IF(TrRoad_act!E36=0,0,E23/TrRoad_act!E36*1000
)</f>
        <v>180.29160359881698</v>
      </c>
      <c r="F60" s="87">
        <f>IF(TrRoad_act!F36=0,0,F23/TrRoad_act!F36*1000
)</f>
        <v>166.24092653261513</v>
      </c>
      <c r="G60" s="87">
        <f>IF(TrRoad_act!G36=0,0,G23/TrRoad_act!G36*1000
)</f>
        <v>159.12007273168174</v>
      </c>
      <c r="H60" s="87">
        <f>IF(TrRoad_act!H36=0,0,H23/TrRoad_act!H36*1000
)</f>
        <v>153.05716217786292</v>
      </c>
      <c r="I60" s="87">
        <f>IF(TrRoad_act!I36=0,0,I23/TrRoad_act!I36*1000
)</f>
        <v>150.06786283938385</v>
      </c>
      <c r="J60" s="87">
        <f>IF(TrRoad_act!J36=0,0,J23/TrRoad_act!J36*1000
)</f>
        <v>175.23513152288402</v>
      </c>
      <c r="K60" s="87">
        <f>IF(TrRoad_act!K36=0,0,K23/TrRoad_act!K36*1000
)</f>
        <v>163.81221877205957</v>
      </c>
      <c r="L60" s="87">
        <f>IF(TrRoad_act!L36=0,0,L23/TrRoad_act!L36*1000
)</f>
        <v>162.18534721977883</v>
      </c>
      <c r="M60" s="87">
        <f>IF(TrRoad_act!M36=0,0,M23/TrRoad_act!M36*1000
)</f>
        <v>170.87068968461833</v>
      </c>
      <c r="N60" s="87">
        <f>IF(TrRoad_act!N36=0,0,N23/TrRoad_act!N36*1000
)</f>
        <v>169.81574835621282</v>
      </c>
      <c r="O60" s="87">
        <f>IF(TrRoad_act!O36=0,0,O23/TrRoad_act!O36*1000
)</f>
        <v>169.77288682296845</v>
      </c>
      <c r="P60" s="87">
        <f>IF(TrRoad_act!P36=0,0,P23/TrRoad_act!P36*1000
)</f>
        <v>168.35089606103841</v>
      </c>
      <c r="Q60" s="87">
        <f>IF(TrRoad_act!Q36=0,0,Q23/TrRoad_act!Q36*1000
)</f>
        <v>162.90824325716534</v>
      </c>
      <c r="R60" s="87">
        <f>IF(TrRoad_act!R36=0,0,R23/TrRoad_act!R36*1000
)</f>
        <v>155.93461290890158</v>
      </c>
      <c r="S60" s="87">
        <f>IF(TrRoad_act!S36=0,0,S23/TrRoad_act!S36*1000
)</f>
        <v>154.99474622809544</v>
      </c>
      <c r="T60" s="87">
        <f>IF(TrRoad_act!T36=0,0,T23/TrRoad_act!T36*1000
)</f>
        <v>149.43014153153473</v>
      </c>
      <c r="U60" s="87">
        <f>IF(TrRoad_act!U36=0,0,U23/TrRoad_act!U36*1000
)</f>
        <v>147.18243425242721</v>
      </c>
      <c r="V60" s="87">
        <f>IF(TrRoad_act!V36=0,0,V23/TrRoad_act!V36*1000
)</f>
        <v>146.09210276250059</v>
      </c>
      <c r="W60" s="87">
        <f>IF(TrRoad_act!W36=0,0,W23/TrRoad_act!W36*1000
)</f>
        <v>151.57342070627095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189.67302765345295</v>
      </c>
      <c r="C61" s="87">
        <f>IF(TrRoad_act!C37=0,0,C24/TrRoad_act!C37*1000
)</f>
        <v>185.61044205817166</v>
      </c>
      <c r="D61" s="87">
        <f>IF(TrRoad_act!D37=0,0,D24/TrRoad_act!D37*1000
)</f>
        <v>183.00377582047363</v>
      </c>
      <c r="E61" s="87">
        <f>IF(TrRoad_act!E37=0,0,E24/TrRoad_act!E37*1000
)</f>
        <v>183.08864217903459</v>
      </c>
      <c r="F61" s="87">
        <f>IF(TrRoad_act!F37=0,0,F24/TrRoad_act!F37*1000
)</f>
        <v>187.51290408204869</v>
      </c>
      <c r="G61" s="87">
        <f>IF(TrRoad_act!G37=0,0,G24/TrRoad_act!G37*1000
)</f>
        <v>194.43549299889168</v>
      </c>
      <c r="H61" s="87">
        <f>IF(TrRoad_act!H37=0,0,H24/TrRoad_act!H37*1000
)</f>
        <v>198.92836339714711</v>
      </c>
      <c r="I61" s="87">
        <f>IF(TrRoad_act!I37=0,0,I24/TrRoad_act!I37*1000
)</f>
        <v>194.70914243735643</v>
      </c>
      <c r="J61" s="87">
        <f>IF(TrRoad_act!J37=0,0,J24/TrRoad_act!J37*1000
)</f>
        <v>189.96069591414516</v>
      </c>
      <c r="K61" s="87">
        <f>IF(TrRoad_act!K37=0,0,K24/TrRoad_act!K37*1000
)</f>
        <v>163.24874290284419</v>
      </c>
      <c r="L61" s="87">
        <f>IF(TrRoad_act!L37=0,0,L24/TrRoad_act!L37*1000
)</f>
        <v>179.75122646636848</v>
      </c>
      <c r="M61" s="87">
        <f>IF(TrRoad_act!M37=0,0,M24/TrRoad_act!M37*1000
)</f>
        <v>177.33054800996052</v>
      </c>
      <c r="N61" s="87">
        <f>IF(TrRoad_act!N37=0,0,N24/TrRoad_act!N37*1000
)</f>
        <v>174.35089365749468</v>
      </c>
      <c r="O61" s="87">
        <f>IF(TrRoad_act!O37=0,0,O24/TrRoad_act!O37*1000
)</f>
        <v>172.29802933596508</v>
      </c>
      <c r="P61" s="87">
        <f>IF(TrRoad_act!P37=0,0,P24/TrRoad_act!P37*1000
)</f>
        <v>164.50512777121452</v>
      </c>
      <c r="Q61" s="87">
        <f>IF(TrRoad_act!Q37=0,0,Q24/TrRoad_act!Q37*1000
)</f>
        <v>164.71333858724364</v>
      </c>
      <c r="R61" s="87">
        <f>IF(TrRoad_act!R37=0,0,R24/TrRoad_act!R37*1000
)</f>
        <v>159.41258704361695</v>
      </c>
      <c r="S61" s="87">
        <f>IF(TrRoad_act!S37=0,0,S24/TrRoad_act!S37*1000
)</f>
        <v>138.67924079011411</v>
      </c>
      <c r="T61" s="87">
        <f>IF(TrRoad_act!T37=0,0,T24/TrRoad_act!T37*1000
)</f>
        <v>142.15954388735247</v>
      </c>
      <c r="U61" s="87">
        <f>IF(TrRoad_act!U37=0,0,U24/TrRoad_act!U37*1000
)</f>
        <v>154.43847439927478</v>
      </c>
      <c r="V61" s="87">
        <f>IF(TrRoad_act!V37=0,0,V24/TrRoad_act!V37*1000
)</f>
        <v>152.50853782486288</v>
      </c>
      <c r="W61" s="87">
        <f>IF(TrRoad_act!W37=0,0,W24/TrRoad_act!W37*1000
)</f>
        <v>155.84561896538443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98.046380432911747</v>
      </c>
      <c r="O62" s="87">
        <f>IF(TrRoad_act!O38=0,0,O25/TrRoad_act!O38*1000
)</f>
        <v>111.92133454415769</v>
      </c>
      <c r="P62" s="87">
        <f>IF(TrRoad_act!P38=0,0,P25/TrRoad_act!P38*1000
)</f>
        <v>112.77777826241955</v>
      </c>
      <c r="Q62" s="87">
        <f>IF(TrRoad_act!Q38=0,0,Q25/TrRoad_act!Q38*1000
)</f>
        <v>113.16684855850477</v>
      </c>
      <c r="R62" s="87">
        <f>IF(TrRoad_act!R38=0,0,R25/TrRoad_act!R38*1000
)</f>
        <v>104.67810939368272</v>
      </c>
      <c r="S62" s="87">
        <f>IF(TrRoad_act!S38=0,0,S25/TrRoad_act!S38*1000
)</f>
        <v>103.73768326115776</v>
      </c>
      <c r="T62" s="87">
        <f>IF(TrRoad_act!T38=0,0,T25/TrRoad_act!T38*1000
)</f>
        <v>112.45206391613918</v>
      </c>
      <c r="U62" s="87">
        <f>IF(TrRoad_act!U38=0,0,U25/TrRoad_act!U38*1000
)</f>
        <v>106.59589744564587</v>
      </c>
      <c r="V62" s="87">
        <f>IF(TrRoad_act!V38=0,0,V25/TrRoad_act!V38*1000
)</f>
        <v>82.465881141407024</v>
      </c>
      <c r="W62" s="87">
        <f>IF(TrRoad_act!W38=0,0,W25/TrRoad_act!W38*1000
)</f>
        <v>83.067084920324902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1724.4303196381477</v>
      </c>
      <c r="C64" s="116">
        <f>IF(TrRoad_act!C40=0,0,C27/TrRoad_act!C40*1000
)</f>
        <v>1690.9040852412195</v>
      </c>
      <c r="D64" s="116">
        <f>IF(TrRoad_act!D40=0,0,D27/TrRoad_act!D40*1000
)</f>
        <v>1675.4174832724746</v>
      </c>
      <c r="E64" s="116">
        <f>IF(TrRoad_act!E40=0,0,E27/TrRoad_act!E40*1000
)</f>
        <v>1654.641688171605</v>
      </c>
      <c r="F64" s="116">
        <f>IF(TrRoad_act!F40=0,0,F27/TrRoad_act!F40*1000
)</f>
        <v>1625.401170728127</v>
      </c>
      <c r="G64" s="116">
        <f>IF(TrRoad_act!G40=0,0,G27/TrRoad_act!G40*1000
)</f>
        <v>1612.5286448528188</v>
      </c>
      <c r="H64" s="116">
        <f>IF(TrRoad_act!H40=0,0,H27/TrRoad_act!H40*1000
)</f>
        <v>1592.7812830117366</v>
      </c>
      <c r="I64" s="116">
        <f>IF(TrRoad_act!I40=0,0,I27/TrRoad_act!I40*1000
)</f>
        <v>1590.3394040848111</v>
      </c>
      <c r="J64" s="116">
        <f>IF(TrRoad_act!J40=0,0,J27/TrRoad_act!J40*1000
)</f>
        <v>1562.5962859101351</v>
      </c>
      <c r="K64" s="116">
        <f>IF(TrRoad_act!K40=0,0,K27/TrRoad_act!K40*1000
)</f>
        <v>1518.6715434855694</v>
      </c>
      <c r="L64" s="116">
        <f>IF(TrRoad_act!L40=0,0,L27/TrRoad_act!L40*1000
)</f>
        <v>1498.9332030367661</v>
      </c>
      <c r="M64" s="116">
        <f>IF(TrRoad_act!M40=0,0,M27/TrRoad_act!M40*1000
)</f>
        <v>1507.920703805901</v>
      </c>
      <c r="N64" s="116">
        <f>IF(TrRoad_act!N40=0,0,N27/TrRoad_act!N40*1000
)</f>
        <v>1513.9008144552447</v>
      </c>
      <c r="O64" s="116">
        <f>IF(TrRoad_act!O40=0,0,O27/TrRoad_act!O40*1000
)</f>
        <v>1514.9841118637185</v>
      </c>
      <c r="P64" s="116">
        <f>IF(TrRoad_act!P40=0,0,P27/TrRoad_act!P40*1000
)</f>
        <v>1528.3351808569973</v>
      </c>
      <c r="Q64" s="116">
        <f>IF(TrRoad_act!Q40=0,0,Q27/TrRoad_act!Q40*1000
)</f>
        <v>1540.8072337651695</v>
      </c>
      <c r="R64" s="116">
        <f>IF(TrRoad_act!R40=0,0,R27/TrRoad_act!R40*1000
)</f>
        <v>1548.2641711827171</v>
      </c>
      <c r="S64" s="116">
        <f>IF(TrRoad_act!S40=0,0,S27/TrRoad_act!S40*1000
)</f>
        <v>1546.734539333858</v>
      </c>
      <c r="T64" s="116">
        <f>IF(TrRoad_act!T40=0,0,T27/TrRoad_act!T40*1000
)</f>
        <v>1544.3325619753093</v>
      </c>
      <c r="U64" s="116">
        <f>IF(TrRoad_act!U40=0,0,U27/TrRoad_act!U40*1000
)</f>
        <v>1550.6799217091557</v>
      </c>
      <c r="V64" s="116">
        <f>IF(TrRoad_act!V40=0,0,V27/TrRoad_act!V40*1000
)</f>
        <v>1518.0265744723251</v>
      </c>
      <c r="W64" s="116">
        <f>IF(TrRoad_act!W40=0,0,W27/TrRoad_act!W40*1000
)</f>
        <v>1570.3472229878043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491.09439592283616</v>
      </c>
      <c r="C65" s="101">
        <f>IF(TrRoad_act!C41=0,0,C28/TrRoad_act!C41*1000
)</f>
        <v>491.09439592283616</v>
      </c>
      <c r="D65" s="101">
        <f>IF(TrRoad_act!D41=0,0,D28/TrRoad_act!D41*1000
)</f>
        <v>491.09439592283604</v>
      </c>
      <c r="E65" s="101">
        <f>IF(TrRoad_act!E41=0,0,E28/TrRoad_act!E41*1000
)</f>
        <v>491.0943959228361</v>
      </c>
      <c r="F65" s="101">
        <f>IF(TrRoad_act!F41=0,0,F28/TrRoad_act!F41*1000
)</f>
        <v>491.0943959228361</v>
      </c>
      <c r="G65" s="101">
        <f>IF(TrRoad_act!G41=0,0,G28/TrRoad_act!G41*1000
)</f>
        <v>491.09439592283604</v>
      </c>
      <c r="H65" s="101">
        <f>IF(TrRoad_act!H41=0,0,H28/TrRoad_act!H41*1000
)</f>
        <v>491.09439592283621</v>
      </c>
      <c r="I65" s="101">
        <f>IF(TrRoad_act!I41=0,0,I28/TrRoad_act!I41*1000
)</f>
        <v>489.0827310164313</v>
      </c>
      <c r="J65" s="101">
        <f>IF(TrRoad_act!J41=0,0,J28/TrRoad_act!J41*1000
)</f>
        <v>479.27123394441981</v>
      </c>
      <c r="K65" s="101">
        <f>IF(TrRoad_act!K41=0,0,K28/TrRoad_act!K41*1000
)</f>
        <v>472.62295677372543</v>
      </c>
      <c r="L65" s="101">
        <f>IF(TrRoad_act!L41=0,0,L28/TrRoad_act!L41*1000
)</f>
        <v>466.73758458195908</v>
      </c>
      <c r="M65" s="101">
        <f>IF(TrRoad_act!M41=0,0,M28/TrRoad_act!M41*1000
)</f>
        <v>463.84683954746748</v>
      </c>
      <c r="N65" s="101">
        <f>IF(TrRoad_act!N41=0,0,N28/TrRoad_act!N41*1000
)</f>
        <v>462.18906874599838</v>
      </c>
      <c r="O65" s="101">
        <f>IF(TrRoad_act!O41=0,0,O28/TrRoad_act!O41*1000
)</f>
        <v>410.5173915600941</v>
      </c>
      <c r="P65" s="101">
        <f>IF(TrRoad_act!P41=0,0,P28/TrRoad_act!P41*1000
)</f>
        <v>388.17244907359577</v>
      </c>
      <c r="Q65" s="101">
        <f>IF(TrRoad_act!Q41=0,0,Q28/TrRoad_act!Q41*1000
)</f>
        <v>385.0428078125712</v>
      </c>
      <c r="R65" s="101">
        <f>IF(TrRoad_act!R41=0,0,R28/TrRoad_act!R41*1000
)</f>
        <v>384.37495366733481</v>
      </c>
      <c r="S65" s="101">
        <f>IF(TrRoad_act!S41=0,0,S28/TrRoad_act!S41*1000
)</f>
        <v>382.76734139420915</v>
      </c>
      <c r="T65" s="101">
        <f>IF(TrRoad_act!T41=0,0,T28/TrRoad_act!T41*1000
)</f>
        <v>381.59120923188516</v>
      </c>
      <c r="U65" s="101">
        <f>IF(TrRoad_act!U41=0,0,U28/TrRoad_act!U41*1000
)</f>
        <v>371.25341638480853</v>
      </c>
      <c r="V65" s="101">
        <f>IF(TrRoad_act!V41=0,0,V28/TrRoad_act!V41*1000
)</f>
        <v>370.39939974170113</v>
      </c>
      <c r="W65" s="101">
        <f>IF(TrRoad_act!W41=0,0,W28/TrRoad_act!W41*1000
)</f>
        <v>369.48171186330239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1744.5458300573703</v>
      </c>
      <c r="C66" s="101">
        <f>IF(TrRoad_act!C42=0,0,C29/TrRoad_act!C42*1000
)</f>
        <v>1708.9701600175583</v>
      </c>
      <c r="D66" s="101">
        <f>IF(TrRoad_act!D42=0,0,D29/TrRoad_act!D42*1000
)</f>
        <v>1690.607341653759</v>
      </c>
      <c r="E66" s="101">
        <f>IF(TrRoad_act!E42=0,0,E29/TrRoad_act!E42*1000
)</f>
        <v>1676.1986750407279</v>
      </c>
      <c r="F66" s="101">
        <f>IF(TrRoad_act!F42=0,0,F29/TrRoad_act!F42*1000
)</f>
        <v>1646.305681710272</v>
      </c>
      <c r="G66" s="101">
        <f>IF(TrRoad_act!G42=0,0,G29/TrRoad_act!G42*1000
)</f>
        <v>1643.5072427355742</v>
      </c>
      <c r="H66" s="101">
        <f>IF(TrRoad_act!H42=0,0,H29/TrRoad_act!H42*1000
)</f>
        <v>1638.7412041279601</v>
      </c>
      <c r="I66" s="101">
        <f>IF(TrRoad_act!I42=0,0,I29/TrRoad_act!I42*1000
)</f>
        <v>1636.5555818466639</v>
      </c>
      <c r="J66" s="101">
        <f>IF(TrRoad_act!J42=0,0,J29/TrRoad_act!J42*1000
)</f>
        <v>1597.7902542965332</v>
      </c>
      <c r="K66" s="101">
        <f>IF(TrRoad_act!K42=0,0,K29/TrRoad_act!K42*1000
)</f>
        <v>1564.9858692475698</v>
      </c>
      <c r="L66" s="101">
        <f>IF(TrRoad_act!L42=0,0,L29/TrRoad_act!L42*1000
)</f>
        <v>1545.3471359927407</v>
      </c>
      <c r="M66" s="101">
        <f>IF(TrRoad_act!M42=0,0,M29/TrRoad_act!M42*1000
)</f>
        <v>1546.7498453905455</v>
      </c>
      <c r="N66" s="101">
        <f>IF(TrRoad_act!N42=0,0,N29/TrRoad_act!N42*1000
)</f>
        <v>1544.8685022947736</v>
      </c>
      <c r="O66" s="101">
        <f>IF(TrRoad_act!O42=0,0,O29/TrRoad_act!O42*1000
)</f>
        <v>1552.8306588241849</v>
      </c>
      <c r="P66" s="101">
        <f>IF(TrRoad_act!P42=0,0,P29/TrRoad_act!P42*1000
)</f>
        <v>1572.0284271325058</v>
      </c>
      <c r="Q66" s="101">
        <f>IF(TrRoad_act!Q42=0,0,Q29/TrRoad_act!Q42*1000
)</f>
        <v>1574.0163700817025</v>
      </c>
      <c r="R66" s="101">
        <f>IF(TrRoad_act!R42=0,0,R29/TrRoad_act!R42*1000
)</f>
        <v>1592.8491543325483</v>
      </c>
      <c r="S66" s="101">
        <f>IF(TrRoad_act!S42=0,0,S29/TrRoad_act!S42*1000
)</f>
        <v>1597.0247059734418</v>
      </c>
      <c r="T66" s="101">
        <f>IF(TrRoad_act!T42=0,0,T29/TrRoad_act!T42*1000
)</f>
        <v>1598.3712825950408</v>
      </c>
      <c r="U66" s="101">
        <f>IF(TrRoad_act!U42=0,0,U29/TrRoad_act!U42*1000
)</f>
        <v>1607.2527126364312</v>
      </c>
      <c r="V66" s="101">
        <f>IF(TrRoad_act!V42=0,0,V29/TrRoad_act!V42*1000
)</f>
        <v>1598.472739181206</v>
      </c>
      <c r="W66" s="101">
        <f>IF(TrRoad_act!W42=0,0,W29/TrRoad_act!W42*1000
)</f>
        <v>1617.339062214545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1244.3441090091496</v>
      </c>
      <c r="C67" s="101">
        <f>IF(TrRoad_act!C43=0,0,C30/TrRoad_act!C43*1000
)</f>
        <v>1226.1032374410154</v>
      </c>
      <c r="D67" s="101">
        <f>IF(TrRoad_act!D43=0,0,D30/TrRoad_act!D43*1000
)</f>
        <v>1225.3590586951773</v>
      </c>
      <c r="E67" s="101">
        <f>IF(TrRoad_act!E43=0,0,E30/TrRoad_act!E43*1000
)</f>
        <v>1207.3634245602157</v>
      </c>
      <c r="F67" s="101">
        <f>IF(TrRoad_act!F43=0,0,F30/TrRoad_act!F43*1000
)</f>
        <v>1179.5716715671103</v>
      </c>
      <c r="G67" s="101">
        <f>IF(TrRoad_act!G43=0,0,G30/TrRoad_act!G43*1000
)</f>
        <v>1170.3983865384926</v>
      </c>
      <c r="H67" s="101">
        <f>IF(TrRoad_act!H43=0,0,H30/TrRoad_act!H43*1000
)</f>
        <v>1169.2000546026154</v>
      </c>
      <c r="I67" s="101">
        <f>IF(TrRoad_act!I43=0,0,I30/TrRoad_act!I43*1000
)</f>
        <v>1168.1421137158245</v>
      </c>
      <c r="J67" s="101">
        <f>IF(TrRoad_act!J43=0,0,J30/TrRoad_act!J43*1000
)</f>
        <v>1169.0293162362589</v>
      </c>
      <c r="K67" s="101">
        <f>IF(TrRoad_act!K43=0,0,K30/TrRoad_act!K43*1000
)</f>
        <v>1169.3731080905443</v>
      </c>
      <c r="L67" s="101">
        <f>IF(TrRoad_act!L43=0,0,L30/TrRoad_act!L43*1000
)</f>
        <v>1169.4166810645754</v>
      </c>
      <c r="M67" s="101">
        <f>IF(TrRoad_act!M43=0,0,M30/TrRoad_act!M43*1000
)</f>
        <v>1168.3287528964986</v>
      </c>
      <c r="N67" s="101">
        <f>IF(TrRoad_act!N43=0,0,N30/TrRoad_act!N43*1000
)</f>
        <v>1167.6006956559831</v>
      </c>
      <c r="O67" s="101">
        <f>IF(TrRoad_act!O43=0,0,O30/TrRoad_act!O43*1000
)</f>
        <v>1167.0210685810664</v>
      </c>
      <c r="P67" s="101">
        <f>IF(TrRoad_act!P43=0,0,P30/TrRoad_act!P43*1000
)</f>
        <v>1166.5272185230083</v>
      </c>
      <c r="Q67" s="101">
        <f>IF(TrRoad_act!Q43=0,0,Q30/TrRoad_act!Q43*1000
)</f>
        <v>1165.9771940289395</v>
      </c>
      <c r="R67" s="101">
        <f>IF(TrRoad_act!R43=0,0,R30/TrRoad_act!R43*1000
)</f>
        <v>1165.5373039750939</v>
      </c>
      <c r="S67" s="101">
        <f>IF(TrRoad_act!S43=0,0,S30/TrRoad_act!S43*1000
)</f>
        <v>1165.0142219555271</v>
      </c>
      <c r="T67" s="101">
        <f>IF(TrRoad_act!T43=0,0,T30/TrRoad_act!T43*1000
)</f>
        <v>1181.6774262255165</v>
      </c>
      <c r="U67" s="101">
        <f>IF(TrRoad_act!U43=0,0,U30/TrRoad_act!U43*1000
)</f>
        <v>1182.0198297437646</v>
      </c>
      <c r="V67" s="101">
        <f>IF(TrRoad_act!V43=0,0,V30/TrRoad_act!V43*1000
)</f>
        <v>1184.5743821069595</v>
      </c>
      <c r="W67" s="101">
        <f>IF(TrRoad_act!W43=0,0,W30/TrRoad_act!W43*1000
)</f>
        <v>1185.7265119197248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97.802787795202093</v>
      </c>
      <c r="C68" s="101">
        <f>IF(TrRoad_act!C44=0,0,C31/TrRoad_act!C44*1000
)</f>
        <v>96.613069213465806</v>
      </c>
      <c r="D68" s="101">
        <f>IF(TrRoad_act!D44=0,0,D31/TrRoad_act!D44*1000
)</f>
        <v>96.56354284152664</v>
      </c>
      <c r="E68" s="101">
        <f>IF(TrRoad_act!E44=0,0,E31/TrRoad_act!E44*1000
)</f>
        <v>92.215775076459067</v>
      </c>
      <c r="F68" s="101">
        <f>IF(TrRoad_act!F44=0,0,F31/TrRoad_act!F44*1000
)</f>
        <v>91.782425897097056</v>
      </c>
      <c r="G68" s="101">
        <f>IF(TrRoad_act!G44=0,0,G31/TrRoad_act!G44*1000
)</f>
        <v>90.131522490213541</v>
      </c>
      <c r="H68" s="101">
        <f>IF(TrRoad_act!H44=0,0,H31/TrRoad_act!H44*1000
)</f>
        <v>89.836366390975584</v>
      </c>
      <c r="I68" s="101">
        <f>IF(TrRoad_act!I44=0,0,I31/TrRoad_act!I44*1000
)</f>
        <v>294.96217837438331</v>
      </c>
      <c r="J68" s="101">
        <f>IF(TrRoad_act!J44=0,0,J31/TrRoad_act!J44*1000
)</f>
        <v>656.17698128293864</v>
      </c>
      <c r="K68" s="101">
        <f>IF(TrRoad_act!K44=0,0,K31/TrRoad_act!K44*1000
)</f>
        <v>471.39505739397413</v>
      </c>
      <c r="L68" s="101">
        <f>IF(TrRoad_act!L44=0,0,L31/TrRoad_act!L44*1000
)</f>
        <v>497.12316792419864</v>
      </c>
      <c r="M68" s="101">
        <f>IF(TrRoad_act!M44=0,0,M31/TrRoad_act!M44*1000
)</f>
        <v>792.00660681303862</v>
      </c>
      <c r="N68" s="101">
        <f>IF(TrRoad_act!N44=0,0,N31/TrRoad_act!N44*1000
)</f>
        <v>993.87565034593706</v>
      </c>
      <c r="O68" s="101">
        <f>IF(TrRoad_act!O44=0,0,O31/TrRoad_act!O44*1000
)</f>
        <v>1059.2020669511494</v>
      </c>
      <c r="P68" s="101">
        <f>IF(TrRoad_act!P44=0,0,P31/TrRoad_act!P44*1000
)</f>
        <v>920.90021353698091</v>
      </c>
      <c r="Q68" s="101">
        <f>IF(TrRoad_act!Q44=0,0,Q31/TrRoad_act!Q44*1000
)</f>
        <v>1062.1369373512296</v>
      </c>
      <c r="R68" s="101">
        <f>IF(TrRoad_act!R44=0,0,R31/TrRoad_act!R44*1000
)</f>
        <v>711.39563594982496</v>
      </c>
      <c r="S68" s="101">
        <f>IF(TrRoad_act!S44=0,0,S31/TrRoad_act!S44*1000
)</f>
        <v>755.31507460249759</v>
      </c>
      <c r="T68" s="101">
        <f>IF(TrRoad_act!T44=0,0,T31/TrRoad_act!T44*1000
)</f>
        <v>748.21169504306192</v>
      </c>
      <c r="U68" s="101">
        <f>IF(TrRoad_act!U44=0,0,U31/TrRoad_act!U44*1000
)</f>
        <v>811.89889204286737</v>
      </c>
      <c r="V68" s="101">
        <f>IF(TrRoad_act!V44=0,0,V31/TrRoad_act!V44*1000
)</f>
        <v>405.67076282026267</v>
      </c>
      <c r="W68" s="101">
        <f>IF(TrRoad_act!W44=0,0,W31/TrRoad_act!W44*1000
)</f>
        <v>1129.0687175732414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429.51310221617314</v>
      </c>
      <c r="C70" s="29">
        <f>IF(TrRoad_act!C46=0,0,C33/TrRoad_act!C46*1000
)</f>
        <v>476.97574146893828</v>
      </c>
      <c r="D70" s="29">
        <f>IF(TrRoad_act!D46=0,0,D33/TrRoad_act!D46*1000
)</f>
        <v>458.13695803914391</v>
      </c>
      <c r="E70" s="29">
        <f>IF(TrRoad_act!E46=0,0,E33/TrRoad_act!E46*1000
)</f>
        <v>435.27413972146218</v>
      </c>
      <c r="F70" s="29">
        <f>IF(TrRoad_act!F46=0,0,F33/TrRoad_act!F46*1000
)</f>
        <v>414.38689761906005</v>
      </c>
      <c r="G70" s="29">
        <f>IF(TrRoad_act!G46=0,0,G33/TrRoad_act!G46*1000
)</f>
        <v>397.01209707136127</v>
      </c>
      <c r="H70" s="29">
        <f>IF(TrRoad_act!H46=0,0,H33/TrRoad_act!H46*1000
)</f>
        <v>435.55996016532464</v>
      </c>
      <c r="I70" s="29">
        <f>IF(TrRoad_act!I46=0,0,I33/TrRoad_act!I46*1000
)</f>
        <v>415.49044536251222</v>
      </c>
      <c r="J70" s="29">
        <f>IF(TrRoad_act!J46=0,0,J33/TrRoad_act!J46*1000
)</f>
        <v>365.83582528294693</v>
      </c>
      <c r="K70" s="29">
        <f>IF(TrRoad_act!K46=0,0,K33/TrRoad_act!K46*1000
)</f>
        <v>338.50184224210028</v>
      </c>
      <c r="L70" s="29">
        <f>IF(TrRoad_act!L46=0,0,L33/TrRoad_act!L46*1000
)</f>
        <v>302.93711535100255</v>
      </c>
      <c r="M70" s="29">
        <f>IF(TrRoad_act!M46=0,0,M33/TrRoad_act!M46*1000
)</f>
        <v>312.26881744181117</v>
      </c>
      <c r="N70" s="29">
        <f>IF(TrRoad_act!N46=0,0,N33/TrRoad_act!N46*1000
)</f>
        <v>340.16781128058881</v>
      </c>
      <c r="O70" s="29">
        <f>IF(TrRoad_act!O46=0,0,O33/TrRoad_act!O46*1000
)</f>
        <v>320.80427866933644</v>
      </c>
      <c r="P70" s="29">
        <f>IF(TrRoad_act!P46=0,0,P33/TrRoad_act!P46*1000
)</f>
        <v>308.21957007669801</v>
      </c>
      <c r="Q70" s="29">
        <f>IF(TrRoad_act!Q46=0,0,Q33/TrRoad_act!Q46*1000
)</f>
        <v>327.83182911339446</v>
      </c>
      <c r="R70" s="29">
        <f>IF(TrRoad_act!R46=0,0,R33/TrRoad_act!R46*1000
)</f>
        <v>333.37421351420937</v>
      </c>
      <c r="S70" s="29">
        <f>IF(TrRoad_act!S46=0,0,S33/TrRoad_act!S46*1000
)</f>
        <v>274.24441022025434</v>
      </c>
      <c r="T70" s="29">
        <f>IF(TrRoad_act!T46=0,0,T33/TrRoad_act!T46*1000
)</f>
        <v>321.27739384669081</v>
      </c>
      <c r="U70" s="29">
        <f>IF(TrRoad_act!U46=0,0,U33/TrRoad_act!U46*1000
)</f>
        <v>322.74154279235466</v>
      </c>
      <c r="V70" s="29">
        <f>IF(TrRoad_act!V46=0,0,V33/TrRoad_act!V46*1000
)</f>
        <v>299.25175029266978</v>
      </c>
      <c r="W70" s="29">
        <f>IF(TrRoad_act!W46=0,0,W33/TrRoad_act!W46*1000
)</f>
        <v>348.07267614910972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382.98493782484127</v>
      </c>
      <c r="C71" s="152">
        <f>IF(TrRoad_act!C47=0,0,C34/TrRoad_act!C47*1000
)</f>
        <v>364.7542941437211</v>
      </c>
      <c r="D71" s="152">
        <f>IF(TrRoad_act!D47=0,0,D34/TrRoad_act!D47*1000
)</f>
        <v>346.4832750346294</v>
      </c>
      <c r="E71" s="152">
        <f>IF(TrRoad_act!E47=0,0,E34/TrRoad_act!E47*1000
)</f>
        <v>332.32130414212827</v>
      </c>
      <c r="F71" s="152">
        <f>IF(TrRoad_act!F47=0,0,F34/TrRoad_act!F47*1000
)</f>
        <v>319.53802023593215</v>
      </c>
      <c r="G71" s="152">
        <f>IF(TrRoad_act!G47=0,0,G34/TrRoad_act!G47*1000
)</f>
        <v>309.38600904269254</v>
      </c>
      <c r="H71" s="152">
        <f>IF(TrRoad_act!H47=0,0,H34/TrRoad_act!H47*1000
)</f>
        <v>299.8320941619736</v>
      </c>
      <c r="I71" s="152">
        <f>IF(TrRoad_act!I47=0,0,I34/TrRoad_act!I47*1000
)</f>
        <v>292.19641772642882</v>
      </c>
      <c r="J71" s="152">
        <f>IF(TrRoad_act!J47=0,0,J34/TrRoad_act!J47*1000
)</f>
        <v>279.87751031242931</v>
      </c>
      <c r="K71" s="152">
        <f>IF(TrRoad_act!K47=0,0,K34/TrRoad_act!K47*1000
)</f>
        <v>268.53029694466545</v>
      </c>
      <c r="L71" s="152">
        <f>IF(TrRoad_act!L47=0,0,L34/TrRoad_act!L47*1000
)</f>
        <v>260.17914107610829</v>
      </c>
      <c r="M71" s="152">
        <f>IF(TrRoad_act!M47=0,0,M34/TrRoad_act!M47*1000
)</f>
        <v>255.74918785358275</v>
      </c>
      <c r="N71" s="152">
        <f>IF(TrRoad_act!N47=0,0,N34/TrRoad_act!N47*1000
)</f>
        <v>250.64960084586053</v>
      </c>
      <c r="O71" s="152">
        <f>IF(TrRoad_act!O47=0,0,O34/TrRoad_act!O47*1000
)</f>
        <v>246.25031945806097</v>
      </c>
      <c r="P71" s="152">
        <f>IF(TrRoad_act!P47=0,0,P34/TrRoad_act!P47*1000
)</f>
        <v>243.145222717737</v>
      </c>
      <c r="Q71" s="152">
        <f>IF(TrRoad_act!Q47=0,0,Q34/TrRoad_act!Q47*1000
)</f>
        <v>239.98732597730844</v>
      </c>
      <c r="R71" s="152">
        <f>IF(TrRoad_act!R47=0,0,R34/TrRoad_act!R47*1000
)</f>
        <v>235.67693259516761</v>
      </c>
      <c r="S71" s="152">
        <f>IF(TrRoad_act!S47=0,0,S34/TrRoad_act!S47*1000
)</f>
        <v>230.66037638938383</v>
      </c>
      <c r="T71" s="152">
        <f>IF(TrRoad_act!T47=0,0,T34/TrRoad_act!T47*1000
)</f>
        <v>226.49079942622473</v>
      </c>
      <c r="U71" s="152">
        <f>IF(TrRoad_act!U47=0,0,U34/TrRoad_act!U47*1000
)</f>
        <v>225.21189740014091</v>
      </c>
      <c r="V71" s="152">
        <f>IF(TrRoad_act!V47=0,0,V34/TrRoad_act!V47*1000
)</f>
        <v>222.58280168276704</v>
      </c>
      <c r="W71" s="152">
        <f>IF(TrRoad_act!W47=0,0,W34/TrRoad_act!W47*1000
)</f>
        <v>224.13276556449588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320.81639272069549</v>
      </c>
      <c r="C72" s="87">
        <f>IF(TrRoad_act!C48=0,0,C35/TrRoad_act!C48*1000
)</f>
        <v>309.1395704286283</v>
      </c>
      <c r="D72" s="87">
        <f>IF(TrRoad_act!D48=0,0,D35/TrRoad_act!D48*1000
)</f>
        <v>296.51295621368592</v>
      </c>
      <c r="E72" s="87">
        <f>IF(TrRoad_act!E48=0,0,E35/TrRoad_act!E48*1000
)</f>
        <v>286.71709001717812</v>
      </c>
      <c r="F72" s="87">
        <f>IF(TrRoad_act!F48=0,0,F35/TrRoad_act!F48*1000
)</f>
        <v>280.74677449828289</v>
      </c>
      <c r="G72" s="87">
        <f>IF(TrRoad_act!G48=0,0,G35/TrRoad_act!G48*1000
)</f>
        <v>272.97336290709188</v>
      </c>
      <c r="H72" s="87">
        <f>IF(TrRoad_act!H48=0,0,H35/TrRoad_act!H48*1000
)</f>
        <v>266.47237261960385</v>
      </c>
      <c r="I72" s="87">
        <f>IF(TrRoad_act!I48=0,0,I35/TrRoad_act!I48*1000
)</f>
        <v>261.26751555127123</v>
      </c>
      <c r="J72" s="87">
        <f>IF(TrRoad_act!J48=0,0,J35/TrRoad_act!J48*1000
)</f>
        <v>255.31021265676708</v>
      </c>
      <c r="K72" s="87">
        <f>IF(TrRoad_act!K48=0,0,K35/TrRoad_act!K48*1000
)</f>
        <v>252.60769869108708</v>
      </c>
      <c r="L72" s="87">
        <f>IF(TrRoad_act!L48=0,0,L35/TrRoad_act!L48*1000
)</f>
        <v>249.51381447029871</v>
      </c>
      <c r="M72" s="87">
        <f>IF(TrRoad_act!M48=0,0,M35/TrRoad_act!M48*1000
)</f>
        <v>246.345715895176</v>
      </c>
      <c r="N72" s="87">
        <f>IF(TrRoad_act!N48=0,0,N35/TrRoad_act!N48*1000
)</f>
        <v>240.54267621642211</v>
      </c>
      <c r="O72" s="87">
        <f>IF(TrRoad_act!O48=0,0,O35/TrRoad_act!O48*1000
)</f>
        <v>239.24232141351158</v>
      </c>
      <c r="P72" s="87">
        <f>IF(TrRoad_act!P48=0,0,P35/TrRoad_act!P48*1000
)</f>
        <v>235.16967694546958</v>
      </c>
      <c r="Q72" s="87">
        <f>IF(TrRoad_act!Q48=0,0,Q35/TrRoad_act!Q48*1000
)</f>
        <v>229.36550887737906</v>
      </c>
      <c r="R72" s="87">
        <f>IF(TrRoad_act!R48=0,0,R35/TrRoad_act!R48*1000
)</f>
        <v>224.21123240430336</v>
      </c>
      <c r="S72" s="87">
        <f>IF(TrRoad_act!S48=0,0,S35/TrRoad_act!S48*1000
)</f>
        <v>222.89570866223485</v>
      </c>
      <c r="T72" s="87">
        <f>IF(TrRoad_act!T48=0,0,T35/TrRoad_act!T48*1000
)</f>
        <v>219.14770845425366</v>
      </c>
      <c r="U72" s="87">
        <f>IF(TrRoad_act!U48=0,0,U35/TrRoad_act!U48*1000
)</f>
        <v>216.07276921027642</v>
      </c>
      <c r="V72" s="87">
        <f>IF(TrRoad_act!V48=0,0,V35/TrRoad_act!V48*1000
)</f>
        <v>215.27540858559166</v>
      </c>
      <c r="W72" s="87">
        <f>IF(TrRoad_act!W48=0,0,W35/TrRoad_act!W48*1000
)</f>
        <v>214.78701728631771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386.05465362338992</v>
      </c>
      <c r="C73" s="87">
        <f>IF(TrRoad_act!C49=0,0,C36/TrRoad_act!C49*1000
)</f>
        <v>367.86082966869907</v>
      </c>
      <c r="D73" s="87">
        <f>IF(TrRoad_act!D49=0,0,D36/TrRoad_act!D49*1000
)</f>
        <v>349.37145097002912</v>
      </c>
      <c r="E73" s="87">
        <f>IF(TrRoad_act!E49=0,0,E36/TrRoad_act!E49*1000
)</f>
        <v>334.87142367659305</v>
      </c>
      <c r="F73" s="87">
        <f>IF(TrRoad_act!F49=0,0,F36/TrRoad_act!F49*1000
)</f>
        <v>321.59395860930118</v>
      </c>
      <c r="G73" s="87">
        <f>IF(TrRoad_act!G49=0,0,G36/TrRoad_act!G49*1000
)</f>
        <v>311.21992367481391</v>
      </c>
      <c r="H73" s="87">
        <f>IF(TrRoad_act!H49=0,0,H36/TrRoad_act!H49*1000
)</f>
        <v>301.79011583558645</v>
      </c>
      <c r="I73" s="87">
        <f>IF(TrRoad_act!I49=0,0,I36/TrRoad_act!I49*1000
)</f>
        <v>293.68523736619568</v>
      </c>
      <c r="J73" s="87">
        <f>IF(TrRoad_act!J49=0,0,J36/TrRoad_act!J49*1000
)</f>
        <v>281.15266576535089</v>
      </c>
      <c r="K73" s="87">
        <f>IF(TrRoad_act!K49=0,0,K36/TrRoad_act!K49*1000
)</f>
        <v>269.67488951077877</v>
      </c>
      <c r="L73" s="87">
        <f>IF(TrRoad_act!L49=0,0,L36/TrRoad_act!L49*1000
)</f>
        <v>261.1706444242584</v>
      </c>
      <c r="M73" s="87">
        <f>IF(TrRoad_act!M49=0,0,M36/TrRoad_act!M49*1000
)</f>
        <v>256.69789758837106</v>
      </c>
      <c r="N73" s="87">
        <f>IF(TrRoad_act!N49=0,0,N36/TrRoad_act!N49*1000
)</f>
        <v>251.96111999236703</v>
      </c>
      <c r="O73" s="87">
        <f>IF(TrRoad_act!O49=0,0,O36/TrRoad_act!O49*1000
)</f>
        <v>247.45590164067099</v>
      </c>
      <c r="P73" s="87">
        <f>IF(TrRoad_act!P49=0,0,P36/TrRoad_act!P49*1000
)</f>
        <v>244.42534988461324</v>
      </c>
      <c r="Q73" s="87">
        <f>IF(TrRoad_act!Q49=0,0,Q36/TrRoad_act!Q49*1000
)</f>
        <v>241.52574164954004</v>
      </c>
      <c r="R73" s="87">
        <f>IF(TrRoad_act!R49=0,0,R36/TrRoad_act!R49*1000
)</f>
        <v>237.43807266002423</v>
      </c>
      <c r="S73" s="87">
        <f>IF(TrRoad_act!S49=0,0,S36/TrRoad_act!S49*1000
)</f>
        <v>232.48997253531334</v>
      </c>
      <c r="T73" s="87">
        <f>IF(TrRoad_act!T49=0,0,T36/TrRoad_act!T49*1000
)</f>
        <v>228.21860278454508</v>
      </c>
      <c r="U73" s="87">
        <f>IF(TrRoad_act!U49=0,0,U36/TrRoad_act!U49*1000
)</f>
        <v>226.65797156577545</v>
      </c>
      <c r="V73" s="87">
        <f>IF(TrRoad_act!V49=0,0,V36/TrRoad_act!V49*1000
)</f>
        <v>223.90668403457335</v>
      </c>
      <c r="W73" s="87">
        <f>IF(TrRoad_act!W49=0,0,W36/TrRoad_act!W49*1000
)</f>
        <v>225.09187665077363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350.19666704315517</v>
      </c>
      <c r="C74" s="87">
        <f>IF(TrRoad_act!C50=0,0,C37/TrRoad_act!C50*1000
)</f>
        <v>324.98079354551339</v>
      </c>
      <c r="D74" s="87">
        <f>IF(TrRoad_act!D50=0,0,D37/TrRoad_act!D50*1000
)</f>
        <v>302.79196198483959</v>
      </c>
      <c r="E74" s="87">
        <f>IF(TrRoad_act!E50=0,0,E37/TrRoad_act!E50*1000
)</f>
        <v>285.75311008748389</v>
      </c>
      <c r="F74" s="87">
        <f>IF(TrRoad_act!F50=0,0,F37/TrRoad_act!F50*1000
)</f>
        <v>273.43589332231346</v>
      </c>
      <c r="G74" s="87">
        <f>IF(TrRoad_act!G50=0,0,G37/TrRoad_act!G50*1000
)</f>
        <v>260.52779871108476</v>
      </c>
      <c r="H74" s="87">
        <f>IF(TrRoad_act!H50=0,0,H37/TrRoad_act!H50*1000
)</f>
        <v>249.51665838075152</v>
      </c>
      <c r="I74" s="87">
        <f>IF(TrRoad_act!I50=0,0,I37/TrRoad_act!I50*1000
)</f>
        <v>246.95739567583817</v>
      </c>
      <c r="J74" s="87">
        <f>IF(TrRoad_act!J50=0,0,J37/TrRoad_act!J50*1000
)</f>
        <v>239.07148080153965</v>
      </c>
      <c r="K74" s="87">
        <f>IF(TrRoad_act!K50=0,0,K37/TrRoad_act!K50*1000
)</f>
        <v>228.50335372844694</v>
      </c>
      <c r="L74" s="87">
        <f>IF(TrRoad_act!L50=0,0,L37/TrRoad_act!L50*1000
)</f>
        <v>222.97264215484455</v>
      </c>
      <c r="M74" s="87">
        <f>IF(TrRoad_act!M50=0,0,M37/TrRoad_act!M50*1000
)</f>
        <v>221.05653830520913</v>
      </c>
      <c r="N74" s="87">
        <f>IF(TrRoad_act!N50=0,0,N37/TrRoad_act!N50*1000
)</f>
        <v>210.46847621007456</v>
      </c>
      <c r="O74" s="87">
        <f>IF(TrRoad_act!O50=0,0,O37/TrRoad_act!O50*1000
)</f>
        <v>208.60631277574927</v>
      </c>
      <c r="P74" s="87">
        <f>IF(TrRoad_act!P50=0,0,P37/TrRoad_act!P50*1000
)</f>
        <v>206.54460613158648</v>
      </c>
      <c r="Q74" s="87">
        <f>IF(TrRoad_act!Q50=0,0,Q37/TrRoad_act!Q50*1000
)</f>
        <v>203.51836427838114</v>
      </c>
      <c r="R74" s="87">
        <f>IF(TrRoad_act!R50=0,0,R37/TrRoad_act!R50*1000
)</f>
        <v>198.62206602006509</v>
      </c>
      <c r="S74" s="87">
        <f>IF(TrRoad_act!S50=0,0,S37/TrRoad_act!S50*1000
)</f>
        <v>195.60389749783158</v>
      </c>
      <c r="T74" s="87">
        <f>IF(TrRoad_act!T50=0,0,T37/TrRoad_act!T50*1000
)</f>
        <v>193.65357274261655</v>
      </c>
      <c r="U74" s="87">
        <f>IF(TrRoad_act!U50=0,0,U37/TrRoad_act!U50*1000
)</f>
        <v>191.94219737086948</v>
      </c>
      <c r="V74" s="87">
        <f>IF(TrRoad_act!V50=0,0,V37/TrRoad_act!V50*1000
)</f>
        <v>192.67432277463934</v>
      </c>
      <c r="W74" s="87">
        <f>IF(TrRoad_act!W50=0,0,W37/TrRoad_act!W50*1000
)</f>
        <v>204.71576926176397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342.52737197301821</v>
      </c>
      <c r="C75" s="87">
        <f>IF(TrRoad_act!C51=0,0,C38/TrRoad_act!C51*1000
)</f>
        <v>311.6981273444224</v>
      </c>
      <c r="D75" s="87">
        <f>IF(TrRoad_act!D51=0,0,D38/TrRoad_act!D51*1000
)</f>
        <v>287.76366520739032</v>
      </c>
      <c r="E75" s="87">
        <f>IF(TrRoad_act!E51=0,0,E38/TrRoad_act!E51*1000
)</f>
        <v>270.08878560009583</v>
      </c>
      <c r="F75" s="87">
        <f>IF(TrRoad_act!F51=0,0,F38/TrRoad_act!F51*1000
)</f>
        <v>259.08913998033108</v>
      </c>
      <c r="G75" s="87">
        <f>IF(TrRoad_act!G51=0,0,G38/TrRoad_act!G51*1000
)</f>
        <v>249.08240119639902</v>
      </c>
      <c r="H75" s="87">
        <f>IF(TrRoad_act!H51=0,0,H38/TrRoad_act!H51*1000
)</f>
        <v>243.6072781923987</v>
      </c>
      <c r="I75" s="87">
        <f>IF(TrRoad_act!I51=0,0,I38/TrRoad_act!I51*1000
)</f>
        <v>240.79592449724811</v>
      </c>
      <c r="J75" s="87">
        <f>IF(TrRoad_act!J51=0,0,J38/TrRoad_act!J51*1000
)</f>
        <v>232.8867511871648</v>
      </c>
      <c r="K75" s="87">
        <f>IF(TrRoad_act!K51=0,0,K38/TrRoad_act!K51*1000
)</f>
        <v>210.85291394923991</v>
      </c>
      <c r="L75" s="87">
        <f>IF(TrRoad_act!L51=0,0,L38/TrRoad_act!L51*1000
)</f>
        <v>214.90221739461938</v>
      </c>
      <c r="M75" s="87">
        <f>IF(TrRoad_act!M51=0,0,M38/TrRoad_act!M51*1000
)</f>
        <v>208.23542390820816</v>
      </c>
      <c r="N75" s="87">
        <f>IF(TrRoad_act!N51=0,0,N38/TrRoad_act!N51*1000
)</f>
        <v>203.70690179280277</v>
      </c>
      <c r="O75" s="87">
        <f>IF(TrRoad_act!O51=0,0,O38/TrRoad_act!O51*1000
)</f>
        <v>207.47748579893556</v>
      </c>
      <c r="P75" s="87">
        <f>IF(TrRoad_act!P51=0,0,P38/TrRoad_act!P51*1000
)</f>
        <v>201.82158056003897</v>
      </c>
      <c r="Q75" s="87">
        <f>IF(TrRoad_act!Q51=0,0,Q38/TrRoad_act!Q51*1000
)</f>
        <v>205.21000703796796</v>
      </c>
      <c r="R75" s="87">
        <f>IF(TrRoad_act!R51=0,0,R38/TrRoad_act!R51*1000
)</f>
        <v>199.77031915984793</v>
      </c>
      <c r="S75" s="87">
        <f>IF(TrRoad_act!S51=0,0,S38/TrRoad_act!S51*1000
)</f>
        <v>183.35866208039732</v>
      </c>
      <c r="T75" s="87">
        <f>IF(TrRoad_act!T51=0,0,T38/TrRoad_act!T51*1000
)</f>
        <v>182.57846067162995</v>
      </c>
      <c r="U75" s="87">
        <f>IF(TrRoad_act!U51=0,0,U38/TrRoad_act!U51*1000
)</f>
        <v>199.93387983785618</v>
      </c>
      <c r="V75" s="87">
        <f>IF(TrRoad_act!V51=0,0,V38/TrRoad_act!V51*1000
)</f>
        <v>201.40911226846944</v>
      </c>
      <c r="W75" s="87">
        <f>IF(TrRoad_act!W51=0,0,W38/TrRoad_act!W51*1000
)</f>
        <v>215.78376443194216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667.18197809584831</v>
      </c>
      <c r="C77" s="116">
        <f>IF(TrRoad_act!C53=0,0,C40/TrRoad_act!C53*1000
)</f>
        <v>1031.5272838539604</v>
      </c>
      <c r="D77" s="116">
        <f>IF(TrRoad_act!D53=0,0,D40/TrRoad_act!D53*1000
)</f>
        <v>1031.9626266405915</v>
      </c>
      <c r="E77" s="116">
        <f>IF(TrRoad_act!E53=0,0,E40/TrRoad_act!E53*1000
)</f>
        <v>1028.7414995977306</v>
      </c>
      <c r="F77" s="116">
        <f>IF(TrRoad_act!F53=0,0,F40/TrRoad_act!F53*1000
)</f>
        <v>914.07950466764555</v>
      </c>
      <c r="G77" s="116">
        <f>IF(TrRoad_act!G53=0,0,G40/TrRoad_act!G53*1000
)</f>
        <v>893.66555198887193</v>
      </c>
      <c r="H77" s="116">
        <f>IF(TrRoad_act!H53=0,0,H40/TrRoad_act!H53*1000
)</f>
        <v>1211.9677759427668</v>
      </c>
      <c r="I77" s="116">
        <f>IF(TrRoad_act!I53=0,0,I40/TrRoad_act!I53*1000
)</f>
        <v>1166.1885108435326</v>
      </c>
      <c r="J77" s="116">
        <f>IF(TrRoad_act!J53=0,0,J40/TrRoad_act!J53*1000
)</f>
        <v>894.6587075103763</v>
      </c>
      <c r="K77" s="116">
        <f>IF(TrRoad_act!K53=0,0,K40/TrRoad_act!K53*1000
)</f>
        <v>780.2459972895382</v>
      </c>
      <c r="L77" s="116">
        <f>IF(TrRoad_act!L53=0,0,L40/TrRoad_act!L53*1000
)</f>
        <v>587.51825426338303</v>
      </c>
      <c r="M77" s="116">
        <f>IF(TrRoad_act!M53=0,0,M40/TrRoad_act!M53*1000
)</f>
        <v>771.20309861508554</v>
      </c>
      <c r="N77" s="116">
        <f>IF(TrRoad_act!N53=0,0,N40/TrRoad_act!N53*1000
)</f>
        <v>1056.0055629375929</v>
      </c>
      <c r="O77" s="116">
        <f>IF(TrRoad_act!O53=0,0,O40/TrRoad_act!O53*1000
)</f>
        <v>835.04217328557058</v>
      </c>
      <c r="P77" s="116">
        <f>IF(TrRoad_act!P53=0,0,P40/TrRoad_act!P53*1000
)</f>
        <v>797.32644351959664</v>
      </c>
      <c r="Q77" s="116">
        <f>IF(TrRoad_act!Q53=0,0,Q40/TrRoad_act!Q53*1000
)</f>
        <v>869.86536074421485</v>
      </c>
      <c r="R77" s="116">
        <f>IF(TrRoad_act!R53=0,0,R40/TrRoad_act!R53*1000
)</f>
        <v>899.1151013319535</v>
      </c>
      <c r="S77" s="116">
        <f>IF(TrRoad_act!S53=0,0,S40/TrRoad_act!S53*1000
)</f>
        <v>518.73553608465272</v>
      </c>
      <c r="T77" s="116">
        <f>IF(TrRoad_act!T53=0,0,T40/TrRoad_act!T53*1000
)</f>
        <v>869.80714697637643</v>
      </c>
      <c r="U77" s="116">
        <f>IF(TrRoad_act!U53=0,0,U40/TrRoad_act!U53*1000
)</f>
        <v>871.50845219430278</v>
      </c>
      <c r="V77" s="116">
        <f>IF(TrRoad_act!V53=0,0,V40/TrRoad_act!V53*1000
)</f>
        <v>733.66119002650407</v>
      </c>
      <c r="W77" s="116">
        <f>IF(TrRoad_act!W53=0,0,W40/TrRoad_act!W53*1000
)</f>
        <v>1123.5347483814971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663.89668630221308</v>
      </c>
      <c r="C78" s="101">
        <f>IF(TrRoad_act!C54=0,0,C41/TrRoad_act!C54*1000
)</f>
        <v>1027.9750847102546</v>
      </c>
      <c r="D78" s="101">
        <f>IF(TrRoad_act!D54=0,0,D41/TrRoad_act!D54*1000
)</f>
        <v>1029.9341969014692</v>
      </c>
      <c r="E78" s="101">
        <f>IF(TrRoad_act!E54=0,0,E41/TrRoad_act!E54*1000
)</f>
        <v>1027.9458131836457</v>
      </c>
      <c r="F78" s="101">
        <f>IF(TrRoad_act!F54=0,0,F41/TrRoad_act!F54*1000
)</f>
        <v>915.3891860467445</v>
      </c>
      <c r="G78" s="101">
        <f>IF(TrRoad_act!G54=0,0,G41/TrRoad_act!G54*1000
)</f>
        <v>895.68861295891065</v>
      </c>
      <c r="H78" s="101">
        <f>IF(TrRoad_act!H54=0,0,H41/TrRoad_act!H54*1000
)</f>
        <v>1216.4245803197709</v>
      </c>
      <c r="I78" s="101">
        <f>IF(TrRoad_act!I54=0,0,I41/TrRoad_act!I54*1000
)</f>
        <v>1170.7811428125174</v>
      </c>
      <c r="J78" s="101">
        <f>IF(TrRoad_act!J54=0,0,J41/TrRoad_act!J54*1000
)</f>
        <v>898.77120865782672</v>
      </c>
      <c r="K78" s="101">
        <f>IF(TrRoad_act!K54=0,0,K41/TrRoad_act!K54*1000
)</f>
        <v>783.1765445709799</v>
      </c>
      <c r="L78" s="101">
        <f>IF(TrRoad_act!L54=0,0,L41/TrRoad_act!L54*1000
)</f>
        <v>589.05822942760301</v>
      </c>
      <c r="M78" s="101">
        <f>IF(TrRoad_act!M54=0,0,M41/TrRoad_act!M54*1000
)</f>
        <v>772.09415983686699</v>
      </c>
      <c r="N78" s="101">
        <f>IF(TrRoad_act!N54=0,0,N41/TrRoad_act!N54*1000
)</f>
        <v>1055.7243606984705</v>
      </c>
      <c r="O78" s="101">
        <f>IF(TrRoad_act!O54=0,0,O41/TrRoad_act!O54*1000
)</f>
        <v>833.6141335370221</v>
      </c>
      <c r="P78" s="101">
        <f>IF(TrRoad_act!P54=0,0,P41/TrRoad_act!P54*1000
)</f>
        <v>794.34885614781388</v>
      </c>
      <c r="Q78" s="101">
        <f>IF(TrRoad_act!Q54=0,0,Q41/TrRoad_act!Q54*1000
)</f>
        <v>864.82061426275527</v>
      </c>
      <c r="R78" s="101">
        <f>IF(TrRoad_act!R54=0,0,R41/TrRoad_act!R54*1000
)</f>
        <v>893.13923545204466</v>
      </c>
      <c r="S78" s="101">
        <f>IF(TrRoad_act!S54=0,0,S41/TrRoad_act!S54*1000
)</f>
        <v>514.33822070054521</v>
      </c>
      <c r="T78" s="101">
        <f>IF(TrRoad_act!T54=0,0,T41/TrRoad_act!T54*1000
)</f>
        <v>859.10998235964541</v>
      </c>
      <c r="U78" s="101">
        <f>IF(TrRoad_act!U54=0,0,U41/TrRoad_act!U54*1000
)</f>
        <v>857.55487275147232</v>
      </c>
      <c r="V78" s="101">
        <f>IF(TrRoad_act!V54=0,0,V41/TrRoad_act!V54*1000
)</f>
        <v>721.06791015305419</v>
      </c>
      <c r="W78" s="101">
        <f>IF(TrRoad_act!W54=0,0,W41/TrRoad_act!W54*1000
)</f>
        <v>1098.8108498975691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686.98930957183279</v>
      </c>
      <c r="C79" s="88">
        <f>IF(TrRoad_act!C55=0,0,C42/TrRoad_act!C55*1000
)</f>
        <v>1050.7776276625832</v>
      </c>
      <c r="D79" s="88">
        <f>IF(TrRoad_act!D55=0,0,D42/TrRoad_act!D55*1000
)</f>
        <v>1042.3844029665643</v>
      </c>
      <c r="E79" s="88">
        <f>IF(TrRoad_act!E55=0,0,E42/TrRoad_act!E55*1000
)</f>
        <v>1032.6224221412533</v>
      </c>
      <c r="F79" s="88">
        <f>IF(TrRoad_act!F55=0,0,F42/TrRoad_act!F55*1000
)</f>
        <v>907.6817526038501</v>
      </c>
      <c r="G79" s="88">
        <f>IF(TrRoad_act!G55=0,0,G42/TrRoad_act!G55*1000
)</f>
        <v>883.82392406995461</v>
      </c>
      <c r="H79" s="88">
        <f>IF(TrRoad_act!H55=0,0,H42/TrRoad_act!H55*1000
)</f>
        <v>1194.7665037276106</v>
      </c>
      <c r="I79" s="88">
        <f>IF(TrRoad_act!I55=0,0,I42/TrRoad_act!I55*1000
)</f>
        <v>1147.8630161076821</v>
      </c>
      <c r="J79" s="88">
        <f>IF(TrRoad_act!J55=0,0,J42/TrRoad_act!J55*1000
)</f>
        <v>879.55985583421227</v>
      </c>
      <c r="K79" s="88">
        <f>IF(TrRoad_act!K55=0,0,K42/TrRoad_act!K55*1000
)</f>
        <v>768.04432894766524</v>
      </c>
      <c r="L79" s="88">
        <f>IF(TrRoad_act!L55=0,0,L42/TrRoad_act!L55*1000
)</f>
        <v>581.44800811510947</v>
      </c>
      <c r="M79" s="88">
        <f>IF(TrRoad_act!M55=0,0,M42/TrRoad_act!M55*1000
)</f>
        <v>767.75557573852711</v>
      </c>
      <c r="N79" s="88">
        <f>IF(TrRoad_act!N55=0,0,N42/TrRoad_act!N55*1000
)</f>
        <v>1057.0376594628597</v>
      </c>
      <c r="O79" s="88">
        <f>IF(TrRoad_act!O55=0,0,O42/TrRoad_act!O55*1000
)</f>
        <v>839.99442378036838</v>
      </c>
      <c r="P79" s="88">
        <f>IF(TrRoad_act!P55=0,0,P42/TrRoad_act!P55*1000
)</f>
        <v>806.73379220736626</v>
      </c>
      <c r="Q79" s="88">
        <f>IF(TrRoad_act!Q55=0,0,Q42/TrRoad_act!Q55*1000
)</f>
        <v>885.98533021809226</v>
      </c>
      <c r="R79" s="88">
        <f>IF(TrRoad_act!R55=0,0,R42/TrRoad_act!R55*1000
)</f>
        <v>916.85796538584748</v>
      </c>
      <c r="S79" s="88">
        <f>IF(TrRoad_act!S55=0,0,S42/TrRoad_act!S55*1000
)</f>
        <v>530.84858988583267</v>
      </c>
      <c r="T79" s="88">
        <f>IF(TrRoad_act!T55=0,0,T42/TrRoad_act!T55*1000
)</f>
        <v>900.89206209463771</v>
      </c>
      <c r="U79" s="88">
        <f>IF(TrRoad_act!U55=0,0,U42/TrRoad_act!U55*1000
)</f>
        <v>912.62020519758744</v>
      </c>
      <c r="V79" s="88">
        <f>IF(TrRoad_act!V55=0,0,V42/TrRoad_act!V55*1000
)</f>
        <v>769.85842136980921</v>
      </c>
      <c r="W79" s="88">
        <f>IF(TrRoad_act!W55=0,0,W42/TrRoad_act!W55*1000
)</f>
        <v>1191.9431605080099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93.432047286914482</v>
      </c>
      <c r="C82" s="29">
        <f>IF(TrRoad_act!C4=0,0,C18/TrRoad_act!C4*1000)</f>
        <v>93.162626561312109</v>
      </c>
      <c r="D82" s="29">
        <f>IF(TrRoad_act!D4=0,0,D18/TrRoad_act!D4*1000)</f>
        <v>95.377592454370543</v>
      </c>
      <c r="E82" s="29">
        <f>IF(TrRoad_act!E4=0,0,E18/TrRoad_act!E4*1000)</f>
        <v>94.441945883223724</v>
      </c>
      <c r="F82" s="29">
        <f>IF(TrRoad_act!F4=0,0,F18/TrRoad_act!F4*1000)</f>
        <v>94.628135362101517</v>
      </c>
      <c r="G82" s="29">
        <f>IF(TrRoad_act!G4=0,0,G18/TrRoad_act!G4*1000)</f>
        <v>96.915396455801513</v>
      </c>
      <c r="H82" s="29">
        <f>IF(TrRoad_act!H4=0,0,H18/TrRoad_act!H4*1000)</f>
        <v>99.426178811142137</v>
      </c>
      <c r="I82" s="29">
        <f>IF(TrRoad_act!I4=0,0,I18/TrRoad_act!I4*1000)</f>
        <v>99.722088441611504</v>
      </c>
      <c r="J82" s="29">
        <f>IF(TrRoad_act!J4=0,0,J18/TrRoad_act!J4*1000)</f>
        <v>96.620932462078613</v>
      </c>
      <c r="K82" s="29">
        <f>IF(TrRoad_act!K4=0,0,K18/TrRoad_act!K4*1000)</f>
        <v>89.517895283535736</v>
      </c>
      <c r="L82" s="29">
        <f>IF(TrRoad_act!L4=0,0,L18/TrRoad_act!L4*1000)</f>
        <v>89.817217516496271</v>
      </c>
      <c r="M82" s="29">
        <f>IF(TrRoad_act!M4=0,0,M18/TrRoad_act!M4*1000)</f>
        <v>91.326137521850697</v>
      </c>
      <c r="N82" s="29">
        <f>IF(TrRoad_act!N4=0,0,N18/TrRoad_act!N4*1000)</f>
        <v>95.262749904071626</v>
      </c>
      <c r="O82" s="29">
        <f>IF(TrRoad_act!O4=0,0,O18/TrRoad_act!O4*1000)</f>
        <v>93.027431756881541</v>
      </c>
      <c r="P82" s="29">
        <f>IF(TrRoad_act!P4=0,0,P18/TrRoad_act!P4*1000)</f>
        <v>96.838858739870574</v>
      </c>
      <c r="Q82" s="29">
        <f>IF(TrRoad_act!Q4=0,0,Q18/TrRoad_act!Q4*1000)</f>
        <v>93.472966960597248</v>
      </c>
      <c r="R82" s="29">
        <f>IF(TrRoad_act!R4=0,0,R18/TrRoad_act!R4*1000)</f>
        <v>89.475111739464225</v>
      </c>
      <c r="S82" s="29">
        <f>IF(TrRoad_act!S4=0,0,S18/TrRoad_act!S4*1000)</f>
        <v>84.50146692834825</v>
      </c>
      <c r="T82" s="29">
        <f>IF(TrRoad_act!T4=0,0,T18/TrRoad_act!T4*1000)</f>
        <v>86.025280598123175</v>
      </c>
      <c r="U82" s="29">
        <f>IF(TrRoad_act!U4=0,0,U18/TrRoad_act!U4*1000)</f>
        <v>84.933657030393135</v>
      </c>
      <c r="V82" s="29">
        <f>IF(TrRoad_act!V4=0,0,V18/TrRoad_act!V4*1000)</f>
        <v>99.954429078853565</v>
      </c>
      <c r="W82" s="29">
        <f>IF(TrRoad_act!W4=0,0,W18/TrRoad_act!W4*1000)</f>
        <v>106.09618199718099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91.343653548642237</v>
      </c>
      <c r="C83" s="152">
        <f>IF(TrRoad_act!C5=0,0,C19/TrRoad_act!C5*1000)</f>
        <v>88.954777077247556</v>
      </c>
      <c r="D83" s="152">
        <f>IF(TrRoad_act!D5=0,0,D19/TrRoad_act!D5*1000)</f>
        <v>88.449159892140898</v>
      </c>
      <c r="E83" s="152">
        <f>IF(TrRoad_act!E5=0,0,E19/TrRoad_act!E5*1000)</f>
        <v>87.557561075787589</v>
      </c>
      <c r="F83" s="152">
        <f>IF(TrRoad_act!F5=0,0,F19/TrRoad_act!F5*1000)</f>
        <v>85.699702773530134</v>
      </c>
      <c r="G83" s="152">
        <f>IF(TrRoad_act!G5=0,0,G19/TrRoad_act!G5*1000)</f>
        <v>85.379731925939225</v>
      </c>
      <c r="H83" s="152">
        <f>IF(TrRoad_act!H5=0,0,H19/TrRoad_act!H5*1000)</f>
        <v>83.408407171216922</v>
      </c>
      <c r="I83" s="152">
        <f>IF(TrRoad_act!I5=0,0,I19/TrRoad_act!I5*1000)</f>
        <v>83.39936774568352</v>
      </c>
      <c r="J83" s="152">
        <f>IF(TrRoad_act!J5=0,0,J19/TrRoad_act!J5*1000)</f>
        <v>81.083583490134345</v>
      </c>
      <c r="K83" s="152">
        <f>IF(TrRoad_act!K5=0,0,K19/TrRoad_act!K5*1000)</f>
        <v>82.319070563421079</v>
      </c>
      <c r="L83" s="152">
        <f>IF(TrRoad_act!L5=0,0,L19/TrRoad_act!L5*1000)</f>
        <v>82.520819134838362</v>
      </c>
      <c r="M83" s="152">
        <f>IF(TrRoad_act!M5=0,0,M19/TrRoad_act!M5*1000)</f>
        <v>77.86612220242516</v>
      </c>
      <c r="N83" s="152">
        <f>IF(TrRoad_act!N5=0,0,N19/TrRoad_act!N5*1000)</f>
        <v>75.873236053723787</v>
      </c>
      <c r="O83" s="152">
        <f>IF(TrRoad_act!O5=0,0,O19/TrRoad_act!O5*1000)</f>
        <v>75.018817455256652</v>
      </c>
      <c r="P83" s="152">
        <f>IF(TrRoad_act!P5=0,0,P19/TrRoad_act!P5*1000)</f>
        <v>76.725355757852213</v>
      </c>
      <c r="Q83" s="152">
        <f>IF(TrRoad_act!Q5=0,0,Q19/TrRoad_act!Q5*1000)</f>
        <v>79.317522173235176</v>
      </c>
      <c r="R83" s="152">
        <f>IF(TrRoad_act!R5=0,0,R19/TrRoad_act!R5*1000)</f>
        <v>78.487228228026737</v>
      </c>
      <c r="S83" s="152">
        <f>IF(TrRoad_act!S5=0,0,S19/TrRoad_act!S5*1000)</f>
        <v>78.227915957647696</v>
      </c>
      <c r="T83" s="152">
        <f>IF(TrRoad_act!T5=0,0,T19/TrRoad_act!T5*1000)</f>
        <v>77.968428963966403</v>
      </c>
      <c r="U83" s="152">
        <f>IF(TrRoad_act!U5=0,0,U19/TrRoad_act!U5*1000)</f>
        <v>77.576331960363092</v>
      </c>
      <c r="V83" s="152">
        <f>IF(TrRoad_act!V5=0,0,V19/TrRoad_act!V5*1000)</f>
        <v>77.475190011389756</v>
      </c>
      <c r="W83" s="152">
        <f>IF(TrRoad_act!W5=0,0,W19/TrRoad_act!W5*1000)</f>
        <v>73.382240975152754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96.559469295773454</v>
      </c>
      <c r="C84" s="116">
        <f>IF(TrRoad_act!C6=0,0,C20/TrRoad_act!C6*1000)</f>
        <v>96.635804657964258</v>
      </c>
      <c r="D84" s="116">
        <f>IF(TrRoad_act!D6=0,0,D20/TrRoad_act!D6*1000)</f>
        <v>99.441927129934896</v>
      </c>
      <c r="E84" s="116">
        <f>IF(TrRoad_act!E6=0,0,E20/TrRoad_act!E6*1000)</f>
        <v>98.523188092340405</v>
      </c>
      <c r="F84" s="116">
        <f>IF(TrRoad_act!F6=0,0,F20/TrRoad_act!F6*1000)</f>
        <v>99.09386288822445</v>
      </c>
      <c r="G84" s="116">
        <f>IF(TrRoad_act!G6=0,0,G20/TrRoad_act!G6*1000)</f>
        <v>102.36767247461822</v>
      </c>
      <c r="H84" s="116">
        <f>IF(TrRoad_act!H6=0,0,H20/TrRoad_act!H6*1000)</f>
        <v>105.75857487243098</v>
      </c>
      <c r="I84" s="116">
        <f>IF(TrRoad_act!I6=0,0,I20/TrRoad_act!I6*1000)</f>
        <v>105.94456452137266</v>
      </c>
      <c r="J84" s="116">
        <f>IF(TrRoad_act!J6=0,0,J20/TrRoad_act!J6*1000)</f>
        <v>102.51040786927238</v>
      </c>
      <c r="K84" s="116">
        <f>IF(TrRoad_act!K6=0,0,K20/TrRoad_act!K6*1000)</f>
        <v>93.591265132235606</v>
      </c>
      <c r="L84" s="116">
        <f>IF(TrRoad_act!L6=0,0,L20/TrRoad_act!L6*1000)</f>
        <v>94.094777253296741</v>
      </c>
      <c r="M84" s="116">
        <f>IF(TrRoad_act!M6=0,0,M20/TrRoad_act!M6*1000)</f>
        <v>96.248487611298657</v>
      </c>
      <c r="N84" s="116">
        <f>IF(TrRoad_act!N6=0,0,N20/TrRoad_act!N6*1000)</f>
        <v>102.33853033141426</v>
      </c>
      <c r="O84" s="116">
        <f>IF(TrRoad_act!O6=0,0,O20/TrRoad_act!O6*1000)</f>
        <v>99.142501450868878</v>
      </c>
      <c r="P84" s="116">
        <f>IF(TrRoad_act!P6=0,0,P20/TrRoad_act!P6*1000)</f>
        <v>103.45036097027452</v>
      </c>
      <c r="Q84" s="116">
        <f>IF(TrRoad_act!Q6=0,0,Q20/TrRoad_act!Q6*1000)</f>
        <v>98.616959179203377</v>
      </c>
      <c r="R84" s="116">
        <f>IF(TrRoad_act!R6=0,0,R20/TrRoad_act!R6*1000)</f>
        <v>93.616202811809018</v>
      </c>
      <c r="S84" s="116">
        <f>IF(TrRoad_act!S6=0,0,S20/TrRoad_act!S6*1000)</f>
        <v>87.482893200659973</v>
      </c>
      <c r="T84" s="116">
        <f>IF(TrRoad_act!T6=0,0,T20/TrRoad_act!T6*1000)</f>
        <v>89.408519873467185</v>
      </c>
      <c r="U84" s="116">
        <f>IF(TrRoad_act!U6=0,0,U20/TrRoad_act!U6*1000)</f>
        <v>88.104417332857537</v>
      </c>
      <c r="V84" s="116">
        <f>IF(TrRoad_act!V6=0,0,V20/TrRoad_act!V6*1000)</f>
        <v>99.753949585012279</v>
      </c>
      <c r="W84" s="116">
        <f>IF(TrRoad_act!W6=0,0,W20/TrRoad_act!W6*1000)</f>
        <v>111.4875974518884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93.595733458486606</v>
      </c>
      <c r="C85" s="87">
        <f>IF(TrRoad_act!C7=0,0,C21/TrRoad_act!C7*1000)</f>
        <v>94.825320147498317</v>
      </c>
      <c r="D85" s="87">
        <f>IF(TrRoad_act!D7=0,0,D21/TrRoad_act!D7*1000)</f>
        <v>98.27252966601452</v>
      </c>
      <c r="E85" s="87">
        <f>IF(TrRoad_act!E7=0,0,E21/TrRoad_act!E7*1000)</f>
        <v>97.310897650150423</v>
      </c>
      <c r="F85" s="87">
        <f>IF(TrRoad_act!F7=0,0,F21/TrRoad_act!F7*1000)</f>
        <v>100.72480549966026</v>
      </c>
      <c r="G85" s="87">
        <f>IF(TrRoad_act!G7=0,0,G21/TrRoad_act!G7*1000)</f>
        <v>105.47988704040189</v>
      </c>
      <c r="H85" s="87">
        <f>IF(TrRoad_act!H7=0,0,H21/TrRoad_act!H7*1000)</f>
        <v>116.20669775729586</v>
      </c>
      <c r="I85" s="87">
        <f>IF(TrRoad_act!I7=0,0,I21/TrRoad_act!I7*1000)</f>
        <v>113.71442206297068</v>
      </c>
      <c r="J85" s="87">
        <f>IF(TrRoad_act!J7=0,0,J21/TrRoad_act!J7*1000)</f>
        <v>103.73841412011392</v>
      </c>
      <c r="K85" s="87">
        <f>IF(TrRoad_act!K7=0,0,K21/TrRoad_act!K7*1000)</f>
        <v>92.338938620054464</v>
      </c>
      <c r="L85" s="87">
        <f>IF(TrRoad_act!L7=0,0,L21/TrRoad_act!L7*1000)</f>
        <v>89.735262050832233</v>
      </c>
      <c r="M85" s="87">
        <f>IF(TrRoad_act!M7=0,0,M21/TrRoad_act!M7*1000)</f>
        <v>91.103432331235197</v>
      </c>
      <c r="N85" s="87">
        <f>IF(TrRoad_act!N7=0,0,N21/TrRoad_act!N7*1000)</f>
        <v>99.817755074465211</v>
      </c>
      <c r="O85" s="87">
        <f>IF(TrRoad_act!O7=0,0,O21/TrRoad_act!O7*1000)</f>
        <v>94.487852449835174</v>
      </c>
      <c r="P85" s="87">
        <f>IF(TrRoad_act!P7=0,0,P21/TrRoad_act!P7*1000)</f>
        <v>98.359425411004224</v>
      </c>
      <c r="Q85" s="87">
        <f>IF(TrRoad_act!Q7=0,0,Q21/TrRoad_act!Q7*1000)</f>
        <v>94.143880093582069</v>
      </c>
      <c r="R85" s="87">
        <f>IF(TrRoad_act!R7=0,0,R21/TrRoad_act!R7*1000)</f>
        <v>86.968318759728291</v>
      </c>
      <c r="S85" s="87">
        <f>IF(TrRoad_act!S7=0,0,S21/TrRoad_act!S7*1000)</f>
        <v>83.913817608623418</v>
      </c>
      <c r="T85" s="87">
        <f>IF(TrRoad_act!T7=0,0,T21/TrRoad_act!T7*1000)</f>
        <v>92.727856437269395</v>
      </c>
      <c r="U85" s="87">
        <f>IF(TrRoad_act!U7=0,0,U21/TrRoad_act!U7*1000)</f>
        <v>90.87888164077151</v>
      </c>
      <c r="V85" s="87">
        <f>IF(TrRoad_act!V7=0,0,V21/TrRoad_act!V7*1000)</f>
        <v>106.45612456280784</v>
      </c>
      <c r="W85" s="87">
        <f>IF(TrRoad_act!W7=0,0,W21/TrRoad_act!W7*1000)</f>
        <v>124.04573035783886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106.26418260061146</v>
      </c>
      <c r="C86" s="87">
        <f>IF(TrRoad_act!C8=0,0,C22/TrRoad_act!C8*1000)</f>
        <v>101.20270138669784</v>
      </c>
      <c r="D86" s="87">
        <f>IF(TrRoad_act!D8=0,0,D22/TrRoad_act!D8*1000)</f>
        <v>102.39432243544465</v>
      </c>
      <c r="E86" s="87">
        <f>IF(TrRoad_act!E8=0,0,E22/TrRoad_act!E8*1000)</f>
        <v>101.1743926503035</v>
      </c>
      <c r="F86" s="87">
        <f>IF(TrRoad_act!F8=0,0,F22/TrRoad_act!F8*1000)</f>
        <v>98.331966951612813</v>
      </c>
      <c r="G86" s="87">
        <f>IF(TrRoad_act!G8=0,0,G22/TrRoad_act!G8*1000)</f>
        <v>100.86353367912055</v>
      </c>
      <c r="H86" s="87">
        <f>IF(TrRoad_act!H8=0,0,H22/TrRoad_act!H8*1000)</f>
        <v>99.341448570134531</v>
      </c>
      <c r="I86" s="87">
        <f>IF(TrRoad_act!I8=0,0,I22/TrRoad_act!I8*1000)</f>
        <v>102.32318719526135</v>
      </c>
      <c r="J86" s="87">
        <f>IF(TrRoad_act!J8=0,0,J22/TrRoad_act!J8*1000)</f>
        <v>102.37934422415516</v>
      </c>
      <c r="K86" s="87">
        <f>IF(TrRoad_act!K8=0,0,K22/TrRoad_act!K8*1000)</f>
        <v>95.476258986368961</v>
      </c>
      <c r="L86" s="87">
        <f>IF(TrRoad_act!L8=0,0,L22/TrRoad_act!L8*1000)</f>
        <v>98.435006915042109</v>
      </c>
      <c r="M86" s="87">
        <f>IF(TrRoad_act!M8=0,0,M22/TrRoad_act!M8*1000)</f>
        <v>100.5894105223415</v>
      </c>
      <c r="N86" s="87">
        <f>IF(TrRoad_act!N8=0,0,N22/TrRoad_act!N8*1000)</f>
        <v>103.9969070712992</v>
      </c>
      <c r="O86" s="87">
        <f>IF(TrRoad_act!O8=0,0,O22/TrRoad_act!O8*1000)</f>
        <v>102.51903743902086</v>
      </c>
      <c r="P86" s="87">
        <f>IF(TrRoad_act!P8=0,0,P22/TrRoad_act!P8*1000)</f>
        <v>107.16725743564662</v>
      </c>
      <c r="Q86" s="87">
        <f>IF(TrRoad_act!Q8=0,0,Q22/TrRoad_act!Q8*1000)</f>
        <v>102.1631862222082</v>
      </c>
      <c r="R86" s="87">
        <f>IF(TrRoad_act!R8=0,0,R22/TrRoad_act!R8*1000)</f>
        <v>98.104896025230303</v>
      </c>
      <c r="S86" s="87">
        <f>IF(TrRoad_act!S8=0,0,S22/TrRoad_act!S8*1000)</f>
        <v>90.256586189092346</v>
      </c>
      <c r="T86" s="87">
        <f>IF(TrRoad_act!T8=0,0,T22/TrRoad_act!T8*1000)</f>
        <v>89.725984200019511</v>
      </c>
      <c r="U86" s="87">
        <f>IF(TrRoad_act!U8=0,0,U22/TrRoad_act!U8*1000)</f>
        <v>88.519835383710983</v>
      </c>
      <c r="V86" s="87">
        <f>IF(TrRoad_act!V8=0,0,V22/TrRoad_act!V8*1000)</f>
        <v>98.260047844232943</v>
      </c>
      <c r="W86" s="87">
        <f>IF(TrRoad_act!W8=0,0,W22/TrRoad_act!W8*1000)</f>
        <v>110.49725635453126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91.947930615821889</v>
      </c>
      <c r="C87" s="87">
        <f>IF(TrRoad_act!C9=0,0,C23/TrRoad_act!C9*1000)</f>
        <v>95.695603201552913</v>
      </c>
      <c r="D87" s="87">
        <f>IF(TrRoad_act!D9=0,0,D23/TrRoad_act!D9*1000)</f>
        <v>96.202518496965197</v>
      </c>
      <c r="E87" s="87">
        <f>IF(TrRoad_act!E9=0,0,E23/TrRoad_act!E9*1000)</f>
        <v>95.258873032585228</v>
      </c>
      <c r="F87" s="87">
        <f>IF(TrRoad_act!F9=0,0,F23/TrRoad_act!F9*1000)</f>
        <v>87.822200569294338</v>
      </c>
      <c r="G87" s="87">
        <f>IF(TrRoad_act!G9=0,0,G23/TrRoad_act!G9*1000)</f>
        <v>84.348106979917858</v>
      </c>
      <c r="H87" s="87">
        <f>IF(TrRoad_act!H9=0,0,H23/TrRoad_act!H9*1000)</f>
        <v>81.43217428047835</v>
      </c>
      <c r="I87" s="87">
        <f>IF(TrRoad_act!I9=0,0,I23/TrRoad_act!I9*1000)</f>
        <v>79.949190838684899</v>
      </c>
      <c r="J87" s="87">
        <f>IF(TrRoad_act!J9=0,0,J23/TrRoad_act!J9*1000)</f>
        <v>93.327235217930905</v>
      </c>
      <c r="K87" s="87">
        <f>IF(TrRoad_act!K9=0,0,K23/TrRoad_act!K9*1000)</f>
        <v>87.301210258133679</v>
      </c>
      <c r="L87" s="87">
        <f>IF(TrRoad_act!L9=0,0,L23/TrRoad_act!L9*1000)</f>
        <v>86.49273620230791</v>
      </c>
      <c r="M87" s="87">
        <f>IF(TrRoad_act!M9=0,0,M23/TrRoad_act!M9*1000)</f>
        <v>94.097309072511251</v>
      </c>
      <c r="N87" s="87">
        <f>IF(TrRoad_act!N9=0,0,N23/TrRoad_act!N9*1000)</f>
        <v>102.69107642265277</v>
      </c>
      <c r="O87" s="87">
        <f>IF(TrRoad_act!O9=0,0,O23/TrRoad_act!O9*1000)</f>
        <v>97.106261480017977</v>
      </c>
      <c r="P87" s="87">
        <f>IF(TrRoad_act!P9=0,0,P23/TrRoad_act!P9*1000)</f>
        <v>100.1087184909405</v>
      </c>
      <c r="Q87" s="87">
        <f>IF(TrRoad_act!Q9=0,0,Q23/TrRoad_act!Q9*1000)</f>
        <v>92.723400412975053</v>
      </c>
      <c r="R87" s="87">
        <f>IF(TrRoad_act!R9=0,0,R23/TrRoad_act!R9*1000)</f>
        <v>87.417610003151253</v>
      </c>
      <c r="S87" s="87">
        <f>IF(TrRoad_act!S9=0,0,S23/TrRoad_act!S9*1000)</f>
        <v>84.504689603373706</v>
      </c>
      <c r="T87" s="87">
        <f>IF(TrRoad_act!T9=0,0,T23/TrRoad_act!T9*1000)</f>
        <v>80.78470667521195</v>
      </c>
      <c r="U87" s="87">
        <f>IF(TrRoad_act!U9=0,0,U23/TrRoad_act!U9*1000)</f>
        <v>78.796143605282651</v>
      </c>
      <c r="V87" s="87">
        <f>IF(TrRoad_act!V9=0,0,V23/TrRoad_act!V9*1000)</f>
        <v>92.606688038993369</v>
      </c>
      <c r="W87" s="87">
        <f>IF(TrRoad_act!W9=0,0,W23/TrRoad_act!W9*1000)</f>
        <v>91.285168616783793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96.280027078164025</v>
      </c>
      <c r="C88" s="87">
        <f>IF(TrRoad_act!C10=0,0,C24/TrRoad_act!C10*1000)</f>
        <v>97.810077579605831</v>
      </c>
      <c r="D88" s="87">
        <f>IF(TrRoad_act!D10=0,0,D24/TrRoad_act!D10*1000)</f>
        <v>96.696897535650692</v>
      </c>
      <c r="E88" s="87">
        <f>IF(TrRoad_act!E10=0,0,E24/TrRoad_act!E10*1000)</f>
        <v>96.736716357852231</v>
      </c>
      <c r="F88" s="87">
        <f>IF(TrRoad_act!F10=0,0,F24/TrRoad_act!F10*1000)</f>
        <v>99.059817670071055</v>
      </c>
      <c r="G88" s="87">
        <f>IF(TrRoad_act!G10=0,0,G24/TrRoad_act!G10*1000)</f>
        <v>103.06849087367341</v>
      </c>
      <c r="H88" s="87">
        <f>IF(TrRoad_act!H10=0,0,H24/TrRoad_act!H10*1000)</f>
        <v>105.83738079935304</v>
      </c>
      <c r="I88" s="87">
        <f>IF(TrRoad_act!I10=0,0,I24/TrRoad_act!I10*1000)</f>
        <v>103.73199226154054</v>
      </c>
      <c r="J88" s="87">
        <f>IF(TrRoad_act!J10=0,0,J24/TrRoad_act!J10*1000)</f>
        <v>101.16981906351408</v>
      </c>
      <c r="K88" s="87">
        <f>IF(TrRoad_act!K10=0,0,K24/TrRoad_act!K10*1000)</f>
        <v>87.000914433423517</v>
      </c>
      <c r="L88" s="87">
        <f>IF(TrRoad_act!L10=0,0,L24/TrRoad_act!L10*1000)</f>
        <v>95.860542763636957</v>
      </c>
      <c r="M88" s="87">
        <f>IF(TrRoad_act!M10=0,0,M24/TrRoad_act!M10*1000)</f>
        <v>97.654708451692656</v>
      </c>
      <c r="N88" s="87">
        <f>IF(TrRoad_act!N10=0,0,N24/TrRoad_act!N10*1000)</f>
        <v>105.43357208180011</v>
      </c>
      <c r="O88" s="87">
        <f>IF(TrRoad_act!O10=0,0,O24/TrRoad_act!O10*1000)</f>
        <v>98.550586034603967</v>
      </c>
      <c r="P88" s="87">
        <f>IF(TrRoad_act!P10=0,0,P24/TrRoad_act!P10*1000)</f>
        <v>97.82185846158977</v>
      </c>
      <c r="Q88" s="87">
        <f>IF(TrRoad_act!Q10=0,0,Q24/TrRoad_act!Q10*1000)</f>
        <v>93.750816667229472</v>
      </c>
      <c r="R88" s="87">
        <f>IF(TrRoad_act!R10=0,0,R24/TrRoad_act!R10*1000)</f>
        <v>89.367377157716291</v>
      </c>
      <c r="S88" s="87">
        <f>IF(TrRoad_act!S10=0,0,S24/TrRoad_act!S10*1000)</f>
        <v>75.609312461171896</v>
      </c>
      <c r="T88" s="87">
        <f>IF(TrRoad_act!T10=0,0,T24/TrRoad_act!T10*1000)</f>
        <v>76.854086707788596</v>
      </c>
      <c r="U88" s="87">
        <f>IF(TrRoad_act!U10=0,0,U24/TrRoad_act!U10*1000)</f>
        <v>82.680764649368058</v>
      </c>
      <c r="V88" s="87">
        <f>IF(TrRoad_act!V10=0,0,V24/TrRoad_act!V10*1000)</f>
        <v>96.674018092477738</v>
      </c>
      <c r="W88" s="87">
        <f>IF(TrRoad_act!W10=0,0,W24/TrRoad_act!W10*1000)</f>
        <v>93.858102160345155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59.29066322447629</v>
      </c>
      <c r="O89" s="87">
        <f>IF(TrRoad_act!O11=0,0,O25/TrRoad_act!O11*1000)</f>
        <v>64.016478607508645</v>
      </c>
      <c r="P89" s="87">
        <f>IF(TrRoad_act!P11=0,0,P25/TrRoad_act!P11*1000)</f>
        <v>67.062540920559599</v>
      </c>
      <c r="Q89" s="87">
        <f>IF(TrRoad_act!Q11=0,0,Q25/TrRoad_act!Q11*1000)</f>
        <v>64.411811229222209</v>
      </c>
      <c r="R89" s="87">
        <f>IF(TrRoad_act!R11=0,0,R25/TrRoad_act!R11*1000)</f>
        <v>58.682995212808116</v>
      </c>
      <c r="S89" s="87">
        <f>IF(TrRoad_act!S11=0,0,S25/TrRoad_act!S11*1000)</f>
        <v>56.558824976276441</v>
      </c>
      <c r="T89" s="87">
        <f>IF(TrRoad_act!T11=0,0,T25/TrRoad_act!T11*1000)</f>
        <v>60.79367191504921</v>
      </c>
      <c r="U89" s="87">
        <f>IF(TrRoad_act!U11=0,0,U25/TrRoad_act!U11*1000)</f>
        <v>57.067582048926326</v>
      </c>
      <c r="V89" s="87">
        <f>IF(TrRoad_act!V11=0,0,V25/TrRoad_act!V11*1000)</f>
        <v>52.274503442107005</v>
      </c>
      <c r="W89" s="87">
        <f>IF(TrRoad_act!W11=0,0,W25/TrRoad_act!W11*1000)</f>
        <v>50.027193541742356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70.550664665401456</v>
      </c>
      <c r="C91" s="116">
        <f>IF(TrRoad_act!C13=0,0,C27/TrRoad_act!C13*1000)</f>
        <v>69.181328871456188</v>
      </c>
      <c r="D91" s="116">
        <f>IF(TrRoad_act!D13=0,0,D27/TrRoad_act!D13*1000)</f>
        <v>68.552280004120462</v>
      </c>
      <c r="E91" s="116">
        <f>IF(TrRoad_act!E13=0,0,E27/TrRoad_act!E13*1000)</f>
        <v>67.711228122581105</v>
      </c>
      <c r="F91" s="116">
        <f>IF(TrRoad_act!F13=0,0,F27/TrRoad_act!F13*1000)</f>
        <v>66.532376067116232</v>
      </c>
      <c r="G91" s="116">
        <f>IF(TrRoad_act!G13=0,0,G27/TrRoad_act!G13*1000)</f>
        <v>66.040655703762823</v>
      </c>
      <c r="H91" s="116">
        <f>IF(TrRoad_act!H13=0,0,H27/TrRoad_act!H13*1000)</f>
        <v>65.301480582801901</v>
      </c>
      <c r="I91" s="116">
        <f>IF(TrRoad_act!I13=0,0,I27/TrRoad_act!I13*1000)</f>
        <v>65.340521504596197</v>
      </c>
      <c r="J91" s="116">
        <f>IF(TrRoad_act!J13=0,0,J27/TrRoad_act!J13*1000)</f>
        <v>64.474999703058145</v>
      </c>
      <c r="K91" s="116">
        <f>IF(TrRoad_act!K13=0,0,K27/TrRoad_act!K13*1000)</f>
        <v>63.511949827376235</v>
      </c>
      <c r="L91" s="116">
        <f>IF(TrRoad_act!L13=0,0,L27/TrRoad_act!L13*1000)</f>
        <v>63.450865001028049</v>
      </c>
      <c r="M91" s="116">
        <f>IF(TrRoad_act!M13=0,0,M27/TrRoad_act!M13*1000)</f>
        <v>65.042197194419359</v>
      </c>
      <c r="N91" s="116">
        <f>IF(TrRoad_act!N13=0,0,N27/TrRoad_act!N13*1000)</f>
        <v>63.009604195301137</v>
      </c>
      <c r="O91" s="116">
        <f>IF(TrRoad_act!O13=0,0,O27/TrRoad_act!O13*1000)</f>
        <v>63.058589936668078</v>
      </c>
      <c r="P91" s="116">
        <f>IF(TrRoad_act!P13=0,0,P27/TrRoad_act!P13*1000)</f>
        <v>63.478699903306982</v>
      </c>
      <c r="Q91" s="116">
        <f>IF(TrRoad_act!Q13=0,0,Q27/TrRoad_act!Q13*1000)</f>
        <v>64.903624417348738</v>
      </c>
      <c r="R91" s="116">
        <f>IF(TrRoad_act!R13=0,0,R27/TrRoad_act!R13*1000)</f>
        <v>65.216485803906522</v>
      </c>
      <c r="S91" s="116">
        <f>IF(TrRoad_act!S13=0,0,S27/TrRoad_act!S13*1000)</f>
        <v>65.154380694685969</v>
      </c>
      <c r="T91" s="116">
        <f>IF(TrRoad_act!T13=0,0,T27/TrRoad_act!T13*1000)</f>
        <v>65.055009696960767</v>
      </c>
      <c r="U91" s="116">
        <f>IF(TrRoad_act!U13=0,0,U27/TrRoad_act!U13*1000)</f>
        <v>65.330763907916875</v>
      </c>
      <c r="V91" s="116">
        <f>IF(TrRoad_act!V13=0,0,V27/TrRoad_act!V13*1000)</f>
        <v>114.76320707068501</v>
      </c>
      <c r="W91" s="116">
        <f>IF(TrRoad_act!W13=0,0,W27/TrRoad_act!W13*1000)</f>
        <v>85.692328208739013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52.238871407693949</v>
      </c>
      <c r="C92" s="101">
        <f>IF(TrRoad_act!C14=0,0,C28/TrRoad_act!C14*1000)</f>
        <v>52.240611599617921</v>
      </c>
      <c r="D92" s="101">
        <f>IF(TrRoad_act!D14=0,0,D28/TrRoad_act!D14*1000)</f>
        <v>52.244092157376691</v>
      </c>
      <c r="E92" s="101">
        <f>IF(TrRoad_act!E14=0,0,E28/TrRoad_act!E14*1000)</f>
        <v>52.251053968591592</v>
      </c>
      <c r="F92" s="101">
        <f>IF(TrRoad_act!F14=0,0,F28/TrRoad_act!F14*1000)</f>
        <v>52.264980374243294</v>
      </c>
      <c r="G92" s="101">
        <f>IF(TrRoad_act!G14=0,0,G28/TrRoad_act!G14*1000)</f>
        <v>52.292844321896531</v>
      </c>
      <c r="H92" s="101">
        <f>IF(TrRoad_act!H14=0,0,H28/TrRoad_act!H14*1000)</f>
        <v>52.34861679031183</v>
      </c>
      <c r="I92" s="101">
        <f>IF(TrRoad_act!I14=0,0,I28/TrRoad_act!I14*1000)</f>
        <v>52.245447491084114</v>
      </c>
      <c r="J92" s="101">
        <f>IF(TrRoad_act!J14=0,0,J28/TrRoad_act!J14*1000)</f>
        <v>51.416116662184692</v>
      </c>
      <c r="K92" s="101">
        <f>IF(TrRoad_act!K14=0,0,K28/TrRoad_act!K14*1000)</f>
        <v>51.390134148007846</v>
      </c>
      <c r="L92" s="101">
        <f>IF(TrRoad_act!L14=0,0,L28/TrRoad_act!L14*1000)</f>
        <v>51.369032900575782</v>
      </c>
      <c r="M92" s="101">
        <f>IF(TrRoad_act!M14=0,0,M28/TrRoad_act!M14*1000)</f>
        <v>52.01931744636272</v>
      </c>
      <c r="N92" s="101">
        <f>IF(TrRoad_act!N14=0,0,N28/TrRoad_act!N14*1000)</f>
        <v>50.015238791224611</v>
      </c>
      <c r="O92" s="101">
        <f>IF(TrRoad_act!O14=0,0,O28/TrRoad_act!O14*1000)</f>
        <v>44.426396223702973</v>
      </c>
      <c r="P92" s="101">
        <f>IF(TrRoad_act!P14=0,0,P28/TrRoad_act!P14*1000)</f>
        <v>41.918667486479961</v>
      </c>
      <c r="Q92" s="101">
        <f>IF(TrRoad_act!Q14=0,0,Q28/TrRoad_act!Q14*1000)</f>
        <v>42.169942100207528</v>
      </c>
      <c r="R92" s="101">
        <f>IF(TrRoad_act!R14=0,0,R28/TrRoad_act!R14*1000)</f>
        <v>42.095992955899824</v>
      </c>
      <c r="S92" s="101">
        <f>IF(TrRoad_act!S14=0,0,S28/TrRoad_act!S14*1000)</f>
        <v>41.921427339769984</v>
      </c>
      <c r="T92" s="101">
        <f>IF(TrRoad_act!T14=0,0,T28/TrRoad_act!T14*1000)</f>
        <v>41.793777527599417</v>
      </c>
      <c r="U92" s="101">
        <f>IF(TrRoad_act!U14=0,0,U28/TrRoad_act!U14*1000)</f>
        <v>40.666741915176978</v>
      </c>
      <c r="V92" s="101">
        <f>IF(TrRoad_act!V14=0,0,V28/TrRoad_act!V14*1000)</f>
        <v>56.907927206548152</v>
      </c>
      <c r="W92" s="101">
        <f>IF(TrRoad_act!W14=0,0,W28/TrRoad_act!W14*1000)</f>
        <v>52.421874542929118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71.251179502614676</v>
      </c>
      <c r="C93" s="101">
        <f>IF(TrRoad_act!C15=0,0,C29/TrRoad_act!C15*1000)</f>
        <v>69.815313944696598</v>
      </c>
      <c r="D93" s="101">
        <f>IF(TrRoad_act!D15=0,0,D29/TrRoad_act!D15*1000)</f>
        <v>69.077455651900664</v>
      </c>
      <c r="E93" s="101">
        <f>IF(TrRoad_act!E15=0,0,E29/TrRoad_act!E15*1000)</f>
        <v>68.517679034201578</v>
      </c>
      <c r="F93" s="101">
        <f>IF(TrRoad_act!F15=0,0,F29/TrRoad_act!F15*1000)</f>
        <v>67.324741562556596</v>
      </c>
      <c r="G93" s="101">
        <f>IF(TrRoad_act!G15=0,0,G29/TrRoad_act!G15*1000)</f>
        <v>67.250147656657049</v>
      </c>
      <c r="H93" s="101">
        <f>IF(TrRoad_act!H15=0,0,H29/TrRoad_act!H15*1000)</f>
        <v>67.131297817503196</v>
      </c>
      <c r="I93" s="101">
        <f>IF(TrRoad_act!I15=0,0,I29/TrRoad_act!I15*1000)</f>
        <v>67.188551563311336</v>
      </c>
      <c r="J93" s="101">
        <f>IF(TrRoad_act!J15=0,0,J29/TrRoad_act!J15*1000)</f>
        <v>65.876337563926697</v>
      </c>
      <c r="K93" s="101">
        <f>IF(TrRoad_act!K15=0,0,K29/TrRoad_act!K15*1000)</f>
        <v>65.395042952388152</v>
      </c>
      <c r="L93" s="101">
        <f>IF(TrRoad_act!L15=0,0,L29/TrRoad_act!L15*1000)</f>
        <v>65.361622352726286</v>
      </c>
      <c r="M93" s="101">
        <f>IF(TrRoad_act!M15=0,0,M29/TrRoad_act!M15*1000)</f>
        <v>66.663556622764077</v>
      </c>
      <c r="N93" s="101">
        <f>IF(TrRoad_act!N15=0,0,N29/TrRoad_act!N15*1000)</f>
        <v>64.245265321640687</v>
      </c>
      <c r="O93" s="101">
        <f>IF(TrRoad_act!O15=0,0,O29/TrRoad_act!O15*1000)</f>
        <v>64.531245316044348</v>
      </c>
      <c r="P93" s="101">
        <f>IF(TrRoad_act!P15=0,0,P29/TrRoad_act!P15*1000)</f>
        <v>65.229742731690422</v>
      </c>
      <c r="Q93" s="101">
        <f>IF(TrRoad_act!Q15=0,0,Q29/TrRoad_act!Q15*1000)</f>
        <v>66.238714501882583</v>
      </c>
      <c r="R93" s="101">
        <f>IF(TrRoad_act!R15=0,0,R29/TrRoad_act!R15*1000)</f>
        <v>67.032323905928536</v>
      </c>
      <c r="S93" s="101">
        <f>IF(TrRoad_act!S15=0,0,S29/TrRoad_act!S15*1000)</f>
        <v>67.213760382330776</v>
      </c>
      <c r="T93" s="101">
        <f>IF(TrRoad_act!T15=0,0,T29/TrRoad_act!T15*1000)</f>
        <v>67.275869831656834</v>
      </c>
      <c r="U93" s="101">
        <f>IF(TrRoad_act!U15=0,0,U29/TrRoad_act!U15*1000)</f>
        <v>67.613817733637532</v>
      </c>
      <c r="V93" s="101">
        <f>IF(TrRoad_act!V15=0,0,V29/TrRoad_act!V15*1000)</f>
        <v>120.70080879963346</v>
      </c>
      <c r="W93" s="101">
        <f>IF(TrRoad_act!W15=0,0,W29/TrRoad_act!W15*1000)</f>
        <v>88.135795486467259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50.821815022833974</v>
      </c>
      <c r="C94" s="101">
        <f>IF(TrRoad_act!C16=0,0,C30/TrRoad_act!C16*1000)</f>
        <v>50.089103047693882</v>
      </c>
      <c r="D94" s="101">
        <f>IF(TrRoad_act!D16=0,0,D30/TrRoad_act!D16*1000)</f>
        <v>50.067620049414352</v>
      </c>
      <c r="E94" s="101">
        <f>IF(TrRoad_act!E16=0,0,E30/TrRoad_act!E16*1000)</f>
        <v>49.35318279000623</v>
      </c>
      <c r="F94" s="101">
        <f>IF(TrRoad_act!F16=0,0,F30/TrRoad_act!F16*1000)</f>
        <v>48.237917675330266</v>
      </c>
      <c r="G94" s="101">
        <f>IF(TrRoad_act!G16=0,0,G30/TrRoad_act!G16*1000)</f>
        <v>47.891157559377099</v>
      </c>
      <c r="H94" s="101">
        <f>IF(TrRoad_act!H16=0,0,H30/TrRoad_act!H16*1000)</f>
        <v>47.896468872604451</v>
      </c>
      <c r="I94" s="101">
        <f>IF(TrRoad_act!I16=0,0,I30/TrRoad_act!I16*1000)</f>
        <v>47.957904706242267</v>
      </c>
      <c r="J94" s="101">
        <f>IF(TrRoad_act!J16=0,0,J30/TrRoad_act!J16*1000)</f>
        <v>48.1986729180623</v>
      </c>
      <c r="K94" s="101">
        <f>IF(TrRoad_act!K16=0,0,K30/TrRoad_act!K16*1000)</f>
        <v>48.86383074354238</v>
      </c>
      <c r="L94" s="101">
        <f>IF(TrRoad_act!L16=0,0,L30/TrRoad_act!L16*1000)</f>
        <v>49.46136029923079</v>
      </c>
      <c r="M94" s="101">
        <f>IF(TrRoad_act!M16=0,0,M30/TrRoad_act!M16*1000)</f>
        <v>50.353940687192093</v>
      </c>
      <c r="N94" s="101">
        <f>IF(TrRoad_act!N16=0,0,N30/TrRoad_act!N16*1000)</f>
        <v>48.556117475840544</v>
      </c>
      <c r="O94" s="101">
        <f>IF(TrRoad_act!O16=0,0,O30/TrRoad_act!O16*1000)</f>
        <v>48.498091171526575</v>
      </c>
      <c r="P94" s="101">
        <f>IF(TrRoad_act!P16=0,0,P30/TrRoad_act!P16*1000)</f>
        <v>48.403876825922339</v>
      </c>
      <c r="Q94" s="101">
        <f>IF(TrRoad_act!Q16=0,0,Q30/TrRoad_act!Q16*1000)</f>
        <v>49.067361648202009</v>
      </c>
      <c r="R94" s="101">
        <f>IF(TrRoad_act!R16=0,0,R30/TrRoad_act!R16*1000)</f>
        <v>49.049637796517793</v>
      </c>
      <c r="S94" s="101">
        <f>IF(TrRoad_act!S16=0,0,S30/TrRoad_act!S16*1000)</f>
        <v>49.031794225623273</v>
      </c>
      <c r="T94" s="101">
        <f>IF(TrRoad_act!T16=0,0,T30/TrRoad_act!T16*1000)</f>
        <v>49.737115259406607</v>
      </c>
      <c r="U94" s="101">
        <f>IF(TrRoad_act!U16=0,0,U30/TrRoad_act!U16*1000)</f>
        <v>49.725144463899056</v>
      </c>
      <c r="V94" s="101">
        <f>IF(TrRoad_act!V16=0,0,V30/TrRoad_act!V16*1000)</f>
        <v>89.447309609343122</v>
      </c>
      <c r="W94" s="101">
        <f>IF(TrRoad_act!W16=0,0,W30/TrRoad_act!W16*1000)</f>
        <v>64.615362232298679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3.9944860541857534</v>
      </c>
      <c r="C95" s="101">
        <f>IF(TrRoad_act!C17=0,0,C31/TrRoad_act!C17*1000)</f>
        <v>3.9468633894868699</v>
      </c>
      <c r="D95" s="101">
        <f>IF(TrRoad_act!D17=0,0,D31/TrRoad_act!D17*1000)</f>
        <v>3.9455429323411009</v>
      </c>
      <c r="E95" s="101">
        <f>IF(TrRoad_act!E17=0,0,E31/TrRoad_act!E17*1000)</f>
        <v>3.7694880521400154</v>
      </c>
      <c r="F95" s="101">
        <f>IF(TrRoad_act!F17=0,0,F31/TrRoad_act!F17*1000)</f>
        <v>3.7533904985902988</v>
      </c>
      <c r="G95" s="101">
        <f>IF(TrRoad_act!G17=0,0,G31/TrRoad_act!G17*1000)</f>
        <v>3.68806296581766</v>
      </c>
      <c r="H95" s="101">
        <f>IF(TrRoad_act!H17=0,0,H31/TrRoad_act!H17*1000)</f>
        <v>3.6801612431806547</v>
      </c>
      <c r="I95" s="101">
        <f>IF(TrRoad_act!I17=0,0,I31/TrRoad_act!I17*1000)</f>
        <v>12.109629364724341</v>
      </c>
      <c r="J95" s="101">
        <f>IF(TrRoad_act!J17=0,0,J31/TrRoad_act!J17*1000)</f>
        <v>27.0539491678805</v>
      </c>
      <c r="K95" s="101">
        <f>IF(TrRoad_act!K17=0,0,K31/TrRoad_act!K17*1000)</f>
        <v>19.69787755377223</v>
      </c>
      <c r="L95" s="101">
        <f>IF(TrRoad_act!L17=0,0,L31/TrRoad_act!L17*1000)</f>
        <v>21.02619923243255</v>
      </c>
      <c r="M95" s="101">
        <f>IF(TrRoad_act!M17=0,0,M31/TrRoad_act!M17*1000)</f>
        <v>34.134787494065051</v>
      </c>
      <c r="N95" s="101">
        <f>IF(TrRoad_act!N17=0,0,N31/TrRoad_act!N17*1000)</f>
        <v>41.331546832851046</v>
      </c>
      <c r="O95" s="101">
        <f>IF(TrRoad_act!O17=0,0,O31/TrRoad_act!O17*1000)</f>
        <v>44.017438755003859</v>
      </c>
      <c r="P95" s="101">
        <f>IF(TrRoad_act!P17=0,0,P31/TrRoad_act!P17*1000)</f>
        <v>38.211830634734916</v>
      </c>
      <c r="Q95" s="101">
        <f>IF(TrRoad_act!Q17=0,0,Q31/TrRoad_act!Q17*1000)</f>
        <v>44.69749279129806</v>
      </c>
      <c r="R95" s="101">
        <f>IF(TrRoad_act!R17=0,0,R31/TrRoad_act!R17*1000)</f>
        <v>29.937864840839094</v>
      </c>
      <c r="S95" s="101">
        <f>IF(TrRoad_act!S17=0,0,S31/TrRoad_act!S17*1000)</f>
        <v>31.788842243708419</v>
      </c>
      <c r="T95" s="101">
        <f>IF(TrRoad_act!T17=0,0,T31/TrRoad_act!T17*1000)</f>
        <v>31.492428042448445</v>
      </c>
      <c r="U95" s="101">
        <f>IF(TrRoad_act!U17=0,0,U31/TrRoad_act!U17*1000)</f>
        <v>34.154917439636236</v>
      </c>
      <c r="V95" s="101">
        <f>IF(TrRoad_act!V17=0,0,V31/TrRoad_act!V17*1000)</f>
        <v>30.632232867387827</v>
      </c>
      <c r="W95" s="101">
        <f>IF(TrRoad_act!W17=0,0,W31/TrRoad_act!W17*1000)</f>
        <v>61.527834148732509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156.67042628934519</v>
      </c>
      <c r="C97" s="29">
        <f>IF(TrRoad_act!C19=0,0,C33/TrRoad_act!C19*1000)</f>
        <v>167.59316130131421</v>
      </c>
      <c r="D97" s="29">
        <f>IF(TrRoad_act!D19=0,0,D33/TrRoad_act!D19*1000)</f>
        <v>161.07297528696378</v>
      </c>
      <c r="E97" s="29">
        <f>IF(TrRoad_act!E19=0,0,E33/TrRoad_act!E19*1000)</f>
        <v>178.9418233080948</v>
      </c>
      <c r="F97" s="29">
        <f>IF(TrRoad_act!F19=0,0,F33/TrRoad_act!F19*1000)</f>
        <v>168.27709215441496</v>
      </c>
      <c r="G97" s="29">
        <f>IF(TrRoad_act!G19=0,0,G33/TrRoad_act!G19*1000)</f>
        <v>164.04189860751833</v>
      </c>
      <c r="H97" s="29">
        <f>IF(TrRoad_act!H19=0,0,H33/TrRoad_act!H19*1000)</f>
        <v>171.71801502148247</v>
      </c>
      <c r="I97" s="29">
        <f>IF(TrRoad_act!I19=0,0,I33/TrRoad_act!I19*1000)</f>
        <v>177.76944483329785</v>
      </c>
      <c r="J97" s="29">
        <f>IF(TrRoad_act!J19=0,0,J33/TrRoad_act!J19*1000)</f>
        <v>155.02497593207593</v>
      </c>
      <c r="K97" s="29">
        <f>IF(TrRoad_act!K19=0,0,K33/TrRoad_act!K19*1000)</f>
        <v>150.16814788248615</v>
      </c>
      <c r="L97" s="29">
        <f>IF(TrRoad_act!L19=0,0,L33/TrRoad_act!L19*1000)</f>
        <v>139.36075486265503</v>
      </c>
      <c r="M97" s="29">
        <f>IF(TrRoad_act!M19=0,0,M33/TrRoad_act!M19*1000)</f>
        <v>167.56889429400482</v>
      </c>
      <c r="N97" s="29">
        <f>IF(TrRoad_act!N19=0,0,N33/TrRoad_act!N19*1000)</f>
        <v>182.14811349036563</v>
      </c>
      <c r="O97" s="29">
        <f>IF(TrRoad_act!O19=0,0,O33/TrRoad_act!O19*1000)</f>
        <v>154.24621646156245</v>
      </c>
      <c r="P97" s="29">
        <f>IF(TrRoad_act!P19=0,0,P33/TrRoad_act!P19*1000)</f>
        <v>161.33870825199611</v>
      </c>
      <c r="Q97" s="29">
        <f>IF(TrRoad_act!Q19=0,0,Q33/TrRoad_act!Q19*1000)</f>
        <v>144.36492661517585</v>
      </c>
      <c r="R97" s="29">
        <f>IF(TrRoad_act!R19=0,0,R33/TrRoad_act!R19*1000)</f>
        <v>141.82537562436178</v>
      </c>
      <c r="S97" s="29">
        <f>IF(TrRoad_act!S19=0,0,S33/TrRoad_act!S19*1000)</f>
        <v>111.61136503148623</v>
      </c>
      <c r="T97" s="29">
        <f>IF(TrRoad_act!T19=0,0,T33/TrRoad_act!T19*1000)</f>
        <v>131.39559087123078</v>
      </c>
      <c r="U97" s="29">
        <f>IF(TrRoad_act!U19=0,0,U33/TrRoad_act!U19*1000)</f>
        <v>125.8177809257588</v>
      </c>
      <c r="V97" s="29">
        <f>IF(TrRoad_act!V19=0,0,V33/TrRoad_act!V19*1000)</f>
        <v>117.2901587148348</v>
      </c>
      <c r="W97" s="29">
        <f>IF(TrRoad_act!W19=0,0,W33/TrRoad_act!W19*1000)</f>
        <v>146.72264198666909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1982.4958554093573</v>
      </c>
      <c r="C98" s="152">
        <f>IF(TrRoad_act!C20=0,0,C34/TrRoad_act!C20*1000)</f>
        <v>1845.7042104540828</v>
      </c>
      <c r="D98" s="152">
        <f>IF(TrRoad_act!D20=0,0,D34/TrRoad_act!D20*1000)</f>
        <v>1742.3062270331368</v>
      </c>
      <c r="E98" s="152">
        <f>IF(TrRoad_act!E20=0,0,E34/TrRoad_act!E20*1000)</f>
        <v>1681.889003915848</v>
      </c>
      <c r="F98" s="152">
        <f>IF(TrRoad_act!F20=0,0,F34/TrRoad_act!F20*1000)</f>
        <v>1635.5720906375909</v>
      </c>
      <c r="G98" s="152">
        <f>IF(TrRoad_act!G20=0,0,G34/TrRoad_act!G20*1000)</f>
        <v>1600.609615699017</v>
      </c>
      <c r="H98" s="152">
        <f>IF(TrRoad_act!H20=0,0,H34/TrRoad_act!H20*1000)</f>
        <v>1503.6895840527582</v>
      </c>
      <c r="I98" s="152">
        <f>IF(TrRoad_act!I20=0,0,I34/TrRoad_act!I20*1000)</f>
        <v>1477.1456827756504</v>
      </c>
      <c r="J98" s="152">
        <f>IF(TrRoad_act!J20=0,0,J34/TrRoad_act!J20*1000)</f>
        <v>1406.7384890648016</v>
      </c>
      <c r="K98" s="152">
        <f>IF(TrRoad_act!K20=0,0,K34/TrRoad_act!K20*1000)</f>
        <v>1345.0846438262265</v>
      </c>
      <c r="L98" s="152">
        <f>IF(TrRoad_act!L20=0,0,L34/TrRoad_act!L20*1000)</f>
        <v>1322.5341739971757</v>
      </c>
      <c r="M98" s="152">
        <f>IF(TrRoad_act!M20=0,0,M34/TrRoad_act!M20*1000)</f>
        <v>1307.3492673577991</v>
      </c>
      <c r="N98" s="152">
        <f>IF(TrRoad_act!N20=0,0,N34/TrRoad_act!N20*1000)</f>
        <v>1250.7739552578525</v>
      </c>
      <c r="O98" s="152">
        <f>IF(TrRoad_act!O20=0,0,O34/TrRoad_act!O20*1000)</f>
        <v>1202.150769715412</v>
      </c>
      <c r="P98" s="152">
        <f>IF(TrRoad_act!P20=0,0,P34/TrRoad_act!P20*1000)</f>
        <v>1195.3750409685517</v>
      </c>
      <c r="Q98" s="152">
        <f>IF(TrRoad_act!Q20=0,0,Q34/TrRoad_act!Q20*1000)</f>
        <v>1131.9369238172778</v>
      </c>
      <c r="R98" s="152">
        <f>IF(TrRoad_act!R20=0,0,R34/TrRoad_act!R20*1000)</f>
        <v>1093.8813277638531</v>
      </c>
      <c r="S98" s="152">
        <f>IF(TrRoad_act!S20=0,0,S34/TrRoad_act!S20*1000)</f>
        <v>1071.0058869014099</v>
      </c>
      <c r="T98" s="152">
        <f>IF(TrRoad_act!T20=0,0,T34/TrRoad_act!T20*1000)</f>
        <v>1056.6566303146033</v>
      </c>
      <c r="U98" s="152">
        <f>IF(TrRoad_act!U20=0,0,U34/TrRoad_act!U20*1000)</f>
        <v>1052.7707439471892</v>
      </c>
      <c r="V98" s="152">
        <f>IF(TrRoad_act!V20=0,0,V34/TrRoad_act!V20*1000)</f>
        <v>1030.7373627766308</v>
      </c>
      <c r="W98" s="152">
        <f>IF(TrRoad_act!W20=0,0,W34/TrRoad_act!W20*1000)</f>
        <v>1072.4249719383247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1928.3614634210314</v>
      </c>
      <c r="C99" s="87">
        <f>IF(TrRoad_act!C21=0,0,C35/TrRoad_act!C21*1000)</f>
        <v>1857.894690244176</v>
      </c>
      <c r="D99" s="87">
        <f>IF(TrRoad_act!D21=0,0,D35/TrRoad_act!D21*1000)</f>
        <v>1781.7418091084169</v>
      </c>
      <c r="E99" s="87">
        <f>IF(TrRoad_act!E21=0,0,E35/TrRoad_act!E21*1000)</f>
        <v>1722.6191792833044</v>
      </c>
      <c r="F99" s="87">
        <f>IF(TrRoad_act!F21=0,0,F35/TrRoad_act!F21*1000)</f>
        <v>1686.4950669077334</v>
      </c>
      <c r="G99" s="87">
        <f>IF(TrRoad_act!G21=0,0,G35/TrRoad_act!G21*1000)</f>
        <v>1639.5519110447276</v>
      </c>
      <c r="H99" s="87">
        <f>IF(TrRoad_act!H21=0,0,H35/TrRoad_act!H21*1000)</f>
        <v>1594.9075255420707</v>
      </c>
      <c r="I99" s="87">
        <f>IF(TrRoad_act!I21=0,0,I35/TrRoad_act!I21*1000)</f>
        <v>1565.1539013487643</v>
      </c>
      <c r="J99" s="87">
        <f>IF(TrRoad_act!J21=0,0,J35/TrRoad_act!J21*1000)</f>
        <v>1528.8756308484515</v>
      </c>
      <c r="K99" s="87">
        <f>IF(TrRoad_act!K21=0,0,K35/TrRoad_act!K21*1000)</f>
        <v>1512.1713983324264</v>
      </c>
      <c r="L99" s="87">
        <f>IF(TrRoad_act!L21=0,0,L35/TrRoad_act!L21*1000)</f>
        <v>1497.0957347317442</v>
      </c>
      <c r="M99" s="87">
        <f>IF(TrRoad_act!M21=0,0,M35/TrRoad_act!M21*1000)</f>
        <v>1478.7820807766011</v>
      </c>
      <c r="N99" s="87">
        <f>IF(TrRoad_act!N21=0,0,N35/TrRoad_act!N21*1000)</f>
        <v>1440.2755426911704</v>
      </c>
      <c r="O99" s="87">
        <f>IF(TrRoad_act!O21=0,0,O35/TrRoad_act!O21*1000)</f>
        <v>1429.0565187273264</v>
      </c>
      <c r="P99" s="87">
        <f>IF(TrRoad_act!P21=0,0,P35/TrRoad_act!P21*1000)</f>
        <v>1405.5800323068431</v>
      </c>
      <c r="Q99" s="87">
        <f>IF(TrRoad_act!Q21=0,0,Q35/TrRoad_act!Q21*1000)</f>
        <v>1364.8035334337519</v>
      </c>
      <c r="R99" s="87">
        <f>IF(TrRoad_act!R21=0,0,R35/TrRoad_act!R21*1000)</f>
        <v>1333.7882313781554</v>
      </c>
      <c r="S99" s="87">
        <f>IF(TrRoad_act!S21=0,0,S35/TrRoad_act!S21*1000)</f>
        <v>1326.1275550562293</v>
      </c>
      <c r="T99" s="87">
        <f>IF(TrRoad_act!T21=0,0,T35/TrRoad_act!T21*1000)</f>
        <v>1304.5758377318143</v>
      </c>
      <c r="U99" s="87">
        <f>IF(TrRoad_act!U21=0,0,U35/TrRoad_act!U21*1000)</f>
        <v>1286.1091031520025</v>
      </c>
      <c r="V99" s="87">
        <f>IF(TrRoad_act!V21=0,0,V35/TrRoad_act!V21*1000)</f>
        <v>1280.0152791715554</v>
      </c>
      <c r="W99" s="87">
        <f>IF(TrRoad_act!W21=0,0,W35/TrRoad_act!W21*1000)</f>
        <v>1281.7534041474685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1984.3532667249196</v>
      </c>
      <c r="C100" s="87">
        <f>IF(TrRoad_act!C22=0,0,C36/TrRoad_act!C22*1000)</f>
        <v>1844.879809828511</v>
      </c>
      <c r="D100" s="87">
        <f>IF(TrRoad_act!D22=0,0,D36/TrRoad_act!D22*1000)</f>
        <v>1740.3884221796757</v>
      </c>
      <c r="E100" s="87">
        <f>IF(TrRoad_act!E22=0,0,E36/TrRoad_act!E22*1000)</f>
        <v>1680.177065409436</v>
      </c>
      <c r="F100" s="87">
        <f>IF(TrRoad_act!F22=0,0,F36/TrRoad_act!F22*1000)</f>
        <v>1633.6865771002103</v>
      </c>
      <c r="G100" s="87">
        <f>IF(TrRoad_act!G22=0,0,G36/TrRoad_act!G22*1000)</f>
        <v>1599.4453888516346</v>
      </c>
      <c r="H100" s="87">
        <f>IF(TrRoad_act!H22=0,0,H36/TrRoad_act!H22*1000)</f>
        <v>1500.1417448739335</v>
      </c>
      <c r="I100" s="87">
        <f>IF(TrRoad_act!I22=0,0,I36/TrRoad_act!I22*1000)</f>
        <v>1474.3210826454854</v>
      </c>
      <c r="J100" s="87">
        <f>IF(TrRoad_act!J22=0,0,J36/TrRoad_act!J22*1000)</f>
        <v>1402.8267831499306</v>
      </c>
      <c r="K100" s="87">
        <f>IF(TrRoad_act!K22=0,0,K36/TrRoad_act!K22*1000)</f>
        <v>1340.4314119910598</v>
      </c>
      <c r="L100" s="87">
        <f>IF(TrRoad_act!L22=0,0,L36/TrRoad_act!L22*1000)</f>
        <v>1317.9072833152213</v>
      </c>
      <c r="M100" s="87">
        <f>IF(TrRoad_act!M22=0,0,M36/TrRoad_act!M22*1000)</f>
        <v>1303.0550516434134</v>
      </c>
      <c r="N100" s="87">
        <f>IF(TrRoad_act!N22=0,0,N36/TrRoad_act!N22*1000)</f>
        <v>1245.9425766860129</v>
      </c>
      <c r="O100" s="87">
        <f>IF(TrRoad_act!O22=0,0,O36/TrRoad_act!O22*1000)</f>
        <v>1194.7882720327375</v>
      </c>
      <c r="P100" s="87">
        <f>IF(TrRoad_act!P22=0,0,P36/TrRoad_act!P22*1000)</f>
        <v>1189.2376962075252</v>
      </c>
      <c r="Q100" s="87">
        <f>IF(TrRoad_act!Q22=0,0,Q36/TrRoad_act!Q22*1000)</f>
        <v>1122.9888939481134</v>
      </c>
      <c r="R100" s="87">
        <f>IF(TrRoad_act!R22=0,0,R36/TrRoad_act!R22*1000)</f>
        <v>1084.4386521514107</v>
      </c>
      <c r="S100" s="87">
        <f>IF(TrRoad_act!S22=0,0,S36/TrRoad_act!S22*1000)</f>
        <v>1063.0712806199701</v>
      </c>
      <c r="T100" s="87">
        <f>IF(TrRoad_act!T22=0,0,T36/TrRoad_act!T22*1000)</f>
        <v>1049.1742670609235</v>
      </c>
      <c r="U100" s="87">
        <f>IF(TrRoad_act!U22=0,0,U36/TrRoad_act!U22*1000)</f>
        <v>1044.1499191916632</v>
      </c>
      <c r="V100" s="87">
        <f>IF(TrRoad_act!V22=0,0,V36/TrRoad_act!V22*1000)</f>
        <v>1020.8530963008847</v>
      </c>
      <c r="W100" s="87">
        <f>IF(TrRoad_act!W22=0,0,W36/TrRoad_act!W22*1000)</f>
        <v>1064.0823601356369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2147.9473494971567</v>
      </c>
      <c r="C101" s="87">
        <f>IF(TrRoad_act!C23=0,0,C37/TrRoad_act!C23*1000)</f>
        <v>1992.3843582556576</v>
      </c>
      <c r="D101" s="87">
        <f>IF(TrRoad_act!D23=0,0,D37/TrRoad_act!D23*1000)</f>
        <v>1855.5111831353438</v>
      </c>
      <c r="E101" s="87">
        <f>IF(TrRoad_act!E23=0,0,E37/TrRoad_act!E23*1000)</f>
        <v>1750.3060961895642</v>
      </c>
      <c r="F101" s="87">
        <f>IF(TrRoad_act!F23=0,0,F37/TrRoad_act!F23*1000)</f>
        <v>1674.1037444390702</v>
      </c>
      <c r="G101" s="87">
        <f>IF(TrRoad_act!G23=0,0,G37/TrRoad_act!G23*1000)</f>
        <v>1594.3538701777211</v>
      </c>
      <c r="H101" s="87">
        <f>IF(TrRoad_act!H23=0,0,H37/TrRoad_act!H23*1000)</f>
        <v>1511.00341641349</v>
      </c>
      <c r="I101" s="87">
        <f>IF(TrRoad_act!I23=0,0,I37/TrRoad_act!I23*1000)</f>
        <v>1499.5221311168468</v>
      </c>
      <c r="J101" s="87">
        <f>IF(TrRoad_act!J23=0,0,J37/TrRoad_act!J23*1000)</f>
        <v>1449.9586929689506</v>
      </c>
      <c r="K101" s="87">
        <f>IF(TrRoad_act!K23=0,0,K37/TrRoad_act!K23*1000)</f>
        <v>1384.432656965032</v>
      </c>
      <c r="L101" s="87">
        <f>IF(TrRoad_act!L23=0,0,L37/TrRoad_act!L23*1000)</f>
        <v>1360.2929835109487</v>
      </c>
      <c r="M101" s="87">
        <f>IF(TrRoad_act!M23=0,0,M37/TrRoad_act!M23*1000)</f>
        <v>1350.5068960558876</v>
      </c>
      <c r="N101" s="87">
        <f>IF(TrRoad_act!N23=0,0,N37/TrRoad_act!N23*1000)</f>
        <v>1276.0372270601374</v>
      </c>
      <c r="O101" s="87">
        <f>IF(TrRoad_act!O23=0,0,O37/TrRoad_act!O23*1000)</f>
        <v>1255.6759745974214</v>
      </c>
      <c r="P101" s="87">
        <f>IF(TrRoad_act!P23=0,0,P37/TrRoad_act!P23*1000)</f>
        <v>1245.5253538875272</v>
      </c>
      <c r="Q101" s="87">
        <f>IF(TrRoad_act!Q23=0,0,Q37/TrRoad_act!Q23*1000)</f>
        <v>1211.0041481183925</v>
      </c>
      <c r="R101" s="87">
        <f>IF(TrRoad_act!R23=0,0,R37/TrRoad_act!R23*1000)</f>
        <v>1180.9512937356612</v>
      </c>
      <c r="S101" s="87">
        <f>IF(TrRoad_act!S23=0,0,S37/TrRoad_act!S23*1000)</f>
        <v>1163.4406273671125</v>
      </c>
      <c r="T101" s="87">
        <f>IF(TrRoad_act!T23=0,0,T37/TrRoad_act!T23*1000)</f>
        <v>1153.8215598471274</v>
      </c>
      <c r="U101" s="87">
        <f>IF(TrRoad_act!U23=0,0,U37/TrRoad_act!U23*1000)</f>
        <v>1143.1934581348978</v>
      </c>
      <c r="V101" s="87">
        <f>IF(TrRoad_act!V23=0,0,V37/TrRoad_act!V23*1000)</f>
        <v>1140.0110425141772</v>
      </c>
      <c r="W101" s="87">
        <f>IF(TrRoad_act!W23=0,0,W37/TrRoad_act!W23*1000)</f>
        <v>1224.5137815161138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2079.7782898609216</v>
      </c>
      <c r="C102" s="87">
        <f>IF(TrRoad_act!C24=0,0,C38/TrRoad_act!C24*1000)</f>
        <v>1892.0175244602149</v>
      </c>
      <c r="D102" s="87">
        <f>IF(TrRoad_act!D24=0,0,D38/TrRoad_act!D24*1000)</f>
        <v>1746.2085951988888</v>
      </c>
      <c r="E102" s="87">
        <f>IF(TrRoad_act!E24=0,0,E38/TrRoad_act!E24*1000)</f>
        <v>1638.4602927274821</v>
      </c>
      <c r="F102" s="87">
        <f>IF(TrRoad_act!F24=0,0,F38/TrRoad_act!F24*1000)</f>
        <v>1571.259012696939</v>
      </c>
      <c r="G102" s="87">
        <f>IF(TrRoad_act!G24=0,0,G38/TrRoad_act!G24*1000)</f>
        <v>1510.1177757997855</v>
      </c>
      <c r="H102" s="87">
        <f>IF(TrRoad_act!H24=0,0,H38/TrRoad_act!H24*1000)</f>
        <v>1466.6107671349534</v>
      </c>
      <c r="I102" s="87">
        <f>IF(TrRoad_act!I24=0,0,I38/TrRoad_act!I24*1000)</f>
        <v>1452.2800452371787</v>
      </c>
      <c r="J102" s="87">
        <f>IF(TrRoad_act!J24=0,0,J38/TrRoad_act!J24*1000)</f>
        <v>1403.4944422495626</v>
      </c>
      <c r="K102" s="87">
        <f>IF(TrRoad_act!K24=0,0,K38/TrRoad_act!K24*1000)</f>
        <v>1269.8325465713438</v>
      </c>
      <c r="L102" s="87">
        <f>IF(TrRoad_act!L24=0,0,L38/TrRoad_act!L24*1000)</f>
        <v>1300.195995972382</v>
      </c>
      <c r="M102" s="87">
        <f>IF(TrRoad_act!M24=0,0,M38/TrRoad_act!M24*1000)</f>
        <v>1261.0459586965742</v>
      </c>
      <c r="N102" s="87">
        <f>IF(TrRoad_act!N24=0,0,N38/TrRoad_act!N24*1000)</f>
        <v>1227.3561730707904</v>
      </c>
      <c r="O102" s="87">
        <f>IF(TrRoad_act!O24=0,0,O38/TrRoad_act!O24*1000)</f>
        <v>1244.0898428350054</v>
      </c>
      <c r="P102" s="87">
        <f>IF(TrRoad_act!P24=0,0,P38/TrRoad_act!P24*1000)</f>
        <v>1211.6413562843625</v>
      </c>
      <c r="Q102" s="87">
        <f>IF(TrRoad_act!Q24=0,0,Q38/TrRoad_act!Q24*1000)</f>
        <v>1221.07000338535</v>
      </c>
      <c r="R102" s="87">
        <f>IF(TrRoad_act!R24=0,0,R38/TrRoad_act!R24*1000)</f>
        <v>1188.0862418217091</v>
      </c>
      <c r="S102" s="87">
        <f>IF(TrRoad_act!S24=0,0,S38/TrRoad_act!S24*1000)</f>
        <v>1090.7534315331484</v>
      </c>
      <c r="T102" s="87">
        <f>IF(TrRoad_act!T24=0,0,T38/TrRoad_act!T24*1000)</f>
        <v>1087.3573830264611</v>
      </c>
      <c r="U102" s="87">
        <f>IF(TrRoad_act!U24=0,0,U38/TrRoad_act!U24*1000)</f>
        <v>1190.4191785409757</v>
      </c>
      <c r="V102" s="87">
        <f>IF(TrRoad_act!V24=0,0,V38/TrRoad_act!V24*1000)</f>
        <v>1196.6814281402976</v>
      </c>
      <c r="W102" s="87">
        <f>IF(TrRoad_act!W24=0,0,W38/TrRoad_act!W24*1000)</f>
        <v>1291.4263484777143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42.337881734346155</v>
      </c>
      <c r="C104" s="116">
        <f>IF(TrRoad_act!C26=0,0,C40/TrRoad_act!C26*1000)</f>
        <v>64.740055786328256</v>
      </c>
      <c r="D104" s="116">
        <f>IF(TrRoad_act!D26=0,0,D40/TrRoad_act!D26*1000)</f>
        <v>62.771575377333562</v>
      </c>
      <c r="E104" s="116">
        <f>IF(TrRoad_act!E26=0,0,E40/TrRoad_act!E26*1000)</f>
        <v>67.170014592479021</v>
      </c>
      <c r="F104" s="116">
        <f>IF(TrRoad_act!F26=0,0,F40/TrRoad_act!F26*1000)</f>
        <v>63.448622875772216</v>
      </c>
      <c r="G104" s="116">
        <f>IF(TrRoad_act!G26=0,0,G40/TrRoad_act!G26*1000)</f>
        <v>59.411586491288908</v>
      </c>
      <c r="H104" s="116">
        <f>IF(TrRoad_act!H26=0,0,H40/TrRoad_act!H26*1000)</f>
        <v>76.198597617618802</v>
      </c>
      <c r="I104" s="116">
        <f>IF(TrRoad_act!I26=0,0,I40/TrRoad_act!I26*1000)</f>
        <v>75.906127838987842</v>
      </c>
      <c r="J104" s="116">
        <f>IF(TrRoad_act!J26=0,0,J40/TrRoad_act!J26*1000)</f>
        <v>57.152567957139567</v>
      </c>
      <c r="K104" s="116">
        <f>IF(TrRoad_act!K26=0,0,K40/TrRoad_act!K26*1000)</f>
        <v>51.248684376244128</v>
      </c>
      <c r="L104" s="116">
        <f>IF(TrRoad_act!L26=0,0,L40/TrRoad_act!L26*1000)</f>
        <v>38.319326874615875</v>
      </c>
      <c r="M104" s="116">
        <f>IF(TrRoad_act!M26=0,0,M40/TrRoad_act!M26*1000)</f>
        <v>50.056254171628773</v>
      </c>
      <c r="N104" s="116">
        <f>IF(TrRoad_act!N26=0,0,N40/TrRoad_act!N26*1000)</f>
        <v>69.47904524527037</v>
      </c>
      <c r="O104" s="116">
        <f>IF(TrRoad_act!O26=0,0,O40/TrRoad_act!O26*1000)</f>
        <v>55.623016961115056</v>
      </c>
      <c r="P104" s="116">
        <f>IF(TrRoad_act!P26=0,0,P40/TrRoad_act!P26*1000)</f>
        <v>54.091652159770391</v>
      </c>
      <c r="Q104" s="116">
        <f>IF(TrRoad_act!Q26=0,0,Q40/TrRoad_act!Q26*1000)</f>
        <v>58.089108643680518</v>
      </c>
      <c r="R104" s="116">
        <f>IF(TrRoad_act!R26=0,0,R40/TrRoad_act!R26*1000)</f>
        <v>61.103181109423844</v>
      </c>
      <c r="S104" s="116">
        <f>IF(TrRoad_act!S26=0,0,S40/TrRoad_act!S26*1000)</f>
        <v>34.507203723016694</v>
      </c>
      <c r="T104" s="116">
        <f>IF(TrRoad_act!T26=0,0,T40/TrRoad_act!T26*1000)</f>
        <v>56.648101145426139</v>
      </c>
      <c r="U104" s="116">
        <f>IF(TrRoad_act!U26=0,0,U40/TrRoad_act!U26*1000)</f>
        <v>55.177179882213281</v>
      </c>
      <c r="V104" s="116">
        <f>IF(TrRoad_act!V26=0,0,V40/TrRoad_act!V26*1000)</f>
        <v>46.481176695748246</v>
      </c>
      <c r="W104" s="116">
        <f>IF(TrRoad_act!W26=0,0,W40/TrRoad_act!W26*1000)</f>
        <v>70.628380137073094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41.47413991016542</v>
      </c>
      <c r="C105" s="101">
        <f>IF(TrRoad_act!C27=0,0,C41/TrRoad_act!C27*1000)</f>
        <v>63.279831578555502</v>
      </c>
      <c r="D105" s="101">
        <f>IF(TrRoad_act!D27=0,0,D41/TrRoad_act!D27*1000)</f>
        <v>61.127452210497495</v>
      </c>
      <c r="E105" s="101">
        <f>IF(TrRoad_act!E27=0,0,E41/TrRoad_act!E27*1000)</f>
        <v>66.177816696885444</v>
      </c>
      <c r="F105" s="101">
        <f>IF(TrRoad_act!F27=0,0,F41/TrRoad_act!F27*1000)</f>
        <v>63.16840506347657</v>
      </c>
      <c r="G105" s="101">
        <f>IF(TrRoad_act!G27=0,0,G41/TrRoad_act!G27*1000)</f>
        <v>58.709633188696515</v>
      </c>
      <c r="H105" s="101">
        <f>IF(TrRoad_act!H27=0,0,H41/TrRoad_act!H27*1000)</f>
        <v>74.280750791796336</v>
      </c>
      <c r="I105" s="101">
        <f>IF(TrRoad_act!I27=0,0,I41/TrRoad_act!I27*1000)</f>
        <v>74.684292419086489</v>
      </c>
      <c r="J105" s="101">
        <f>IF(TrRoad_act!J27=0,0,J41/TrRoad_act!J27*1000)</f>
        <v>55.729580882374741</v>
      </c>
      <c r="K105" s="101">
        <f>IF(TrRoad_act!K27=0,0,K41/TrRoad_act!K27*1000)</f>
        <v>50.257548468314234</v>
      </c>
      <c r="L105" s="101">
        <f>IF(TrRoad_act!L27=0,0,L41/TrRoad_act!L27*1000)</f>
        <v>37.700231879103669</v>
      </c>
      <c r="M105" s="101">
        <f>IF(TrRoad_act!M27=0,0,M41/TrRoad_act!M27*1000)</f>
        <v>49.065812555637407</v>
      </c>
      <c r="N105" s="101">
        <f>IF(TrRoad_act!N27=0,0,N41/TrRoad_act!N27*1000)</f>
        <v>68.102414143191581</v>
      </c>
      <c r="O105" s="101">
        <f>IF(TrRoad_act!O27=0,0,O41/TrRoad_act!O27*1000)</f>
        <v>54.576693127572312</v>
      </c>
      <c r="P105" s="101">
        <f>IF(TrRoad_act!P27=0,0,P41/TrRoad_act!P27*1000)</f>
        <v>53.201838857395281</v>
      </c>
      <c r="Q105" s="101">
        <f>IF(TrRoad_act!Q27=0,0,Q41/TrRoad_act!Q27*1000)</f>
        <v>56.605775624245126</v>
      </c>
      <c r="R105" s="101">
        <f>IF(TrRoad_act!R27=0,0,R41/TrRoad_act!R27*1000)</f>
        <v>59.627522200907833</v>
      </c>
      <c r="S105" s="101">
        <f>IF(TrRoad_act!S27=0,0,S41/TrRoad_act!S27*1000)</f>
        <v>33.421308228182482</v>
      </c>
      <c r="T105" s="101">
        <f>IF(TrRoad_act!T27=0,0,T41/TrRoad_act!T27*1000)</f>
        <v>54.487721113850839</v>
      </c>
      <c r="U105" s="101">
        <f>IF(TrRoad_act!U27=0,0,U41/TrRoad_act!U27*1000)</f>
        <v>52.388200870262047</v>
      </c>
      <c r="V105" s="101">
        <f>IF(TrRoad_act!V27=0,0,V41/TrRoad_act!V27*1000)</f>
        <v>43.84959022310175</v>
      </c>
      <c r="W105" s="101">
        <f>IF(TrRoad_act!W27=0,0,W41/TrRoad_act!W27*1000)</f>
        <v>66.263558919352107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48.184679594823663</v>
      </c>
      <c r="C106" s="88">
        <f>IF(TrRoad_act!C28=0,0,C42/TrRoad_act!C28*1000)</f>
        <v>73.764360879154566</v>
      </c>
      <c r="D106" s="88">
        <f>IF(TrRoad_act!D28=0,0,D42/TrRoad_act!D28*1000)</f>
        <v>72.697762315528678</v>
      </c>
      <c r="E106" s="88">
        <f>IF(TrRoad_act!E28=0,0,E42/TrRoad_act!E28*1000)</f>
        <v>72.443621082429814</v>
      </c>
      <c r="F106" s="88">
        <f>IF(TrRoad_act!F28=0,0,F42/TrRoad_act!F28*1000)</f>
        <v>64.866205047783183</v>
      </c>
      <c r="G106" s="88">
        <f>IF(TrRoad_act!G28=0,0,G42/TrRoad_act!G28*1000)</f>
        <v>63.132969239601046</v>
      </c>
      <c r="H106" s="88">
        <f>IF(TrRoad_act!H28=0,0,H42/TrRoad_act!H28*1000)</f>
        <v>84.8022786484443</v>
      </c>
      <c r="I106" s="88">
        <f>IF(TrRoad_act!I28=0,0,I42/TrRoad_act!I28*1000)</f>
        <v>81.320701624311823</v>
      </c>
      <c r="J106" s="88">
        <f>IF(TrRoad_act!J28=0,0,J42/TrRoad_act!J28*1000)</f>
        <v>63.207440752895678</v>
      </c>
      <c r="K106" s="88">
        <f>IF(TrRoad_act!K28=0,0,K42/TrRoad_act!K28*1000)</f>
        <v>55.931796408913705</v>
      </c>
      <c r="L106" s="88">
        <f>IF(TrRoad_act!L28=0,0,L42/TrRoad_act!L28*1000)</f>
        <v>41.008555130006151</v>
      </c>
      <c r="M106" s="88">
        <f>IF(TrRoad_act!M28=0,0,M42/TrRoad_act!M28*1000)</f>
        <v>54.322826843810141</v>
      </c>
      <c r="N106" s="88">
        <f>IF(TrRoad_act!N28=0,0,N42/TrRoad_act!N28*1000)</f>
        <v>75.039449034162743</v>
      </c>
      <c r="O106" s="88">
        <f>IF(TrRoad_act!O28=0,0,O42/TrRoad_act!O28*1000)</f>
        <v>59.552252539108153</v>
      </c>
      <c r="P106" s="88">
        <f>IF(TrRoad_act!P28=0,0,P42/TrRoad_act!P28*1000)</f>
        <v>57.060526228500194</v>
      </c>
      <c r="Q106" s="88">
        <f>IF(TrRoad_act!Q28=0,0,Q42/TrRoad_act!Q28*1000)</f>
        <v>63.259560000192714</v>
      </c>
      <c r="R106" s="88">
        <f>IF(TrRoad_act!R28=0,0,R42/TrRoad_act!R28*1000)</f>
        <v>65.814012726506533</v>
      </c>
      <c r="S106" s="88">
        <f>IF(TrRoad_act!S28=0,0,S42/TrRoad_act!S28*1000)</f>
        <v>37.783729343892844</v>
      </c>
      <c r="T106" s="88">
        <f>IF(TrRoad_act!T28=0,0,T42/TrRoad_act!T28*1000)</f>
        <v>63.640426052976082</v>
      </c>
      <c r="U106" s="88">
        <f>IF(TrRoad_act!U28=0,0,U42/TrRoad_act!U28*1000)</f>
        <v>64.715509906585609</v>
      </c>
      <c r="V106" s="88">
        <f>IF(TrRoad_act!V28=0,0,V42/TrRoad_act!V28*1000)</f>
        <v>55.438183388619983</v>
      </c>
      <c r="W106" s="88">
        <f>IF(TrRoad_act!W28=0,0,W42/TrRoad_act!W28*1000)</f>
        <v>84.891552465975892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465.43034772500909</v>
      </c>
      <c r="C110" s="152">
        <f>IF(C19=0,0,1000000*C19/TrRoad_act!C59)</f>
        <v>450.911972746191</v>
      </c>
      <c r="D110" s="152">
        <f>IF(D19=0,0,1000000*D19/TrRoad_act!D59)</f>
        <v>423.4781951330985</v>
      </c>
      <c r="E110" s="152">
        <f>IF(E19=0,0,1000000*E19/TrRoad_act!E59)</f>
        <v>415.5077718238561</v>
      </c>
      <c r="F110" s="152">
        <f>IF(F19=0,0,1000000*F19/TrRoad_act!F59)</f>
        <v>423.31123378000456</v>
      </c>
      <c r="G110" s="152">
        <f>IF(G19=0,0,1000000*G19/TrRoad_act!G59)</f>
        <v>418.80761926292195</v>
      </c>
      <c r="H110" s="152">
        <f>IF(H19=0,0,1000000*H19/TrRoad_act!H59)</f>
        <v>395.35606510376687</v>
      </c>
      <c r="I110" s="152">
        <f>IF(I19=0,0,1000000*I19/TrRoad_act!I59)</f>
        <v>349.99356612103134</v>
      </c>
      <c r="J110" s="152">
        <f>IF(J19=0,0,1000000*J19/TrRoad_act!J59)</f>
        <v>367.61218228350396</v>
      </c>
      <c r="K110" s="152">
        <f>IF(K19=0,0,1000000*K19/TrRoad_act!K59)</f>
        <v>341.60453702416112</v>
      </c>
      <c r="L110" s="152">
        <f>IF(L19=0,0,1000000*L19/TrRoad_act!L59)</f>
        <v>338.72879893368241</v>
      </c>
      <c r="M110" s="152">
        <f>IF(M19=0,0,1000000*M19/TrRoad_act!M59)</f>
        <v>347.87406959476294</v>
      </c>
      <c r="N110" s="152">
        <f>IF(N19=0,0,1000000*N19/TrRoad_act!N59)</f>
        <v>353.07020525446097</v>
      </c>
      <c r="O110" s="152">
        <f>IF(O19=0,0,1000000*O19/TrRoad_act!O59)</f>
        <v>334.30896079241882</v>
      </c>
      <c r="P110" s="152">
        <f>IF(P19=0,0,1000000*P19/TrRoad_act!P59)</f>
        <v>332.35972589468201</v>
      </c>
      <c r="Q110" s="152">
        <f>IF(Q19=0,0,1000000*Q19/TrRoad_act!Q59)</f>
        <v>322.05159900601836</v>
      </c>
      <c r="R110" s="152">
        <f>IF(R19=0,0,1000000*R19/TrRoad_act!R59)</f>
        <v>320.88817254271885</v>
      </c>
      <c r="S110" s="152">
        <f>IF(S19=0,0,1000000*S19/TrRoad_act!S59)</f>
        <v>297.27812017220947</v>
      </c>
      <c r="T110" s="152">
        <f>IF(T19=0,0,1000000*T19/TrRoad_act!T59)</f>
        <v>278.17249892301601</v>
      </c>
      <c r="U110" s="152">
        <f>IF(U19=0,0,1000000*U19/TrRoad_act!U59)</f>
        <v>289.14555857143222</v>
      </c>
      <c r="V110" s="152">
        <f>IF(V19=0,0,1000000*V19/TrRoad_act!V59)</f>
        <v>254.9367505418312</v>
      </c>
      <c r="W110" s="152">
        <f>IF(W19=0,0,1000000*W19/TrRoad_act!W59)</f>
        <v>241.30851019385699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2102.6932583132789</v>
      </c>
      <c r="C111" s="116">
        <f>IF(C20=0,0,1000000*C20/TrRoad_act!C60)</f>
        <v>2085.4278301094737</v>
      </c>
      <c r="D111" s="116">
        <f>IF(D20=0,0,1000000*D20/TrRoad_act!D60)</f>
        <v>2126.2119264736398</v>
      </c>
      <c r="E111" s="116">
        <f>IF(E20=0,0,1000000*E20/TrRoad_act!E60)</f>
        <v>2079.1778018743021</v>
      </c>
      <c r="F111" s="116">
        <f>IF(F20=0,0,1000000*F20/TrRoad_act!F60)</f>
        <v>2121.8123170813815</v>
      </c>
      <c r="G111" s="116">
        <f>IF(G20=0,0,1000000*G20/TrRoad_act!G60)</f>
        <v>1999.1446451302734</v>
      </c>
      <c r="H111" s="116">
        <f>IF(H20=0,0,1000000*H20/TrRoad_act!H60)</f>
        <v>2026.2278678175428</v>
      </c>
      <c r="I111" s="116">
        <f>IF(I20=0,0,1000000*I20/TrRoad_act!I60)</f>
        <v>2010.3812521463701</v>
      </c>
      <c r="J111" s="116">
        <f>IF(J20=0,0,1000000*J20/TrRoad_act!J60)</f>
        <v>1920.3389269091042</v>
      </c>
      <c r="K111" s="116">
        <f>IF(K20=0,0,1000000*K20/TrRoad_act!K60)</f>
        <v>1852.4544942229736</v>
      </c>
      <c r="L111" s="116">
        <f>IF(L20=0,0,1000000*L20/TrRoad_act!L60)</f>
        <v>1751.0598175517557</v>
      </c>
      <c r="M111" s="116">
        <f>IF(M20=0,0,1000000*M20/TrRoad_act!M60)</f>
        <v>1696.6117942496228</v>
      </c>
      <c r="N111" s="116">
        <f>IF(N20=0,0,1000000*N20/TrRoad_act!N60)</f>
        <v>1561.3840222099986</v>
      </c>
      <c r="O111" s="116">
        <f>IF(O20=0,0,1000000*O20/TrRoad_act!O60)</f>
        <v>1623.54514312478</v>
      </c>
      <c r="P111" s="116">
        <f>IF(P20=0,0,1000000*P20/TrRoad_act!P60)</f>
        <v>1744.7497682008918</v>
      </c>
      <c r="Q111" s="116">
        <f>IF(Q20=0,0,1000000*Q20/TrRoad_act!Q60)</f>
        <v>1732.2908722410616</v>
      </c>
      <c r="R111" s="116">
        <f>IF(R20=0,0,1000000*R20/TrRoad_act!R60)</f>
        <v>1696.5817633798283</v>
      </c>
      <c r="S111" s="116">
        <f>IF(S20=0,0,1000000*S20/TrRoad_act!S60)</f>
        <v>1669.143132903979</v>
      </c>
      <c r="T111" s="116">
        <f>IF(T20=0,0,1000000*T20/TrRoad_act!T60)</f>
        <v>1656.481648560406</v>
      </c>
      <c r="U111" s="116">
        <f>IF(U20=0,0,1000000*U20/TrRoad_act!U60)</f>
        <v>1631.8081098294608</v>
      </c>
      <c r="V111" s="116">
        <f>IF(V20=0,0,1000000*V20/TrRoad_act!V60)</f>
        <v>1226.393785035219</v>
      </c>
      <c r="W111" s="116">
        <f>IF(W20=0,0,1000000*W20/TrRoad_act!W60)</f>
        <v>1450.9614164098591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1752.2255688726123</v>
      </c>
      <c r="C112" s="87">
        <f>IF(C21=0,0,1000000*C21/TrRoad_act!C61)</f>
        <v>1731.6898330923921</v>
      </c>
      <c r="D112" s="87">
        <f>IF(D21=0,0,1000000*D21/TrRoad_act!D61)</f>
        <v>1710.5551362047709</v>
      </c>
      <c r="E112" s="87">
        <f>IF(E21=0,0,1000000*E21/TrRoad_act!E61)</f>
        <v>1665.1229612731465</v>
      </c>
      <c r="F112" s="87">
        <f>IF(F21=0,0,1000000*F21/TrRoad_act!F61)</f>
        <v>1640.1758414765904</v>
      </c>
      <c r="G112" s="87">
        <f>IF(G21=0,0,1000000*G21/TrRoad_act!G61)</f>
        <v>1554.0388739133102</v>
      </c>
      <c r="H112" s="87">
        <f>IF(H21=0,0,1000000*H21/TrRoad_act!H61)</f>
        <v>1496.3073235257327</v>
      </c>
      <c r="I112" s="87">
        <f>IF(I21=0,0,1000000*I21/TrRoad_act!I61)</f>
        <v>1455.2458218890606</v>
      </c>
      <c r="J112" s="87">
        <f>IF(J21=0,0,1000000*J21/TrRoad_act!J61)</f>
        <v>1343.5677357208669</v>
      </c>
      <c r="K112" s="87">
        <f>IF(K21=0,0,1000000*K21/TrRoad_act!K61)</f>
        <v>1331.7699514284152</v>
      </c>
      <c r="L112" s="87">
        <f>IF(L21=0,0,1000000*L21/TrRoad_act!L61)</f>
        <v>1238.1784538640943</v>
      </c>
      <c r="M112" s="87">
        <f>IF(M21=0,0,1000000*M21/TrRoad_act!M61)</f>
        <v>1205.269423342279</v>
      </c>
      <c r="N112" s="87">
        <f>IF(N21=0,0,1000000*N21/TrRoad_act!N61)</f>
        <v>1071.0703982615428</v>
      </c>
      <c r="O112" s="87">
        <f>IF(O21=0,0,1000000*O21/TrRoad_act!O61)</f>
        <v>1045.2393059675919</v>
      </c>
      <c r="P112" s="87">
        <f>IF(P21=0,0,1000000*P21/TrRoad_act!P61)</f>
        <v>1074.1731096225833</v>
      </c>
      <c r="Q112" s="87">
        <f>IF(Q21=0,0,1000000*Q21/TrRoad_act!Q61)</f>
        <v>1051.6581286495812</v>
      </c>
      <c r="R112" s="87">
        <f>IF(R21=0,0,1000000*R21/TrRoad_act!R61)</f>
        <v>971.92723540917245</v>
      </c>
      <c r="S112" s="87">
        <f>IF(S21=0,0,1000000*S21/TrRoad_act!S61)</f>
        <v>960.94344331380989</v>
      </c>
      <c r="T112" s="87">
        <f>IF(T21=0,0,1000000*T21/TrRoad_act!T61)</f>
        <v>1035.3594708971291</v>
      </c>
      <c r="U112" s="87">
        <f>IF(U21=0,0,1000000*U21/TrRoad_act!U61)</f>
        <v>1026.5870258182704</v>
      </c>
      <c r="V112" s="87">
        <f>IF(V21=0,0,1000000*V21/TrRoad_act!V61)</f>
        <v>784.90522319267529</v>
      </c>
      <c r="W112" s="87">
        <f>IF(W21=0,0,1000000*W21/TrRoad_act!W61)</f>
        <v>985.56307801570733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3790.594337533953</v>
      </c>
      <c r="C113" s="87">
        <f>IF(C22=0,0,1000000*C22/TrRoad_act!C62)</f>
        <v>3565.5897643274197</v>
      </c>
      <c r="D113" s="87">
        <f>IF(D22=0,0,1000000*D22/TrRoad_act!D62)</f>
        <v>3657.0302840675413</v>
      </c>
      <c r="E113" s="87">
        <f>IF(E22=0,0,1000000*E22/TrRoad_act!E62)</f>
        <v>3413.6636561801138</v>
      </c>
      <c r="F113" s="87">
        <f>IF(F22=0,0,1000000*F22/TrRoad_act!F62)</f>
        <v>3433.1950639160914</v>
      </c>
      <c r="G113" s="87">
        <f>IF(G22=0,0,1000000*G22/TrRoad_act!G62)</f>
        <v>3052.7610435202564</v>
      </c>
      <c r="H113" s="87">
        <f>IF(H22=0,0,1000000*H22/TrRoad_act!H62)</f>
        <v>3134.9147219938568</v>
      </c>
      <c r="I113" s="87">
        <f>IF(I22=0,0,1000000*I22/TrRoad_act!I62)</f>
        <v>3040.9730502073389</v>
      </c>
      <c r="J113" s="87">
        <f>IF(J22=0,0,1000000*J22/TrRoad_act!J62)</f>
        <v>2862.9381017718679</v>
      </c>
      <c r="K113" s="87">
        <f>IF(K22=0,0,1000000*K22/TrRoad_act!K62)</f>
        <v>2632.6287989514108</v>
      </c>
      <c r="L113" s="87">
        <f>IF(L22=0,0,1000000*L22/TrRoad_act!L62)</f>
        <v>2466.7824650544185</v>
      </c>
      <c r="M113" s="87">
        <f>IF(M22=0,0,1000000*M22/TrRoad_act!M62)</f>
        <v>2330.5936477001842</v>
      </c>
      <c r="N113" s="87">
        <f>IF(N22=0,0,1000000*N22/TrRoad_act!N62)</f>
        <v>2146.4446163621728</v>
      </c>
      <c r="O113" s="87">
        <f>IF(O22=0,0,1000000*O22/TrRoad_act!O62)</f>
        <v>2283.7748876964301</v>
      </c>
      <c r="P113" s="87">
        <f>IF(P22=0,0,1000000*P22/TrRoad_act!P62)</f>
        <v>2518.8593454068132</v>
      </c>
      <c r="Q113" s="87">
        <f>IF(Q22=0,0,1000000*Q22/TrRoad_act!Q62)</f>
        <v>2468.8312387055071</v>
      </c>
      <c r="R113" s="87">
        <f>IF(R22=0,0,1000000*R22/TrRoad_act!R62)</f>
        <v>2480.209965586062</v>
      </c>
      <c r="S113" s="87">
        <f>IF(S22=0,0,1000000*S22/TrRoad_act!S62)</f>
        <v>2411.9639394428018</v>
      </c>
      <c r="T113" s="87">
        <f>IF(T22=0,0,1000000*T22/TrRoad_act!T62)</f>
        <v>2279.5194257585681</v>
      </c>
      <c r="U113" s="87">
        <f>IF(U22=0,0,1000000*U22/TrRoad_act!U62)</f>
        <v>2228.6104757875873</v>
      </c>
      <c r="V113" s="87">
        <f>IF(V22=0,0,1000000*V22/TrRoad_act!V62)</f>
        <v>1647.5572938235</v>
      </c>
      <c r="W113" s="87">
        <f>IF(W22=0,0,1000000*W22/TrRoad_act!W62)</f>
        <v>1939.4650588780091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2746.3717519668216</v>
      </c>
      <c r="C114" s="87">
        <f>IF(C23=0,0,1000000*C23/TrRoad_act!C63)</f>
        <v>2680.9643343466041</v>
      </c>
      <c r="D114" s="87">
        <f>IF(D23=0,0,1000000*D23/TrRoad_act!D63)</f>
        <v>2701.6359361759028</v>
      </c>
      <c r="E114" s="87">
        <f>IF(E23=0,0,1000000*E23/TrRoad_act!E63)</f>
        <v>2462.5103043358754</v>
      </c>
      <c r="F114" s="87">
        <f>IF(F23=0,0,1000000*F23/TrRoad_act!F63)</f>
        <v>2305.3122571654339</v>
      </c>
      <c r="G114" s="87">
        <f>IF(G23=0,0,1000000*G23/TrRoad_act!G63)</f>
        <v>2009.0244278980354</v>
      </c>
      <c r="H114" s="87">
        <f>IF(H23=0,0,1000000*H23/TrRoad_act!H63)</f>
        <v>1899.9128353182932</v>
      </c>
      <c r="I114" s="87">
        <f>IF(I23=0,0,1000000*I23/TrRoad_act!I63)</f>
        <v>1847.2245425492749</v>
      </c>
      <c r="J114" s="87">
        <f>IF(J23=0,0,1000000*J23/TrRoad_act!J63)</f>
        <v>2130.0719427696604</v>
      </c>
      <c r="K114" s="87">
        <f>IF(K23=0,0,1000000*K23/TrRoad_act!K63)</f>
        <v>2110.3244749577493</v>
      </c>
      <c r="L114" s="87">
        <f>IF(L23=0,0,1000000*L23/TrRoad_act!L63)</f>
        <v>1961.338696041478</v>
      </c>
      <c r="M114" s="87">
        <f>IF(M23=0,0,1000000*M23/TrRoad_act!M63)</f>
        <v>2018.7881121216317</v>
      </c>
      <c r="N114" s="87">
        <f>IF(N23=0,0,1000000*N23/TrRoad_act!N63)</f>
        <v>2047.9392026630101</v>
      </c>
      <c r="O114" s="87">
        <f>IF(O23=0,0,1000000*O23/TrRoad_act!O63)</f>
        <v>2245.7403784287444</v>
      </c>
      <c r="P114" s="87">
        <f>IF(P23=0,0,1000000*P23/TrRoad_act!P63)</f>
        <v>2173.7174002105594</v>
      </c>
      <c r="Q114" s="87">
        <f>IF(Q23=0,0,1000000*Q23/TrRoad_act!Q63)</f>
        <v>2200.5143632576687</v>
      </c>
      <c r="R114" s="87">
        <f>IF(R23=0,0,1000000*R23/TrRoad_act!R63)</f>
        <v>2044.7546082943741</v>
      </c>
      <c r="S114" s="87">
        <f>IF(S23=0,0,1000000*S23/TrRoad_act!S63)</f>
        <v>2056.4651479830427</v>
      </c>
      <c r="T114" s="87">
        <f>IF(T23=0,0,1000000*T23/TrRoad_act!T63)</f>
        <v>1903.0787267809919</v>
      </c>
      <c r="U114" s="87">
        <f>IF(U23=0,0,1000000*U23/TrRoad_act!U63)</f>
        <v>1876.4151823383093</v>
      </c>
      <c r="V114" s="87">
        <f>IF(V23=0,0,1000000*V23/TrRoad_act!V63)</f>
        <v>1498.5505480899344</v>
      </c>
      <c r="W114" s="87">
        <f>IF(W23=0,0,1000000*W23/TrRoad_act!W63)</f>
        <v>1584.5796454680672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2524.7252196876452</v>
      </c>
      <c r="C115" s="87">
        <f>IF(C24=0,0,1000000*C24/TrRoad_act!C64)</f>
        <v>2457.2367811599224</v>
      </c>
      <c r="D115" s="87">
        <f>IF(D24=0,0,1000000*D24/TrRoad_act!D64)</f>
        <v>2406.0986253046949</v>
      </c>
      <c r="E115" s="87">
        <f>IF(E24=0,0,1000000*E24/TrRoad_act!E64)</f>
        <v>2374.0477091498451</v>
      </c>
      <c r="F115" s="87">
        <f>IF(F24=0,0,1000000*F24/TrRoad_act!F64)</f>
        <v>2468.5870828577886</v>
      </c>
      <c r="G115" s="87">
        <f>IF(G24=0,0,1000000*G24/TrRoad_act!G64)</f>
        <v>2330.5653108618044</v>
      </c>
      <c r="H115" s="87">
        <f>IF(H24=0,0,1000000*H24/TrRoad_act!H64)</f>
        <v>2344.2407612797551</v>
      </c>
      <c r="I115" s="87">
        <f>IF(I24=0,0,1000000*I24/TrRoad_act!I64)</f>
        <v>2275.326997820875</v>
      </c>
      <c r="J115" s="87">
        <f>IF(J24=0,0,1000000*J24/TrRoad_act!J64)</f>
        <v>2192.1099257164419</v>
      </c>
      <c r="K115" s="87">
        <f>IF(K24=0,0,1000000*K24/TrRoad_act!K64)</f>
        <v>1996.5411803875854</v>
      </c>
      <c r="L115" s="87">
        <f>IF(L24=0,0,1000000*L24/TrRoad_act!L64)</f>
        <v>2063.6608621267474</v>
      </c>
      <c r="M115" s="87">
        <f>IF(M24=0,0,1000000*M24/TrRoad_act!M64)</f>
        <v>1988.9881974006319</v>
      </c>
      <c r="N115" s="87">
        <f>IF(N24=0,0,1000000*N24/TrRoad_act!N64)</f>
        <v>1854.3419453658166</v>
      </c>
      <c r="O115" s="87">
        <f>IF(O24=0,0,1000000*O24/TrRoad_act!O64)</f>
        <v>1862.1825334146522</v>
      </c>
      <c r="P115" s="87">
        <f>IF(P24=0,0,1000000*P24/TrRoad_act!P64)</f>
        <v>1909.0200904744324</v>
      </c>
      <c r="Q115" s="87">
        <f>IF(Q24=0,0,1000000*Q24/TrRoad_act!Q64)</f>
        <v>1900.9815867937295</v>
      </c>
      <c r="R115" s="87">
        <f>IF(R24=0,0,1000000*R24/TrRoad_act!R64)</f>
        <v>1909.2652026489161</v>
      </c>
      <c r="S115" s="87">
        <f>IF(S24=0,0,1000000*S24/TrRoad_act!S64)</f>
        <v>1742.9217080890069</v>
      </c>
      <c r="T115" s="87">
        <f>IF(T24=0,0,1000000*T24/TrRoad_act!T64)</f>
        <v>1718.7790510991999</v>
      </c>
      <c r="U115" s="87">
        <f>IF(U24=0,0,1000000*U24/TrRoad_act!U64)</f>
        <v>1869.1921272940021</v>
      </c>
      <c r="V115" s="87">
        <f>IF(V24=0,0,1000000*V24/TrRoad_act!V64)</f>
        <v>1485.1294069618114</v>
      </c>
      <c r="W115" s="87">
        <f>IF(W24=0,0,1000000*W24/TrRoad_act!W64)</f>
        <v>1478.7313302222501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696.28808706290897</v>
      </c>
      <c r="O116" s="87">
        <f>IF(O25=0,0,1000000*O25/TrRoad_act!O65)</f>
        <v>850.20365601968604</v>
      </c>
      <c r="P116" s="87">
        <f>IF(P25=0,0,1000000*P25/TrRoad_act!P65)</f>
        <v>968.27593446867786</v>
      </c>
      <c r="Q116" s="87">
        <f>IF(Q25=0,0,1000000*Q25/TrRoad_act!Q65)</f>
        <v>1017.1600655914804</v>
      </c>
      <c r="R116" s="87">
        <f>IF(R25=0,0,1000000*R25/TrRoad_act!R65)</f>
        <v>927.56437861906068</v>
      </c>
      <c r="S116" s="87">
        <f>IF(S25=0,0,1000000*S25/TrRoad_act!S65)</f>
        <v>964.60056673847976</v>
      </c>
      <c r="T116" s="87">
        <f>IF(T25=0,0,1000000*T25/TrRoad_act!T65)</f>
        <v>1005.9027730943343</v>
      </c>
      <c r="U116" s="87">
        <f>IF(U25=0,0,1000000*U25/TrRoad_act!U65)</f>
        <v>954.51657654485098</v>
      </c>
      <c r="V116" s="87">
        <f>IF(V25=0,0,1000000*V25/TrRoad_act!V65)</f>
        <v>594.14026874396177</v>
      </c>
      <c r="W116" s="87">
        <f>IF(W25=0,0,1000000*W25/TrRoad_act!W65)</f>
        <v>583.13376717788799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74754.033705045702</v>
      </c>
      <c r="C118" s="116">
        <f>IF(C27=0,0,1000000*C27/TrRoad_act!C67)</f>
        <v>73597.453227736914</v>
      </c>
      <c r="D118" s="116">
        <f>IF(D27=0,0,1000000*D27/TrRoad_act!D67)</f>
        <v>72610.883523924786</v>
      </c>
      <c r="E118" s="116">
        <f>IF(E27=0,0,1000000*E27/TrRoad_act!E67)</f>
        <v>71814.761844899753</v>
      </c>
      <c r="F118" s="116">
        <f>IF(F27=0,0,1000000*F27/TrRoad_act!F67)</f>
        <v>71465.316842771004</v>
      </c>
      <c r="G118" s="116">
        <f>IF(G27=0,0,1000000*G27/TrRoad_act!G67)</f>
        <v>70598.053262150133</v>
      </c>
      <c r="H118" s="116">
        <f>IF(H27=0,0,1000000*H27/TrRoad_act!H67)</f>
        <v>70024.165418757257</v>
      </c>
      <c r="I118" s="116">
        <f>IF(I27=0,0,1000000*I27/TrRoad_act!I67)</f>
        <v>69567.843641785672</v>
      </c>
      <c r="J118" s="116">
        <f>IF(J27=0,0,1000000*J27/TrRoad_act!J67)</f>
        <v>67673.084414294193</v>
      </c>
      <c r="K118" s="116">
        <f>IF(K27=0,0,1000000*K27/TrRoad_act!K67)</f>
        <v>66235.453520601353</v>
      </c>
      <c r="L118" s="116">
        <f>IF(L27=0,0,1000000*L27/TrRoad_act!L67)</f>
        <v>66699.066952623762</v>
      </c>
      <c r="M118" s="116">
        <f>IF(M27=0,0,1000000*M27/TrRoad_act!M67)</f>
        <v>67662.325714482518</v>
      </c>
      <c r="N118" s="116">
        <f>IF(N27=0,0,1000000*N27/TrRoad_act!N67)</f>
        <v>66519.311754580151</v>
      </c>
      <c r="O118" s="116">
        <f>IF(O27=0,0,1000000*O27/TrRoad_act!O67)</f>
        <v>67652.041933952263</v>
      </c>
      <c r="P118" s="116">
        <f>IF(P27=0,0,1000000*P27/TrRoad_act!P67)</f>
        <v>69227.330535588349</v>
      </c>
      <c r="Q118" s="116">
        <f>IF(Q27=0,0,1000000*Q27/TrRoad_act!Q67)</f>
        <v>70766.737953093107</v>
      </c>
      <c r="R118" s="116">
        <f>IF(R27=0,0,1000000*R27/TrRoad_act!R67)</f>
        <v>71098.192970144461</v>
      </c>
      <c r="S118" s="116">
        <f>IF(S27=0,0,1000000*S27/TrRoad_act!S67)</f>
        <v>70361.660237165124</v>
      </c>
      <c r="T118" s="116">
        <f>IF(T27=0,0,1000000*T27/TrRoad_act!T67)</f>
        <v>69786.517267956791</v>
      </c>
      <c r="U118" s="116">
        <f>IF(U27=0,0,1000000*U27/TrRoad_act!U67)</f>
        <v>70910.864852823259</v>
      </c>
      <c r="V118" s="116">
        <f>IF(V27=0,0,1000000*V27/TrRoad_act!V67)</f>
        <v>69192.522024501872</v>
      </c>
      <c r="W118" s="116">
        <f>IF(W27=0,0,1000000*W27/TrRoad_act!W67)</f>
        <v>71587.064705971163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5155.5029101597447</v>
      </c>
      <c r="C119" s="101">
        <f>IF(C28=0,0,1000000*C28/TrRoad_act!C68)</f>
        <v>5075.904640286316</v>
      </c>
      <c r="D119" s="101">
        <f>IF(D28=0,0,1000000*D28/TrRoad_act!D68)</f>
        <v>4953.9877249270166</v>
      </c>
      <c r="E119" s="101">
        <f>IF(E28=0,0,1000000*E28/TrRoad_act!E68)</f>
        <v>4864.2676400339678</v>
      </c>
      <c r="F119" s="101">
        <f>IF(F28=0,0,1000000*F28/TrRoad_act!F68)</f>
        <v>4834.1895167285647</v>
      </c>
      <c r="G119" s="101">
        <f>IF(G28=0,0,1000000*G28/TrRoad_act!G68)</f>
        <v>4718.259656604725</v>
      </c>
      <c r="H119" s="101">
        <f>IF(H28=0,0,1000000*H28/TrRoad_act!H68)</f>
        <v>4645.9984223990741</v>
      </c>
      <c r="I119" s="101">
        <f>IF(I28=0,0,1000000*I28/TrRoad_act!I68)</f>
        <v>4512.4834300969897</v>
      </c>
      <c r="J119" s="101">
        <f>IF(J28=0,0,1000000*J28/TrRoad_act!J68)</f>
        <v>4465.0239127174282</v>
      </c>
      <c r="K119" s="101">
        <f>IF(K28=0,0,1000000*K28/TrRoad_act!K68)</f>
        <v>4526.4201810133727</v>
      </c>
      <c r="L119" s="101">
        <f>IF(L28=0,0,1000000*L28/TrRoad_act!L68)</f>
        <v>4658.3606983387981</v>
      </c>
      <c r="M119" s="101">
        <f>IF(M28=0,0,1000000*M28/TrRoad_act!M68)</f>
        <v>4765.6412941035614</v>
      </c>
      <c r="N119" s="101">
        <f>IF(N28=0,0,1000000*N28/TrRoad_act!N68)</f>
        <v>4739.8690671327204</v>
      </c>
      <c r="O119" s="101">
        <f>IF(O28=0,0,1000000*O28/TrRoad_act!O68)</f>
        <v>4369.4401220888512</v>
      </c>
      <c r="P119" s="101">
        <f>IF(P28=0,0,1000000*P28/TrRoad_act!P68)</f>
        <v>4279.4535265983914</v>
      </c>
      <c r="Q119" s="101">
        <f>IF(Q28=0,0,1000000*Q28/TrRoad_act!Q68)</f>
        <v>4395.1078318093923</v>
      </c>
      <c r="R119" s="101">
        <f>IF(R28=0,0,1000000*R28/TrRoad_act!R68)</f>
        <v>4299.0345750742017</v>
      </c>
      <c r="S119" s="101">
        <f>IF(S28=0,0,1000000*S28/TrRoad_act!S68)</f>
        <v>4154.1191026012984</v>
      </c>
      <c r="T119" s="101">
        <f>IF(T28=0,0,1000000*T28/TrRoad_act!T68)</f>
        <v>4030.2726486106794</v>
      </c>
      <c r="U119" s="101">
        <f>IF(U28=0,0,1000000*U28/TrRoad_act!U68)</f>
        <v>3890.9040263790539</v>
      </c>
      <c r="V119" s="101">
        <f>IF(V28=0,0,1000000*V28/TrRoad_act!V68)</f>
        <v>3791.3601039740133</v>
      </c>
      <c r="W119" s="101">
        <f>IF(W28=0,0,1000000*W28/TrRoad_act!W68)</f>
        <v>3706.8568628784383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76159.582718139834</v>
      </c>
      <c r="C120" s="101">
        <f>IF(C29=0,0,1000000*C29/TrRoad_act!C69)</f>
        <v>74894.613982326293</v>
      </c>
      <c r="D120" s="101">
        <f>IF(D29=0,0,1000000*D29/TrRoad_act!D69)</f>
        <v>73788.763871665185</v>
      </c>
      <c r="E120" s="101">
        <f>IF(E29=0,0,1000000*E29/TrRoad_act!E69)</f>
        <v>73121.186210174637</v>
      </c>
      <c r="F120" s="101">
        <f>IF(F29=0,0,1000000*F29/TrRoad_act!F69)</f>
        <v>72692.08902158447</v>
      </c>
      <c r="G120" s="101">
        <f>IF(G29=0,0,1000000*G29/TrRoad_act!G69)</f>
        <v>72081.13932270222</v>
      </c>
      <c r="H120" s="101">
        <f>IF(H29=0,0,1000000*H29/TrRoad_act!H69)</f>
        <v>71910.511539357132</v>
      </c>
      <c r="I120" s="101">
        <f>IF(I29=0,0,1000000*I29/TrRoad_act!I69)</f>
        <v>71451.604944505467</v>
      </c>
      <c r="J120" s="101">
        <f>IF(J29=0,0,1000000*J29/TrRoad_act!J69)</f>
        <v>69235.786509606492</v>
      </c>
      <c r="K120" s="101">
        <f>IF(K29=0,0,1000000*K29/TrRoad_act!K69)</f>
        <v>68168.971410729937</v>
      </c>
      <c r="L120" s="101">
        <f>IF(L29=0,0,1000000*L29/TrRoad_act!L69)</f>
        <v>68710.253413714803</v>
      </c>
      <c r="M120" s="101">
        <f>IF(M29=0,0,1000000*M29/TrRoad_act!M69)</f>
        <v>68955.447597687307</v>
      </c>
      <c r="N120" s="101">
        <f>IF(N29=0,0,1000000*N29/TrRoad_act!N69)</f>
        <v>67325.515012549295</v>
      </c>
      <c r="O120" s="101">
        <f>IF(O29=0,0,1000000*O29/TrRoad_act!O69)</f>
        <v>69032.361790230236</v>
      </c>
      <c r="P120" s="101">
        <f>IF(P29=0,0,1000000*P29/TrRoad_act!P69)</f>
        <v>70679.19487336716</v>
      </c>
      <c r="Q120" s="101">
        <f>IF(Q29=0,0,1000000*Q29/TrRoad_act!Q69)</f>
        <v>72107.451683422973</v>
      </c>
      <c r="R120" s="101">
        <f>IF(R29=0,0,1000000*R29/TrRoad_act!R69)</f>
        <v>73290.131065966852</v>
      </c>
      <c r="S120" s="101">
        <f>IF(S29=0,0,1000000*S29/TrRoad_act!S69)</f>
        <v>72687.625324599561</v>
      </c>
      <c r="T120" s="101">
        <f>IF(T29=0,0,1000000*T29/TrRoad_act!T69)</f>
        <v>72231.926803099253</v>
      </c>
      <c r="U120" s="101">
        <f>IF(U29=0,0,1000000*U29/TrRoad_act!U69)</f>
        <v>73760.923209684101</v>
      </c>
      <c r="V120" s="101">
        <f>IF(V29=0,0,1000000*V29/TrRoad_act!V69)</f>
        <v>73112.370166721841</v>
      </c>
      <c r="W120" s="101">
        <f>IF(W29=0,0,1000000*W29/TrRoad_act!W69)</f>
        <v>73491.151549331218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34286.575915661801</v>
      </c>
      <c r="C121" s="101">
        <f>IF(C30=0,0,1000000*C30/TrRoad_act!C70)</f>
        <v>33927.60855685058</v>
      </c>
      <c r="D121" s="101">
        <f>IF(D30=0,0,1000000*D30/TrRoad_act!D70)</f>
        <v>33754.464207977573</v>
      </c>
      <c r="E121" s="101">
        <f>IF(E30=0,0,1000000*E30/TrRoad_act!E70)</f>
        <v>33309.535497657351</v>
      </c>
      <c r="F121" s="101">
        <f>IF(F30=0,0,1000000*F30/TrRoad_act!F70)</f>
        <v>32988.40187633274</v>
      </c>
      <c r="G121" s="101">
        <f>IF(G30=0,0,1000000*G30/TrRoad_act!G70)</f>
        <v>32585.845494424229</v>
      </c>
      <c r="H121" s="101">
        <f>IF(H30=0,0,1000000*H30/TrRoad_act!H70)</f>
        <v>32695.011831452102</v>
      </c>
      <c r="I121" s="101">
        <f>IF(I30=0,0,1000000*I30/TrRoad_act!I70)</f>
        <v>32494.34123259144</v>
      </c>
      <c r="J121" s="101">
        <f>IF(J30=0,0,1000000*J30/TrRoad_act!J70)</f>
        <v>32179.009187697673</v>
      </c>
      <c r="K121" s="101">
        <f>IF(K30=0,0,1000000*K30/TrRoad_act!K70)</f>
        <v>32428.291709324516</v>
      </c>
      <c r="L121" s="101">
        <f>IF(L30=0,0,1000000*L30/TrRoad_act!L70)</f>
        <v>33119.716771995605</v>
      </c>
      <c r="M121" s="101">
        <f>IF(M30=0,0,1000000*M30/TrRoad_act!M70)</f>
        <v>33380.656983052242</v>
      </c>
      <c r="N121" s="101">
        <f>IF(N30=0,0,1000000*N30/TrRoad_act!N70)</f>
        <v>32632.486175436989</v>
      </c>
      <c r="O121" s="101">
        <f>IF(O30=0,0,1000000*O30/TrRoad_act!O70)</f>
        <v>33174.787229690504</v>
      </c>
      <c r="P121" s="101">
        <f>IF(P30=0,0,1000000*P30/TrRoad_act!P70)</f>
        <v>33660.439109219551</v>
      </c>
      <c r="Q121" s="101">
        <f>IF(Q30=0,0,1000000*Q30/TrRoad_act!Q70)</f>
        <v>35934.726117886814</v>
      </c>
      <c r="R121" s="101">
        <f>IF(R30=0,0,1000000*R30/TrRoad_act!R70)</f>
        <v>35556.165440593606</v>
      </c>
      <c r="S121" s="101">
        <f>IF(S30=0,0,1000000*S30/TrRoad_act!S70)</f>
        <v>35190.229792262653</v>
      </c>
      <c r="T121" s="101">
        <f>IF(T30=0,0,1000000*T30/TrRoad_act!T70)</f>
        <v>35445.061716036835</v>
      </c>
      <c r="U121" s="101">
        <f>IF(U30=0,0,1000000*U30/TrRoad_act!U70)</f>
        <v>35900.415756358547</v>
      </c>
      <c r="V121" s="101">
        <f>IF(V30=0,0,1000000*V30/TrRoad_act!V70)</f>
        <v>35855.491333108504</v>
      </c>
      <c r="W121" s="101">
        <f>IF(W30=0,0,1000000*W30/TrRoad_act!W70)</f>
        <v>35895.491508218925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5376.0053354880583</v>
      </c>
      <c r="C122" s="101">
        <f>IF(C31=0,0,1000000*C31/TrRoad_act!C71)</f>
        <v>4981.4773763220865</v>
      </c>
      <c r="D122" s="101">
        <f>IF(D31=0,0,1000000*D31/TrRoad_act!D71)</f>
        <v>4666.6603019166205</v>
      </c>
      <c r="E122" s="101">
        <f>IF(E31=0,0,1000000*E31/TrRoad_act!E71)</f>
        <v>4533.9669966681104</v>
      </c>
      <c r="F122" s="101">
        <f>IF(F31=0,0,1000000*F31/TrRoad_act!F71)</f>
        <v>4685.1526928801413</v>
      </c>
      <c r="G122" s="101">
        <f>IF(G31=0,0,1000000*G31/TrRoad_act!G71)</f>
        <v>5089.2847629843536</v>
      </c>
      <c r="H122" s="101">
        <f>IF(H31=0,0,1000000*H31/TrRoad_act!H71)</f>
        <v>5372.1192097101084</v>
      </c>
      <c r="I122" s="101">
        <f>IF(I31=0,0,1000000*I31/TrRoad_act!I71)</f>
        <v>16726.82597175947</v>
      </c>
      <c r="J122" s="101">
        <f>IF(J31=0,0,1000000*J31/TrRoad_act!J71)</f>
        <v>33474.239770226028</v>
      </c>
      <c r="K122" s="101">
        <f>IF(K31=0,0,1000000*K31/TrRoad_act!K71)</f>
        <v>25428.070479637514</v>
      </c>
      <c r="L122" s="101">
        <f>IF(L31=0,0,1000000*L31/TrRoad_act!L71)</f>
        <v>26636.142020376832</v>
      </c>
      <c r="M122" s="101">
        <f>IF(M31=0,0,1000000*M31/TrRoad_act!M71)</f>
        <v>47567.036905469817</v>
      </c>
      <c r="N122" s="101">
        <f>IF(N31=0,0,1000000*N31/TrRoad_act!N71)</f>
        <v>59561.165614434583</v>
      </c>
      <c r="O122" s="101">
        <f>IF(O31=0,0,1000000*O31/TrRoad_act!O71)</f>
        <v>64562.983201640825</v>
      </c>
      <c r="P122" s="101">
        <f>IF(P31=0,0,1000000*P31/TrRoad_act!P71)</f>
        <v>56978.733837301792</v>
      </c>
      <c r="Q122" s="101">
        <f>IF(Q31=0,0,1000000*Q31/TrRoad_act!Q71)</f>
        <v>60619.316568026785</v>
      </c>
      <c r="R122" s="101">
        <f>IF(R31=0,0,1000000*R31/TrRoad_act!R71)</f>
        <v>36535.36849165093</v>
      </c>
      <c r="S122" s="101">
        <f>IF(S31=0,0,1000000*S31/TrRoad_act!S71)</f>
        <v>38408.963119009961</v>
      </c>
      <c r="T122" s="101">
        <f>IF(T31=0,0,1000000*T31/TrRoad_act!T71)</f>
        <v>37782.8613789105</v>
      </c>
      <c r="U122" s="101">
        <f>IF(U31=0,0,1000000*U31/TrRoad_act!U71)</f>
        <v>41513.583086161787</v>
      </c>
      <c r="V122" s="101">
        <f>IF(V31=0,0,1000000*V31/TrRoad_act!V71)</f>
        <v>20671.910001927634</v>
      </c>
      <c r="W122" s="101">
        <f>IF(W31=0,0,1000000*W31/TrRoad_act!W71)</f>
        <v>63296.834154429016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8550.0280229219334</v>
      </c>
      <c r="C125" s="152">
        <f>IF(C34=0,0,1000000*C34/TrRoad_act!C74)</f>
        <v>7251.1480898595009</v>
      </c>
      <c r="D125" s="152">
        <f>IF(D34=0,0,1000000*D34/TrRoad_act!D74)</f>
        <v>6676.3704292553439</v>
      </c>
      <c r="E125" s="152">
        <f>IF(E34=0,0,1000000*E34/TrRoad_act!E74)</f>
        <v>6629.0241886781423</v>
      </c>
      <c r="F125" s="152">
        <f>IF(F34=0,0,1000000*F34/TrRoad_act!F74)</f>
        <v>6764.6274794410192</v>
      </c>
      <c r="G125" s="152">
        <f>IF(G34=0,0,1000000*G34/TrRoad_act!G74)</f>
        <v>6926.1979357273285</v>
      </c>
      <c r="H125" s="152">
        <f>IF(H34=0,0,1000000*H34/TrRoad_act!H74)</f>
        <v>5725.5789522314872</v>
      </c>
      <c r="I125" s="152">
        <f>IF(I34=0,0,1000000*I34/TrRoad_act!I74)</f>
        <v>5888.6316057187278</v>
      </c>
      <c r="J125" s="152">
        <f>IF(J34=0,0,1000000*J34/TrRoad_act!J74)</f>
        <v>5482.9323321141301</v>
      </c>
      <c r="K125" s="152">
        <f>IF(K34=0,0,1000000*K34/TrRoad_act!K74)</f>
        <v>5165.8257968716007</v>
      </c>
      <c r="L125" s="152">
        <f>IF(L34=0,0,1000000*L34/TrRoad_act!L74)</f>
        <v>5378.0206743086164</v>
      </c>
      <c r="M125" s="152">
        <f>IF(M34=0,0,1000000*M34/TrRoad_act!M74)</f>
        <v>5436.7994053085868</v>
      </c>
      <c r="N125" s="152">
        <f>IF(N34=0,0,1000000*N34/TrRoad_act!N74)</f>
        <v>4698.6672712133759</v>
      </c>
      <c r="O125" s="152">
        <f>IF(O34=0,0,1000000*O34/TrRoad_act!O74)</f>
        <v>4118.8165952168192</v>
      </c>
      <c r="P125" s="152">
        <f>IF(P34=0,0,1000000*P34/TrRoad_act!P74)</f>
        <v>4218.4920597637465</v>
      </c>
      <c r="Q125" s="152">
        <f>IF(Q34=0,0,1000000*Q34/TrRoad_act!Q74)</f>
        <v>3358.8033916175182</v>
      </c>
      <c r="R125" s="152">
        <f>IF(R34=0,0,1000000*R34/TrRoad_act!R74)</f>
        <v>3036.7131462566622</v>
      </c>
      <c r="S125" s="152">
        <f>IF(S34=0,0,1000000*S34/TrRoad_act!S74)</f>
        <v>2990.4283539560738</v>
      </c>
      <c r="T125" s="152">
        <f>IF(T34=0,0,1000000*T34/TrRoad_act!T74)</f>
        <v>3012.4599906641756</v>
      </c>
      <c r="U125" s="152">
        <f>IF(U34=0,0,1000000*U34/TrRoad_act!U74)</f>
        <v>3023.9435038828892</v>
      </c>
      <c r="V125" s="152">
        <f>IF(V34=0,0,1000000*V34/TrRoad_act!V74)</f>
        <v>2845.6628865704333</v>
      </c>
      <c r="W125" s="152">
        <f>IF(W34=0,0,1000000*W34/TrRoad_act!W74)</f>
        <v>3401.6634453211977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3381.6586823624707</v>
      </c>
      <c r="C126" s="87">
        <f>IF(C35=0,0,1000000*C35/TrRoad_act!C75)</f>
        <v>3256.1231956834358</v>
      </c>
      <c r="D126" s="87">
        <f>IF(D35=0,0,1000000*D35/TrRoad_act!D75)</f>
        <v>3120.7782657520634</v>
      </c>
      <c r="E126" s="87">
        <f>IF(E35=0,0,1000000*E35/TrRoad_act!E75)</f>
        <v>3015.4062261552126</v>
      </c>
      <c r="F126" s="87">
        <f>IF(F35=0,0,1000000*F35/TrRoad_act!F75)</f>
        <v>2950.3941031739541</v>
      </c>
      <c r="G126" s="87">
        <f>IF(G35=0,0,1000000*G35/TrRoad_act!G75)</f>
        <v>2866.5434901765389</v>
      </c>
      <c r="H126" s="87">
        <f>IF(H35=0,0,1000000*H35/TrRoad_act!H75)</f>
        <v>2749.6824251276012</v>
      </c>
      <c r="I126" s="87">
        <f>IF(I35=0,0,1000000*I35/TrRoad_act!I75)</f>
        <v>2708.0540945033349</v>
      </c>
      <c r="J126" s="87">
        <f>IF(J35=0,0,1000000*J35/TrRoad_act!J75)</f>
        <v>2641.2031058321827</v>
      </c>
      <c r="K126" s="87">
        <f>IF(K35=0,0,1000000*K35/TrRoad_act!K75)</f>
        <v>2608.7503751050076</v>
      </c>
      <c r="L126" s="87">
        <f>IF(L35=0,0,1000000*L35/TrRoad_act!L75)</f>
        <v>2606.6531103228135</v>
      </c>
      <c r="M126" s="87">
        <f>IF(M35=0,0,1000000*M35/TrRoad_act!M75)</f>
        <v>2579.6132407343048</v>
      </c>
      <c r="N126" s="87">
        <f>IF(N35=0,0,1000000*N35/TrRoad_act!N75)</f>
        <v>2486.9848104131938</v>
      </c>
      <c r="O126" s="87">
        <f>IF(O35=0,0,1000000*O35/TrRoad_act!O75)</f>
        <v>2444.0424921965132</v>
      </c>
      <c r="P126" s="87">
        <f>IF(P35=0,0,1000000*P35/TrRoad_act!P75)</f>
        <v>2409.7187738004286</v>
      </c>
      <c r="Q126" s="87">
        <f>IF(Q35=0,0,1000000*Q35/TrRoad_act!Q75)</f>
        <v>2298.53967342123</v>
      </c>
      <c r="R126" s="87">
        <f>IF(R35=0,0,1000000*R35/TrRoad_act!R75)</f>
        <v>2243.9785388823575</v>
      </c>
      <c r="S126" s="87">
        <f>IF(S35=0,0,1000000*S35/TrRoad_act!S75)</f>
        <v>2232.2016445741942</v>
      </c>
      <c r="T126" s="87">
        <f>IF(T35=0,0,1000000*T35/TrRoad_act!T75)</f>
        <v>2200.9626610021492</v>
      </c>
      <c r="U126" s="87">
        <f>IF(U35=0,0,1000000*U35/TrRoad_act!U75)</f>
        <v>2168.7159128861695</v>
      </c>
      <c r="V126" s="87">
        <f>IF(V35=0,0,1000000*V35/TrRoad_act!V75)</f>
        <v>2149.3732359050327</v>
      </c>
      <c r="W126" s="87">
        <f>IF(W35=0,0,1000000*W35/TrRoad_act!W75)</f>
        <v>2183.7556730365422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9127.3568909624428</v>
      </c>
      <c r="C127" s="87">
        <f>IF(C36=0,0,1000000*C36/TrRoad_act!C76)</f>
        <v>7690.4447028998657</v>
      </c>
      <c r="D127" s="87">
        <f>IF(D36=0,0,1000000*D36/TrRoad_act!D76)</f>
        <v>7061.980615783028</v>
      </c>
      <c r="E127" s="87">
        <f>IF(E36=0,0,1000000*E36/TrRoad_act!E76)</f>
        <v>7016.3000780073871</v>
      </c>
      <c r="F127" s="87">
        <f>IF(F36=0,0,1000000*F36/TrRoad_act!F76)</f>
        <v>7168.9809304689716</v>
      </c>
      <c r="G127" s="87">
        <f>IF(G36=0,0,1000000*G36/TrRoad_act!G76)</f>
        <v>7352.292243462959</v>
      </c>
      <c r="H127" s="87">
        <f>IF(H36=0,0,1000000*H36/TrRoad_act!H76)</f>
        <v>6035.1307445301863</v>
      </c>
      <c r="I127" s="87">
        <f>IF(I36=0,0,1000000*I36/TrRoad_act!I76)</f>
        <v>6169.8863122196071</v>
      </c>
      <c r="J127" s="87">
        <f>IF(J36=0,0,1000000*J36/TrRoad_act!J76)</f>
        <v>5729.235442721063</v>
      </c>
      <c r="K127" s="87">
        <f>IF(K36=0,0,1000000*K36/TrRoad_act!K76)</f>
        <v>5391.4575871343395</v>
      </c>
      <c r="L127" s="87">
        <f>IF(L36=0,0,1000000*L36/TrRoad_act!L76)</f>
        <v>5630.8258484185335</v>
      </c>
      <c r="M127" s="87">
        <f>IF(M36=0,0,1000000*M36/TrRoad_act!M76)</f>
        <v>5701.2465446836495</v>
      </c>
      <c r="N127" s="87">
        <f>IF(N36=0,0,1000000*N36/TrRoad_act!N76)</f>
        <v>4909.0930228135421</v>
      </c>
      <c r="O127" s="87">
        <f>IF(O36=0,0,1000000*O36/TrRoad_act!O76)</f>
        <v>4278.6694773450781</v>
      </c>
      <c r="P127" s="87">
        <f>IF(P36=0,0,1000000*P36/TrRoad_act!P76)</f>
        <v>4391.4060945170504</v>
      </c>
      <c r="Q127" s="87">
        <f>IF(Q36=0,0,1000000*Q36/TrRoad_act!Q76)</f>
        <v>3458.3493056363477</v>
      </c>
      <c r="R127" s="87">
        <f>IF(R36=0,0,1000000*R36/TrRoad_act!R76)</f>
        <v>3109.3438893993575</v>
      </c>
      <c r="S127" s="87">
        <f>IF(S36=0,0,1000000*S36/TrRoad_act!S76)</f>
        <v>3062.2473761069068</v>
      </c>
      <c r="T127" s="87">
        <f>IF(T36=0,0,1000000*T36/TrRoad_act!T76)</f>
        <v>3088.0137818673388</v>
      </c>
      <c r="U127" s="87">
        <f>IF(U36=0,0,1000000*U36/TrRoad_act!U76)</f>
        <v>3098.6716056573518</v>
      </c>
      <c r="V127" s="87">
        <f>IF(V36=0,0,1000000*V36/TrRoad_act!V76)</f>
        <v>2906.6535234415082</v>
      </c>
      <c r="W127" s="87">
        <f>IF(W36=0,0,1000000*W36/TrRoad_act!W76)</f>
        <v>3501.7261412598632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3675.5843289009654</v>
      </c>
      <c r="C128" s="87">
        <f>IF(C37=0,0,1000000*C37/TrRoad_act!C77)</f>
        <v>3403.2284616854927</v>
      </c>
      <c r="D128" s="87">
        <f>IF(D37=0,0,1000000*D37/TrRoad_act!D77)</f>
        <v>3163.7108134514056</v>
      </c>
      <c r="E128" s="87">
        <f>IF(E37=0,0,1000000*E37/TrRoad_act!E77)</f>
        <v>2978.944621506329</v>
      </c>
      <c r="F128" s="87">
        <f>IF(F37=0,0,1000000*F37/TrRoad_act!F77)</f>
        <v>2844.1075404442199</v>
      </c>
      <c r="G128" s="87">
        <f>IF(G37=0,0,1000000*G37/TrRoad_act!G77)</f>
        <v>2703.731668690004</v>
      </c>
      <c r="H128" s="87">
        <f>IF(H37=0,0,1000000*H37/TrRoad_act!H77)</f>
        <v>2456.8877530422078</v>
      </c>
      <c r="I128" s="87">
        <f>IF(I37=0,0,1000000*I37/TrRoad_act!I77)</f>
        <v>2464.5209762354375</v>
      </c>
      <c r="J128" s="87">
        <f>IF(J37=0,0,1000000*J37/TrRoad_act!J77)</f>
        <v>2372.0472201810289</v>
      </c>
      <c r="K128" s="87">
        <f>IF(K37=0,0,1000000*K37/TrRoad_act!K77)</f>
        <v>2255.5119267782843</v>
      </c>
      <c r="L128" s="87">
        <f>IF(L37=0,0,1000000*L37/TrRoad_act!L77)</f>
        <v>2278.3069523569484</v>
      </c>
      <c r="M128" s="87">
        <f>IF(M37=0,0,1000000*M37/TrRoad_act!M77)</f>
        <v>2274.714195543424</v>
      </c>
      <c r="N128" s="87">
        <f>IF(N37=0,0,1000000*N37/TrRoad_act!N77)</f>
        <v>2084.6097390958685</v>
      </c>
      <c r="O128" s="87">
        <f>IF(O37=0,0,1000000*O37/TrRoad_act!O77)</f>
        <v>1993.1243873970373</v>
      </c>
      <c r="P128" s="87">
        <f>IF(P37=0,0,1000000*P37/TrRoad_act!P77)</f>
        <v>1991.4238161071576</v>
      </c>
      <c r="Q128" s="87">
        <f>IF(Q37=0,0,1000000*Q37/TrRoad_act!Q77)</f>
        <v>1835.5660062750185</v>
      </c>
      <c r="R128" s="87">
        <f>IF(R37=0,0,1000000*R37/TrRoad_act!R77)</f>
        <v>1784.4575354925958</v>
      </c>
      <c r="S128" s="87">
        <f>IF(S37=0,0,1000000*S37/TrRoad_act!S77)</f>
        <v>1760.627076405033</v>
      </c>
      <c r="T128" s="87">
        <f>IF(T37=0,0,1000000*T37/TrRoad_act!T77)</f>
        <v>1758.1157314483928</v>
      </c>
      <c r="U128" s="87">
        <f>IF(U37=0,0,1000000*U37/TrRoad_act!U77)</f>
        <v>1739.2942840579349</v>
      </c>
      <c r="V128" s="87">
        <f>IF(V37=0,0,1000000*V37/TrRoad_act!V77)</f>
        <v>1689.2977045295697</v>
      </c>
      <c r="W128" s="87">
        <f>IF(W37=0,0,1000000*W37/TrRoad_act!W77)</f>
        <v>1895.2629040735544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4747.094116002263</v>
      </c>
      <c r="C129" s="87">
        <f>IF(C38=0,0,1000000*C38/TrRoad_act!C78)</f>
        <v>4313.3308420713747</v>
      </c>
      <c r="D129" s="87">
        <f>IF(D38=0,0,1000000*D38/TrRoad_act!D78)</f>
        <v>3976.1297880585666</v>
      </c>
      <c r="E129" s="87">
        <f>IF(E38=0,0,1000000*E38/TrRoad_act!E78)</f>
        <v>3726.2944176548585</v>
      </c>
      <c r="F129" s="87">
        <f>IF(F38=0,0,1000000*F38/TrRoad_act!F78)</f>
        <v>3569.1585537498736</v>
      </c>
      <c r="G129" s="87">
        <f>IF(G38=0,0,1000000*G38/TrRoad_act!G78)</f>
        <v>3426.144640710419</v>
      </c>
      <c r="H129" s="87">
        <f>IF(H38=0,0,1000000*H38/TrRoad_act!H78)</f>
        <v>3235.4677643916248</v>
      </c>
      <c r="I129" s="87">
        <f>IF(I38=0,0,1000000*I38/TrRoad_act!I78)</f>
        <v>3226.8523316210249</v>
      </c>
      <c r="J129" s="87">
        <f>IF(J38=0,0,1000000*J38/TrRoad_act!J78)</f>
        <v>3108.8382453717472</v>
      </c>
      <c r="K129" s="87">
        <f>IF(K38=0,0,1000000*K38/TrRoad_act!K78)</f>
        <v>2805.0306515851789</v>
      </c>
      <c r="L129" s="87">
        <f>IF(L38=0,0,1000000*L38/TrRoad_act!L78)</f>
        <v>2925.528307016129</v>
      </c>
      <c r="M129" s="87">
        <f>IF(M38=0,0,1000000*M38/TrRoad_act!M78)</f>
        <v>2848.1305871162326</v>
      </c>
      <c r="N129" s="87">
        <f>IF(N38=0,0,1000000*N38/TrRoad_act!N78)</f>
        <v>2716.1506349908022</v>
      </c>
      <c r="O129" s="87">
        <f>IF(O38=0,0,1000000*O38/TrRoad_act!O78)</f>
        <v>2700.838310408652</v>
      </c>
      <c r="P129" s="87">
        <f>IF(P38=0,0,1000000*P38/TrRoad_act!P78)</f>
        <v>2643.1621097632647</v>
      </c>
      <c r="Q129" s="87">
        <f>IF(Q38=0,0,1000000*Q38/TrRoad_act!Q78)</f>
        <v>2570.5877971172295</v>
      </c>
      <c r="R129" s="87">
        <f>IF(R38=0,0,1000000*R38/TrRoad_act!R78)</f>
        <v>2495.9722330434142</v>
      </c>
      <c r="S129" s="87">
        <f>IF(S38=0,0,1000000*S38/TrRoad_act!S78)</f>
        <v>2293.7758932671509</v>
      </c>
      <c r="T129" s="87">
        <f>IF(T38=0,0,1000000*T38/TrRoad_act!T78)</f>
        <v>2297.1383017051539</v>
      </c>
      <c r="U129" s="87">
        <f>IF(U38=0,0,1000000*U38/TrRoad_act!U78)</f>
        <v>2512.3362797250097</v>
      </c>
      <c r="V129" s="87">
        <f>IF(V38=0,0,1000000*V38/TrRoad_act!V78)</f>
        <v>2504.379061306212</v>
      </c>
      <c r="W129" s="87">
        <f>IF(W38=0,0,1000000*W38/TrRoad_act!W78)</f>
        <v>2782.2549469963283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8357.4336044390693</v>
      </c>
      <c r="C131" s="116">
        <f>IF(C40=0,0,1000000*C40/TrRoad_act!C80)</f>
        <v>12654.322729683534</v>
      </c>
      <c r="D131" s="116">
        <f>IF(D40=0,0,1000000*D40/TrRoad_act!D80)</f>
        <v>12679.959277422005</v>
      </c>
      <c r="E131" s="116">
        <f>IF(E40=0,0,1000000*E40/TrRoad_act!E80)</f>
        <v>12340.792986264039</v>
      </c>
      <c r="F131" s="116">
        <f>IF(F40=0,0,1000000*F40/TrRoad_act!F80)</f>
        <v>13018.766322994752</v>
      </c>
      <c r="G131" s="116">
        <f>IF(G40=0,0,1000000*G40/TrRoad_act!G80)</f>
        <v>13104.911276664414</v>
      </c>
      <c r="H131" s="116">
        <f>IF(H40=0,0,1000000*H40/TrRoad_act!H80)</f>
        <v>15478.735542661114</v>
      </c>
      <c r="I131" s="116">
        <f>IF(I40=0,0,1000000*I40/TrRoad_act!I80)</f>
        <v>15093.174197439301</v>
      </c>
      <c r="J131" s="116">
        <f>IF(J40=0,0,1000000*J40/TrRoad_act!J80)</f>
        <v>11423.380123986697</v>
      </c>
      <c r="K131" s="116">
        <f>IF(K40=0,0,1000000*K40/TrRoad_act!K80)</f>
        <v>9683.5324780568335</v>
      </c>
      <c r="L131" s="116">
        <f>IF(L40=0,0,1000000*L40/TrRoad_act!L80)</f>
        <v>7621.1046232623776</v>
      </c>
      <c r="M131" s="116">
        <f>IF(M40=0,0,1000000*M40/TrRoad_act!M80)</f>
        <v>8525.3327382871248</v>
      </c>
      <c r="N131" s="116">
        <f>IF(N40=0,0,1000000*N40/TrRoad_act!N80)</f>
        <v>10715.965157958817</v>
      </c>
      <c r="O131" s="116">
        <f>IF(O40=0,0,1000000*O40/TrRoad_act!O80)</f>
        <v>8938.3883351028089</v>
      </c>
      <c r="P131" s="116">
        <f>IF(P40=0,0,1000000*P40/TrRoad_act!P80)</f>
        <v>8274.6878910970063</v>
      </c>
      <c r="Q131" s="116">
        <f>IF(Q40=0,0,1000000*Q40/TrRoad_act!Q80)</f>
        <v>8953.8571089071684</v>
      </c>
      <c r="R131" s="116">
        <f>IF(R40=0,0,1000000*R40/TrRoad_act!R80)</f>
        <v>9961.3924999618957</v>
      </c>
      <c r="S131" s="116">
        <f>IF(S40=0,0,1000000*S40/TrRoad_act!S80)</f>
        <v>6322.6610192962789</v>
      </c>
      <c r="T131" s="116">
        <f>IF(T40=0,0,1000000*T40/TrRoad_act!T80)</f>
        <v>10652.736475256628</v>
      </c>
      <c r="U131" s="116">
        <f>IF(U40=0,0,1000000*U40/TrRoad_act!U80)</f>
        <v>11251.297825608764</v>
      </c>
      <c r="V131" s="116">
        <f>IF(V40=0,0,1000000*V40/TrRoad_act!V80)</f>
        <v>9635.9494563394692</v>
      </c>
      <c r="W131" s="116">
        <f>IF(W40=0,0,1000000*W40/TrRoad_act!W80)</f>
        <v>15922.18951663531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7285.9141810928268</v>
      </c>
      <c r="C132" s="101">
        <f>IF(C41=0,0,1000000*C41/TrRoad_act!C81)</f>
        <v>10891.097437683939</v>
      </c>
      <c r="D132" s="101">
        <f>IF(D41=0,0,1000000*D41/TrRoad_act!D81)</f>
        <v>10848.732468974971</v>
      </c>
      <c r="E132" s="101">
        <f>IF(E41=0,0,1000000*E41/TrRoad_act!E81)</f>
        <v>10484.948564430291</v>
      </c>
      <c r="F132" s="101">
        <f>IF(F41=0,0,1000000*F41/TrRoad_act!F81)</f>
        <v>11139.200487979148</v>
      </c>
      <c r="G132" s="101">
        <f>IF(G41=0,0,1000000*G41/TrRoad_act!G81)</f>
        <v>11225.188655535834</v>
      </c>
      <c r="H132" s="101">
        <f>IF(H41=0,0,1000000*H41/TrRoad_act!H81)</f>
        <v>12732.408223469967</v>
      </c>
      <c r="I132" s="101">
        <f>IF(I41=0,0,1000000*I41/TrRoad_act!I81)</f>
        <v>12497.457399242943</v>
      </c>
      <c r="J132" s="101">
        <f>IF(J41=0,0,1000000*J41/TrRoad_act!J81)</f>
        <v>9318.9536711810506</v>
      </c>
      <c r="K132" s="101">
        <f>IF(K41=0,0,1000000*K41/TrRoad_act!K81)</f>
        <v>8065.5845315296574</v>
      </c>
      <c r="L132" s="101">
        <f>IF(L41=0,0,1000000*L41/TrRoad_act!L81)</f>
        <v>6289.0747125132048</v>
      </c>
      <c r="M132" s="101">
        <f>IF(M41=0,0,1000000*M41/TrRoad_act!M81)</f>
        <v>6968.3526425270056</v>
      </c>
      <c r="N132" s="101">
        <f>IF(N41=0,0,1000000*N41/TrRoad_act!N81)</f>
        <v>8640.0921172807684</v>
      </c>
      <c r="O132" s="101">
        <f>IF(O41=0,0,1000000*O41/TrRoad_act!O81)</f>
        <v>7126.801562404049</v>
      </c>
      <c r="P132" s="101">
        <f>IF(P41=0,0,1000000*P41/TrRoad_act!P81)</f>
        <v>6451.1811893929234</v>
      </c>
      <c r="Q132" s="101">
        <f>IF(Q41=0,0,1000000*Q41/TrRoad_act!Q81)</f>
        <v>6981.6228827986906</v>
      </c>
      <c r="R132" s="101">
        <f>IF(R41=0,0,1000000*R41/TrRoad_act!R81)</f>
        <v>7653.4541352781162</v>
      </c>
      <c r="S132" s="101">
        <f>IF(S41=0,0,1000000*S41/TrRoad_act!S81)</f>
        <v>4782.0139505920233</v>
      </c>
      <c r="T132" s="101">
        <f>IF(T41=0,0,1000000*T41/TrRoad_act!T81)</f>
        <v>8127.7482171757747</v>
      </c>
      <c r="U132" s="101">
        <f>IF(U41=0,0,1000000*U41/TrRoad_act!U81)</f>
        <v>8596.5835323359279</v>
      </c>
      <c r="V132" s="101">
        <f>IF(V41=0,0,1000000*V41/TrRoad_act!V81)</f>
        <v>7317.9685669222736</v>
      </c>
      <c r="W132" s="101">
        <f>IF(W41=0,0,1000000*W41/TrRoad_act!W81)</f>
        <v>11967.642768898051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58393.408095129889</v>
      </c>
      <c r="C133" s="88">
        <f>IF(C42=0,0,1000000*C42/TrRoad_act!C82)</f>
        <v>89316.084351782629</v>
      </c>
      <c r="D133" s="88">
        <f>IF(D42=0,0,1000000*D42/TrRoad_act!D82)</f>
        <v>88604.617702791074</v>
      </c>
      <c r="E133" s="88">
        <f>IF(E42=0,0,1000000*E42/TrRoad_act!E82)</f>
        <v>87774.349823607801</v>
      </c>
      <c r="F133" s="88">
        <f>IF(F42=0,0,1000000*F42/TrRoad_act!F82)</f>
        <v>77153.310744373099</v>
      </c>
      <c r="G133" s="88">
        <f>IF(G42=0,0,1000000*G42/TrRoad_act!G82)</f>
        <v>75126.220595271705</v>
      </c>
      <c r="H133" s="88">
        <f>IF(H42=0,0,1000000*H42/TrRoad_act!H82)</f>
        <v>101553.42373255896</v>
      </c>
      <c r="I133" s="88">
        <f>IF(I42=0,0,1000000*I42/TrRoad_act!I82)</f>
        <v>97569.666652326676</v>
      </c>
      <c r="J133" s="88">
        <f>IF(J42=0,0,1000000*J42/TrRoad_act!J82)</f>
        <v>74762.52832750899</v>
      </c>
      <c r="K133" s="88">
        <f>IF(K42=0,0,1000000*K42/TrRoad_act!K82)</f>
        <v>65284.759175256469</v>
      </c>
      <c r="L133" s="88">
        <f>IF(L42=0,0,1000000*L42/TrRoad_act!L82)</f>
        <v>49423.17387961744</v>
      </c>
      <c r="M133" s="88">
        <f>IF(M42=0,0,1000000*M42/TrRoad_act!M82)</f>
        <v>65258.398415400181</v>
      </c>
      <c r="N133" s="88">
        <f>IF(N42=0,0,1000000*N42/TrRoad_act!N82)</f>
        <v>89848.18439766769</v>
      </c>
      <c r="O133" s="88">
        <f>IF(O42=0,0,1000000*O42/TrRoad_act!O82)</f>
        <v>71400.545391894717</v>
      </c>
      <c r="P133" s="88">
        <f>IF(P42=0,0,1000000*P42/TrRoad_act!P82)</f>
        <v>68572.85245745159</v>
      </c>
      <c r="Q133" s="88">
        <f>IF(Q42=0,0,1000000*Q42/TrRoad_act!Q82)</f>
        <v>75307.416746440824</v>
      </c>
      <c r="R133" s="88">
        <f>IF(R42=0,0,1000000*R42/TrRoad_act!R82)</f>
        <v>77933.692143500448</v>
      </c>
      <c r="S133" s="88">
        <f>IF(S42=0,0,1000000*S42/TrRoad_act!S82)</f>
        <v>45122.318046127009</v>
      </c>
      <c r="T133" s="88">
        <f>IF(T42=0,0,1000000*T42/TrRoad_act!T82)</f>
        <v>76576.121185450509</v>
      </c>
      <c r="U133" s="88">
        <f>IF(U42=0,0,1000000*U42/TrRoad_act!U82)</f>
        <v>77571.978005832323</v>
      </c>
      <c r="V133" s="88">
        <f>IF(V42=0,0,1000000*V42/TrRoad_act!V82)</f>
        <v>65438.848611573914</v>
      </c>
      <c r="W133" s="88">
        <f>IF(W42=0,0,1000000*W42/TrRoad_act!W82)</f>
        <v>101315.61211451594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0.72493131478065542</v>
      </c>
      <c r="C136" s="46">
        <f t="shared" si="40"/>
        <v>0.71476858641256602</v>
      </c>
      <c r="D136" s="46">
        <f t="shared" si="40"/>
        <v>0.72088079152583406</v>
      </c>
      <c r="E136" s="46">
        <f t="shared" si="40"/>
        <v>0.71524725803280631</v>
      </c>
      <c r="F136" s="46">
        <f t="shared" si="40"/>
        <v>0.70845841249881414</v>
      </c>
      <c r="G136" s="46">
        <f t="shared" si="40"/>
        <v>0.69088124703102194</v>
      </c>
      <c r="H136" s="46">
        <f t="shared" si="40"/>
        <v>0.70158328593534436</v>
      </c>
      <c r="I136" s="46">
        <f t="shared" si="40"/>
        <v>0.69585499222036029</v>
      </c>
      <c r="J136" s="46">
        <f t="shared" si="40"/>
        <v>0.71735248438867472</v>
      </c>
      <c r="K136" s="46">
        <f t="shared" si="40"/>
        <v>0.72888658952510987</v>
      </c>
      <c r="L136" s="46">
        <f t="shared" si="41"/>
        <v>0.73108999217724235</v>
      </c>
      <c r="M136" s="46">
        <f t="shared" si="40"/>
        <v>0.71807706723648479</v>
      </c>
      <c r="N136" s="46">
        <f t="shared" si="40"/>
        <v>0.71023156493421635</v>
      </c>
      <c r="O136" s="46">
        <f t="shared" si="40"/>
        <v>0.74797768210852567</v>
      </c>
      <c r="P136" s="46">
        <f t="shared" si="40"/>
        <v>0.76277577909156336</v>
      </c>
      <c r="Q136" s="46">
        <f t="shared" si="40"/>
        <v>0.78423429745163709</v>
      </c>
      <c r="R136" s="46">
        <f t="shared" si="40"/>
        <v>0.78894851506074937</v>
      </c>
      <c r="S136" s="46">
        <f t="shared" si="40"/>
        <v>0.8136065872742666</v>
      </c>
      <c r="T136" s="46">
        <f t="shared" si="40"/>
        <v>0.78106855916390128</v>
      </c>
      <c r="U136" s="46">
        <f t="shared" si="40"/>
        <v>0.77603427585252838</v>
      </c>
      <c r="V136" s="46">
        <f t="shared" si="40"/>
        <v>0.74998108203238567</v>
      </c>
      <c r="W136" s="46">
        <f t="shared" si="42"/>
        <v>0.71614750290116835</v>
      </c>
      <c r="DA136" s="211"/>
    </row>
    <row r="137" spans="1:105" ht="11.45" customHeight="1" x14ac:dyDescent="0.25">
      <c r="A137" s="153" t="s">
        <v>180</v>
      </c>
      <c r="B137" s="154">
        <f t="shared" si="40"/>
        <v>3.7863624905645571E-2</v>
      </c>
      <c r="C137" s="154">
        <f t="shared" si="40"/>
        <v>3.7498563256275305E-2</v>
      </c>
      <c r="D137" s="154">
        <f t="shared" si="40"/>
        <v>3.6066000729286944E-2</v>
      </c>
      <c r="E137" s="154">
        <f t="shared" si="40"/>
        <v>3.6200306267412823E-2</v>
      </c>
      <c r="F137" s="154">
        <f t="shared" si="40"/>
        <v>3.6515582405700492E-2</v>
      </c>
      <c r="G137" s="154">
        <f t="shared" si="40"/>
        <v>3.6609048011476381E-2</v>
      </c>
      <c r="H137" s="154">
        <f t="shared" si="40"/>
        <v>3.4020109329458703E-2</v>
      </c>
      <c r="I137" s="154">
        <f t="shared" si="40"/>
        <v>2.9658971690809128E-2</v>
      </c>
      <c r="J137" s="154">
        <f t="shared" si="40"/>
        <v>3.2495005765326303E-2</v>
      </c>
      <c r="K137" s="154">
        <f t="shared" si="40"/>
        <v>3.1070915836186944E-2</v>
      </c>
      <c r="L137" s="154">
        <f t="shared" si="41"/>
        <v>3.2004929136542869E-2</v>
      </c>
      <c r="M137" s="154">
        <f t="shared" si="40"/>
        <v>3.2660211853627941E-2</v>
      </c>
      <c r="N137" s="154">
        <f t="shared" si="40"/>
        <v>3.3129474625565175E-2</v>
      </c>
      <c r="O137" s="154">
        <f t="shared" si="40"/>
        <v>3.2626741274406686E-2</v>
      </c>
      <c r="P137" s="154">
        <f t="shared" si="40"/>
        <v>3.1364595902704157E-2</v>
      </c>
      <c r="Q137" s="154">
        <f t="shared" si="40"/>
        <v>3.1649092079915765E-2</v>
      </c>
      <c r="R137" s="154">
        <f t="shared" si="40"/>
        <v>3.2411024041486915E-2</v>
      </c>
      <c r="S137" s="154">
        <f t="shared" si="40"/>
        <v>3.1797961152326103E-2</v>
      </c>
      <c r="T137" s="154">
        <f t="shared" si="40"/>
        <v>2.9225031878917476E-2</v>
      </c>
      <c r="U137" s="154">
        <f t="shared" si="40"/>
        <v>3.0616848632534086E-2</v>
      </c>
      <c r="V137" s="154">
        <f t="shared" si="40"/>
        <v>3.379679738640351E-2</v>
      </c>
      <c r="W137" s="154">
        <f t="shared" si="42"/>
        <v>2.7602092797763531E-2</v>
      </c>
      <c r="DA137" s="212"/>
    </row>
    <row r="138" spans="1:105" ht="11.45" customHeight="1" x14ac:dyDescent="0.25">
      <c r="A138" s="155" t="s">
        <v>20</v>
      </c>
      <c r="B138" s="156">
        <f t="shared" si="40"/>
        <v>0.627110838483805</v>
      </c>
      <c r="C138" s="156">
        <f t="shared" si="40"/>
        <v>0.61828210155445962</v>
      </c>
      <c r="D138" s="156">
        <f t="shared" si="40"/>
        <v>0.62658894708972102</v>
      </c>
      <c r="E138" s="156">
        <f t="shared" si="40"/>
        <v>0.62108575252897824</v>
      </c>
      <c r="F138" s="156">
        <f t="shared" si="40"/>
        <v>0.61528918108363395</v>
      </c>
      <c r="G138" s="156">
        <f t="shared" si="40"/>
        <v>0.59685484763671171</v>
      </c>
      <c r="H138" s="156">
        <f t="shared" si="40"/>
        <v>0.61015413586707734</v>
      </c>
      <c r="I138" s="156">
        <f t="shared" si="40"/>
        <v>0.60922600634092094</v>
      </c>
      <c r="J138" s="156">
        <f t="shared" si="40"/>
        <v>0.62529257087433543</v>
      </c>
      <c r="K138" s="156">
        <f t="shared" si="40"/>
        <v>0.63676807688672987</v>
      </c>
      <c r="L138" s="156">
        <f t="shared" si="41"/>
        <v>0.63628536196955088</v>
      </c>
      <c r="M138" s="156">
        <f t="shared" si="40"/>
        <v>0.62081914598907462</v>
      </c>
      <c r="N138" s="156">
        <f t="shared" si="40"/>
        <v>0.61109861644460828</v>
      </c>
      <c r="O138" s="156">
        <f t="shared" si="40"/>
        <v>0.64776276156282275</v>
      </c>
      <c r="P138" s="156">
        <f t="shared" si="40"/>
        <v>0.66605761054092916</v>
      </c>
      <c r="Q138" s="156">
        <f t="shared" si="40"/>
        <v>0.68432461972583547</v>
      </c>
      <c r="R138" s="156">
        <f t="shared" si="40"/>
        <v>0.68703372185102518</v>
      </c>
      <c r="S138" s="156">
        <f t="shared" si="40"/>
        <v>0.70902181997317215</v>
      </c>
      <c r="T138" s="156">
        <f t="shared" si="40"/>
        <v>0.68124138670342471</v>
      </c>
      <c r="U138" s="156">
        <f t="shared" si="40"/>
        <v>0.674227856581192</v>
      </c>
      <c r="V138" s="156">
        <f t="shared" si="40"/>
        <v>0.63037257467789487</v>
      </c>
      <c r="W138" s="156">
        <f t="shared" si="42"/>
        <v>0.61526514008433408</v>
      </c>
      <c r="DA138" s="213"/>
    </row>
    <row r="139" spans="1:105" ht="11.45" customHeight="1" x14ac:dyDescent="0.25">
      <c r="A139" s="157" t="s">
        <v>110</v>
      </c>
      <c r="B139" s="103">
        <f t="shared" si="40"/>
        <v>0.41769158227535891</v>
      </c>
      <c r="C139" s="103">
        <f t="shared" si="40"/>
        <v>0.40012544862955168</v>
      </c>
      <c r="D139" s="103">
        <f t="shared" si="40"/>
        <v>0.38296746139419346</v>
      </c>
      <c r="E139" s="103">
        <f t="shared" si="40"/>
        <v>0.36557286510645176</v>
      </c>
      <c r="F139" s="103">
        <f t="shared" si="40"/>
        <v>0.33337311333457742</v>
      </c>
      <c r="G139" s="103">
        <f t="shared" si="40"/>
        <v>0.31023673748565467</v>
      </c>
      <c r="H139" s="103">
        <f t="shared" si="40"/>
        <v>0.28809966270723297</v>
      </c>
      <c r="I139" s="103">
        <f t="shared" si="40"/>
        <v>0.27038229333999092</v>
      </c>
      <c r="J139" s="103">
        <f t="shared" si="40"/>
        <v>0.26086711775399568</v>
      </c>
      <c r="K139" s="103">
        <f t="shared" si="40"/>
        <v>0.26333660318997304</v>
      </c>
      <c r="L139" s="103">
        <f t="shared" si="41"/>
        <v>0.25076526869671129</v>
      </c>
      <c r="M139" s="103">
        <f t="shared" si="40"/>
        <v>0.24008382156540212</v>
      </c>
      <c r="N139" s="103">
        <f t="shared" si="40"/>
        <v>0.22380832860727901</v>
      </c>
      <c r="O139" s="103">
        <f t="shared" si="40"/>
        <v>0.21836757636311999</v>
      </c>
      <c r="P139" s="103">
        <f t="shared" si="40"/>
        <v>0.21009321207438286</v>
      </c>
      <c r="Q139" s="103">
        <f t="shared" si="40"/>
        <v>0.20712972028960325</v>
      </c>
      <c r="R139" s="103">
        <f t="shared" si="40"/>
        <v>0.19390954432652785</v>
      </c>
      <c r="S139" s="103">
        <f t="shared" si="40"/>
        <v>0.19792319110947287</v>
      </c>
      <c r="T139" s="103">
        <f t="shared" si="40"/>
        <v>0.19975868211602771</v>
      </c>
      <c r="U139" s="103">
        <f t="shared" si="40"/>
        <v>0.19849930349717046</v>
      </c>
      <c r="V139" s="103">
        <f t="shared" si="40"/>
        <v>0.18864173843843893</v>
      </c>
      <c r="W139" s="103">
        <f t="shared" si="42"/>
        <v>0.19464539198059475</v>
      </c>
      <c r="DA139" s="191"/>
    </row>
    <row r="140" spans="1:105" ht="11.45" customHeight="1" x14ac:dyDescent="0.25">
      <c r="A140" s="157" t="s">
        <v>111</v>
      </c>
      <c r="B140" s="103">
        <f t="shared" si="40"/>
        <v>0.16550642987878711</v>
      </c>
      <c r="C140" s="103">
        <f t="shared" si="40"/>
        <v>0.17511214520829724</v>
      </c>
      <c r="D140" s="103">
        <f t="shared" si="40"/>
        <v>0.20355214517575337</v>
      </c>
      <c r="E140" s="103">
        <f t="shared" si="40"/>
        <v>0.21827189527518887</v>
      </c>
      <c r="F140" s="103">
        <f t="shared" si="40"/>
        <v>0.24820115181338748</v>
      </c>
      <c r="G140" s="103">
        <f t="shared" si="40"/>
        <v>0.25416033926131332</v>
      </c>
      <c r="H140" s="103">
        <f t="shared" si="40"/>
        <v>0.28991484714373994</v>
      </c>
      <c r="I140" s="103">
        <f t="shared" si="40"/>
        <v>0.30727247776002337</v>
      </c>
      <c r="J140" s="103">
        <f t="shared" si="40"/>
        <v>0.32866197818825127</v>
      </c>
      <c r="K140" s="103">
        <f t="shared" si="40"/>
        <v>0.33248605922200353</v>
      </c>
      <c r="L140" s="103">
        <f t="shared" si="41"/>
        <v>0.33902166405498491</v>
      </c>
      <c r="M140" s="103">
        <f t="shared" si="40"/>
        <v>0.33284466815914543</v>
      </c>
      <c r="N140" s="103">
        <f t="shared" si="40"/>
        <v>0.33405676684912394</v>
      </c>
      <c r="O140" s="103">
        <f t="shared" si="40"/>
        <v>0.36811664575271547</v>
      </c>
      <c r="P140" s="103">
        <f t="shared" si="40"/>
        <v>0.39524474630454198</v>
      </c>
      <c r="Q140" s="103">
        <f t="shared" si="40"/>
        <v>0.41136708783132248</v>
      </c>
      <c r="R140" s="103">
        <f t="shared" si="40"/>
        <v>0.42731794867781353</v>
      </c>
      <c r="S140" s="103">
        <f t="shared" si="40"/>
        <v>0.44146084752588249</v>
      </c>
      <c r="T140" s="103">
        <f t="shared" si="40"/>
        <v>0.41557350141257232</v>
      </c>
      <c r="U140" s="103">
        <f t="shared" si="40"/>
        <v>0.40729710982380102</v>
      </c>
      <c r="V140" s="103">
        <f t="shared" si="40"/>
        <v>0.37433832704416853</v>
      </c>
      <c r="W140" s="103">
        <f t="shared" si="42"/>
        <v>0.36208050252657786</v>
      </c>
      <c r="DA140" s="191"/>
    </row>
    <row r="141" spans="1:105" ht="11.45" customHeight="1" x14ac:dyDescent="0.25">
      <c r="A141" s="157" t="s">
        <v>112</v>
      </c>
      <c r="B141" s="103">
        <f t="shared" si="40"/>
        <v>3.7275316800293445E-2</v>
      </c>
      <c r="C141" s="103">
        <f t="shared" si="40"/>
        <v>3.5702152786889034E-2</v>
      </c>
      <c r="D141" s="103">
        <f t="shared" si="40"/>
        <v>3.3021968539199087E-2</v>
      </c>
      <c r="E141" s="103">
        <f t="shared" si="40"/>
        <v>3.0229877553272728E-2</v>
      </c>
      <c r="F141" s="103">
        <f t="shared" si="40"/>
        <v>2.7056453587491425E-2</v>
      </c>
      <c r="G141" s="103">
        <f t="shared" si="40"/>
        <v>2.5332557455304234E-2</v>
      </c>
      <c r="H141" s="103">
        <f t="shared" si="40"/>
        <v>2.4039892761148034E-2</v>
      </c>
      <c r="I141" s="103">
        <f t="shared" si="40"/>
        <v>2.2797695744006818E-2</v>
      </c>
      <c r="J141" s="103">
        <f t="shared" si="40"/>
        <v>2.5760000203128134E-2</v>
      </c>
      <c r="K141" s="103">
        <f t="shared" si="40"/>
        <v>2.9397694431184413E-2</v>
      </c>
      <c r="L141" s="103">
        <f t="shared" si="41"/>
        <v>3.3290699021776497E-2</v>
      </c>
      <c r="M141" s="103">
        <f t="shared" si="40"/>
        <v>3.4759145165035747E-2</v>
      </c>
      <c r="N141" s="103">
        <f t="shared" si="40"/>
        <v>3.9455180571702851E-2</v>
      </c>
      <c r="O141" s="103">
        <f t="shared" si="40"/>
        <v>4.5972742841945351E-2</v>
      </c>
      <c r="P141" s="103">
        <f t="shared" si="40"/>
        <v>4.4451013570061162E-2</v>
      </c>
      <c r="Q141" s="103">
        <f t="shared" si="40"/>
        <v>4.8248480934995522E-2</v>
      </c>
      <c r="R141" s="103">
        <f t="shared" si="40"/>
        <v>4.7345203874973721E-2</v>
      </c>
      <c r="S141" s="103">
        <f t="shared" si="40"/>
        <v>5.1662623922304501E-2</v>
      </c>
      <c r="T141" s="103">
        <f t="shared" si="40"/>
        <v>4.833842126412035E-2</v>
      </c>
      <c r="U141" s="103">
        <f t="shared" si="40"/>
        <v>4.9111154712450637E-2</v>
      </c>
      <c r="V141" s="103">
        <f t="shared" si="40"/>
        <v>4.7963393537478624E-2</v>
      </c>
      <c r="W141" s="103">
        <f t="shared" si="42"/>
        <v>4.2391187678586281E-2</v>
      </c>
      <c r="DA141" s="191"/>
    </row>
    <row r="142" spans="1:105" ht="11.45" customHeight="1" x14ac:dyDescent="0.25">
      <c r="A142" s="157" t="s">
        <v>113</v>
      </c>
      <c r="B142" s="103">
        <f t="shared" si="40"/>
        <v>6.6375095293655217E-3</v>
      </c>
      <c r="C142" s="103">
        <f t="shared" si="40"/>
        <v>7.3423549297215321E-3</v>
      </c>
      <c r="D142" s="103">
        <f t="shared" si="40"/>
        <v>7.0473719805750406E-3</v>
      </c>
      <c r="E142" s="103">
        <f t="shared" si="40"/>
        <v>7.0111145940648925E-3</v>
      </c>
      <c r="F142" s="103">
        <f t="shared" si="40"/>
        <v>6.6584623481774881E-3</v>
      </c>
      <c r="G142" s="103">
        <f t="shared" si="40"/>
        <v>7.1252134344394176E-3</v>
      </c>
      <c r="H142" s="103">
        <f t="shared" si="40"/>
        <v>8.0997332549562762E-3</v>
      </c>
      <c r="I142" s="103">
        <f t="shared" si="40"/>
        <v>8.7735394968999278E-3</v>
      </c>
      <c r="J142" s="103">
        <f t="shared" si="40"/>
        <v>1.0003474728960323E-2</v>
      </c>
      <c r="K142" s="103">
        <f t="shared" si="40"/>
        <v>1.1547720043568925E-2</v>
      </c>
      <c r="L142" s="103">
        <f t="shared" si="41"/>
        <v>1.3207730196078205E-2</v>
      </c>
      <c r="M142" s="103">
        <f t="shared" si="40"/>
        <v>1.3131511099491322E-2</v>
      </c>
      <c r="N142" s="103">
        <f t="shared" si="40"/>
        <v>1.3777327320188371E-2</v>
      </c>
      <c r="O142" s="103">
        <f t="shared" si="40"/>
        <v>1.5179935530773398E-2</v>
      </c>
      <c r="P142" s="103">
        <f t="shared" si="40"/>
        <v>1.5937730510932814E-2</v>
      </c>
      <c r="Q142" s="103">
        <f t="shared" si="40"/>
        <v>1.7225471431127386E-2</v>
      </c>
      <c r="R142" s="103">
        <f t="shared" si="40"/>
        <v>1.812266393385396E-2</v>
      </c>
      <c r="S142" s="103">
        <f t="shared" si="40"/>
        <v>1.7573016967406832E-2</v>
      </c>
      <c r="T142" s="103">
        <f t="shared" si="40"/>
        <v>1.7123159886706613E-2</v>
      </c>
      <c r="U142" s="103">
        <f t="shared" si="40"/>
        <v>1.8846240702116528E-2</v>
      </c>
      <c r="V142" s="103">
        <f t="shared" si="40"/>
        <v>1.8854485266331798E-2</v>
      </c>
      <c r="W142" s="103">
        <f t="shared" si="42"/>
        <v>1.5307186269724261E-2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1.0130963140850877E-6</v>
      </c>
      <c r="O143" s="103">
        <f t="shared" si="40"/>
        <v>1.258610742685541E-4</v>
      </c>
      <c r="P143" s="103">
        <f t="shared" si="40"/>
        <v>3.3090808101021257E-4</v>
      </c>
      <c r="Q143" s="103">
        <f t="shared" si="40"/>
        <v>3.5385923878693552E-4</v>
      </c>
      <c r="R143" s="103">
        <f t="shared" si="40"/>
        <v>3.3836103785624583E-4</v>
      </c>
      <c r="S143" s="103">
        <f t="shared" si="40"/>
        <v>4.0214044810548685E-4</v>
      </c>
      <c r="T143" s="103">
        <f t="shared" si="40"/>
        <v>4.476220239976962E-4</v>
      </c>
      <c r="U143" s="103">
        <f t="shared" si="40"/>
        <v>4.7404784565339763E-4</v>
      </c>
      <c r="V143" s="103">
        <f t="shared" si="40"/>
        <v>5.7463039147701239E-4</v>
      </c>
      <c r="W143" s="103">
        <f t="shared" si="42"/>
        <v>8.4087162885093495E-4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5.9956851391204859E-2</v>
      </c>
      <c r="C145" s="156">
        <f t="shared" si="40"/>
        <v>5.8987921601831091E-2</v>
      </c>
      <c r="D145" s="156">
        <f t="shared" si="40"/>
        <v>5.8225843706826236E-2</v>
      </c>
      <c r="E145" s="156">
        <f t="shared" si="40"/>
        <v>5.7961199236415205E-2</v>
      </c>
      <c r="F145" s="156">
        <f t="shared" si="40"/>
        <v>5.6653649009479792E-2</v>
      </c>
      <c r="G145" s="156">
        <f t="shared" si="40"/>
        <v>5.7417351382833937E-2</v>
      </c>
      <c r="H145" s="156">
        <f t="shared" si="40"/>
        <v>5.7409040738808356E-2</v>
      </c>
      <c r="I145" s="156">
        <f t="shared" si="40"/>
        <v>5.6970014188630201E-2</v>
      </c>
      <c r="J145" s="156">
        <f t="shared" si="40"/>
        <v>5.9564907749012928E-2</v>
      </c>
      <c r="K145" s="156">
        <f t="shared" si="40"/>
        <v>6.1047596802193148E-2</v>
      </c>
      <c r="L145" s="156">
        <f t="shared" si="41"/>
        <v>6.2799701071148586E-2</v>
      </c>
      <c r="M145" s="156">
        <f t="shared" si="40"/>
        <v>6.4597709393782274E-2</v>
      </c>
      <c r="N145" s="156">
        <f t="shared" si="40"/>
        <v>6.6003473864042914E-2</v>
      </c>
      <c r="O145" s="156">
        <f t="shared" si="40"/>
        <v>6.7588179271296261E-2</v>
      </c>
      <c r="P145" s="156">
        <f t="shared" si="40"/>
        <v>6.5353572647930069E-2</v>
      </c>
      <c r="Q145" s="156">
        <f t="shared" si="40"/>
        <v>6.8260585645885843E-2</v>
      </c>
      <c r="R145" s="156">
        <f t="shared" si="40"/>
        <v>6.9503769168237264E-2</v>
      </c>
      <c r="S145" s="156">
        <f t="shared" si="40"/>
        <v>7.2786806148768438E-2</v>
      </c>
      <c r="T145" s="156">
        <f t="shared" si="40"/>
        <v>7.0602140581559072E-2</v>
      </c>
      <c r="U145" s="156">
        <f t="shared" si="40"/>
        <v>7.1189570638802296E-2</v>
      </c>
      <c r="V145" s="156">
        <f t="shared" si="40"/>
        <v>8.5811709968087263E-2</v>
      </c>
      <c r="W145" s="156">
        <f t="shared" si="42"/>
        <v>7.3280270019070809E-2</v>
      </c>
      <c r="DA145" s="213"/>
    </row>
    <row r="146" spans="1:105" ht="11.45" customHeight="1" x14ac:dyDescent="0.25">
      <c r="A146" s="157" t="s">
        <v>110</v>
      </c>
      <c r="B146" s="103">
        <f t="shared" si="40"/>
        <v>4.7555657209422572E-5</v>
      </c>
      <c r="C146" s="103">
        <f t="shared" si="40"/>
        <v>4.1833960861320716E-5</v>
      </c>
      <c r="D146" s="103">
        <f t="shared" si="40"/>
        <v>3.8592382768921558E-5</v>
      </c>
      <c r="E146" s="103">
        <f t="shared" si="40"/>
        <v>3.0831031912066851E-5</v>
      </c>
      <c r="F146" s="103">
        <f t="shared" si="40"/>
        <v>2.6119556332573039E-5</v>
      </c>
      <c r="G146" s="103">
        <f t="shared" si="40"/>
        <v>2.4989939245580455E-5</v>
      </c>
      <c r="H146" s="103">
        <f t="shared" si="40"/>
        <v>2.3306113891589607E-5</v>
      </c>
      <c r="I146" s="103">
        <f t="shared" si="40"/>
        <v>2.1500751718052603E-5</v>
      </c>
      <c r="J146" s="103">
        <f t="shared" si="40"/>
        <v>2.2872316857921669E-5</v>
      </c>
      <c r="K146" s="103">
        <f t="shared" si="40"/>
        <v>2.5367409043500781E-5</v>
      </c>
      <c r="L146" s="103">
        <f t="shared" si="41"/>
        <v>2.6205813559597563E-5</v>
      </c>
      <c r="M146" s="103">
        <f t="shared" si="40"/>
        <v>2.5872879414551138E-5</v>
      </c>
      <c r="N146" s="103">
        <f t="shared" si="40"/>
        <v>2.7096847525269921E-5</v>
      </c>
      <c r="O146" s="103">
        <f t="shared" si="40"/>
        <v>4.7214986586181504E-5</v>
      </c>
      <c r="P146" s="103">
        <f t="shared" si="40"/>
        <v>2.6313555503704261E-5</v>
      </c>
      <c r="Q146" s="103">
        <f t="shared" si="40"/>
        <v>2.6649930387111109E-5</v>
      </c>
      <c r="R146" s="103">
        <f t="shared" si="40"/>
        <v>2.5972818231285384E-5</v>
      </c>
      <c r="S146" s="103">
        <f t="shared" si="40"/>
        <v>2.567170369282413E-5</v>
      </c>
      <c r="T146" s="103">
        <f t="shared" si="40"/>
        <v>2.3363861093996518E-5</v>
      </c>
      <c r="U146" s="103">
        <f t="shared" si="40"/>
        <v>4.1019008815092334E-5</v>
      </c>
      <c r="V146" s="103">
        <f t="shared" si="40"/>
        <v>4.9114586128496999E-5</v>
      </c>
      <c r="W146" s="103">
        <f t="shared" si="42"/>
        <v>3.8326621594579132E-5</v>
      </c>
      <c r="DA146" s="191"/>
    </row>
    <row r="147" spans="1:105" ht="11.45" customHeight="1" x14ac:dyDescent="0.25">
      <c r="A147" s="157" t="s">
        <v>111</v>
      </c>
      <c r="B147" s="103">
        <f t="shared" si="40"/>
        <v>5.985304550803202E-2</v>
      </c>
      <c r="C147" s="103">
        <f t="shared" si="40"/>
        <v>5.8890605945281595E-2</v>
      </c>
      <c r="D147" s="103">
        <f t="shared" si="40"/>
        <v>5.8138781314928209E-2</v>
      </c>
      <c r="E147" s="103">
        <f t="shared" si="40"/>
        <v>5.7865227251077907E-2</v>
      </c>
      <c r="F147" s="103">
        <f t="shared" si="40"/>
        <v>5.654963711203697E-2</v>
      </c>
      <c r="G147" s="103">
        <f t="shared" si="40"/>
        <v>5.7275855232082985E-2</v>
      </c>
      <c r="H147" s="103">
        <f t="shared" si="40"/>
        <v>5.7230426890907286E-2</v>
      </c>
      <c r="I147" s="103">
        <f t="shared" si="40"/>
        <v>5.6526404327694957E-2</v>
      </c>
      <c r="J147" s="103">
        <f t="shared" si="40"/>
        <v>5.8572620144352196E-2</v>
      </c>
      <c r="K147" s="103">
        <f t="shared" si="40"/>
        <v>6.0126406989636998E-2</v>
      </c>
      <c r="L147" s="103">
        <f t="shared" si="41"/>
        <v>6.1756061107466211E-2</v>
      </c>
      <c r="M147" s="103">
        <f t="shared" si="40"/>
        <v>6.2795917283591213E-2</v>
      </c>
      <c r="N147" s="103">
        <f t="shared" si="40"/>
        <v>6.3596505131596912E-2</v>
      </c>
      <c r="O147" s="103">
        <f t="shared" si="40"/>
        <v>6.49495624971205E-2</v>
      </c>
      <c r="P147" s="103">
        <f t="shared" si="40"/>
        <v>6.3234001912472082E-2</v>
      </c>
      <c r="Q147" s="103">
        <f t="shared" si="40"/>
        <v>6.6070061602085395E-2</v>
      </c>
      <c r="R147" s="103">
        <f t="shared" ref="R147:V147" si="43">IF(R29=0,0,R29/R$17)</f>
        <v>6.8134039126371171E-2</v>
      </c>
      <c r="S147" s="103">
        <f t="shared" si="43"/>
        <v>7.0976979057074646E-2</v>
      </c>
      <c r="T147" s="103">
        <f t="shared" si="43"/>
        <v>6.8720524016207055E-2</v>
      </c>
      <c r="U147" s="103">
        <f t="shared" si="43"/>
        <v>6.8985971586487602E-2</v>
      </c>
      <c r="V147" s="103">
        <f t="shared" si="43"/>
        <v>8.4337458118933645E-2</v>
      </c>
      <c r="W147" s="103">
        <f t="shared" ref="W147" si="44">IF(W29=0,0,W29/W$17)</f>
        <v>6.9804775840992234E-2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2.2456900189750212E-5</v>
      </c>
      <c r="C148" s="103">
        <f t="shared" si="45"/>
        <v>2.4512173822228545E-5</v>
      </c>
      <c r="D148" s="103">
        <f t="shared" si="45"/>
        <v>2.2724320575160887E-5</v>
      </c>
      <c r="E148" s="103">
        <f t="shared" si="45"/>
        <v>2.6100588812940809E-5</v>
      </c>
      <c r="F148" s="103">
        <f t="shared" si="45"/>
        <v>3.9421008069137949E-5</v>
      </c>
      <c r="G148" s="103">
        <f t="shared" si="45"/>
        <v>5.7248934548072899E-5</v>
      </c>
      <c r="H148" s="103">
        <f t="shared" si="45"/>
        <v>6.3874933580452249E-5</v>
      </c>
      <c r="I148" s="103">
        <f t="shared" si="45"/>
        <v>7.58954243165999E-5</v>
      </c>
      <c r="J148" s="103">
        <f t="shared" si="45"/>
        <v>9.6349349184941346E-5</v>
      </c>
      <c r="K148" s="103">
        <f t="shared" si="45"/>
        <v>1.3883175866347426E-4</v>
      </c>
      <c r="L148" s="103">
        <f t="shared" ref="L148:L150" si="46">IF(L30=0,0,L30/L$17)</f>
        <v>1.4623113751499961E-4</v>
      </c>
      <c r="M148" s="103">
        <f t="shared" ref="M148:V148" si="47">IF(M30=0,0,M30/M$17)</f>
        <v>1.4206751611816837E-4</v>
      </c>
      <c r="N148" s="103">
        <f t="shared" si="47"/>
        <v>1.4143018547354864E-4</v>
      </c>
      <c r="O148" s="103">
        <f t="shared" si="47"/>
        <v>1.4010680721619737E-4</v>
      </c>
      <c r="P148" s="103">
        <f t="shared" si="47"/>
        <v>1.2809324339408467E-4</v>
      </c>
      <c r="Q148" s="103">
        <f t="shared" si="47"/>
        <v>1.3198860206086694E-4</v>
      </c>
      <c r="R148" s="103">
        <f t="shared" si="47"/>
        <v>1.2555521646080074E-4</v>
      </c>
      <c r="S148" s="103">
        <f t="shared" si="47"/>
        <v>1.0299159748760036E-4</v>
      </c>
      <c r="T148" s="103">
        <f t="shared" si="47"/>
        <v>1.1357345021891057E-4</v>
      </c>
      <c r="U148" s="103">
        <f t="shared" si="47"/>
        <v>1.1140364596786986E-4</v>
      </c>
      <c r="V148" s="103">
        <f t="shared" si="47"/>
        <v>1.3781405229188877E-4</v>
      </c>
      <c r="W148" s="103">
        <f t="shared" ref="W148" si="48">IF(W30=0,0,W30/W$17)</f>
        <v>1.0358209432941467E-4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3.3793325773673737E-5</v>
      </c>
      <c r="C149" s="103">
        <f t="shared" si="49"/>
        <v>3.0969521865946928E-5</v>
      </c>
      <c r="D149" s="103">
        <f t="shared" si="49"/>
        <v>2.5745688553937281E-5</v>
      </c>
      <c r="E149" s="103">
        <f t="shared" si="49"/>
        <v>3.9040364612283954E-5</v>
      </c>
      <c r="F149" s="103">
        <f t="shared" si="49"/>
        <v>3.8471333041104472E-5</v>
      </c>
      <c r="G149" s="103">
        <f t="shared" si="49"/>
        <v>5.9257276957301452E-5</v>
      </c>
      <c r="H149" s="103">
        <f t="shared" si="49"/>
        <v>9.1432800429030255E-5</v>
      </c>
      <c r="I149" s="103">
        <f t="shared" si="49"/>
        <v>3.4621368490058471E-4</v>
      </c>
      <c r="J149" s="103">
        <f t="shared" si="49"/>
        <v>8.7306593861786921E-4</v>
      </c>
      <c r="K149" s="103">
        <f t="shared" si="49"/>
        <v>7.5699064484917181E-4</v>
      </c>
      <c r="L149" s="103">
        <f t="shared" si="46"/>
        <v>8.7120301260777526E-4</v>
      </c>
      <c r="M149" s="103">
        <f t="shared" ref="M149:V149" si="50">IF(M31=0,0,M31/M$17)</f>
        <v>1.6338517146583487E-3</v>
      </c>
      <c r="N149" s="103">
        <f t="shared" si="50"/>
        <v>2.2384416994471823E-3</v>
      </c>
      <c r="O149" s="103">
        <f t="shared" si="50"/>
        <v>2.4512949803733837E-3</v>
      </c>
      <c r="P149" s="103">
        <f t="shared" si="50"/>
        <v>1.9651639365602098E-3</v>
      </c>
      <c r="Q149" s="103">
        <f t="shared" si="50"/>
        <v>2.0318855113524801E-3</v>
      </c>
      <c r="R149" s="103">
        <f t="shared" si="50"/>
        <v>1.2182020071740205E-3</v>
      </c>
      <c r="S149" s="103">
        <f t="shared" si="50"/>
        <v>1.681163790513359E-3</v>
      </c>
      <c r="T149" s="103">
        <f t="shared" si="50"/>
        <v>1.7446792540391136E-3</v>
      </c>
      <c r="U149" s="103">
        <f t="shared" si="50"/>
        <v>2.051176397531738E-3</v>
      </c>
      <c r="V149" s="103">
        <f t="shared" si="50"/>
        <v>1.2873232107332283E-3</v>
      </c>
      <c r="W149" s="103">
        <f t="shared" ref="W149" si="51">IF(W31=0,0,W31/W$17)</f>
        <v>3.333585462154582E-3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0.27506868521934458</v>
      </c>
      <c r="C151" s="46">
        <f t="shared" si="55"/>
        <v>0.28523141358743398</v>
      </c>
      <c r="D151" s="46">
        <f t="shared" si="55"/>
        <v>0.27911920847416588</v>
      </c>
      <c r="E151" s="46">
        <f t="shared" si="55"/>
        <v>0.28475274196719375</v>
      </c>
      <c r="F151" s="46">
        <f t="shared" si="55"/>
        <v>0.29154158750118586</v>
      </c>
      <c r="G151" s="46">
        <f t="shared" si="55"/>
        <v>0.30911875296897812</v>
      </c>
      <c r="H151" s="46">
        <f t="shared" si="55"/>
        <v>0.29841671406465553</v>
      </c>
      <c r="I151" s="46">
        <f t="shared" si="55"/>
        <v>0.30414500777963971</v>
      </c>
      <c r="J151" s="46">
        <f t="shared" si="55"/>
        <v>0.28264751561132534</v>
      </c>
      <c r="K151" s="46">
        <f t="shared" si="55"/>
        <v>0.27111341047489002</v>
      </c>
      <c r="L151" s="46">
        <f t="shared" ref="L151" si="56">IF(L33=0,0,L33/L$17)</f>
        <v>0.26891000782275765</v>
      </c>
      <c r="M151" s="46">
        <f t="shared" ref="M151:V151" si="57">IF(M33=0,0,M33/M$17)</f>
        <v>0.28192293276351521</v>
      </c>
      <c r="N151" s="46">
        <f t="shared" si="57"/>
        <v>0.2897684350657837</v>
      </c>
      <c r="O151" s="46">
        <f t="shared" si="57"/>
        <v>0.25202231789147428</v>
      </c>
      <c r="P151" s="46">
        <f t="shared" si="57"/>
        <v>0.23722422090843656</v>
      </c>
      <c r="Q151" s="46">
        <f t="shared" si="57"/>
        <v>0.21576570254836291</v>
      </c>
      <c r="R151" s="46">
        <f t="shared" si="57"/>
        <v>0.21105148493925061</v>
      </c>
      <c r="S151" s="46">
        <f t="shared" si="57"/>
        <v>0.18639341272573348</v>
      </c>
      <c r="T151" s="46">
        <f t="shared" si="57"/>
        <v>0.21893144083609861</v>
      </c>
      <c r="U151" s="46">
        <f t="shared" si="57"/>
        <v>0.22396572414747154</v>
      </c>
      <c r="V151" s="46">
        <f t="shared" si="57"/>
        <v>0.25001891796761444</v>
      </c>
      <c r="W151" s="46">
        <f t="shared" ref="W151" si="58">IF(W33=0,0,W33/W$17)</f>
        <v>0.28385249709883165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0.20511583566078403</v>
      </c>
      <c r="C152" s="154">
        <f t="shared" si="59"/>
        <v>0.18141174245677807</v>
      </c>
      <c r="D152" s="154">
        <f t="shared" si="59"/>
        <v>0.17671046387420913</v>
      </c>
      <c r="E152" s="154">
        <f t="shared" si="59"/>
        <v>0.1852630091549308</v>
      </c>
      <c r="F152" s="154">
        <f t="shared" si="59"/>
        <v>0.18894604260344183</v>
      </c>
      <c r="G152" s="154">
        <f t="shared" si="59"/>
        <v>0.20476468755931129</v>
      </c>
      <c r="H152" s="154">
        <f t="shared" si="59"/>
        <v>0.17485729916068124</v>
      </c>
      <c r="I152" s="154">
        <f t="shared" si="59"/>
        <v>0.18371826336637609</v>
      </c>
      <c r="J152" s="154">
        <f t="shared" si="59"/>
        <v>0.18600156762576325</v>
      </c>
      <c r="K152" s="154">
        <f t="shared" si="59"/>
        <v>0.18566298368438572</v>
      </c>
      <c r="L152" s="154">
        <f t="shared" ref="L152" si="60">IF(L34=0,0,L34/L$17)</f>
        <v>0.20078680399694196</v>
      </c>
      <c r="M152" s="154">
        <f t="shared" ref="M152:V152" si="61">IF(M34=0,0,M34/M$17)</f>
        <v>0.2055780346515366</v>
      </c>
      <c r="N152" s="154">
        <f t="shared" si="61"/>
        <v>0.18978050468648466</v>
      </c>
      <c r="O152" s="154">
        <f t="shared" si="61"/>
        <v>0.16895767957718461</v>
      </c>
      <c r="P152" s="154">
        <f t="shared" si="61"/>
        <v>0.16516442916545096</v>
      </c>
      <c r="Q152" s="154">
        <f t="shared" si="61"/>
        <v>0.13592185462437631</v>
      </c>
      <c r="R152" s="154">
        <f t="shared" si="61"/>
        <v>0.1272303140420441</v>
      </c>
      <c r="S152" s="154">
        <f t="shared" si="61"/>
        <v>0.1330525067415386</v>
      </c>
      <c r="T152" s="154">
        <f t="shared" si="61"/>
        <v>0.13159946797619912</v>
      </c>
      <c r="U152" s="154">
        <f t="shared" si="61"/>
        <v>0.13270096841856305</v>
      </c>
      <c r="V152" s="154">
        <f t="shared" si="61"/>
        <v>0.15806638245292051</v>
      </c>
      <c r="W152" s="154">
        <f t="shared" ref="W152" si="62">IF(W34=0,0,W34/W$17)</f>
        <v>0.15759225046211831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7.7647558403159331E-3</v>
      </c>
      <c r="C153" s="103">
        <f t="shared" si="63"/>
        <v>7.6393186637231138E-3</v>
      </c>
      <c r="D153" s="103">
        <f t="shared" si="63"/>
        <v>7.5894065479686617E-3</v>
      </c>
      <c r="E153" s="103">
        <f t="shared" si="63"/>
        <v>7.5864098458790861E-3</v>
      </c>
      <c r="F153" s="103">
        <f t="shared" si="63"/>
        <v>7.2686523139848238E-3</v>
      </c>
      <c r="G153" s="103">
        <f t="shared" si="63"/>
        <v>7.3236442246099607E-3</v>
      </c>
      <c r="H153" s="103">
        <f t="shared" si="63"/>
        <v>7.110249168581456E-3</v>
      </c>
      <c r="I153" s="103">
        <f t="shared" si="63"/>
        <v>6.0997574786883909E-3</v>
      </c>
      <c r="J153" s="103">
        <f t="shared" si="63"/>
        <v>6.1114703269570117E-3</v>
      </c>
      <c r="K153" s="103">
        <f t="shared" si="63"/>
        <v>6.0157132001696463E-3</v>
      </c>
      <c r="L153" s="103">
        <f t="shared" ref="L153" si="64">IF(L35=0,0,L35/L$17)</f>
        <v>5.888680950324977E-3</v>
      </c>
      <c r="M153" s="103">
        <f t="shared" ref="M153:V153" si="65">IF(M35=0,0,M35/M$17)</f>
        <v>5.9325983640774538E-3</v>
      </c>
      <c r="N153" s="103">
        <f t="shared" si="65"/>
        <v>5.6100142122442612E-3</v>
      </c>
      <c r="O153" s="103">
        <f t="shared" si="65"/>
        <v>5.4866457357118231E-3</v>
      </c>
      <c r="P153" s="103">
        <f t="shared" si="65"/>
        <v>5.005532765623928E-3</v>
      </c>
      <c r="Q153" s="103">
        <f t="shared" si="65"/>
        <v>4.7009723857728645E-3</v>
      </c>
      <c r="R153" s="103">
        <f t="shared" si="65"/>
        <v>4.5097463328043329E-3</v>
      </c>
      <c r="S153" s="103">
        <f t="shared" si="65"/>
        <v>4.4822498754298933E-3</v>
      </c>
      <c r="T153" s="103">
        <f t="shared" si="65"/>
        <v>4.1887469539867361E-3</v>
      </c>
      <c r="U153" s="103">
        <f t="shared" si="65"/>
        <v>4.1486426114057664E-3</v>
      </c>
      <c r="V153" s="103">
        <f t="shared" si="65"/>
        <v>5.1971239034569097E-3</v>
      </c>
      <c r="W153" s="103">
        <f t="shared" ref="W153" si="66">IF(W35=0,0,W35/W$17)</f>
        <v>4.41258785093206E-3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0.19679043375598088</v>
      </c>
      <c r="C154" s="103">
        <f t="shared" si="67"/>
        <v>0.17318130559318035</v>
      </c>
      <c r="D154" s="103">
        <f t="shared" si="67"/>
        <v>0.16848243003244734</v>
      </c>
      <c r="E154" s="103">
        <f t="shared" si="67"/>
        <v>0.17697749981903707</v>
      </c>
      <c r="F154" s="103">
        <f t="shared" si="67"/>
        <v>0.18093924327382721</v>
      </c>
      <c r="G154" s="103">
        <f t="shared" si="67"/>
        <v>0.19661570654578706</v>
      </c>
      <c r="H154" s="103">
        <f t="shared" si="67"/>
        <v>0.16687030526831312</v>
      </c>
      <c r="I154" s="103">
        <f t="shared" si="67"/>
        <v>0.17675748241076661</v>
      </c>
      <c r="J154" s="103">
        <f t="shared" si="67"/>
        <v>0.1787257069926671</v>
      </c>
      <c r="K154" s="103">
        <f t="shared" si="67"/>
        <v>0.17808022690052897</v>
      </c>
      <c r="L154" s="103">
        <f t="shared" ref="L154" si="68">IF(L36=0,0,L36/L$17)</f>
        <v>0.19248263101602445</v>
      </c>
      <c r="M154" s="103">
        <f t="shared" ref="M154:V154" si="69">IF(M36=0,0,M36/M$17)</f>
        <v>0.19720907232805304</v>
      </c>
      <c r="N154" s="103">
        <f t="shared" si="69"/>
        <v>0.1810045345647876</v>
      </c>
      <c r="O154" s="103">
        <f t="shared" si="69"/>
        <v>0.16015169368073121</v>
      </c>
      <c r="P154" s="103">
        <f t="shared" si="69"/>
        <v>0.15689392735348776</v>
      </c>
      <c r="Q154" s="103">
        <f t="shared" si="69"/>
        <v>0.12789229918622488</v>
      </c>
      <c r="R154" s="103">
        <f t="shared" si="69"/>
        <v>0.11935416807267288</v>
      </c>
      <c r="S154" s="103">
        <f t="shared" si="69"/>
        <v>0.12528736356933631</v>
      </c>
      <c r="T154" s="103">
        <f t="shared" si="69"/>
        <v>0.12411220482527482</v>
      </c>
      <c r="U154" s="103">
        <f t="shared" si="69"/>
        <v>0.12498511999187985</v>
      </c>
      <c r="V154" s="103">
        <f t="shared" si="69"/>
        <v>0.14844629460777486</v>
      </c>
      <c r="W154" s="103">
        <f t="shared" ref="W154" si="70">IF(W36=0,0,W36/W$17)</f>
        <v>0.14917018952913816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2.4963620592938885E-4</v>
      </c>
      <c r="C155" s="103">
        <f t="shared" si="71"/>
        <v>2.603271339106537E-4</v>
      </c>
      <c r="D155" s="103">
        <f t="shared" si="71"/>
        <v>2.7652565800627193E-4</v>
      </c>
      <c r="E155" s="103">
        <f t="shared" si="71"/>
        <v>2.9694034178260763E-4</v>
      </c>
      <c r="F155" s="103">
        <f t="shared" si="71"/>
        <v>3.0602839884089864E-4</v>
      </c>
      <c r="G155" s="103">
        <f t="shared" si="71"/>
        <v>3.3255299522076605E-4</v>
      </c>
      <c r="H155" s="103">
        <f t="shared" si="71"/>
        <v>3.3716839623778487E-4</v>
      </c>
      <c r="I155" s="103">
        <f t="shared" si="71"/>
        <v>3.2448558932635162E-4</v>
      </c>
      <c r="J155" s="103">
        <f t="shared" si="71"/>
        <v>3.995047752064366E-4</v>
      </c>
      <c r="K155" s="103">
        <f t="shared" si="71"/>
        <v>5.2868669759129809E-4</v>
      </c>
      <c r="L155" s="103">
        <f t="shared" ref="L155" si="72">IF(L37=0,0,L37/L$17)</f>
        <v>6.8191107139881134E-4</v>
      </c>
      <c r="M155" s="103">
        <f t="shared" ref="M155:V155" si="73">IF(M37=0,0,M37/M$17)</f>
        <v>7.5204196425895378E-4</v>
      </c>
      <c r="N155" s="103">
        <f t="shared" si="73"/>
        <v>8.3896368560427189E-4</v>
      </c>
      <c r="O155" s="103">
        <f t="shared" si="73"/>
        <v>8.7307373856840948E-4</v>
      </c>
      <c r="P155" s="103">
        <f t="shared" si="73"/>
        <v>8.8270904981450253E-4</v>
      </c>
      <c r="Q155" s="103">
        <f t="shared" si="73"/>
        <v>8.7582645000953486E-4</v>
      </c>
      <c r="R155" s="103">
        <f t="shared" si="73"/>
        <v>8.4447776255815686E-4</v>
      </c>
      <c r="S155" s="103">
        <f t="shared" si="73"/>
        <v>8.9029282966943048E-4</v>
      </c>
      <c r="T155" s="103">
        <f t="shared" si="73"/>
        <v>9.2654168539125874E-4</v>
      </c>
      <c r="U155" s="103">
        <f t="shared" si="73"/>
        <v>9.0862891079664478E-4</v>
      </c>
      <c r="V155" s="103">
        <f t="shared" si="73"/>
        <v>1.0870165508604609E-3</v>
      </c>
      <c r="W155" s="103">
        <f t="shared" ref="W155" si="74">IF(W37=0,0,W37/W$17)</f>
        <v>9.9097300906667257E-4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3.110098585578303E-4</v>
      </c>
      <c r="C156" s="103">
        <f t="shared" si="75"/>
        <v>3.3079106596400426E-4</v>
      </c>
      <c r="D156" s="103">
        <f t="shared" si="75"/>
        <v>3.6210163578689219E-4</v>
      </c>
      <c r="E156" s="103">
        <f t="shared" si="75"/>
        <v>4.0215914823205529E-4</v>
      </c>
      <c r="F156" s="103">
        <f t="shared" si="75"/>
        <v>4.3211861678889952E-4</v>
      </c>
      <c r="G156" s="103">
        <f t="shared" si="75"/>
        <v>4.9278379369348821E-4</v>
      </c>
      <c r="H156" s="103">
        <f t="shared" si="75"/>
        <v>5.3957632754886471E-4</v>
      </c>
      <c r="I156" s="103">
        <f t="shared" si="75"/>
        <v>5.3653788759477244E-4</v>
      </c>
      <c r="J156" s="103">
        <f t="shared" si="75"/>
        <v>7.6488553093269135E-4</v>
      </c>
      <c r="K156" s="103">
        <f t="shared" si="75"/>
        <v>1.0383568860957684E-3</v>
      </c>
      <c r="L156" s="103">
        <f t="shared" ref="L156" si="76">IF(L38=0,0,L38/L$17)</f>
        <v>1.7335809591937595E-3</v>
      </c>
      <c r="M156" s="103">
        <f t="shared" ref="M156:V156" si="77">IF(M38=0,0,M38/M$17)</f>
        <v>1.6843219951471677E-3</v>
      </c>
      <c r="N156" s="103">
        <f t="shared" si="77"/>
        <v>2.3269922238485113E-3</v>
      </c>
      <c r="O156" s="103">
        <f t="shared" si="77"/>
        <v>2.446266422173147E-3</v>
      </c>
      <c r="P156" s="103">
        <f t="shared" si="77"/>
        <v>2.3822599965247645E-3</v>
      </c>
      <c r="Q156" s="103">
        <f t="shared" si="77"/>
        <v>2.4527566023690231E-3</v>
      </c>
      <c r="R156" s="103">
        <f t="shared" si="77"/>
        <v>2.5219218740087333E-3</v>
      </c>
      <c r="S156" s="103">
        <f t="shared" si="77"/>
        <v>2.3926004671029708E-3</v>
      </c>
      <c r="T156" s="103">
        <f t="shared" si="77"/>
        <v>2.3719745115463138E-3</v>
      </c>
      <c r="U156" s="103">
        <f t="shared" si="77"/>
        <v>2.6585769044807951E-3</v>
      </c>
      <c r="V156" s="103">
        <f t="shared" si="77"/>
        <v>3.3359473908283034E-3</v>
      </c>
      <c r="W156" s="103">
        <f t="shared" ref="W156" si="78">IF(W38=0,0,W38/W$17)</f>
        <v>3.0185000729814316E-3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6.9952849558560529E-2</v>
      </c>
      <c r="C158" s="156">
        <f t="shared" si="83"/>
        <v>0.10381967113065589</v>
      </c>
      <c r="D158" s="156">
        <f t="shared" si="83"/>
        <v>0.10240874459995679</v>
      </c>
      <c r="E158" s="156">
        <f t="shared" si="83"/>
        <v>9.9489732812262921E-2</v>
      </c>
      <c r="F158" s="156">
        <f t="shared" si="83"/>
        <v>0.10259554489774399</v>
      </c>
      <c r="G158" s="156">
        <f t="shared" si="83"/>
        <v>0.10435406540966684</v>
      </c>
      <c r="H158" s="156">
        <f t="shared" si="83"/>
        <v>0.12355941490397429</v>
      </c>
      <c r="I158" s="156">
        <f t="shared" si="83"/>
        <v>0.12042674441326366</v>
      </c>
      <c r="J158" s="156">
        <f t="shared" si="83"/>
        <v>9.6645947985562086E-2</v>
      </c>
      <c r="K158" s="156">
        <f t="shared" si="83"/>
        <v>8.5450426790504311E-2</v>
      </c>
      <c r="L158" s="156">
        <f t="shared" ref="L158" si="84">IF(L40=0,0,L40/L$17)</f>
        <v>6.8123203825815715E-2</v>
      </c>
      <c r="M158" s="156">
        <f t="shared" ref="M158:V158" si="85">IF(M40=0,0,M40/M$17)</f>
        <v>7.6344898111978629E-2</v>
      </c>
      <c r="N158" s="156">
        <f t="shared" si="85"/>
        <v>9.9987930379299025E-2</v>
      </c>
      <c r="O158" s="156">
        <f t="shared" si="85"/>
        <v>8.3064638314289702E-2</v>
      </c>
      <c r="P158" s="156">
        <f t="shared" si="85"/>
        <v>7.2059791742985602E-2</v>
      </c>
      <c r="Q158" s="156">
        <f t="shared" si="85"/>
        <v>7.9843847923986619E-2</v>
      </c>
      <c r="R158" s="156">
        <f t="shared" si="85"/>
        <v>8.3821170897206504E-2</v>
      </c>
      <c r="S158" s="156">
        <f t="shared" si="85"/>
        <v>5.3340905984194914E-2</v>
      </c>
      <c r="T158" s="156">
        <f t="shared" si="85"/>
        <v>8.7331972859899493E-2</v>
      </c>
      <c r="U158" s="156">
        <f t="shared" si="85"/>
        <v>9.1264755728908478E-2</v>
      </c>
      <c r="V158" s="156">
        <f t="shared" si="85"/>
        <v>9.1952535514693928E-2</v>
      </c>
      <c r="W158" s="156">
        <f t="shared" ref="W158" si="86">IF(W40=0,0,W40/W$17)</f>
        <v>0.12626024663671334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5.970549505040168E-2</v>
      </c>
      <c r="C159" s="103">
        <f t="shared" si="87"/>
        <v>8.7344733861255533E-2</v>
      </c>
      <c r="D159" s="103">
        <f t="shared" si="87"/>
        <v>8.5555465728474417E-2</v>
      </c>
      <c r="E159" s="103">
        <f t="shared" si="87"/>
        <v>8.2498517572689792E-2</v>
      </c>
      <c r="F159" s="103">
        <f t="shared" si="87"/>
        <v>8.5284072583189457E-2</v>
      </c>
      <c r="G159" s="103">
        <f t="shared" si="87"/>
        <v>8.6756494442812221E-2</v>
      </c>
      <c r="H159" s="103">
        <f t="shared" si="87"/>
        <v>9.8494196378315163E-2</v>
      </c>
      <c r="I159" s="103">
        <f t="shared" si="87"/>
        <v>9.6673289888025635E-2</v>
      </c>
      <c r="J159" s="103">
        <f t="shared" si="87"/>
        <v>7.6306472896779803E-2</v>
      </c>
      <c r="K159" s="103">
        <f t="shared" si="87"/>
        <v>6.9160648058968446E-2</v>
      </c>
      <c r="L159" s="103">
        <f t="shared" ref="L159" si="88">IF(L41=0,0,L41/L$17)</f>
        <v>5.4480482215184554E-2</v>
      </c>
      <c r="M159" s="103">
        <f t="shared" ref="M159:V159" si="89">IF(M41=0,0,M41/M$17)</f>
        <v>6.0735226851236203E-2</v>
      </c>
      <c r="N159" s="103">
        <f t="shared" si="89"/>
        <v>7.8557688527765679E-2</v>
      </c>
      <c r="O159" s="103">
        <f t="shared" si="89"/>
        <v>6.4362811453623603E-2</v>
      </c>
      <c r="P159" s="103">
        <f t="shared" si="89"/>
        <v>5.4530763979463402E-2</v>
      </c>
      <c r="Q159" s="103">
        <f t="shared" si="89"/>
        <v>6.0459872314510631E-2</v>
      </c>
      <c r="R159" s="103">
        <f t="shared" si="89"/>
        <v>6.2285921525291575E-2</v>
      </c>
      <c r="S159" s="103">
        <f t="shared" si="89"/>
        <v>3.8802530338017775E-2</v>
      </c>
      <c r="T159" s="103">
        <f t="shared" si="89"/>
        <v>6.4173938966493066E-2</v>
      </c>
      <c r="U159" s="103">
        <f t="shared" si="89"/>
        <v>6.704727650424594E-2</v>
      </c>
      <c r="V159" s="103">
        <f t="shared" si="89"/>
        <v>6.7047766701360728E-2</v>
      </c>
      <c r="W159" s="103">
        <f t="shared" ref="W159" si="90">IF(W41=0,0,W41/W$17)</f>
        <v>9.0701025135860994E-2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1.024735450815885E-2</v>
      </c>
      <c r="C160" s="105">
        <f t="shared" si="91"/>
        <v>1.6474937269400362E-2</v>
      </c>
      <c r="D160" s="105">
        <f t="shared" si="91"/>
        <v>1.6853278871482365E-2</v>
      </c>
      <c r="E160" s="105">
        <f t="shared" si="91"/>
        <v>1.6991215239573143E-2</v>
      </c>
      <c r="F160" s="105">
        <f t="shared" si="91"/>
        <v>1.7311472314554533E-2</v>
      </c>
      <c r="G160" s="105">
        <f t="shared" si="91"/>
        <v>1.759757096685461E-2</v>
      </c>
      <c r="H160" s="105">
        <f t="shared" si="91"/>
        <v>2.5065218525659131E-2</v>
      </c>
      <c r="I160" s="105">
        <f t="shared" si="91"/>
        <v>2.3753454525238023E-2</v>
      </c>
      <c r="J160" s="105">
        <f t="shared" si="91"/>
        <v>2.0339475088782279E-2</v>
      </c>
      <c r="K160" s="105">
        <f t="shared" si="91"/>
        <v>1.6289778731535861E-2</v>
      </c>
      <c r="L160" s="105">
        <f t="shared" ref="L160" si="92">IF(L42=0,0,L42/L$17)</f>
        <v>1.3642721610631167E-2</v>
      </c>
      <c r="M160" s="105">
        <f t="shared" ref="M160:V160" si="93">IF(M42=0,0,M42/M$17)</f>
        <v>1.5609671260742426E-2</v>
      </c>
      <c r="N160" s="105">
        <f t="shared" si="93"/>
        <v>2.143024185153335E-2</v>
      </c>
      <c r="O160" s="105">
        <f t="shared" si="93"/>
        <v>1.8701826860666102E-2</v>
      </c>
      <c r="P160" s="105">
        <f t="shared" si="93"/>
        <v>1.7529027763522206E-2</v>
      </c>
      <c r="Q160" s="105">
        <f t="shared" si="93"/>
        <v>1.9383975609475988E-2</v>
      </c>
      <c r="R160" s="105">
        <f t="shared" si="93"/>
        <v>2.1535249371914932E-2</v>
      </c>
      <c r="S160" s="105">
        <f t="shared" si="93"/>
        <v>1.4538375646177139E-2</v>
      </c>
      <c r="T160" s="105">
        <f t="shared" si="93"/>
        <v>2.3158033893406434E-2</v>
      </c>
      <c r="U160" s="105">
        <f t="shared" si="93"/>
        <v>2.4217479224662546E-2</v>
      </c>
      <c r="V160" s="105">
        <f t="shared" si="93"/>
        <v>2.4904768813333193E-2</v>
      </c>
      <c r="W160" s="105">
        <f t="shared" ref="W160" si="94">IF(W42=0,0,W42/W$17)</f>
        <v>3.5559221500852341E-2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45373265</v>
      </c>
      <c r="C3" s="54">
        <f>TrRoad_act!C57</f>
        <v>46377058</v>
      </c>
      <c r="D3" s="54">
        <f>TrRoad_act!D57</f>
        <v>47489614</v>
      </c>
      <c r="E3" s="54">
        <f>TrRoad_act!E57</f>
        <v>48545400</v>
      </c>
      <c r="F3" s="54">
        <f>TrRoad_act!F57</f>
        <v>48367461</v>
      </c>
      <c r="G3" s="54">
        <f>TrRoad_act!G57</f>
        <v>49268882</v>
      </c>
      <c r="H3" s="54">
        <f>TrRoad_act!H57</f>
        <v>49994858</v>
      </c>
      <c r="I3" s="54">
        <f>TrRoad_act!I57</f>
        <v>50366689</v>
      </c>
      <c r="J3" s="54">
        <f>TrRoad_act!J57</f>
        <v>50703654</v>
      </c>
      <c r="K3" s="54">
        <f>TrRoad_act!K57</f>
        <v>50830357</v>
      </c>
      <c r="L3" s="54">
        <f>TrRoad_act!L57</f>
        <v>52163278</v>
      </c>
      <c r="M3" s="54">
        <f>TrRoad_act!M57</f>
        <v>52350573</v>
      </c>
      <c r="N3" s="54">
        <f>TrRoad_act!N57</f>
        <v>51935482</v>
      </c>
      <c r="O3" s="54">
        <f>TrRoad_act!O57</f>
        <v>52021766</v>
      </c>
      <c r="P3" s="54">
        <f>TrRoad_act!P57</f>
        <v>52417177</v>
      </c>
      <c r="Q3" s="54">
        <f>TrRoad_act!Q57</f>
        <v>52989589</v>
      </c>
      <c r="R3" s="54">
        <f>TrRoad_act!R57</f>
        <v>53496620</v>
      </c>
      <c r="S3" s="54">
        <f>TrRoad_act!S57</f>
        <v>53833761</v>
      </c>
      <c r="T3" s="54">
        <f>TrRoad_act!T57</f>
        <v>54004236</v>
      </c>
      <c r="U3" s="54">
        <f>TrRoad_act!U57</f>
        <v>54752198</v>
      </c>
      <c r="V3" s="54">
        <f>TrRoad_act!V57</f>
        <v>55087042</v>
      </c>
      <c r="W3" s="54">
        <f>TrRoad_act!W57</f>
        <v>55756574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41815984</v>
      </c>
      <c r="C4" s="28">
        <f>TrRoad_act!C58</f>
        <v>42652365</v>
      </c>
      <c r="D4" s="28">
        <f>TrRoad_act!D58</f>
        <v>43538591</v>
      </c>
      <c r="E4" s="28">
        <f>TrRoad_act!E58</f>
        <v>44409470</v>
      </c>
      <c r="F4" s="28">
        <f>TrRoad_act!F58</f>
        <v>44171891</v>
      </c>
      <c r="G4" s="28">
        <f>TrRoad_act!G58</f>
        <v>44911427</v>
      </c>
      <c r="H4" s="28">
        <f>TrRoad_act!H58</f>
        <v>45479444</v>
      </c>
      <c r="I4" s="28">
        <f>TrRoad_act!I58</f>
        <v>45753899</v>
      </c>
      <c r="J4" s="28">
        <f>TrRoad_act!J58</f>
        <v>46004010</v>
      </c>
      <c r="K4" s="28">
        <f>TrRoad_act!K58</f>
        <v>46093707</v>
      </c>
      <c r="L4" s="28">
        <f>TrRoad_act!L58</f>
        <v>47384206</v>
      </c>
      <c r="M4" s="28">
        <f>TrRoad_act!M58</f>
        <v>47526568</v>
      </c>
      <c r="N4" s="28">
        <f>TrRoad_act!N58</f>
        <v>47117142</v>
      </c>
      <c r="O4" s="28">
        <f>TrRoad_act!O58</f>
        <v>47244475</v>
      </c>
      <c r="P4" s="28">
        <f>TrRoad_act!P58</f>
        <v>47637942</v>
      </c>
      <c r="Q4" s="28">
        <f>TrRoad_act!Q58</f>
        <v>48176183</v>
      </c>
      <c r="R4" s="28">
        <f>TrRoad_act!R58</f>
        <v>48666574</v>
      </c>
      <c r="S4" s="28">
        <f>TrRoad_act!S58</f>
        <v>48968923</v>
      </c>
      <c r="T4" s="28">
        <f>TrRoad_act!T58</f>
        <v>49081816</v>
      </c>
      <c r="U4" s="28">
        <f>TrRoad_act!U58</f>
        <v>49775775</v>
      </c>
      <c r="V4" s="28">
        <f>TrRoad_act!V58</f>
        <v>50057520</v>
      </c>
      <c r="W4" s="28">
        <f>TrRoad_act!W58</f>
        <v>50661073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8942816</v>
      </c>
      <c r="C5" s="137">
        <f>TrRoad_act!C59</f>
        <v>9323507</v>
      </c>
      <c r="D5" s="137">
        <f>TrRoad_act!D59</f>
        <v>9740875</v>
      </c>
      <c r="E5" s="137">
        <f>TrRoad_act!E59</f>
        <v>10006769</v>
      </c>
      <c r="F5" s="137">
        <f>TrRoad_act!F59</f>
        <v>10106017</v>
      </c>
      <c r="G5" s="137">
        <f>TrRoad_act!G59</f>
        <v>10149990</v>
      </c>
      <c r="H5" s="137">
        <f>TrRoad_act!H59</f>
        <v>10086345</v>
      </c>
      <c r="I5" s="137">
        <f>TrRoad_act!I59</f>
        <v>9977480</v>
      </c>
      <c r="J5" s="137">
        <f>TrRoad_act!J59</f>
        <v>9801413</v>
      </c>
      <c r="K5" s="137">
        <f>TrRoad_act!K59</f>
        <v>9624183</v>
      </c>
      <c r="L5" s="137">
        <f>TrRoad_act!L59</f>
        <v>9758349</v>
      </c>
      <c r="M5" s="137">
        <f>TrRoad_act!M59</f>
        <v>9684151</v>
      </c>
      <c r="N5" s="137">
        <f>TrRoad_act!N59</f>
        <v>9093076</v>
      </c>
      <c r="O5" s="137">
        <f>TrRoad_act!O59</f>
        <v>9266569</v>
      </c>
      <c r="P5" s="137">
        <f>TrRoad_act!P59</f>
        <v>9423418</v>
      </c>
      <c r="Q5" s="137">
        <f>TrRoad_act!Q59</f>
        <v>9578483</v>
      </c>
      <c r="R5" s="137">
        <f>TrRoad_act!R59</f>
        <v>9696587</v>
      </c>
      <c r="S5" s="137">
        <f>TrRoad_act!S59</f>
        <v>9831254</v>
      </c>
      <c r="T5" s="137">
        <f>TrRoad_act!T59</f>
        <v>9967662</v>
      </c>
      <c r="U5" s="137">
        <f>TrRoad_act!U59</f>
        <v>10134457</v>
      </c>
      <c r="V5" s="137">
        <f>TrRoad_act!V59</f>
        <v>10243815</v>
      </c>
      <c r="W5" s="137">
        <f>TrRoad_act!W59</f>
        <v>10742216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32785000</v>
      </c>
      <c r="C6" s="110">
        <f>TrRoad_act!C60</f>
        <v>33239000</v>
      </c>
      <c r="D6" s="110">
        <f>TrRoad_act!D60</f>
        <v>33706000</v>
      </c>
      <c r="E6" s="110">
        <f>TrRoad_act!E60</f>
        <v>34310000</v>
      </c>
      <c r="F6" s="110">
        <f>TrRoad_act!F60</f>
        <v>33973000</v>
      </c>
      <c r="G6" s="110">
        <f>TrRoad_act!G60</f>
        <v>34667000</v>
      </c>
      <c r="H6" s="110">
        <f>TrRoad_act!H60</f>
        <v>35297000</v>
      </c>
      <c r="I6" s="110">
        <f>TrRoad_act!I60</f>
        <v>35680000</v>
      </c>
      <c r="J6" s="110">
        <f>TrRoad_act!J60</f>
        <v>36105000</v>
      </c>
      <c r="K6" s="110">
        <f>TrRoad_act!K60</f>
        <v>36372000</v>
      </c>
      <c r="L6" s="110">
        <f>TrRoad_act!L60</f>
        <v>37528616</v>
      </c>
      <c r="M6" s="110">
        <f>TrRoad_act!M60</f>
        <v>37743940</v>
      </c>
      <c r="N6" s="110">
        <f>TrRoad_act!N60</f>
        <v>37927910</v>
      </c>
      <c r="O6" s="110">
        <f>TrRoad_act!O60</f>
        <v>37883046</v>
      </c>
      <c r="P6" s="110">
        <f>TrRoad_act!P60</f>
        <v>38120255</v>
      </c>
      <c r="Q6" s="110">
        <f>TrRoad_act!Q60</f>
        <v>38503684</v>
      </c>
      <c r="R6" s="110">
        <f>TrRoad_act!R60</f>
        <v>38876138</v>
      </c>
      <c r="S6" s="110">
        <f>TrRoad_act!S60</f>
        <v>39042589</v>
      </c>
      <c r="T6" s="110">
        <f>TrRoad_act!T60</f>
        <v>39018170</v>
      </c>
      <c r="U6" s="110">
        <f>TrRoad_act!U60</f>
        <v>39545232</v>
      </c>
      <c r="V6" s="110">
        <f>TrRoad_act!V60</f>
        <v>39717874</v>
      </c>
      <c r="W6" s="110">
        <f>TrRoad_act!W60</f>
        <v>39822723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26204297</v>
      </c>
      <c r="C7" s="84">
        <f>TrRoad_act!C61</f>
        <v>25904935</v>
      </c>
      <c r="D7" s="84">
        <f>TrRoad_act!D61</f>
        <v>25606831</v>
      </c>
      <c r="E7" s="84">
        <f>TrRoad_act!E61</f>
        <v>25216710</v>
      </c>
      <c r="F7" s="84">
        <f>TrRoad_act!F61</f>
        <v>23812322</v>
      </c>
      <c r="G7" s="84">
        <f>TrRoad_act!G61</f>
        <v>23180516</v>
      </c>
      <c r="H7" s="84">
        <f>TrRoad_act!H61</f>
        <v>22568800</v>
      </c>
      <c r="I7" s="84">
        <f>TrRoad_act!I61</f>
        <v>21875940</v>
      </c>
      <c r="J7" s="84">
        <f>TrRoad_act!J61</f>
        <v>21528895</v>
      </c>
      <c r="K7" s="84">
        <f>TrRoad_act!K61</f>
        <v>20922591</v>
      </c>
      <c r="L7" s="84">
        <f>TrRoad_act!L61</f>
        <v>20916824</v>
      </c>
      <c r="M7" s="84">
        <f>TrRoad_act!M61</f>
        <v>20546761</v>
      </c>
      <c r="N7" s="84">
        <f>TrRoad_act!N61</f>
        <v>20249559</v>
      </c>
      <c r="O7" s="84">
        <f>TrRoad_act!O61</f>
        <v>19836530</v>
      </c>
      <c r="P7" s="84">
        <f>TrRoad_act!P61</f>
        <v>19530569</v>
      </c>
      <c r="Q7" s="84">
        <f>TrRoad_act!Q61</f>
        <v>19196797</v>
      </c>
      <c r="R7" s="84">
        <f>TrRoad_act!R61</f>
        <v>19153374</v>
      </c>
      <c r="S7" s="84">
        <f>TrRoad_act!S61</f>
        <v>18930908</v>
      </c>
      <c r="T7" s="84">
        <f>TrRoad_act!T61</f>
        <v>18304885</v>
      </c>
      <c r="U7" s="84">
        <f>TrRoad_act!U61</f>
        <v>18506306</v>
      </c>
      <c r="V7" s="84">
        <f>TrRoad_act!V61</f>
        <v>18571167</v>
      </c>
      <c r="W7" s="84">
        <f>TrRoad_act!W61</f>
        <v>18547450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4799703</v>
      </c>
      <c r="C8" s="84">
        <f>TrRoad_act!C62</f>
        <v>5506065</v>
      </c>
      <c r="D8" s="84">
        <f>TrRoad_act!D62</f>
        <v>6366169</v>
      </c>
      <c r="E8" s="84">
        <f>TrRoad_act!E62</f>
        <v>7344088</v>
      </c>
      <c r="F8" s="84">
        <f>TrRoad_act!F62</f>
        <v>8469678</v>
      </c>
      <c r="G8" s="84">
        <f>TrRoad_act!G62</f>
        <v>9667334</v>
      </c>
      <c r="H8" s="84">
        <f>TrRoad_act!H62</f>
        <v>10840049</v>
      </c>
      <c r="I8" s="84">
        <f>TrRoad_act!I62</f>
        <v>11896958</v>
      </c>
      <c r="J8" s="84">
        <f>TrRoad_act!J62</f>
        <v>12729152</v>
      </c>
      <c r="K8" s="84">
        <f>TrRoad_act!K62</f>
        <v>13363409</v>
      </c>
      <c r="L8" s="84">
        <f>TrRoad_act!L62</f>
        <v>14194111</v>
      </c>
      <c r="M8" s="84">
        <f>TrRoad_act!M62</f>
        <v>14731252</v>
      </c>
      <c r="N8" s="84">
        <f>TrRoad_act!N62</f>
        <v>15081965</v>
      </c>
      <c r="O8" s="84">
        <f>TrRoad_act!O62</f>
        <v>15304722</v>
      </c>
      <c r="P8" s="84">
        <f>TrRoad_act!P62</f>
        <v>15668930</v>
      </c>
      <c r="Q8" s="84">
        <f>TrRoad_act!Q62</f>
        <v>16240488</v>
      </c>
      <c r="R8" s="84">
        <f>TrRoad_act!R62</f>
        <v>16540268</v>
      </c>
      <c r="S8" s="84">
        <f>TrRoad_act!S62</f>
        <v>16822633</v>
      </c>
      <c r="T8" s="84">
        <f>TrRoad_act!T62</f>
        <v>17296453</v>
      </c>
      <c r="U8" s="84">
        <f>TrRoad_act!U62</f>
        <v>17491767</v>
      </c>
      <c r="V8" s="84">
        <f>TrRoad_act!V62</f>
        <v>17556680</v>
      </c>
      <c r="W8" s="84">
        <f>TrRoad_act!W62</f>
        <v>17532655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1492000</v>
      </c>
      <c r="C9" s="84">
        <f>TrRoad_act!C63</f>
        <v>1493000</v>
      </c>
      <c r="D9" s="84">
        <f>TrRoad_act!D63</f>
        <v>1398000</v>
      </c>
      <c r="E9" s="84">
        <f>TrRoad_act!E63</f>
        <v>1410000</v>
      </c>
      <c r="F9" s="84">
        <f>TrRoad_act!F63</f>
        <v>1375000</v>
      </c>
      <c r="G9" s="84">
        <f>TrRoad_act!G63</f>
        <v>1464150</v>
      </c>
      <c r="H9" s="84">
        <f>TrRoad_act!H63</f>
        <v>1483151</v>
      </c>
      <c r="I9" s="84">
        <f>TrRoad_act!I63</f>
        <v>1453102</v>
      </c>
      <c r="J9" s="84">
        <f>TrRoad_act!J63</f>
        <v>1340953</v>
      </c>
      <c r="K9" s="84">
        <f>TrRoad_act!K63</f>
        <v>1474000</v>
      </c>
      <c r="L9" s="84">
        <f>TrRoad_act!L63</f>
        <v>1753000</v>
      </c>
      <c r="M9" s="84">
        <f>TrRoad_act!M63</f>
        <v>1776000</v>
      </c>
      <c r="N9" s="84">
        <f>TrRoad_act!N63</f>
        <v>1867000</v>
      </c>
      <c r="O9" s="84">
        <f>TrRoad_act!O63</f>
        <v>1943722</v>
      </c>
      <c r="P9" s="84">
        <f>TrRoad_act!P63</f>
        <v>2042000</v>
      </c>
      <c r="Q9" s="84">
        <f>TrRoad_act!Q63</f>
        <v>2137078</v>
      </c>
      <c r="R9" s="84">
        <f>TrRoad_act!R63</f>
        <v>2222873</v>
      </c>
      <c r="S9" s="84">
        <f>TrRoad_act!S63</f>
        <v>2309020</v>
      </c>
      <c r="T9" s="84">
        <f>TrRoad_act!T63</f>
        <v>2409840</v>
      </c>
      <c r="U9" s="84">
        <f>TrRoad_act!U63</f>
        <v>2505000</v>
      </c>
      <c r="V9" s="84">
        <f>TrRoad_act!V63</f>
        <v>2473188</v>
      </c>
      <c r="W9" s="84">
        <f>TrRoad_act!W63</f>
        <v>2512384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289000</v>
      </c>
      <c r="C10" s="84">
        <f>TrRoad_act!C64</f>
        <v>335000</v>
      </c>
      <c r="D10" s="84">
        <f>TrRoad_act!D64</f>
        <v>335000</v>
      </c>
      <c r="E10" s="84">
        <f>TrRoad_act!E64</f>
        <v>339202</v>
      </c>
      <c r="F10" s="84">
        <f>TrRoad_act!F64</f>
        <v>316000</v>
      </c>
      <c r="G10" s="84">
        <f>TrRoad_act!G64</f>
        <v>355000</v>
      </c>
      <c r="H10" s="84">
        <f>TrRoad_act!H64</f>
        <v>405000</v>
      </c>
      <c r="I10" s="84">
        <f>TrRoad_act!I64</f>
        <v>454000</v>
      </c>
      <c r="J10" s="84">
        <f>TrRoad_act!J64</f>
        <v>506000</v>
      </c>
      <c r="K10" s="84">
        <f>TrRoad_act!K64</f>
        <v>612000</v>
      </c>
      <c r="L10" s="84">
        <f>TrRoad_act!L64</f>
        <v>661000</v>
      </c>
      <c r="M10" s="84">
        <f>TrRoad_act!M64</f>
        <v>681000</v>
      </c>
      <c r="N10" s="84">
        <f>TrRoad_act!N64</f>
        <v>720000</v>
      </c>
      <c r="O10" s="84">
        <f>TrRoad_act!O64</f>
        <v>774000</v>
      </c>
      <c r="P10" s="84">
        <f>TrRoad_act!P64</f>
        <v>833668</v>
      </c>
      <c r="Q10" s="84">
        <f>TrRoad_act!Q64</f>
        <v>883190</v>
      </c>
      <c r="R10" s="84">
        <f>TrRoad_act!R64</f>
        <v>911246</v>
      </c>
      <c r="S10" s="84">
        <f>TrRoad_act!S64</f>
        <v>926704</v>
      </c>
      <c r="T10" s="84">
        <f>TrRoad_act!T64</f>
        <v>945184</v>
      </c>
      <c r="U10" s="84">
        <f>TrRoad_act!U64</f>
        <v>965000</v>
      </c>
      <c r="V10" s="84">
        <f>TrRoad_act!V64</f>
        <v>981000</v>
      </c>
      <c r="W10" s="84">
        <f>TrRoad_act!W64</f>
        <v>972144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141</v>
      </c>
      <c r="O11" s="84">
        <f>TrRoad_act!O65</f>
        <v>14056</v>
      </c>
      <c r="P11" s="84">
        <f>TrRoad_act!P65</f>
        <v>34126</v>
      </c>
      <c r="Q11" s="84">
        <f>TrRoad_act!Q65</f>
        <v>33908</v>
      </c>
      <c r="R11" s="84">
        <f>TrRoad_act!R65</f>
        <v>35020</v>
      </c>
      <c r="S11" s="84">
        <f>TrRoad_act!S65</f>
        <v>38318</v>
      </c>
      <c r="T11" s="84">
        <f>TrRoad_act!T65</f>
        <v>42219</v>
      </c>
      <c r="U11" s="84">
        <f>TrRoad_act!U65</f>
        <v>47533</v>
      </c>
      <c r="V11" s="84">
        <f>TrRoad_act!V65</f>
        <v>74734</v>
      </c>
      <c r="W11" s="84">
        <f>TrRoad_act!W65</f>
        <v>135421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3681</v>
      </c>
      <c r="M12" s="84">
        <f>TrRoad_act!M66</f>
        <v>8927</v>
      </c>
      <c r="N12" s="84">
        <f>TrRoad_act!N66</f>
        <v>9245</v>
      </c>
      <c r="O12" s="84">
        <f>TrRoad_act!O66</f>
        <v>10016</v>
      </c>
      <c r="P12" s="84">
        <f>TrRoad_act!P66</f>
        <v>10962</v>
      </c>
      <c r="Q12" s="84">
        <f>TrRoad_act!Q66</f>
        <v>12223</v>
      </c>
      <c r="R12" s="84">
        <f>TrRoad_act!R66</f>
        <v>13357</v>
      </c>
      <c r="S12" s="84">
        <f>TrRoad_act!S66</f>
        <v>15006</v>
      </c>
      <c r="T12" s="84">
        <f>TrRoad_act!T66</f>
        <v>19589</v>
      </c>
      <c r="U12" s="84">
        <f>TrRoad_act!U66</f>
        <v>29626</v>
      </c>
      <c r="V12" s="84">
        <f>TrRoad_act!V66</f>
        <v>61105</v>
      </c>
      <c r="W12" s="84">
        <f>TrRoad_act!W66</f>
        <v>122669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88168</v>
      </c>
      <c r="C13" s="110">
        <f>TrRoad_act!C67</f>
        <v>89858</v>
      </c>
      <c r="D13" s="110">
        <f>TrRoad_act!D67</f>
        <v>91716</v>
      </c>
      <c r="E13" s="110">
        <f>TrRoad_act!E67</f>
        <v>92701</v>
      </c>
      <c r="F13" s="110">
        <f>TrRoad_act!F67</f>
        <v>92874</v>
      </c>
      <c r="G13" s="110">
        <f>TrRoad_act!G67</f>
        <v>94437</v>
      </c>
      <c r="H13" s="110">
        <f>TrRoad_act!H67</f>
        <v>96099</v>
      </c>
      <c r="I13" s="110">
        <f>TrRoad_act!I67</f>
        <v>96419</v>
      </c>
      <c r="J13" s="110">
        <f>TrRoad_act!J67</f>
        <v>97597</v>
      </c>
      <c r="K13" s="110">
        <f>TrRoad_act!K67</f>
        <v>97524</v>
      </c>
      <c r="L13" s="110">
        <f>TrRoad_act!L67</f>
        <v>97241</v>
      </c>
      <c r="M13" s="110">
        <f>TrRoad_act!M67</f>
        <v>98477</v>
      </c>
      <c r="N13" s="110">
        <f>TrRoad_act!N67</f>
        <v>96156</v>
      </c>
      <c r="O13" s="110">
        <f>TrRoad_act!O67</f>
        <v>94860</v>
      </c>
      <c r="P13" s="110">
        <f>TrRoad_act!P67</f>
        <v>94269</v>
      </c>
      <c r="Q13" s="110">
        <f>TrRoad_act!Q67</f>
        <v>94016</v>
      </c>
      <c r="R13" s="110">
        <f>TrRoad_act!R67</f>
        <v>93849</v>
      </c>
      <c r="S13" s="110">
        <f>TrRoad_act!S67</f>
        <v>95080</v>
      </c>
      <c r="T13" s="110">
        <f>TrRoad_act!T67</f>
        <v>95984</v>
      </c>
      <c r="U13" s="110">
        <f>TrRoad_act!U67</f>
        <v>96086</v>
      </c>
      <c r="V13" s="110">
        <f>TrRoad_act!V67</f>
        <v>95831</v>
      </c>
      <c r="W13" s="110">
        <f>TrRoad_act!W67</f>
        <v>96134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1014</v>
      </c>
      <c r="C14" s="102">
        <f>TrRoad_act!C68</f>
        <v>924</v>
      </c>
      <c r="D14" s="102">
        <f>TrRoad_act!D68</f>
        <v>891</v>
      </c>
      <c r="E14" s="102">
        <f>TrRoad_act!E68</f>
        <v>728</v>
      </c>
      <c r="F14" s="102">
        <f>TrRoad_act!F68</f>
        <v>633</v>
      </c>
      <c r="G14" s="102">
        <f>TrRoad_act!G68</f>
        <v>615</v>
      </c>
      <c r="H14" s="102">
        <f>TrRoad_act!H68</f>
        <v>588</v>
      </c>
      <c r="I14" s="102">
        <f>TrRoad_act!I68</f>
        <v>561</v>
      </c>
      <c r="J14" s="102">
        <f>TrRoad_act!J68</f>
        <v>568</v>
      </c>
      <c r="K14" s="102">
        <f>TrRoad_act!K68</f>
        <v>593</v>
      </c>
      <c r="L14" s="102">
        <f>TrRoad_act!L68</f>
        <v>581</v>
      </c>
      <c r="M14" s="102">
        <f>TrRoad_act!M68</f>
        <v>560</v>
      </c>
      <c r="N14" s="102">
        <f>TrRoad_act!N68</f>
        <v>554</v>
      </c>
      <c r="O14" s="102">
        <f>TrRoad_act!O68</f>
        <v>1026</v>
      </c>
      <c r="P14" s="102">
        <f>TrRoad_act!P68</f>
        <v>614</v>
      </c>
      <c r="Q14" s="102">
        <f>TrRoad_act!Q68</f>
        <v>591</v>
      </c>
      <c r="R14" s="102">
        <f>TrRoad_act!R68</f>
        <v>580</v>
      </c>
      <c r="S14" s="102">
        <f>TrRoad_act!S68</f>
        <v>568</v>
      </c>
      <c r="T14" s="102">
        <f>TrRoad_act!T68</f>
        <v>550</v>
      </c>
      <c r="U14" s="102">
        <f>TrRoad_act!U68</f>
        <v>1009</v>
      </c>
      <c r="V14" s="102">
        <f>TrRoad_act!V68</f>
        <v>1001</v>
      </c>
      <c r="W14" s="102">
        <f>TrRoad_act!W68</f>
        <v>971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86391</v>
      </c>
      <c r="C15" s="102">
        <f>TrRoad_act!C69</f>
        <v>88156</v>
      </c>
      <c r="D15" s="102">
        <f>TrRoad_act!D69</f>
        <v>90117</v>
      </c>
      <c r="E15" s="102">
        <f>TrRoad_act!E69</f>
        <v>90894</v>
      </c>
      <c r="F15" s="102">
        <f>TrRoad_act!F69</f>
        <v>91139</v>
      </c>
      <c r="G15" s="102">
        <f>TrRoad_act!G69</f>
        <v>92266</v>
      </c>
      <c r="H15" s="102">
        <f>TrRoad_act!H69</f>
        <v>93287</v>
      </c>
      <c r="I15" s="102">
        <f>TrRoad_act!I69</f>
        <v>93146</v>
      </c>
      <c r="J15" s="102">
        <f>TrRoad_act!J69</f>
        <v>93805</v>
      </c>
      <c r="K15" s="102">
        <f>TrRoad_act!K69</f>
        <v>93328</v>
      </c>
      <c r="L15" s="102">
        <f>TrRoad_act!L69</f>
        <v>92826</v>
      </c>
      <c r="M15" s="102">
        <f>TrRoad_act!M69</f>
        <v>93935</v>
      </c>
      <c r="N15" s="102">
        <f>TrRoad_act!N69</f>
        <v>91540</v>
      </c>
      <c r="O15" s="102">
        <f>TrRoad_act!O69</f>
        <v>89334</v>
      </c>
      <c r="P15" s="102">
        <f>TrRoad_act!P69</f>
        <v>89338</v>
      </c>
      <c r="Q15" s="102">
        <f>TrRoad_act!Q69</f>
        <v>89307</v>
      </c>
      <c r="R15" s="102">
        <f>TrRoad_act!R69</f>
        <v>89248</v>
      </c>
      <c r="S15" s="102">
        <f>TrRoad_act!S69</f>
        <v>89749</v>
      </c>
      <c r="T15" s="102">
        <f>TrRoad_act!T69</f>
        <v>90263</v>
      </c>
      <c r="U15" s="102">
        <f>TrRoad_act!U69</f>
        <v>89514</v>
      </c>
      <c r="V15" s="102">
        <f>TrRoad_act!V69</f>
        <v>89135</v>
      </c>
      <c r="W15" s="102">
        <f>TrRoad_act!W69</f>
        <v>89202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72</v>
      </c>
      <c r="C16" s="102">
        <f>TrRoad_act!C70</f>
        <v>81</v>
      </c>
      <c r="D16" s="102">
        <f>TrRoad_act!D70</f>
        <v>77</v>
      </c>
      <c r="E16" s="102">
        <f>TrRoad_act!E70</f>
        <v>90</v>
      </c>
      <c r="F16" s="102">
        <f>TrRoad_act!F70</f>
        <v>140</v>
      </c>
      <c r="G16" s="102">
        <f>TrRoad_act!G70</f>
        <v>204</v>
      </c>
      <c r="H16" s="102">
        <f>TrRoad_act!H70</f>
        <v>229</v>
      </c>
      <c r="I16" s="102">
        <f>TrRoad_act!I70</f>
        <v>275</v>
      </c>
      <c r="J16" s="102">
        <f>TrRoad_act!J70</f>
        <v>332</v>
      </c>
      <c r="K16" s="102">
        <f>TrRoad_act!K70</f>
        <v>453</v>
      </c>
      <c r="L16" s="102">
        <f>TrRoad_act!L70</f>
        <v>456</v>
      </c>
      <c r="M16" s="102">
        <f>TrRoad_act!M70</f>
        <v>439</v>
      </c>
      <c r="N16" s="102">
        <f>TrRoad_act!N70</f>
        <v>420</v>
      </c>
      <c r="O16" s="102">
        <f>TrRoad_act!O70</f>
        <v>401</v>
      </c>
      <c r="P16" s="102">
        <f>TrRoad_act!P70</f>
        <v>380</v>
      </c>
      <c r="Q16" s="102">
        <f>TrRoad_act!Q70</f>
        <v>358</v>
      </c>
      <c r="R16" s="102">
        <f>TrRoad_act!R70</f>
        <v>339</v>
      </c>
      <c r="S16" s="102">
        <f>TrRoad_act!S70</f>
        <v>269</v>
      </c>
      <c r="T16" s="102">
        <f>TrRoad_act!T70</f>
        <v>304</v>
      </c>
      <c r="U16" s="102">
        <f>TrRoad_act!U70</f>
        <v>297</v>
      </c>
      <c r="V16" s="102">
        <f>TrRoad_act!V70</f>
        <v>297</v>
      </c>
      <c r="W16" s="102">
        <f>TrRoad_act!W70</f>
        <v>271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691</v>
      </c>
      <c r="C17" s="102">
        <f>TrRoad_act!C71</f>
        <v>697</v>
      </c>
      <c r="D17" s="102">
        <f>TrRoad_act!D71</f>
        <v>631</v>
      </c>
      <c r="E17" s="102">
        <f>TrRoad_act!E71</f>
        <v>989</v>
      </c>
      <c r="F17" s="102">
        <f>TrRoad_act!F71</f>
        <v>962</v>
      </c>
      <c r="G17" s="102">
        <f>TrRoad_act!G71</f>
        <v>1352</v>
      </c>
      <c r="H17" s="102">
        <f>TrRoad_act!H71</f>
        <v>1995</v>
      </c>
      <c r="I17" s="102">
        <f>TrRoad_act!I71</f>
        <v>2437</v>
      </c>
      <c r="J17" s="102">
        <f>TrRoad_act!J71</f>
        <v>2892</v>
      </c>
      <c r="K17" s="102">
        <f>TrRoad_act!K71</f>
        <v>3150</v>
      </c>
      <c r="L17" s="102">
        <f>TrRoad_act!L71</f>
        <v>3378</v>
      </c>
      <c r="M17" s="102">
        <f>TrRoad_act!M71</f>
        <v>3543</v>
      </c>
      <c r="N17" s="102">
        <f>TrRoad_act!N71</f>
        <v>3642</v>
      </c>
      <c r="O17" s="102">
        <f>TrRoad_act!O71</f>
        <v>3605</v>
      </c>
      <c r="P17" s="102">
        <f>TrRoad_act!P71</f>
        <v>3444</v>
      </c>
      <c r="Q17" s="102">
        <f>TrRoad_act!Q71</f>
        <v>3267</v>
      </c>
      <c r="R17" s="102">
        <f>TrRoad_act!R71</f>
        <v>3201</v>
      </c>
      <c r="S17" s="102">
        <f>TrRoad_act!S71</f>
        <v>4023</v>
      </c>
      <c r="T17" s="102">
        <f>TrRoad_act!T71</f>
        <v>4381</v>
      </c>
      <c r="U17" s="102">
        <f>TrRoad_act!U71</f>
        <v>4729</v>
      </c>
      <c r="V17" s="102">
        <f>TrRoad_act!V71</f>
        <v>4812</v>
      </c>
      <c r="W17" s="102">
        <f>TrRoad_act!W71</f>
        <v>4946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494</v>
      </c>
      <c r="P18" s="102">
        <f>TrRoad_act!P72</f>
        <v>493</v>
      </c>
      <c r="Q18" s="102">
        <f>TrRoad_act!Q72</f>
        <v>493</v>
      </c>
      <c r="R18" s="102">
        <f>TrRoad_act!R72</f>
        <v>481</v>
      </c>
      <c r="S18" s="102">
        <f>TrRoad_act!S72</f>
        <v>471</v>
      </c>
      <c r="T18" s="102">
        <f>TrRoad_act!T72</f>
        <v>486</v>
      </c>
      <c r="U18" s="102">
        <f>TrRoad_act!U72</f>
        <v>537</v>
      </c>
      <c r="V18" s="102">
        <f>TrRoad_act!V72</f>
        <v>586</v>
      </c>
      <c r="W18" s="102">
        <f>TrRoad_act!W72</f>
        <v>744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3557281</v>
      </c>
      <c r="C19" s="28">
        <f>TrRoad_act!C73</f>
        <v>3724693</v>
      </c>
      <c r="D19" s="28">
        <f>TrRoad_act!D73</f>
        <v>3951023</v>
      </c>
      <c r="E19" s="28">
        <f>TrRoad_act!E73</f>
        <v>4135930</v>
      </c>
      <c r="F19" s="28">
        <f>TrRoad_act!F73</f>
        <v>4195570</v>
      </c>
      <c r="G19" s="28">
        <f>TrRoad_act!G73</f>
        <v>4357455</v>
      </c>
      <c r="H19" s="28">
        <f>TrRoad_act!H73</f>
        <v>4515414</v>
      </c>
      <c r="I19" s="28">
        <f>TrRoad_act!I73</f>
        <v>4612790</v>
      </c>
      <c r="J19" s="28">
        <f>TrRoad_act!J73</f>
        <v>4699644</v>
      </c>
      <c r="K19" s="28">
        <f>TrRoad_act!K73</f>
        <v>4736650</v>
      </c>
      <c r="L19" s="28">
        <f>TrRoad_act!L73</f>
        <v>4779072</v>
      </c>
      <c r="M19" s="28">
        <f>TrRoad_act!M73</f>
        <v>4824005</v>
      </c>
      <c r="N19" s="28">
        <f>TrRoad_act!N73</f>
        <v>4818340</v>
      </c>
      <c r="O19" s="28">
        <f>TrRoad_act!O73</f>
        <v>4777291</v>
      </c>
      <c r="P19" s="28">
        <f>TrRoad_act!P73</f>
        <v>4779235</v>
      </c>
      <c r="Q19" s="28">
        <f>TrRoad_act!Q73</f>
        <v>4813406</v>
      </c>
      <c r="R19" s="28">
        <f>TrRoad_act!R73</f>
        <v>4830046</v>
      </c>
      <c r="S19" s="28">
        <f>TrRoad_act!S73</f>
        <v>4864838</v>
      </c>
      <c r="T19" s="28">
        <f>TrRoad_act!T73</f>
        <v>4922420</v>
      </c>
      <c r="U19" s="28">
        <f>TrRoad_act!U73</f>
        <v>4976423</v>
      </c>
      <c r="V19" s="28">
        <f>TrRoad_act!V73</f>
        <v>5029522</v>
      </c>
      <c r="W19" s="28">
        <f>TrRoad_act!W73</f>
        <v>5095501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2637172</v>
      </c>
      <c r="C20" s="137">
        <f>TrRoad_act!C74</f>
        <v>2804885</v>
      </c>
      <c r="D20" s="137">
        <f>TrRoad_act!D74</f>
        <v>3027282</v>
      </c>
      <c r="E20" s="137">
        <f>TrRoad_act!E74</f>
        <v>3209962</v>
      </c>
      <c r="F20" s="137">
        <f>TrRoad_act!F74</f>
        <v>3272318</v>
      </c>
      <c r="G20" s="137">
        <f>TrRoad_act!G74</f>
        <v>3432827</v>
      </c>
      <c r="H20" s="137">
        <f>TrRoad_act!H74</f>
        <v>3579735</v>
      </c>
      <c r="I20" s="137">
        <f>TrRoad_act!I74</f>
        <v>3673354</v>
      </c>
      <c r="J20" s="137">
        <f>TrRoad_act!J74</f>
        <v>3761540</v>
      </c>
      <c r="K20" s="137">
        <f>TrRoad_act!K74</f>
        <v>3802936</v>
      </c>
      <c r="L20" s="137">
        <f>TrRoad_act!L74</f>
        <v>3855887</v>
      </c>
      <c r="M20" s="137">
        <f>TrRoad_act!M74</f>
        <v>3900300</v>
      </c>
      <c r="N20" s="137">
        <f>TrRoad_act!N74</f>
        <v>3914121</v>
      </c>
      <c r="O20" s="137">
        <f>TrRoad_act!O74</f>
        <v>3894922</v>
      </c>
      <c r="P20" s="137">
        <f>TrRoad_act!P74</f>
        <v>3909637</v>
      </c>
      <c r="Q20" s="137">
        <f>TrRoad_act!Q74</f>
        <v>3944261</v>
      </c>
      <c r="R20" s="137">
        <f>TrRoad_act!R74</f>
        <v>4022228</v>
      </c>
      <c r="S20" s="137">
        <f>TrRoad_act!S74</f>
        <v>4089425</v>
      </c>
      <c r="T20" s="137">
        <f>TrRoad_act!T74</f>
        <v>4144626</v>
      </c>
      <c r="U20" s="137">
        <f>TrRoad_act!U74</f>
        <v>4200074</v>
      </c>
      <c r="V20" s="137">
        <f>TrRoad_act!V74</f>
        <v>4292148</v>
      </c>
      <c r="W20" s="137">
        <f>TrRoad_act!W74</f>
        <v>4350789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252409</v>
      </c>
      <c r="C21" s="84">
        <f>TrRoad_act!C75</f>
        <v>263033</v>
      </c>
      <c r="D21" s="84">
        <f>TrRoad_act!D75</f>
        <v>278148</v>
      </c>
      <c r="E21" s="84">
        <f>TrRoad_act!E75</f>
        <v>288969</v>
      </c>
      <c r="F21" s="84">
        <f>TrRoad_act!F75</f>
        <v>288626</v>
      </c>
      <c r="G21" s="84">
        <f>TrRoad_act!G75</f>
        <v>296661</v>
      </c>
      <c r="H21" s="84">
        <f>TrRoad_act!H75</f>
        <v>303102</v>
      </c>
      <c r="I21" s="84">
        <f>TrRoad_act!I75</f>
        <v>265204</v>
      </c>
      <c r="J21" s="84">
        <f>TrRoad_act!J75</f>
        <v>256570</v>
      </c>
      <c r="K21" s="84">
        <f>TrRoad_act!K75</f>
        <v>243999</v>
      </c>
      <c r="L21" s="84">
        <f>TrRoad_act!L75</f>
        <v>233317</v>
      </c>
      <c r="M21" s="84">
        <f>TrRoad_act!M75</f>
        <v>237222</v>
      </c>
      <c r="N21" s="84">
        <f>TrRoad_act!N75</f>
        <v>218599</v>
      </c>
      <c r="O21" s="84">
        <f>TrRoad_act!O75</f>
        <v>213153</v>
      </c>
      <c r="P21" s="84">
        <f>TrRoad_act!P75</f>
        <v>207425</v>
      </c>
      <c r="Q21" s="84">
        <f>TrRoad_act!Q75</f>
        <v>199341</v>
      </c>
      <c r="R21" s="84">
        <f>TrRoad_act!R75</f>
        <v>192936</v>
      </c>
      <c r="S21" s="84">
        <f>TrRoad_act!S75</f>
        <v>184559</v>
      </c>
      <c r="T21" s="84">
        <f>TrRoad_act!T75</f>
        <v>180561</v>
      </c>
      <c r="U21" s="84">
        <f>TrRoad_act!U75</f>
        <v>183088</v>
      </c>
      <c r="V21" s="84">
        <f>TrRoad_act!V75</f>
        <v>186840</v>
      </c>
      <c r="W21" s="84">
        <f>TrRoad_act!W75</f>
        <v>189764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2370095</v>
      </c>
      <c r="C22" s="84">
        <f>TrRoad_act!C76</f>
        <v>2524678</v>
      </c>
      <c r="D22" s="84">
        <f>TrRoad_act!D76</f>
        <v>2728721</v>
      </c>
      <c r="E22" s="84">
        <f>TrRoad_act!E76</f>
        <v>2897148</v>
      </c>
      <c r="F22" s="84">
        <f>TrRoad_act!F76</f>
        <v>2956902</v>
      </c>
      <c r="G22" s="84">
        <f>TrRoad_act!G76</f>
        <v>3105183</v>
      </c>
      <c r="H22" s="84">
        <f>TrRoad_act!H76</f>
        <v>3240999</v>
      </c>
      <c r="I22" s="84">
        <f>TrRoad_act!I76</f>
        <v>3373071</v>
      </c>
      <c r="J22" s="84">
        <f>TrRoad_act!J76</f>
        <v>3459014</v>
      </c>
      <c r="K22" s="84">
        <f>TrRoad_act!K76</f>
        <v>3494966</v>
      </c>
      <c r="L22" s="84">
        <f>TrRoad_act!L76</f>
        <v>3530458</v>
      </c>
      <c r="M22" s="84">
        <f>TrRoad_act!M76</f>
        <v>3567974</v>
      </c>
      <c r="N22" s="84">
        <f>TrRoad_act!N76</f>
        <v>3573103</v>
      </c>
      <c r="O22" s="84">
        <f>TrRoad_act!O76</f>
        <v>3553989</v>
      </c>
      <c r="P22" s="84">
        <f>TrRoad_act!P76</f>
        <v>3567629</v>
      </c>
      <c r="Q22" s="84">
        <f>TrRoad_act!Q76</f>
        <v>3604429</v>
      </c>
      <c r="R22" s="84">
        <f>TrRoad_act!R76</f>
        <v>3685095</v>
      </c>
      <c r="S22" s="84">
        <f>TrRoad_act!S76</f>
        <v>3760448</v>
      </c>
      <c r="T22" s="84">
        <f>TrRoad_act!T76</f>
        <v>3813184</v>
      </c>
      <c r="U22" s="84">
        <f>TrRoad_act!U76</f>
        <v>3860462</v>
      </c>
      <c r="V22" s="84">
        <f>TrRoad_act!V76</f>
        <v>3946342</v>
      </c>
      <c r="W22" s="84">
        <f>TrRoad_act!W76</f>
        <v>4000593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7466</v>
      </c>
      <c r="C23" s="84">
        <f>TrRoad_act!C77</f>
        <v>8576</v>
      </c>
      <c r="D23" s="84">
        <f>TrRoad_act!D77</f>
        <v>9997</v>
      </c>
      <c r="E23" s="84">
        <f>TrRoad_act!E77</f>
        <v>11449</v>
      </c>
      <c r="F23" s="84">
        <f>TrRoad_act!F77</f>
        <v>12606</v>
      </c>
      <c r="G23" s="84">
        <f>TrRoad_act!G77</f>
        <v>14282</v>
      </c>
      <c r="H23" s="84">
        <f>TrRoad_act!H77</f>
        <v>16086</v>
      </c>
      <c r="I23" s="84">
        <f>TrRoad_act!I77</f>
        <v>15502</v>
      </c>
      <c r="J23" s="84">
        <f>TrRoad_act!J77</f>
        <v>18675</v>
      </c>
      <c r="K23" s="84">
        <f>TrRoad_act!K77</f>
        <v>24802</v>
      </c>
      <c r="L23" s="84">
        <f>TrRoad_act!L77</f>
        <v>30912</v>
      </c>
      <c r="M23" s="84">
        <f>TrRoad_act!M77</f>
        <v>34102</v>
      </c>
      <c r="N23" s="84">
        <f>TrRoad_act!N77</f>
        <v>39001</v>
      </c>
      <c r="O23" s="84">
        <f>TrRoad_act!O77</f>
        <v>41592</v>
      </c>
      <c r="P23" s="84">
        <f>TrRoad_act!P77</f>
        <v>44262</v>
      </c>
      <c r="Q23" s="84">
        <f>TrRoad_act!Q77</f>
        <v>46506</v>
      </c>
      <c r="R23" s="84">
        <f>TrRoad_act!R77</f>
        <v>45432</v>
      </c>
      <c r="S23" s="84">
        <f>TrRoad_act!S77</f>
        <v>46477</v>
      </c>
      <c r="T23" s="84">
        <f>TrRoad_act!T77</f>
        <v>50000</v>
      </c>
      <c r="U23" s="84">
        <f>TrRoad_act!U77</f>
        <v>50000</v>
      </c>
      <c r="V23" s="84">
        <f>TrRoad_act!V77</f>
        <v>49722</v>
      </c>
      <c r="W23" s="84">
        <f>TrRoad_act!W77</f>
        <v>49104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7202</v>
      </c>
      <c r="C24" s="84">
        <f>TrRoad_act!C78</f>
        <v>8598</v>
      </c>
      <c r="D24" s="84">
        <f>TrRoad_act!D78</f>
        <v>10416</v>
      </c>
      <c r="E24" s="84">
        <f>TrRoad_act!E78</f>
        <v>12396</v>
      </c>
      <c r="F24" s="84">
        <f>TrRoad_act!F78</f>
        <v>14184</v>
      </c>
      <c r="G24" s="84">
        <f>TrRoad_act!G78</f>
        <v>16701</v>
      </c>
      <c r="H24" s="84">
        <f>TrRoad_act!H78</f>
        <v>19548</v>
      </c>
      <c r="I24" s="84">
        <f>TrRoad_act!I78</f>
        <v>19577</v>
      </c>
      <c r="J24" s="84">
        <f>TrRoad_act!J78</f>
        <v>27281</v>
      </c>
      <c r="K24" s="84">
        <f>TrRoad_act!K78</f>
        <v>39169</v>
      </c>
      <c r="L24" s="84">
        <f>TrRoad_act!L78</f>
        <v>61200</v>
      </c>
      <c r="M24" s="84">
        <f>TrRoad_act!M78</f>
        <v>61000</v>
      </c>
      <c r="N24" s="84">
        <f>TrRoad_act!N78</f>
        <v>83023</v>
      </c>
      <c r="O24" s="84">
        <f>TrRoad_act!O78</f>
        <v>86000</v>
      </c>
      <c r="P24" s="84">
        <f>TrRoad_act!P78</f>
        <v>90000</v>
      </c>
      <c r="Q24" s="84">
        <f>TrRoad_act!Q78</f>
        <v>93000</v>
      </c>
      <c r="R24" s="84">
        <f>TrRoad_act!R78</f>
        <v>97000</v>
      </c>
      <c r="S24" s="84">
        <f>TrRoad_act!S78</f>
        <v>95872</v>
      </c>
      <c r="T24" s="84">
        <f>TrRoad_act!T78</f>
        <v>97966</v>
      </c>
      <c r="U24" s="84">
        <f>TrRoad_act!U78</f>
        <v>101281</v>
      </c>
      <c r="V24" s="84">
        <f>TrRoad_act!V78</f>
        <v>102929</v>
      </c>
      <c r="W24" s="84">
        <f>TrRoad_act!W78</f>
        <v>101887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395</v>
      </c>
      <c r="O25" s="84">
        <f>TrRoad_act!O79</f>
        <v>188</v>
      </c>
      <c r="P25" s="84">
        <f>TrRoad_act!P79</f>
        <v>321</v>
      </c>
      <c r="Q25" s="84">
        <f>TrRoad_act!Q79</f>
        <v>985</v>
      </c>
      <c r="R25" s="84">
        <f>TrRoad_act!R79</f>
        <v>1765</v>
      </c>
      <c r="S25" s="84">
        <f>TrRoad_act!S79</f>
        <v>2069</v>
      </c>
      <c r="T25" s="84">
        <f>TrRoad_act!T79</f>
        <v>2915</v>
      </c>
      <c r="U25" s="84">
        <f>TrRoad_act!U79</f>
        <v>5243</v>
      </c>
      <c r="V25" s="84">
        <f>TrRoad_act!V79</f>
        <v>6315</v>
      </c>
      <c r="W25" s="84">
        <f>TrRoad_act!W79</f>
        <v>9441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920109</v>
      </c>
      <c r="C26" s="110">
        <f>TrRoad_act!C80</f>
        <v>919808</v>
      </c>
      <c r="D26" s="110">
        <f>TrRoad_act!D80</f>
        <v>923741</v>
      </c>
      <c r="E26" s="110">
        <f>TrRoad_act!E80</f>
        <v>925968</v>
      </c>
      <c r="F26" s="110">
        <f>TrRoad_act!F80</f>
        <v>923252</v>
      </c>
      <c r="G26" s="110">
        <f>TrRoad_act!G80</f>
        <v>924628</v>
      </c>
      <c r="H26" s="110">
        <f>TrRoad_act!H80</f>
        <v>935679</v>
      </c>
      <c r="I26" s="110">
        <f>TrRoad_act!I80</f>
        <v>939436</v>
      </c>
      <c r="J26" s="110">
        <f>TrRoad_act!J80</f>
        <v>938104</v>
      </c>
      <c r="K26" s="110">
        <f>TrRoad_act!K80</f>
        <v>933714</v>
      </c>
      <c r="L26" s="110">
        <f>TrRoad_act!L80</f>
        <v>923185</v>
      </c>
      <c r="M26" s="110">
        <f>TrRoad_act!M80</f>
        <v>923705</v>
      </c>
      <c r="N26" s="110">
        <f>TrRoad_act!N80</f>
        <v>904219</v>
      </c>
      <c r="O26" s="110">
        <f>TrRoad_act!O80</f>
        <v>882369</v>
      </c>
      <c r="P26" s="110">
        <f>TrRoad_act!P80</f>
        <v>869598</v>
      </c>
      <c r="Q26" s="110">
        <f>TrRoad_act!Q80</f>
        <v>869145</v>
      </c>
      <c r="R26" s="110">
        <f>TrRoad_act!R80</f>
        <v>807818</v>
      </c>
      <c r="S26" s="110">
        <f>TrRoad_act!S80</f>
        <v>775413</v>
      </c>
      <c r="T26" s="110">
        <f>TrRoad_act!T80</f>
        <v>777794</v>
      </c>
      <c r="U26" s="110">
        <f>TrRoad_act!U80</f>
        <v>776349</v>
      </c>
      <c r="V26" s="110">
        <f>TrRoad_act!V80</f>
        <v>737374</v>
      </c>
      <c r="W26" s="110">
        <f>TrRoad_act!W80</f>
        <v>744712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900818</v>
      </c>
      <c r="C27" s="102">
        <f>TrRoad_act!C81</f>
        <v>899128</v>
      </c>
      <c r="D27" s="102">
        <f>TrRoad_act!D81</f>
        <v>901986</v>
      </c>
      <c r="E27" s="102">
        <f>TrRoad_act!E81</f>
        <v>903734</v>
      </c>
      <c r="F27" s="102">
        <f>TrRoad_act!F81</f>
        <v>896965</v>
      </c>
      <c r="G27" s="102">
        <f>TrRoad_act!G81</f>
        <v>897429</v>
      </c>
      <c r="H27" s="102">
        <f>TrRoad_act!H81</f>
        <v>906748</v>
      </c>
      <c r="I27" s="102">
        <f>TrRoad_act!I81</f>
        <v>910772</v>
      </c>
      <c r="J27" s="102">
        <f>TrRoad_act!J81</f>
        <v>907938</v>
      </c>
      <c r="K27" s="102">
        <f>TrRoad_act!K81</f>
        <v>907312</v>
      </c>
      <c r="L27" s="102">
        <f>TrRoad_act!L81</f>
        <v>894676</v>
      </c>
      <c r="M27" s="102">
        <f>TrRoad_act!M81</f>
        <v>899032</v>
      </c>
      <c r="N27" s="102">
        <f>TrRoad_act!N81</f>
        <v>881105</v>
      </c>
      <c r="O27" s="102">
        <f>TrRoad_act!O81</f>
        <v>857499</v>
      </c>
      <c r="P27" s="102">
        <f>TrRoad_act!P81</f>
        <v>844072</v>
      </c>
      <c r="Q27" s="102">
        <f>TrRoad_act!Q81</f>
        <v>844057</v>
      </c>
      <c r="R27" s="102">
        <f>TrRoad_act!R81</f>
        <v>781290</v>
      </c>
      <c r="S27" s="102">
        <f>TrRoad_act!S81</f>
        <v>745799</v>
      </c>
      <c r="T27" s="102">
        <f>TrRoad_act!T81</f>
        <v>749102</v>
      </c>
      <c r="U27" s="102">
        <f>TrRoad_act!U81</f>
        <v>746469</v>
      </c>
      <c r="V27" s="102">
        <f>TrRoad_act!V81</f>
        <v>707966</v>
      </c>
      <c r="W27" s="102">
        <f>TrRoad_act!W81</f>
        <v>711751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19291</v>
      </c>
      <c r="C28" s="86">
        <f>TrRoad_act!C82</f>
        <v>20680</v>
      </c>
      <c r="D28" s="86">
        <f>TrRoad_act!D82</f>
        <v>21755</v>
      </c>
      <c r="E28" s="86">
        <f>TrRoad_act!E82</f>
        <v>22234</v>
      </c>
      <c r="F28" s="86">
        <f>TrRoad_act!F82</f>
        <v>26287</v>
      </c>
      <c r="G28" s="86">
        <f>TrRoad_act!G82</f>
        <v>27199</v>
      </c>
      <c r="H28" s="86">
        <f>TrRoad_act!H82</f>
        <v>28931</v>
      </c>
      <c r="I28" s="86">
        <f>TrRoad_act!I82</f>
        <v>28664</v>
      </c>
      <c r="J28" s="86">
        <f>TrRoad_act!J82</f>
        <v>30166</v>
      </c>
      <c r="K28" s="86">
        <f>TrRoad_act!K82</f>
        <v>26402</v>
      </c>
      <c r="L28" s="86">
        <f>TrRoad_act!L82</f>
        <v>28509</v>
      </c>
      <c r="M28" s="86">
        <f>TrRoad_act!M82</f>
        <v>24673</v>
      </c>
      <c r="N28" s="86">
        <f>TrRoad_act!N82</f>
        <v>23114</v>
      </c>
      <c r="O28" s="86">
        <f>TrRoad_act!O82</f>
        <v>24870</v>
      </c>
      <c r="P28" s="86">
        <f>TrRoad_act!P82</f>
        <v>25526</v>
      </c>
      <c r="Q28" s="86">
        <f>TrRoad_act!Q82</f>
        <v>25088</v>
      </c>
      <c r="R28" s="86">
        <f>TrRoad_act!R82</f>
        <v>26528</v>
      </c>
      <c r="S28" s="86">
        <f>TrRoad_act!S82</f>
        <v>29614</v>
      </c>
      <c r="T28" s="86">
        <f>TrRoad_act!T82</f>
        <v>28692</v>
      </c>
      <c r="U28" s="86">
        <f>TrRoad_act!U82</f>
        <v>29880</v>
      </c>
      <c r="V28" s="86">
        <f>TrRoad_act!V82</f>
        <v>29408</v>
      </c>
      <c r="W28" s="86">
        <f>TrRoad_act!W82</f>
        <v>32961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3826176</v>
      </c>
      <c r="C30" s="54">
        <f>TrRoad_act!C111</f>
        <v>4173177</v>
      </c>
      <c r="D30" s="54">
        <f>TrRoad_act!D111</f>
        <v>4024581</v>
      </c>
      <c r="E30" s="54">
        <f>TrRoad_act!E111</f>
        <v>4397251</v>
      </c>
      <c r="F30" s="54">
        <f>TrRoad_act!F111</f>
        <v>4354181</v>
      </c>
      <c r="G30" s="54">
        <f>TrRoad_act!G111</f>
        <v>4300944</v>
      </c>
      <c r="H30" s="54">
        <f>TrRoad_act!H111</f>
        <v>4398808</v>
      </c>
      <c r="I30" s="54">
        <f>TrRoad_act!I111</f>
        <v>4301688</v>
      </c>
      <c r="J30" s="54">
        <f>TrRoad_act!J111</f>
        <v>3901324</v>
      </c>
      <c r="K30" s="54">
        <f>TrRoad_act!K111</f>
        <v>3929100</v>
      </c>
      <c r="L30" s="54">
        <f>TrRoad_act!L111</f>
        <v>3566481</v>
      </c>
      <c r="M30" s="54">
        <f>TrRoad_act!M111</f>
        <v>3245949</v>
      </c>
      <c r="N30" s="54">
        <f>TrRoad_act!N111</f>
        <v>2772269</v>
      </c>
      <c r="O30" s="54">
        <f>TrRoad_act!O111</f>
        <v>2990300</v>
      </c>
      <c r="P30" s="54">
        <f>TrRoad_act!P111</f>
        <v>3064173</v>
      </c>
      <c r="Q30" s="54">
        <f>TrRoad_act!Q111</f>
        <v>3125143</v>
      </c>
      <c r="R30" s="54">
        <f>TrRoad_act!R111</f>
        <v>2875318</v>
      </c>
      <c r="S30" s="54">
        <f>TrRoad_act!S111</f>
        <v>3092301</v>
      </c>
      <c r="T30" s="54">
        <f>TrRoad_act!T111</f>
        <v>3140065</v>
      </c>
      <c r="U30" s="54">
        <f>TrRoad_act!U111</f>
        <v>3161557</v>
      </c>
      <c r="V30" s="54">
        <f>TrRoad_act!V111</f>
        <v>2477791</v>
      </c>
      <c r="W30" s="54">
        <f>TrRoad_act!W111</f>
        <v>3328649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3824247</v>
      </c>
      <c r="C31" s="28">
        <f>TrRoad_act!C112</f>
        <v>3851450</v>
      </c>
      <c r="D31" s="28">
        <f>TrRoad_act!D112</f>
        <v>3624280</v>
      </c>
      <c r="E31" s="28">
        <f>TrRoad_act!E112</f>
        <v>4014228</v>
      </c>
      <c r="F31" s="28">
        <f>TrRoad_act!F112</f>
        <v>4066513</v>
      </c>
      <c r="G31" s="28">
        <f>TrRoad_act!G112</f>
        <v>3895408</v>
      </c>
      <c r="H31" s="28">
        <f>TrRoad_act!H112</f>
        <v>3985593</v>
      </c>
      <c r="I31" s="28">
        <f>TrRoad_act!I112</f>
        <v>3907776</v>
      </c>
      <c r="J31" s="28">
        <f>TrRoad_act!J112</f>
        <v>3549094</v>
      </c>
      <c r="K31" s="28">
        <f>TrRoad_act!K112</f>
        <v>3588900</v>
      </c>
      <c r="L31" s="28">
        <f>TrRoad_act!L112</f>
        <v>3206268</v>
      </c>
      <c r="M31" s="28">
        <f>TrRoad_act!M112</f>
        <v>2886992</v>
      </c>
      <c r="N31" s="28">
        <f>TrRoad_act!N112</f>
        <v>2435790</v>
      </c>
      <c r="O31" s="28">
        <f>TrRoad_act!O112</f>
        <v>2689091</v>
      </c>
      <c r="P31" s="28">
        <f>TrRoad_act!P112</f>
        <v>2724432</v>
      </c>
      <c r="Q31" s="28">
        <f>TrRoad_act!Q112</f>
        <v>2757844</v>
      </c>
      <c r="R31" s="28">
        <f>TrRoad_act!R112</f>
        <v>2504268</v>
      </c>
      <c r="S31" s="28">
        <f>TrRoad_act!S112</f>
        <v>2708595</v>
      </c>
      <c r="T31" s="28">
        <f>TrRoad_act!T112</f>
        <v>2748254</v>
      </c>
      <c r="U31" s="28">
        <f>TrRoad_act!U112</f>
        <v>2766298</v>
      </c>
      <c r="V31" s="28">
        <f>TrRoad_act!V112</f>
        <v>2160767</v>
      </c>
      <c r="W31" s="28">
        <f>TrRoad_act!W112</f>
        <v>2937786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839390</v>
      </c>
      <c r="C32" s="137">
        <f>TrRoad_act!C113</f>
        <v>829787</v>
      </c>
      <c r="D32" s="137">
        <f>TrRoad_act!D113</f>
        <v>757902</v>
      </c>
      <c r="E32" s="137">
        <f>TrRoad_act!E113</f>
        <v>820302</v>
      </c>
      <c r="F32" s="137">
        <f>TrRoad_act!F113</f>
        <v>674382</v>
      </c>
      <c r="G32" s="137">
        <f>TrRoad_act!G113</f>
        <v>672765</v>
      </c>
      <c r="H32" s="137">
        <f>TrRoad_act!H113</f>
        <v>711979</v>
      </c>
      <c r="I32" s="137">
        <f>TrRoad_act!I113</f>
        <v>697534</v>
      </c>
      <c r="J32" s="137">
        <f>TrRoad_act!J113</f>
        <v>653198</v>
      </c>
      <c r="K32" s="137">
        <f>TrRoad_act!K113</f>
        <v>712994</v>
      </c>
      <c r="L32" s="137">
        <f>TrRoad_act!L113</f>
        <v>512702</v>
      </c>
      <c r="M32" s="137">
        <f>TrRoad_act!M113</f>
        <v>410030</v>
      </c>
      <c r="N32" s="137">
        <f>TrRoad_act!N113</f>
        <v>330066</v>
      </c>
      <c r="O32" s="137">
        <f>TrRoad_act!O113</f>
        <v>654931</v>
      </c>
      <c r="P32" s="137">
        <f>TrRoad_act!P113</f>
        <v>664723</v>
      </c>
      <c r="Q32" s="137">
        <f>TrRoad_act!Q113</f>
        <v>475317</v>
      </c>
      <c r="R32" s="137">
        <f>TrRoad_act!R113</f>
        <v>404139</v>
      </c>
      <c r="S32" s="137">
        <f>TrRoad_act!S113</f>
        <v>433475</v>
      </c>
      <c r="T32" s="137">
        <f>TrRoad_act!T113</f>
        <v>439493</v>
      </c>
      <c r="U32" s="137">
        <f>TrRoad_act!U113</f>
        <v>491386</v>
      </c>
      <c r="V32" s="137">
        <f>TrRoad_act!V113</f>
        <v>403490</v>
      </c>
      <c r="W32" s="137">
        <f>TrRoad_act!W113</f>
        <v>1028582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2979534</v>
      </c>
      <c r="C33" s="110">
        <f>TrRoad_act!C114</f>
        <v>3012300</v>
      </c>
      <c r="D33" s="110">
        <f>TrRoad_act!D114</f>
        <v>2856676</v>
      </c>
      <c r="E33" s="110">
        <f>TrRoad_act!E114</f>
        <v>3184841</v>
      </c>
      <c r="F33" s="110">
        <f>TrRoad_act!F114</f>
        <v>3383888</v>
      </c>
      <c r="G33" s="110">
        <f>TrRoad_act!G114</f>
        <v>3213139</v>
      </c>
      <c r="H33" s="110">
        <f>TrRoad_act!H114</f>
        <v>3264134</v>
      </c>
      <c r="I33" s="110">
        <f>TrRoad_act!I114</f>
        <v>3202283</v>
      </c>
      <c r="J33" s="110">
        <f>TrRoad_act!J114</f>
        <v>2887318</v>
      </c>
      <c r="K33" s="110">
        <f>TrRoad_act!K114</f>
        <v>2868854</v>
      </c>
      <c r="L33" s="110">
        <f>TrRoad_act!L114</f>
        <v>2686945</v>
      </c>
      <c r="M33" s="110">
        <f>TrRoad_act!M114</f>
        <v>2469026</v>
      </c>
      <c r="N33" s="110">
        <f>TrRoad_act!N114</f>
        <v>2101544</v>
      </c>
      <c r="O33" s="110">
        <f>TrRoad_act!O114</f>
        <v>2029096</v>
      </c>
      <c r="P33" s="110">
        <f>TrRoad_act!P114</f>
        <v>2053607</v>
      </c>
      <c r="Q33" s="110">
        <f>TrRoad_act!Q114</f>
        <v>2276511</v>
      </c>
      <c r="R33" s="110">
        <f>TrRoad_act!R114</f>
        <v>2094979</v>
      </c>
      <c r="S33" s="110">
        <f>TrRoad_act!S114</f>
        <v>2268320</v>
      </c>
      <c r="T33" s="110">
        <f>TrRoad_act!T114</f>
        <v>2302015</v>
      </c>
      <c r="U33" s="110">
        <f>TrRoad_act!U114</f>
        <v>2268747</v>
      </c>
      <c r="V33" s="110">
        <f>TrRoad_act!V114</f>
        <v>1751263</v>
      </c>
      <c r="W33" s="110">
        <f>TrRoad_act!W114</f>
        <v>1902265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1887051</v>
      </c>
      <c r="C34" s="84">
        <f>TrRoad_act!C115</f>
        <v>1741451</v>
      </c>
      <c r="D34" s="84">
        <f>TrRoad_act!D115</f>
        <v>1800395</v>
      </c>
      <c r="E34" s="84">
        <f>TrRoad_act!E115</f>
        <v>1800633</v>
      </c>
      <c r="F34" s="84">
        <f>TrRoad_act!F115</f>
        <v>1607297</v>
      </c>
      <c r="G34" s="84">
        <f>TrRoad_act!G115</f>
        <v>1435577</v>
      </c>
      <c r="H34" s="84">
        <f>TrRoad_act!H115</f>
        <v>1466449</v>
      </c>
      <c r="I34" s="84">
        <f>TrRoad_act!I115</f>
        <v>1476218</v>
      </c>
      <c r="J34" s="84">
        <f>TrRoad_act!J115</f>
        <v>1370819</v>
      </c>
      <c r="K34" s="84">
        <f>TrRoad_act!K115</f>
        <v>1225405</v>
      </c>
      <c r="L34" s="84">
        <f>TrRoad_act!L115</f>
        <v>1133337</v>
      </c>
      <c r="M34" s="84">
        <f>TrRoad_act!M115</f>
        <v>1104026</v>
      </c>
      <c r="N34" s="84">
        <f>TrRoad_act!N115</f>
        <v>876808</v>
      </c>
      <c r="O34" s="84">
        <f>TrRoad_act!O115</f>
        <v>816482</v>
      </c>
      <c r="P34" s="84">
        <f>TrRoad_act!P115</f>
        <v>848972</v>
      </c>
      <c r="Q34" s="84">
        <f>TrRoad_act!Q115</f>
        <v>969064</v>
      </c>
      <c r="R34" s="84">
        <f>TrRoad_act!R115</f>
        <v>679684</v>
      </c>
      <c r="S34" s="84">
        <f>TrRoad_act!S115</f>
        <v>759053</v>
      </c>
      <c r="T34" s="84">
        <f>TrRoad_act!T115</f>
        <v>847008</v>
      </c>
      <c r="U34" s="84">
        <f>TrRoad_act!U115</f>
        <v>1050589</v>
      </c>
      <c r="V34" s="84">
        <f>TrRoad_act!V115</f>
        <v>816317</v>
      </c>
      <c r="W34" s="84">
        <f>TrRoad_act!W115</f>
        <v>944969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1092483</v>
      </c>
      <c r="C35" s="84">
        <f>TrRoad_act!C116</f>
        <v>1223849</v>
      </c>
      <c r="D35" s="84">
        <f>TrRoad_act!D116</f>
        <v>1056281</v>
      </c>
      <c r="E35" s="84">
        <f>TrRoad_act!E116</f>
        <v>1368006</v>
      </c>
      <c r="F35" s="84">
        <f>TrRoad_act!F116</f>
        <v>1776591</v>
      </c>
      <c r="G35" s="84">
        <f>TrRoad_act!G116</f>
        <v>1649412</v>
      </c>
      <c r="H35" s="84">
        <f>TrRoad_act!H116</f>
        <v>1728684</v>
      </c>
      <c r="I35" s="84">
        <f>TrRoad_act!I116</f>
        <v>1644781</v>
      </c>
      <c r="J35" s="84">
        <f>TrRoad_act!J116</f>
        <v>1375629</v>
      </c>
      <c r="K35" s="84">
        <f>TrRoad_act!K116</f>
        <v>1181913</v>
      </c>
      <c r="L35" s="84">
        <f>TrRoad_act!L116</f>
        <v>1184555</v>
      </c>
      <c r="M35" s="84">
        <f>TrRoad_act!M116</f>
        <v>1264602</v>
      </c>
      <c r="N35" s="84">
        <f>TrRoad_act!N116</f>
        <v>1042193</v>
      </c>
      <c r="O35" s="84">
        <f>TrRoad_act!O116</f>
        <v>1009340</v>
      </c>
      <c r="P35" s="84">
        <f>TrRoad_act!P116</f>
        <v>985732</v>
      </c>
      <c r="Q35" s="84">
        <f>TrRoad_act!Q116</f>
        <v>1121390</v>
      </c>
      <c r="R35" s="84">
        <f>TrRoad_act!R116</f>
        <v>1266962</v>
      </c>
      <c r="S35" s="84">
        <f>TrRoad_act!S116</f>
        <v>1342046</v>
      </c>
      <c r="T35" s="84">
        <f>TrRoad_act!T116</f>
        <v>1218304</v>
      </c>
      <c r="U35" s="84">
        <f>TrRoad_act!U116</f>
        <v>1025532</v>
      </c>
      <c r="V35" s="84">
        <f>TrRoad_act!V116</f>
        <v>746633</v>
      </c>
      <c r="W35" s="84">
        <f>TrRoad_act!W116</f>
        <v>685105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1000</v>
      </c>
      <c r="D36" s="84">
        <f>TrRoad_act!D117</f>
        <v>0</v>
      </c>
      <c r="E36" s="84">
        <f>TrRoad_act!E117</f>
        <v>12000</v>
      </c>
      <c r="F36" s="84">
        <f>TrRoad_act!F117</f>
        <v>0</v>
      </c>
      <c r="G36" s="84">
        <f>TrRoad_act!G117</f>
        <v>89150</v>
      </c>
      <c r="H36" s="84">
        <f>TrRoad_act!H117</f>
        <v>19001</v>
      </c>
      <c r="I36" s="84">
        <f>TrRoad_act!I117</f>
        <v>21660</v>
      </c>
      <c r="J36" s="84">
        <f>TrRoad_act!J117</f>
        <v>62069</v>
      </c>
      <c r="K36" s="84">
        <f>TrRoad_act!K117</f>
        <v>333715</v>
      </c>
      <c r="L36" s="84">
        <f>TrRoad_act!L117</f>
        <v>299600</v>
      </c>
      <c r="M36" s="84">
        <f>TrRoad_act!M117</f>
        <v>56658</v>
      </c>
      <c r="N36" s="84">
        <f>TrRoad_act!N117</f>
        <v>128126</v>
      </c>
      <c r="O36" s="84">
        <f>TrRoad_act!O117</f>
        <v>116100</v>
      </c>
      <c r="P36" s="84">
        <f>TrRoad_act!P117</f>
        <v>124635</v>
      </c>
      <c r="Q36" s="84">
        <f>TrRoad_act!Q117</f>
        <v>120728</v>
      </c>
      <c r="R36" s="84">
        <f>TrRoad_act!R117</f>
        <v>101753</v>
      </c>
      <c r="S36" s="84">
        <f>TrRoad_act!S117</f>
        <v>128765</v>
      </c>
      <c r="T36" s="84">
        <f>TrRoad_act!T117</f>
        <v>187503</v>
      </c>
      <c r="U36" s="84">
        <f>TrRoad_act!U117</f>
        <v>137096</v>
      </c>
      <c r="V36" s="84">
        <f>TrRoad_act!V117</f>
        <v>94989</v>
      </c>
      <c r="W36" s="84">
        <f>TrRoad_act!W117</f>
        <v>108090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46000</v>
      </c>
      <c r="D37" s="84">
        <f>TrRoad_act!D118</f>
        <v>0</v>
      </c>
      <c r="E37" s="84">
        <f>TrRoad_act!E118</f>
        <v>4202</v>
      </c>
      <c r="F37" s="84">
        <f>TrRoad_act!F118</f>
        <v>0</v>
      </c>
      <c r="G37" s="84">
        <f>TrRoad_act!G118</f>
        <v>39000</v>
      </c>
      <c r="H37" s="84">
        <f>TrRoad_act!H118</f>
        <v>50000</v>
      </c>
      <c r="I37" s="84">
        <f>TrRoad_act!I118</f>
        <v>59624</v>
      </c>
      <c r="J37" s="84">
        <f>TrRoad_act!J118</f>
        <v>78801</v>
      </c>
      <c r="K37" s="84">
        <f>TrRoad_act!K118</f>
        <v>127821</v>
      </c>
      <c r="L37" s="84">
        <f>TrRoad_act!L118</f>
        <v>65772</v>
      </c>
      <c r="M37" s="84">
        <f>TrRoad_act!M118</f>
        <v>38303</v>
      </c>
      <c r="N37" s="84">
        <f>TrRoad_act!N118</f>
        <v>53658</v>
      </c>
      <c r="O37" s="84">
        <f>TrRoad_act!O118</f>
        <v>72387</v>
      </c>
      <c r="P37" s="84">
        <f>TrRoad_act!P118</f>
        <v>72387</v>
      </c>
      <c r="Q37" s="84">
        <f>TrRoad_act!Q118</f>
        <v>62939</v>
      </c>
      <c r="R37" s="84">
        <f>TrRoad_act!R118</f>
        <v>43787</v>
      </c>
      <c r="S37" s="84">
        <f>TrRoad_act!S118</f>
        <v>32752</v>
      </c>
      <c r="T37" s="84">
        <f>TrRoad_act!T118</f>
        <v>39605</v>
      </c>
      <c r="U37" s="84">
        <f>TrRoad_act!U118</f>
        <v>38638</v>
      </c>
      <c r="V37" s="84">
        <f>TrRoad_act!V118</f>
        <v>32455</v>
      </c>
      <c r="W37" s="84">
        <f>TrRoad_act!W118</f>
        <v>31695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141</v>
      </c>
      <c r="O38" s="84">
        <f>TrRoad_act!O119</f>
        <v>13922</v>
      </c>
      <c r="P38" s="84">
        <f>TrRoad_act!P119</f>
        <v>20791</v>
      </c>
      <c r="Q38" s="84">
        <f>TrRoad_act!Q119</f>
        <v>932</v>
      </c>
      <c r="R38" s="84">
        <f>TrRoad_act!R119</f>
        <v>1396</v>
      </c>
      <c r="S38" s="84">
        <f>TrRoad_act!S119</f>
        <v>3742</v>
      </c>
      <c r="T38" s="84">
        <f>TrRoad_act!T119</f>
        <v>4611</v>
      </c>
      <c r="U38" s="84">
        <f>TrRoad_act!U119</f>
        <v>6234</v>
      </c>
      <c r="V38" s="84">
        <f>TrRoad_act!V119</f>
        <v>28388</v>
      </c>
      <c r="W38" s="84">
        <f>TrRoad_act!W119</f>
        <v>63228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3681</v>
      </c>
      <c r="M39" s="84">
        <f>TrRoad_act!M120</f>
        <v>5437</v>
      </c>
      <c r="N39" s="84">
        <f>TrRoad_act!N120</f>
        <v>618</v>
      </c>
      <c r="O39" s="84">
        <f>TrRoad_act!O120</f>
        <v>865</v>
      </c>
      <c r="P39" s="84">
        <f>TrRoad_act!P120</f>
        <v>1090</v>
      </c>
      <c r="Q39" s="84">
        <f>TrRoad_act!Q120</f>
        <v>1458</v>
      </c>
      <c r="R39" s="84">
        <f>TrRoad_act!R120</f>
        <v>1397</v>
      </c>
      <c r="S39" s="84">
        <f>TrRoad_act!S120</f>
        <v>1962</v>
      </c>
      <c r="T39" s="84">
        <f>TrRoad_act!T120</f>
        <v>4984</v>
      </c>
      <c r="U39" s="84">
        <f>TrRoad_act!U120</f>
        <v>10658</v>
      </c>
      <c r="V39" s="84">
        <f>TrRoad_act!V120</f>
        <v>32481</v>
      </c>
      <c r="W39" s="84">
        <f>TrRoad_act!W120</f>
        <v>69178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5323</v>
      </c>
      <c r="C40" s="110">
        <f>TrRoad_act!C121</f>
        <v>9363</v>
      </c>
      <c r="D40" s="110">
        <f>TrRoad_act!D121</f>
        <v>9702</v>
      </c>
      <c r="E40" s="110">
        <f>TrRoad_act!E121</f>
        <v>9085</v>
      </c>
      <c r="F40" s="110">
        <f>TrRoad_act!F121</f>
        <v>8243</v>
      </c>
      <c r="G40" s="110">
        <f>TrRoad_act!G121</f>
        <v>9504</v>
      </c>
      <c r="H40" s="110">
        <f>TrRoad_act!H121</f>
        <v>9480</v>
      </c>
      <c r="I40" s="110">
        <f>TrRoad_act!I121</f>
        <v>7959</v>
      </c>
      <c r="J40" s="110">
        <f>TrRoad_act!J121</f>
        <v>8578</v>
      </c>
      <c r="K40" s="110">
        <f>TrRoad_act!K121</f>
        <v>7052</v>
      </c>
      <c r="L40" s="110">
        <f>TrRoad_act!L121</f>
        <v>6621</v>
      </c>
      <c r="M40" s="110">
        <f>TrRoad_act!M121</f>
        <v>7936</v>
      </c>
      <c r="N40" s="110">
        <f>TrRoad_act!N121</f>
        <v>4180</v>
      </c>
      <c r="O40" s="110">
        <f>TrRoad_act!O121</f>
        <v>5064</v>
      </c>
      <c r="P40" s="110">
        <f>TrRoad_act!P121</f>
        <v>6102</v>
      </c>
      <c r="Q40" s="110">
        <f>TrRoad_act!Q121</f>
        <v>6016</v>
      </c>
      <c r="R40" s="110">
        <f>TrRoad_act!R121</f>
        <v>5150</v>
      </c>
      <c r="S40" s="110">
        <f>TrRoad_act!S121</f>
        <v>6800</v>
      </c>
      <c r="T40" s="110">
        <f>TrRoad_act!T121</f>
        <v>6746</v>
      </c>
      <c r="U40" s="110">
        <f>TrRoad_act!U121</f>
        <v>6165</v>
      </c>
      <c r="V40" s="110">
        <f>TrRoad_act!V121</f>
        <v>6014</v>
      </c>
      <c r="W40" s="110">
        <f>TrRoad_act!W121</f>
        <v>6939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10</v>
      </c>
      <c r="J41" s="102">
        <f>TrRoad_act!J122</f>
        <v>34</v>
      </c>
      <c r="K41" s="102">
        <f>TrRoad_act!K122</f>
        <v>25</v>
      </c>
      <c r="L41" s="102">
        <f>TrRoad_act!L122</f>
        <v>15</v>
      </c>
      <c r="M41" s="102">
        <f>TrRoad_act!M122</f>
        <v>9</v>
      </c>
      <c r="N41" s="102">
        <f>TrRoad_act!N122</f>
        <v>4</v>
      </c>
      <c r="O41" s="102">
        <f>TrRoad_act!O122</f>
        <v>472</v>
      </c>
      <c r="P41" s="102">
        <f>TrRoad_act!P122</f>
        <v>3</v>
      </c>
      <c r="Q41" s="102">
        <f>TrRoad_act!Q122</f>
        <v>1</v>
      </c>
      <c r="R41" s="102">
        <f>TrRoad_act!R122</f>
        <v>0</v>
      </c>
      <c r="S41" s="102">
        <f>TrRoad_act!S122</f>
        <v>2</v>
      </c>
      <c r="T41" s="102">
        <f>TrRoad_act!T122</f>
        <v>0</v>
      </c>
      <c r="U41" s="102">
        <f>TrRoad_act!U122</f>
        <v>480</v>
      </c>
      <c r="V41" s="102">
        <f>TrRoad_act!V122</f>
        <v>17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5323</v>
      </c>
      <c r="C42" s="102">
        <f>TrRoad_act!C123</f>
        <v>9284</v>
      </c>
      <c r="D42" s="102">
        <f>TrRoad_act!D123</f>
        <v>9702</v>
      </c>
      <c r="E42" s="102">
        <f>TrRoad_act!E123</f>
        <v>8648</v>
      </c>
      <c r="F42" s="102">
        <f>TrRoad_act!F123</f>
        <v>8154</v>
      </c>
      <c r="G42" s="102">
        <f>TrRoad_act!G123</f>
        <v>8982</v>
      </c>
      <c r="H42" s="102">
        <f>TrRoad_act!H123</f>
        <v>8744</v>
      </c>
      <c r="I42" s="102">
        <f>TrRoad_act!I123</f>
        <v>7390</v>
      </c>
      <c r="J42" s="102">
        <f>TrRoad_act!J123</f>
        <v>7954</v>
      </c>
      <c r="K42" s="102">
        <f>TrRoad_act!K123</f>
        <v>6560</v>
      </c>
      <c r="L42" s="102">
        <f>TrRoad_act!L123</f>
        <v>6277</v>
      </c>
      <c r="M42" s="102">
        <f>TrRoad_act!M123</f>
        <v>7650</v>
      </c>
      <c r="N42" s="102">
        <f>TrRoad_act!N123</f>
        <v>3949</v>
      </c>
      <c r="O42" s="102">
        <f>TrRoad_act!O123</f>
        <v>3990</v>
      </c>
      <c r="P42" s="102">
        <f>TrRoad_act!P123</f>
        <v>6099</v>
      </c>
      <c r="Q42" s="102">
        <f>TrRoad_act!Q123</f>
        <v>6015</v>
      </c>
      <c r="R42" s="102">
        <f>TrRoad_act!R123</f>
        <v>5031</v>
      </c>
      <c r="S42" s="102">
        <f>TrRoad_act!S123</f>
        <v>5926</v>
      </c>
      <c r="T42" s="102">
        <f>TrRoad_act!T123</f>
        <v>6232</v>
      </c>
      <c r="U42" s="102">
        <f>TrRoad_act!U123</f>
        <v>5211</v>
      </c>
      <c r="V42" s="102">
        <f>TrRoad_act!V123</f>
        <v>5769</v>
      </c>
      <c r="W42" s="102">
        <f>TrRoad_act!W123</f>
        <v>6344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9</v>
      </c>
      <c r="D43" s="102">
        <f>TrRoad_act!D124</f>
        <v>0</v>
      </c>
      <c r="E43" s="102">
        <f>TrRoad_act!E124</f>
        <v>13</v>
      </c>
      <c r="F43" s="102">
        <f>TrRoad_act!F124</f>
        <v>50</v>
      </c>
      <c r="G43" s="102">
        <f>TrRoad_act!G124</f>
        <v>64</v>
      </c>
      <c r="H43" s="102">
        <f>TrRoad_act!H124</f>
        <v>25</v>
      </c>
      <c r="I43" s="102">
        <f>TrRoad_act!I124</f>
        <v>46</v>
      </c>
      <c r="J43" s="102">
        <f>TrRoad_act!J124</f>
        <v>57</v>
      </c>
      <c r="K43" s="102">
        <f>TrRoad_act!K124</f>
        <v>121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1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41</v>
      </c>
      <c r="U43" s="102">
        <f>TrRoad_act!U124</f>
        <v>0</v>
      </c>
      <c r="V43" s="102">
        <f>TrRoad_act!V124</f>
        <v>6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70</v>
      </c>
      <c r="D44" s="102">
        <f>TrRoad_act!D125</f>
        <v>0</v>
      </c>
      <c r="E44" s="102">
        <f>TrRoad_act!E125</f>
        <v>424</v>
      </c>
      <c r="F44" s="102">
        <f>TrRoad_act!F125</f>
        <v>39</v>
      </c>
      <c r="G44" s="102">
        <f>TrRoad_act!G125</f>
        <v>458</v>
      </c>
      <c r="H44" s="102">
        <f>TrRoad_act!H125</f>
        <v>711</v>
      </c>
      <c r="I44" s="102">
        <f>TrRoad_act!I125</f>
        <v>513</v>
      </c>
      <c r="J44" s="102">
        <f>TrRoad_act!J125</f>
        <v>533</v>
      </c>
      <c r="K44" s="102">
        <f>TrRoad_act!K125</f>
        <v>346</v>
      </c>
      <c r="L44" s="102">
        <f>TrRoad_act!L125</f>
        <v>326</v>
      </c>
      <c r="M44" s="102">
        <f>TrRoad_act!M125</f>
        <v>277</v>
      </c>
      <c r="N44" s="102">
        <f>TrRoad_act!N125</f>
        <v>227</v>
      </c>
      <c r="O44" s="102">
        <f>TrRoad_act!O125</f>
        <v>107</v>
      </c>
      <c r="P44" s="102">
        <f>TrRoad_act!P125</f>
        <v>0</v>
      </c>
      <c r="Q44" s="102">
        <f>TrRoad_act!Q125</f>
        <v>0</v>
      </c>
      <c r="R44" s="102">
        <f>TrRoad_act!R125</f>
        <v>119</v>
      </c>
      <c r="S44" s="102">
        <f>TrRoad_act!S125</f>
        <v>872</v>
      </c>
      <c r="T44" s="102">
        <f>TrRoad_act!T125</f>
        <v>413</v>
      </c>
      <c r="U44" s="102">
        <f>TrRoad_act!U125</f>
        <v>407</v>
      </c>
      <c r="V44" s="102">
        <f>TrRoad_act!V125</f>
        <v>168</v>
      </c>
      <c r="W44" s="102">
        <f>TrRoad_act!W125</f>
        <v>330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494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60</v>
      </c>
      <c r="U45" s="102">
        <f>TrRoad_act!U126</f>
        <v>67</v>
      </c>
      <c r="V45" s="102">
        <f>TrRoad_act!V126</f>
        <v>54</v>
      </c>
      <c r="W45" s="102">
        <f>TrRoad_act!W126</f>
        <v>264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1929</v>
      </c>
      <c r="C46" s="28">
        <f>TrRoad_act!C127</f>
        <v>321727</v>
      </c>
      <c r="D46" s="28">
        <f>TrRoad_act!D127</f>
        <v>400301</v>
      </c>
      <c r="E46" s="28">
        <f>TrRoad_act!E127</f>
        <v>383023</v>
      </c>
      <c r="F46" s="28">
        <f>TrRoad_act!F127</f>
        <v>287668</v>
      </c>
      <c r="G46" s="28">
        <f>TrRoad_act!G127</f>
        <v>405536</v>
      </c>
      <c r="H46" s="28">
        <f>TrRoad_act!H127</f>
        <v>413215</v>
      </c>
      <c r="I46" s="28">
        <f>TrRoad_act!I127</f>
        <v>393912</v>
      </c>
      <c r="J46" s="28">
        <f>TrRoad_act!J127</f>
        <v>352230</v>
      </c>
      <c r="K46" s="28">
        <f>TrRoad_act!K127</f>
        <v>340200</v>
      </c>
      <c r="L46" s="28">
        <f>TrRoad_act!L127</f>
        <v>360213</v>
      </c>
      <c r="M46" s="28">
        <f>TrRoad_act!M127</f>
        <v>358957</v>
      </c>
      <c r="N46" s="28">
        <f>TrRoad_act!N127</f>
        <v>336479</v>
      </c>
      <c r="O46" s="28">
        <f>TrRoad_act!O127</f>
        <v>301209</v>
      </c>
      <c r="P46" s="28">
        <f>TrRoad_act!P127</f>
        <v>339741</v>
      </c>
      <c r="Q46" s="28">
        <f>TrRoad_act!Q127</f>
        <v>367299</v>
      </c>
      <c r="R46" s="28">
        <f>TrRoad_act!R127</f>
        <v>371050</v>
      </c>
      <c r="S46" s="28">
        <f>TrRoad_act!S127</f>
        <v>383706</v>
      </c>
      <c r="T46" s="28">
        <f>TrRoad_act!T127</f>
        <v>391811</v>
      </c>
      <c r="U46" s="28">
        <f>TrRoad_act!U127</f>
        <v>395259</v>
      </c>
      <c r="V46" s="28">
        <f>TrRoad_act!V127</f>
        <v>317024</v>
      </c>
      <c r="W46" s="28">
        <f>TrRoad_act!W127</f>
        <v>390863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283279</v>
      </c>
      <c r="D47" s="137">
        <f>TrRoad_act!D128</f>
        <v>355254</v>
      </c>
      <c r="E47" s="137">
        <f>TrRoad_act!E128</f>
        <v>333021</v>
      </c>
      <c r="F47" s="137">
        <f>TrRoad_act!F128</f>
        <v>230112</v>
      </c>
      <c r="G47" s="137">
        <f>TrRoad_act!G128</f>
        <v>344874</v>
      </c>
      <c r="H47" s="137">
        <f>TrRoad_act!H128</f>
        <v>346717</v>
      </c>
      <c r="I47" s="137">
        <f>TrRoad_act!I128</f>
        <v>325776</v>
      </c>
      <c r="J47" s="137">
        <f>TrRoad_act!J128</f>
        <v>281914</v>
      </c>
      <c r="K47" s="137">
        <f>TrRoad_act!K128</f>
        <v>276348</v>
      </c>
      <c r="L47" s="137">
        <f>TrRoad_act!L128</f>
        <v>291635</v>
      </c>
      <c r="M47" s="137">
        <f>TrRoad_act!M128</f>
        <v>291286</v>
      </c>
      <c r="N47" s="137">
        <f>TrRoad_act!N128</f>
        <v>281734</v>
      </c>
      <c r="O47" s="137">
        <f>TrRoad_act!O128</f>
        <v>245162</v>
      </c>
      <c r="P47" s="137">
        <f>TrRoad_act!P128</f>
        <v>276099</v>
      </c>
      <c r="Q47" s="137">
        <f>TrRoad_act!Q128</f>
        <v>298438</v>
      </c>
      <c r="R47" s="137">
        <f>TrRoad_act!R128</f>
        <v>357925</v>
      </c>
      <c r="S47" s="137">
        <f>TrRoad_act!S128</f>
        <v>347665</v>
      </c>
      <c r="T47" s="137">
        <f>TrRoad_act!T128</f>
        <v>323827</v>
      </c>
      <c r="U47" s="137">
        <f>TrRoad_act!U128</f>
        <v>332294</v>
      </c>
      <c r="V47" s="137">
        <f>TrRoad_act!V128</f>
        <v>306725</v>
      </c>
      <c r="W47" s="137">
        <f>TrRoad_act!W128</f>
        <v>331499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21685</v>
      </c>
      <c r="D48" s="84">
        <f>TrRoad_act!D129</f>
        <v>27816</v>
      </c>
      <c r="E48" s="84">
        <f>TrRoad_act!E129</f>
        <v>25147</v>
      </c>
      <c r="F48" s="84">
        <f>TrRoad_act!F129</f>
        <v>15564</v>
      </c>
      <c r="G48" s="84">
        <f>TrRoad_act!G129</f>
        <v>25404</v>
      </c>
      <c r="H48" s="84">
        <f>TrRoad_act!H129</f>
        <v>25117</v>
      </c>
      <c r="I48" s="84">
        <f>TrRoad_act!I129</f>
        <v>0</v>
      </c>
      <c r="J48" s="84">
        <f>TrRoad_act!J129</f>
        <v>9568</v>
      </c>
      <c r="K48" s="84">
        <f>TrRoad_act!K129</f>
        <v>6139</v>
      </c>
      <c r="L48" s="84">
        <f>TrRoad_act!L129</f>
        <v>5125</v>
      </c>
      <c r="M48" s="84">
        <f>TrRoad_act!M129</f>
        <v>16429</v>
      </c>
      <c r="N48" s="84">
        <f>TrRoad_act!N129</f>
        <v>6319</v>
      </c>
      <c r="O48" s="84">
        <f>TrRoad_act!O129</f>
        <v>12099</v>
      </c>
      <c r="P48" s="84">
        <f>TrRoad_act!P129</f>
        <v>14099</v>
      </c>
      <c r="Q48" s="84">
        <f>TrRoad_act!Q129</f>
        <v>11445</v>
      </c>
      <c r="R48" s="84">
        <f>TrRoad_act!R129</f>
        <v>11900</v>
      </c>
      <c r="S48" s="84">
        <f>TrRoad_act!S129</f>
        <v>9326</v>
      </c>
      <c r="T48" s="84">
        <f>TrRoad_act!T129</f>
        <v>12210</v>
      </c>
      <c r="U48" s="84">
        <f>TrRoad_act!U129</f>
        <v>18058</v>
      </c>
      <c r="V48" s="84">
        <f>TrRoad_act!V129</f>
        <v>15595</v>
      </c>
      <c r="W48" s="84">
        <f>TrRoad_act!W129</f>
        <v>29112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258445</v>
      </c>
      <c r="D49" s="84">
        <f>TrRoad_act!D130</f>
        <v>323456</v>
      </c>
      <c r="E49" s="84">
        <f>TrRoad_act!E130</f>
        <v>303587</v>
      </c>
      <c r="F49" s="84">
        <f>TrRoad_act!F130</f>
        <v>210623</v>
      </c>
      <c r="G49" s="84">
        <f>TrRoad_act!G130</f>
        <v>314162</v>
      </c>
      <c r="H49" s="84">
        <f>TrRoad_act!H130</f>
        <v>315687</v>
      </c>
      <c r="I49" s="84">
        <f>TrRoad_act!I130</f>
        <v>324905</v>
      </c>
      <c r="J49" s="84">
        <f>TrRoad_act!J130</f>
        <v>261469</v>
      </c>
      <c r="K49" s="84">
        <f>TrRoad_act!K130</f>
        <v>251841</v>
      </c>
      <c r="L49" s="84">
        <f>TrRoad_act!L130</f>
        <v>258097</v>
      </c>
      <c r="M49" s="84">
        <f>TrRoad_act!M130</f>
        <v>266609</v>
      </c>
      <c r="N49" s="84">
        <f>TrRoad_act!N130</f>
        <v>242967</v>
      </c>
      <c r="O49" s="84">
        <f>TrRoad_act!O130</f>
        <v>222185</v>
      </c>
      <c r="P49" s="84">
        <f>TrRoad_act!P130</f>
        <v>251871</v>
      </c>
      <c r="Q49" s="84">
        <f>TrRoad_act!Q130</f>
        <v>277151</v>
      </c>
      <c r="R49" s="84">
        <f>TrRoad_act!R130</f>
        <v>334990</v>
      </c>
      <c r="S49" s="84">
        <f>TrRoad_act!S130</f>
        <v>330580</v>
      </c>
      <c r="T49" s="84">
        <f>TrRoad_act!T130</f>
        <v>301693</v>
      </c>
      <c r="U49" s="84">
        <f>TrRoad_act!U130</f>
        <v>301776</v>
      </c>
      <c r="V49" s="84">
        <f>TrRoad_act!V130</f>
        <v>282877</v>
      </c>
      <c r="W49" s="84">
        <f>TrRoad_act!W130</f>
        <v>289902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1437</v>
      </c>
      <c r="D50" s="84">
        <f>TrRoad_act!D131</f>
        <v>1799</v>
      </c>
      <c r="E50" s="84">
        <f>TrRoad_act!E131</f>
        <v>1885</v>
      </c>
      <c r="F50" s="84">
        <f>TrRoad_act!F131</f>
        <v>1651</v>
      </c>
      <c r="G50" s="84">
        <f>TrRoad_act!G131</f>
        <v>2233</v>
      </c>
      <c r="H50" s="84">
        <f>TrRoad_act!H131</f>
        <v>2429</v>
      </c>
      <c r="I50" s="84">
        <f>TrRoad_act!I131</f>
        <v>113</v>
      </c>
      <c r="J50" s="84">
        <f>TrRoad_act!J131</f>
        <v>3173</v>
      </c>
      <c r="K50" s="84">
        <f>TrRoad_act!K131</f>
        <v>6127</v>
      </c>
      <c r="L50" s="84">
        <f>TrRoad_act!L131</f>
        <v>6110</v>
      </c>
      <c r="M50" s="84">
        <f>TrRoad_act!M131</f>
        <v>3190</v>
      </c>
      <c r="N50" s="84">
        <f>TrRoad_act!N131</f>
        <v>9619</v>
      </c>
      <c r="O50" s="84">
        <f>TrRoad_act!O131</f>
        <v>3902</v>
      </c>
      <c r="P50" s="84">
        <f>TrRoad_act!P131</f>
        <v>4162</v>
      </c>
      <c r="Q50" s="84">
        <f>TrRoad_act!Q131</f>
        <v>3932</v>
      </c>
      <c r="R50" s="84">
        <f>TrRoad_act!R131</f>
        <v>3052</v>
      </c>
      <c r="S50" s="84">
        <f>TrRoad_act!S131</f>
        <v>3201</v>
      </c>
      <c r="T50" s="84">
        <f>TrRoad_act!T131</f>
        <v>4104</v>
      </c>
      <c r="U50" s="84">
        <f>TrRoad_act!U131</f>
        <v>3796</v>
      </c>
      <c r="V50" s="84">
        <f>TrRoad_act!V131</f>
        <v>2391</v>
      </c>
      <c r="W50" s="84">
        <f>TrRoad_act!W131</f>
        <v>5151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1712</v>
      </c>
      <c r="D51" s="84">
        <f>TrRoad_act!D132</f>
        <v>2183</v>
      </c>
      <c r="E51" s="84">
        <f>TrRoad_act!E132</f>
        <v>2402</v>
      </c>
      <c r="F51" s="84">
        <f>TrRoad_act!F132</f>
        <v>2274</v>
      </c>
      <c r="G51" s="84">
        <f>TrRoad_act!G132</f>
        <v>3075</v>
      </c>
      <c r="H51" s="84">
        <f>TrRoad_act!H132</f>
        <v>3484</v>
      </c>
      <c r="I51" s="84">
        <f>TrRoad_act!I132</f>
        <v>758</v>
      </c>
      <c r="J51" s="84">
        <f>TrRoad_act!J132</f>
        <v>7704</v>
      </c>
      <c r="K51" s="84">
        <f>TrRoad_act!K132</f>
        <v>12241</v>
      </c>
      <c r="L51" s="84">
        <f>TrRoad_act!L132</f>
        <v>22303</v>
      </c>
      <c r="M51" s="84">
        <f>TrRoad_act!M132</f>
        <v>5056</v>
      </c>
      <c r="N51" s="84">
        <f>TrRoad_act!N132</f>
        <v>22434</v>
      </c>
      <c r="O51" s="84">
        <f>TrRoad_act!O132</f>
        <v>6788</v>
      </c>
      <c r="P51" s="84">
        <f>TrRoad_act!P132</f>
        <v>5646</v>
      </c>
      <c r="Q51" s="84">
        <f>TrRoad_act!Q132</f>
        <v>5244</v>
      </c>
      <c r="R51" s="84">
        <f>TrRoad_act!R132</f>
        <v>7199</v>
      </c>
      <c r="S51" s="84">
        <f>TrRoad_act!S132</f>
        <v>4019</v>
      </c>
      <c r="T51" s="84">
        <f>TrRoad_act!T132</f>
        <v>4963</v>
      </c>
      <c r="U51" s="84">
        <f>TrRoad_act!U132</f>
        <v>6320</v>
      </c>
      <c r="V51" s="84">
        <f>TrRoad_act!V132</f>
        <v>4751</v>
      </c>
      <c r="W51" s="84">
        <f>TrRoad_act!W132</f>
        <v>3772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395</v>
      </c>
      <c r="O52" s="84">
        <f>TrRoad_act!O133</f>
        <v>188</v>
      </c>
      <c r="P52" s="84">
        <f>TrRoad_act!P133</f>
        <v>321</v>
      </c>
      <c r="Q52" s="84">
        <f>TrRoad_act!Q133</f>
        <v>666</v>
      </c>
      <c r="R52" s="84">
        <f>TrRoad_act!R133</f>
        <v>784</v>
      </c>
      <c r="S52" s="84">
        <f>TrRoad_act!S133</f>
        <v>539</v>
      </c>
      <c r="T52" s="84">
        <f>TrRoad_act!T133</f>
        <v>857</v>
      </c>
      <c r="U52" s="84">
        <f>TrRoad_act!U133</f>
        <v>2344</v>
      </c>
      <c r="V52" s="84">
        <f>TrRoad_act!V133</f>
        <v>1111</v>
      </c>
      <c r="W52" s="84">
        <f>TrRoad_act!W133</f>
        <v>3562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1929</v>
      </c>
      <c r="C53" s="110">
        <f>TrRoad_act!C134</f>
        <v>38448</v>
      </c>
      <c r="D53" s="110">
        <f>TrRoad_act!D134</f>
        <v>45047</v>
      </c>
      <c r="E53" s="110">
        <f>TrRoad_act!E134</f>
        <v>50002</v>
      </c>
      <c r="F53" s="110">
        <f>TrRoad_act!F134</f>
        <v>57556</v>
      </c>
      <c r="G53" s="110">
        <f>TrRoad_act!G134</f>
        <v>60662</v>
      </c>
      <c r="H53" s="110">
        <f>TrRoad_act!H134</f>
        <v>66498</v>
      </c>
      <c r="I53" s="110">
        <f>TrRoad_act!I134</f>
        <v>68136</v>
      </c>
      <c r="J53" s="110">
        <f>TrRoad_act!J134</f>
        <v>70316</v>
      </c>
      <c r="K53" s="110">
        <f>TrRoad_act!K134</f>
        <v>63852</v>
      </c>
      <c r="L53" s="110">
        <f>TrRoad_act!L134</f>
        <v>68578</v>
      </c>
      <c r="M53" s="110">
        <f>TrRoad_act!M134</f>
        <v>67671</v>
      </c>
      <c r="N53" s="110">
        <f>TrRoad_act!N134</f>
        <v>54745</v>
      </c>
      <c r="O53" s="110">
        <f>TrRoad_act!O134</f>
        <v>56047</v>
      </c>
      <c r="P53" s="110">
        <f>TrRoad_act!P134</f>
        <v>63642</v>
      </c>
      <c r="Q53" s="110">
        <f>TrRoad_act!Q134</f>
        <v>68861</v>
      </c>
      <c r="R53" s="110">
        <f>TrRoad_act!R134</f>
        <v>13125</v>
      </c>
      <c r="S53" s="110">
        <f>TrRoad_act!S134</f>
        <v>36041</v>
      </c>
      <c r="T53" s="110">
        <f>TrRoad_act!T134</f>
        <v>67984</v>
      </c>
      <c r="U53" s="110">
        <f>TrRoad_act!U134</f>
        <v>62965</v>
      </c>
      <c r="V53" s="110">
        <f>TrRoad_act!V134</f>
        <v>10299</v>
      </c>
      <c r="W53" s="110">
        <f>TrRoad_act!W134</f>
        <v>59364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35170</v>
      </c>
      <c r="D54" s="102">
        <f>TrRoad_act!D135</f>
        <v>41760</v>
      </c>
      <c r="E54" s="102">
        <f>TrRoad_act!E135</f>
        <v>47024</v>
      </c>
      <c r="F54" s="102">
        <f>TrRoad_act!F135</f>
        <v>50775</v>
      </c>
      <c r="G54" s="102">
        <f>TrRoad_act!G135</f>
        <v>56790</v>
      </c>
      <c r="H54" s="102">
        <f>TrRoad_act!H135</f>
        <v>61635</v>
      </c>
      <c r="I54" s="102">
        <f>TrRoad_act!I135</f>
        <v>65166</v>
      </c>
      <c r="J54" s="102">
        <f>TrRoad_act!J135</f>
        <v>65551</v>
      </c>
      <c r="K54" s="102">
        <f>TrRoad_act!K135</f>
        <v>63852</v>
      </c>
      <c r="L54" s="102">
        <f>TrRoad_act!L135</f>
        <v>63395</v>
      </c>
      <c r="M54" s="102">
        <f>TrRoad_act!M135</f>
        <v>67671</v>
      </c>
      <c r="N54" s="102">
        <f>TrRoad_act!N135</f>
        <v>53101</v>
      </c>
      <c r="O54" s="102">
        <f>TrRoad_act!O135</f>
        <v>51063</v>
      </c>
      <c r="P54" s="102">
        <f>TrRoad_act!P135</f>
        <v>59725</v>
      </c>
      <c r="Q54" s="102">
        <f>TrRoad_act!Q135</f>
        <v>66025</v>
      </c>
      <c r="R54" s="102">
        <f>TrRoad_act!R135</f>
        <v>8441</v>
      </c>
      <c r="S54" s="102">
        <f>TrRoad_act!S135</f>
        <v>29730</v>
      </c>
      <c r="T54" s="102">
        <f>TrRoad_act!T135</f>
        <v>65665</v>
      </c>
      <c r="U54" s="102">
        <f>TrRoad_act!U135</f>
        <v>58505</v>
      </c>
      <c r="V54" s="102">
        <f>TrRoad_act!V135</f>
        <v>7465</v>
      </c>
      <c r="W54" s="102">
        <f>TrRoad_act!W135</f>
        <v>52451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1929</v>
      </c>
      <c r="C55" s="86">
        <f>TrRoad_act!C136</f>
        <v>3278</v>
      </c>
      <c r="D55" s="86">
        <f>TrRoad_act!D136</f>
        <v>3287</v>
      </c>
      <c r="E55" s="86">
        <f>TrRoad_act!E136</f>
        <v>2978</v>
      </c>
      <c r="F55" s="86">
        <f>TrRoad_act!F136</f>
        <v>6781</v>
      </c>
      <c r="G55" s="86">
        <f>TrRoad_act!G136</f>
        <v>3872</v>
      </c>
      <c r="H55" s="86">
        <f>TrRoad_act!H136</f>
        <v>4863</v>
      </c>
      <c r="I55" s="86">
        <f>TrRoad_act!I136</f>
        <v>2970</v>
      </c>
      <c r="J55" s="86">
        <f>TrRoad_act!J136</f>
        <v>4765</v>
      </c>
      <c r="K55" s="86">
        <f>TrRoad_act!K136</f>
        <v>0</v>
      </c>
      <c r="L55" s="86">
        <f>TrRoad_act!L136</f>
        <v>5183</v>
      </c>
      <c r="M55" s="86">
        <f>TrRoad_act!M136</f>
        <v>0</v>
      </c>
      <c r="N55" s="86">
        <f>TrRoad_act!N136</f>
        <v>1644</v>
      </c>
      <c r="O55" s="86">
        <f>TrRoad_act!O136</f>
        <v>4984</v>
      </c>
      <c r="P55" s="86">
        <f>TrRoad_act!P136</f>
        <v>3917</v>
      </c>
      <c r="Q55" s="86">
        <f>TrRoad_act!Q136</f>
        <v>2836</v>
      </c>
      <c r="R55" s="86">
        <f>TrRoad_act!R136</f>
        <v>4684</v>
      </c>
      <c r="S55" s="86">
        <f>TrRoad_act!S136</f>
        <v>6311</v>
      </c>
      <c r="T55" s="86">
        <f>TrRoad_act!T136</f>
        <v>2319</v>
      </c>
      <c r="U55" s="86">
        <f>TrRoad_act!U136</f>
        <v>4460</v>
      </c>
      <c r="V55" s="86">
        <f>TrRoad_act!V136</f>
        <v>2834</v>
      </c>
      <c r="W55" s="86">
        <f>TrRoad_act!W136</f>
        <v>6913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1526775</v>
      </c>
      <c r="C59" s="54">
        <f t="shared" si="0"/>
        <v>1102231</v>
      </c>
      <c r="D59" s="54">
        <f t="shared" si="0"/>
        <v>1247520</v>
      </c>
      <c r="E59" s="54">
        <f t="shared" si="0"/>
        <v>1593591</v>
      </c>
      <c r="F59" s="54">
        <f t="shared" si="0"/>
        <v>2165331</v>
      </c>
      <c r="G59" s="54">
        <f t="shared" si="0"/>
        <v>2426514</v>
      </c>
      <c r="H59" s="54">
        <f t="shared" si="0"/>
        <v>2702756</v>
      </c>
      <c r="I59" s="54">
        <f t="shared" si="0"/>
        <v>2865055</v>
      </c>
      <c r="J59" s="54">
        <f t="shared" si="0"/>
        <v>2795074</v>
      </c>
      <c r="K59" s="54">
        <f t="shared" si="0"/>
        <v>3040926</v>
      </c>
      <c r="L59" s="54">
        <f t="shared" ref="L59" si="1">L60+L75</f>
        <v>2865629</v>
      </c>
      <c r="M59" s="54">
        <f t="shared" ref="M59:V59" si="2">M60+M75</f>
        <v>2695605</v>
      </c>
      <c r="N59" s="54">
        <f t="shared" si="2"/>
        <v>2402902</v>
      </c>
      <c r="O59" s="54">
        <f t="shared" si="2"/>
        <v>2704977</v>
      </c>
      <c r="P59" s="54">
        <f t="shared" si="2"/>
        <v>2848151</v>
      </c>
      <c r="Q59" s="54">
        <f t="shared" si="2"/>
        <v>2958320</v>
      </c>
      <c r="R59" s="54">
        <f t="shared" si="2"/>
        <v>2766902</v>
      </c>
      <c r="S59" s="54">
        <f t="shared" si="2"/>
        <v>3020614</v>
      </c>
      <c r="T59" s="54">
        <f t="shared" si="2"/>
        <v>3102362</v>
      </c>
      <c r="U59" s="54">
        <f t="shared" si="2"/>
        <v>3145598</v>
      </c>
      <c r="V59" s="54">
        <f t="shared" si="2"/>
        <v>2451092</v>
      </c>
      <c r="W59" s="54">
        <f t="shared" ref="W59" si="3">W60+W75</f>
        <v>3328649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1526775</v>
      </c>
      <c r="C60" s="28">
        <f t="shared" si="4"/>
        <v>1066068</v>
      </c>
      <c r="D60" s="28">
        <f t="shared" si="4"/>
        <v>1168346</v>
      </c>
      <c r="E60" s="28">
        <f t="shared" si="4"/>
        <v>1502486</v>
      </c>
      <c r="F60" s="28">
        <f t="shared" si="4"/>
        <v>2079604</v>
      </c>
      <c r="G60" s="28">
        <f t="shared" si="4"/>
        <v>2270187</v>
      </c>
      <c r="H60" s="28">
        <f t="shared" si="4"/>
        <v>2519769</v>
      </c>
      <c r="I60" s="28">
        <f t="shared" si="4"/>
        <v>2664436</v>
      </c>
      <c r="J60" s="28">
        <f t="shared" si="4"/>
        <v>2597021</v>
      </c>
      <c r="K60" s="28">
        <f t="shared" si="4"/>
        <v>2825961</v>
      </c>
      <c r="L60" s="28">
        <f t="shared" ref="L60" si="5">L61+L62+L69</f>
        <v>2620794</v>
      </c>
      <c r="M60" s="28">
        <f t="shared" ref="M60:V60" si="6">M61+M62+M69</f>
        <v>2428901</v>
      </c>
      <c r="N60" s="28">
        <f t="shared" si="6"/>
        <v>2137211</v>
      </c>
      <c r="O60" s="28">
        <f t="shared" si="6"/>
        <v>2453754</v>
      </c>
      <c r="P60" s="28">
        <f t="shared" si="6"/>
        <v>2550914</v>
      </c>
      <c r="Q60" s="28">
        <f t="shared" si="6"/>
        <v>2624029</v>
      </c>
      <c r="R60" s="28">
        <f t="shared" si="6"/>
        <v>2420592</v>
      </c>
      <c r="S60" s="28">
        <f t="shared" si="6"/>
        <v>2652962</v>
      </c>
      <c r="T60" s="28">
        <f t="shared" si="6"/>
        <v>2718605</v>
      </c>
      <c r="U60" s="28">
        <f t="shared" si="6"/>
        <v>2754037</v>
      </c>
      <c r="V60" s="28">
        <f t="shared" si="6"/>
        <v>2140835</v>
      </c>
      <c r="W60" s="28">
        <f t="shared" ref="W60" si="7">W61+W62+W69</f>
        <v>2937786</v>
      </c>
      <c r="DA60" s="173" t="s">
        <v>837</v>
      </c>
    </row>
    <row r="61" spans="1:105" ht="11.45" customHeight="1" x14ac:dyDescent="0.25">
      <c r="A61" s="136" t="s">
        <v>180</v>
      </c>
      <c r="B61" s="137">
        <v>287571</v>
      </c>
      <c r="C61" s="137">
        <v>355279</v>
      </c>
      <c r="D61" s="137">
        <v>377444</v>
      </c>
      <c r="E61" s="137">
        <v>463633</v>
      </c>
      <c r="F61" s="137">
        <v>424071</v>
      </c>
      <c r="G61" s="137">
        <v>462968</v>
      </c>
      <c r="H61" s="137">
        <v>528723</v>
      </c>
      <c r="I61" s="137">
        <v>552287</v>
      </c>
      <c r="J61" s="137">
        <v>545672</v>
      </c>
      <c r="K61" s="137">
        <v>622695</v>
      </c>
      <c r="L61" s="137">
        <v>464359</v>
      </c>
      <c r="M61" s="137">
        <v>382400</v>
      </c>
      <c r="N61" s="137">
        <v>314989</v>
      </c>
      <c r="O61" s="137">
        <v>636050</v>
      </c>
      <c r="P61" s="137">
        <v>653806</v>
      </c>
      <c r="Q61" s="137">
        <v>471508</v>
      </c>
      <c r="R61" s="137">
        <v>402920</v>
      </c>
      <c r="S61" s="137">
        <v>433097</v>
      </c>
      <c r="T61" s="137">
        <v>439352</v>
      </c>
      <c r="U61" s="137">
        <v>491342</v>
      </c>
      <c r="V61" s="137">
        <v>403468</v>
      </c>
      <c r="W61" s="137">
        <v>1028582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1239204</v>
      </c>
      <c r="C62" s="110">
        <f t="shared" si="8"/>
        <v>710789</v>
      </c>
      <c r="D62" s="110">
        <f t="shared" si="8"/>
        <v>790270</v>
      </c>
      <c r="E62" s="110">
        <f t="shared" si="8"/>
        <v>1036263</v>
      </c>
      <c r="F62" s="110">
        <f t="shared" si="8"/>
        <v>1652468</v>
      </c>
      <c r="G62" s="110">
        <f t="shared" si="8"/>
        <v>1803030</v>
      </c>
      <c r="H62" s="110">
        <f t="shared" si="8"/>
        <v>1986280</v>
      </c>
      <c r="I62" s="110">
        <f t="shared" si="8"/>
        <v>2107703</v>
      </c>
      <c r="J62" s="110">
        <f t="shared" si="8"/>
        <v>2046087</v>
      </c>
      <c r="K62" s="110">
        <f t="shared" si="8"/>
        <v>2198562</v>
      </c>
      <c r="L62" s="110">
        <f t="shared" ref="L62" si="9">SUM(L63:L68)</f>
        <v>2151665</v>
      </c>
      <c r="M62" s="110">
        <f t="shared" ref="M62:V62" si="10">SUM(M63:M68)</f>
        <v>2040405</v>
      </c>
      <c r="N62" s="110">
        <f t="shared" si="10"/>
        <v>1818815</v>
      </c>
      <c r="O62" s="110">
        <f t="shared" si="10"/>
        <v>1813462</v>
      </c>
      <c r="P62" s="110">
        <f t="shared" si="10"/>
        <v>1891694</v>
      </c>
      <c r="Q62" s="110">
        <f t="shared" si="10"/>
        <v>2146996</v>
      </c>
      <c r="R62" s="110">
        <f t="shared" si="10"/>
        <v>2012806</v>
      </c>
      <c r="S62" s="110">
        <f t="shared" si="10"/>
        <v>2213286</v>
      </c>
      <c r="T62" s="110">
        <f t="shared" si="10"/>
        <v>2272632</v>
      </c>
      <c r="U62" s="110">
        <f t="shared" si="10"/>
        <v>2256575</v>
      </c>
      <c r="V62" s="110">
        <f t="shared" si="10"/>
        <v>1731466</v>
      </c>
      <c r="W62" s="110">
        <f t="shared" ref="W62" si="11">SUM(W63:W68)</f>
        <v>1902265</v>
      </c>
      <c r="DA62" s="176" t="s">
        <v>839</v>
      </c>
    </row>
    <row r="63" spans="1:105" ht="11.45" customHeight="1" x14ac:dyDescent="0.25">
      <c r="A63" s="111" t="s">
        <v>110</v>
      </c>
      <c r="B63" s="84">
        <v>633322</v>
      </c>
      <c r="C63" s="84">
        <v>683228</v>
      </c>
      <c r="D63" s="84">
        <v>790270</v>
      </c>
      <c r="E63" s="84">
        <v>875874</v>
      </c>
      <c r="F63" s="84">
        <v>858661</v>
      </c>
      <c r="G63" s="84">
        <v>835205</v>
      </c>
      <c r="H63" s="84">
        <v>921766</v>
      </c>
      <c r="I63" s="84">
        <v>995035</v>
      </c>
      <c r="J63" s="84">
        <v>983871</v>
      </c>
      <c r="K63" s="84">
        <v>930296</v>
      </c>
      <c r="L63" s="84">
        <v>904405</v>
      </c>
      <c r="M63" s="84">
        <v>920622</v>
      </c>
      <c r="N63" s="84">
        <v>759778</v>
      </c>
      <c r="O63" s="84">
        <v>731361</v>
      </c>
      <c r="P63" s="84">
        <v>782236</v>
      </c>
      <c r="Q63" s="84">
        <v>914182</v>
      </c>
      <c r="R63" s="84">
        <v>653600</v>
      </c>
      <c r="S63" s="84">
        <v>740986</v>
      </c>
      <c r="T63" s="84">
        <v>836137</v>
      </c>
      <c r="U63" s="84">
        <v>1044926</v>
      </c>
      <c r="V63" s="84">
        <v>806720</v>
      </c>
      <c r="W63" s="84">
        <v>944969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149377</v>
      </c>
      <c r="F64" s="84">
        <v>793807</v>
      </c>
      <c r="G64" s="84">
        <v>871603</v>
      </c>
      <c r="H64" s="84">
        <v>1010891</v>
      </c>
      <c r="I64" s="84">
        <v>1046921</v>
      </c>
      <c r="J64" s="84">
        <v>943764</v>
      </c>
      <c r="K64" s="84">
        <v>866226</v>
      </c>
      <c r="L64" s="84">
        <v>919915</v>
      </c>
      <c r="M64" s="84">
        <v>1032882</v>
      </c>
      <c r="N64" s="84">
        <v>889132</v>
      </c>
      <c r="O64" s="84">
        <v>893770</v>
      </c>
      <c r="P64" s="84">
        <v>900685</v>
      </c>
      <c r="Q64" s="84">
        <v>1051574</v>
      </c>
      <c r="R64" s="84">
        <v>1213318</v>
      </c>
      <c r="S64" s="84">
        <v>1306639</v>
      </c>
      <c r="T64" s="84">
        <v>1200865</v>
      </c>
      <c r="U64" s="84">
        <v>1019344</v>
      </c>
      <c r="V64" s="84">
        <v>736837</v>
      </c>
      <c r="W64" s="84">
        <v>685105</v>
      </c>
      <c r="DA64" s="171" t="s">
        <v>841</v>
      </c>
    </row>
    <row r="65" spans="1:105" ht="11.45" customHeight="1" x14ac:dyDescent="0.25">
      <c r="A65" s="111" t="s">
        <v>112</v>
      </c>
      <c r="B65" s="84">
        <v>514880</v>
      </c>
      <c r="C65" s="84">
        <v>608</v>
      </c>
      <c r="D65" s="84">
        <v>0</v>
      </c>
      <c r="E65" s="84">
        <v>8220</v>
      </c>
      <c r="F65" s="84">
        <v>0</v>
      </c>
      <c r="G65" s="84">
        <v>67433</v>
      </c>
      <c r="H65" s="84">
        <v>14998</v>
      </c>
      <c r="I65" s="84">
        <v>17761</v>
      </c>
      <c r="J65" s="84">
        <v>52661</v>
      </c>
      <c r="K65" s="84">
        <v>291786</v>
      </c>
      <c r="L65" s="84">
        <v>268960</v>
      </c>
      <c r="M65" s="84">
        <v>52039</v>
      </c>
      <c r="N65" s="84">
        <v>120005</v>
      </c>
      <c r="O65" s="84">
        <v>110554</v>
      </c>
      <c r="P65" s="84">
        <v>120324</v>
      </c>
      <c r="Q65" s="84">
        <v>117863</v>
      </c>
      <c r="R65" s="84">
        <v>100214</v>
      </c>
      <c r="S65" s="84">
        <v>127650</v>
      </c>
      <c r="T65" s="84">
        <v>186713</v>
      </c>
      <c r="U65" s="84">
        <v>136887</v>
      </c>
      <c r="V65" s="84">
        <v>94738</v>
      </c>
      <c r="W65" s="84">
        <v>108090</v>
      </c>
      <c r="DA65" s="171" t="s">
        <v>842</v>
      </c>
    </row>
    <row r="66" spans="1:105" ht="11.45" customHeight="1" x14ac:dyDescent="0.25">
      <c r="A66" s="111" t="s">
        <v>113</v>
      </c>
      <c r="B66" s="84">
        <v>91002</v>
      </c>
      <c r="C66" s="84">
        <v>26953</v>
      </c>
      <c r="D66" s="84">
        <v>0</v>
      </c>
      <c r="E66" s="84">
        <v>2792</v>
      </c>
      <c r="F66" s="84">
        <v>0</v>
      </c>
      <c r="G66" s="84">
        <v>28789</v>
      </c>
      <c r="H66" s="84">
        <v>38625</v>
      </c>
      <c r="I66" s="84">
        <v>47986</v>
      </c>
      <c r="J66" s="84">
        <v>65791</v>
      </c>
      <c r="K66" s="84">
        <v>110254</v>
      </c>
      <c r="L66" s="84">
        <v>58385</v>
      </c>
      <c r="M66" s="84">
        <v>34862</v>
      </c>
      <c r="N66" s="84">
        <v>49900</v>
      </c>
      <c r="O66" s="84">
        <v>68552</v>
      </c>
      <c r="P66" s="84">
        <v>69596</v>
      </c>
      <c r="Q66" s="84">
        <v>61257</v>
      </c>
      <c r="R66" s="84">
        <v>43028</v>
      </c>
      <c r="S66" s="84">
        <v>32417</v>
      </c>
      <c r="T66" s="84">
        <v>39396</v>
      </c>
      <c r="U66" s="84">
        <v>38556</v>
      </c>
      <c r="V66" s="84">
        <v>32308</v>
      </c>
      <c r="W66" s="84">
        <v>31695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9022</v>
      </c>
      <c r="P67" s="84">
        <v>18034</v>
      </c>
      <c r="Q67" s="84">
        <v>872</v>
      </c>
      <c r="R67" s="84">
        <v>1355</v>
      </c>
      <c r="S67" s="84">
        <v>3698</v>
      </c>
      <c r="T67" s="84">
        <v>4595</v>
      </c>
      <c r="U67" s="84">
        <v>6230</v>
      </c>
      <c r="V67" s="84">
        <v>28387</v>
      </c>
      <c r="W67" s="84">
        <v>63228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203</v>
      </c>
      <c r="P68" s="84">
        <v>819</v>
      </c>
      <c r="Q68" s="84">
        <v>1248</v>
      </c>
      <c r="R68" s="84">
        <v>1291</v>
      </c>
      <c r="S68" s="84">
        <v>1896</v>
      </c>
      <c r="T68" s="84">
        <v>4926</v>
      </c>
      <c r="U68" s="84">
        <v>10632</v>
      </c>
      <c r="V68" s="84">
        <v>32476</v>
      </c>
      <c r="W68" s="84">
        <v>69178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632</v>
      </c>
      <c r="E69" s="110">
        <f t="shared" si="12"/>
        <v>2590</v>
      </c>
      <c r="F69" s="110">
        <f t="shared" si="12"/>
        <v>3065</v>
      </c>
      <c r="G69" s="110">
        <f t="shared" si="12"/>
        <v>4189</v>
      </c>
      <c r="H69" s="110">
        <f t="shared" si="12"/>
        <v>4766</v>
      </c>
      <c r="I69" s="110">
        <f t="shared" si="12"/>
        <v>4446</v>
      </c>
      <c r="J69" s="110">
        <f t="shared" si="12"/>
        <v>5262</v>
      </c>
      <c r="K69" s="110">
        <f t="shared" si="12"/>
        <v>4704</v>
      </c>
      <c r="L69" s="110">
        <f t="shared" ref="L69" si="13">SUM(L70:L74)</f>
        <v>4770</v>
      </c>
      <c r="M69" s="110">
        <f t="shared" ref="M69:V69" si="14">SUM(M70:M74)</f>
        <v>6096</v>
      </c>
      <c r="N69" s="110">
        <f t="shared" si="14"/>
        <v>3407</v>
      </c>
      <c r="O69" s="110">
        <f t="shared" si="14"/>
        <v>4242</v>
      </c>
      <c r="P69" s="110">
        <f t="shared" si="14"/>
        <v>5414</v>
      </c>
      <c r="Q69" s="110">
        <f t="shared" si="14"/>
        <v>5525</v>
      </c>
      <c r="R69" s="110">
        <f t="shared" si="14"/>
        <v>4866</v>
      </c>
      <c r="S69" s="110">
        <f t="shared" si="14"/>
        <v>6579</v>
      </c>
      <c r="T69" s="110">
        <f t="shared" si="14"/>
        <v>6621</v>
      </c>
      <c r="U69" s="110">
        <f t="shared" si="14"/>
        <v>6120</v>
      </c>
      <c r="V69" s="110">
        <f t="shared" si="14"/>
        <v>5901</v>
      </c>
      <c r="W69" s="110">
        <f t="shared" ref="W69" si="15">SUM(W70:W74)</f>
        <v>6939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8</v>
      </c>
      <c r="M70" s="102">
        <v>8</v>
      </c>
      <c r="N70" s="102">
        <v>4</v>
      </c>
      <c r="O70" s="102">
        <v>447</v>
      </c>
      <c r="P70" s="102">
        <v>3</v>
      </c>
      <c r="Q70" s="102">
        <v>1</v>
      </c>
      <c r="R70" s="102">
        <v>0</v>
      </c>
      <c r="S70" s="102">
        <v>2</v>
      </c>
      <c r="T70" s="102">
        <v>0</v>
      </c>
      <c r="U70" s="102">
        <v>480</v>
      </c>
      <c r="V70" s="102">
        <v>17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632</v>
      </c>
      <c r="E71" s="102">
        <v>2506</v>
      </c>
      <c r="F71" s="102">
        <v>3023</v>
      </c>
      <c r="G71" s="102">
        <v>3898</v>
      </c>
      <c r="H71" s="102">
        <v>4299</v>
      </c>
      <c r="I71" s="102">
        <v>4061</v>
      </c>
      <c r="J71" s="102">
        <v>4826</v>
      </c>
      <c r="K71" s="102">
        <v>4344</v>
      </c>
      <c r="L71" s="102">
        <v>4488</v>
      </c>
      <c r="M71" s="102">
        <v>5848</v>
      </c>
      <c r="N71" s="102">
        <v>3199</v>
      </c>
      <c r="O71" s="102">
        <v>3396</v>
      </c>
      <c r="P71" s="102">
        <v>5411</v>
      </c>
      <c r="Q71" s="102">
        <v>5524</v>
      </c>
      <c r="R71" s="102">
        <v>4750</v>
      </c>
      <c r="S71" s="102">
        <v>5718</v>
      </c>
      <c r="T71" s="102">
        <v>6111</v>
      </c>
      <c r="U71" s="102">
        <v>5167</v>
      </c>
      <c r="V71" s="102">
        <v>5657</v>
      </c>
      <c r="W71" s="102">
        <v>6344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3</v>
      </c>
      <c r="F72" s="102">
        <v>23</v>
      </c>
      <c r="G72" s="102">
        <v>32</v>
      </c>
      <c r="H72" s="102">
        <v>14</v>
      </c>
      <c r="I72" s="102">
        <v>28</v>
      </c>
      <c r="J72" s="102">
        <v>37</v>
      </c>
      <c r="K72" s="102">
        <v>85</v>
      </c>
      <c r="L72" s="102">
        <v>2</v>
      </c>
      <c r="M72" s="102">
        <v>0</v>
      </c>
      <c r="N72" s="102">
        <v>0</v>
      </c>
      <c r="O72" s="102">
        <v>1</v>
      </c>
      <c r="P72" s="102">
        <v>0</v>
      </c>
      <c r="Q72" s="102">
        <v>0</v>
      </c>
      <c r="R72" s="102">
        <v>0</v>
      </c>
      <c r="S72" s="102">
        <v>0</v>
      </c>
      <c r="T72" s="102">
        <v>40</v>
      </c>
      <c r="U72" s="102">
        <v>0</v>
      </c>
      <c r="V72" s="102">
        <v>6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81</v>
      </c>
      <c r="F73" s="102">
        <v>19</v>
      </c>
      <c r="G73" s="102">
        <v>259</v>
      </c>
      <c r="H73" s="102">
        <v>453</v>
      </c>
      <c r="I73" s="102">
        <v>357</v>
      </c>
      <c r="J73" s="102">
        <v>399</v>
      </c>
      <c r="K73" s="102">
        <v>275</v>
      </c>
      <c r="L73" s="102">
        <v>272</v>
      </c>
      <c r="M73" s="102">
        <v>240</v>
      </c>
      <c r="N73" s="102">
        <v>204</v>
      </c>
      <c r="O73" s="102">
        <v>99</v>
      </c>
      <c r="P73" s="102">
        <v>0</v>
      </c>
      <c r="Q73" s="102">
        <v>0</v>
      </c>
      <c r="R73" s="102">
        <v>116</v>
      </c>
      <c r="S73" s="102">
        <v>859</v>
      </c>
      <c r="T73" s="102">
        <v>410</v>
      </c>
      <c r="U73" s="102">
        <v>406</v>
      </c>
      <c r="V73" s="102">
        <v>167</v>
      </c>
      <c r="W73" s="102">
        <v>330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299</v>
      </c>
      <c r="P74" s="102">
        <v>0</v>
      </c>
      <c r="Q74" s="102">
        <v>0</v>
      </c>
      <c r="R74" s="102">
        <v>0</v>
      </c>
      <c r="S74" s="102">
        <v>0</v>
      </c>
      <c r="T74" s="102">
        <v>60</v>
      </c>
      <c r="U74" s="102">
        <v>67</v>
      </c>
      <c r="V74" s="102">
        <v>54</v>
      </c>
      <c r="W74" s="102">
        <v>264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36163</v>
      </c>
      <c r="D75" s="28">
        <f t="shared" si="16"/>
        <v>79174</v>
      </c>
      <c r="E75" s="28">
        <f t="shared" si="16"/>
        <v>91105</v>
      </c>
      <c r="F75" s="28">
        <f t="shared" si="16"/>
        <v>85727</v>
      </c>
      <c r="G75" s="28">
        <f t="shared" si="16"/>
        <v>156327</v>
      </c>
      <c r="H75" s="28">
        <f t="shared" si="16"/>
        <v>182987</v>
      </c>
      <c r="I75" s="28">
        <f t="shared" si="16"/>
        <v>200619</v>
      </c>
      <c r="J75" s="28">
        <f t="shared" si="16"/>
        <v>198053</v>
      </c>
      <c r="K75" s="28">
        <f t="shared" si="16"/>
        <v>214965</v>
      </c>
      <c r="L75" s="28">
        <f t="shared" ref="L75" si="17">L76+L82</f>
        <v>244835</v>
      </c>
      <c r="M75" s="28">
        <f t="shared" ref="M75:V75" si="18">M76+M82</f>
        <v>266704</v>
      </c>
      <c r="N75" s="28">
        <f t="shared" si="18"/>
        <v>265691</v>
      </c>
      <c r="O75" s="28">
        <f t="shared" si="18"/>
        <v>251223</v>
      </c>
      <c r="P75" s="28">
        <f t="shared" si="18"/>
        <v>297237</v>
      </c>
      <c r="Q75" s="28">
        <f t="shared" si="18"/>
        <v>334291</v>
      </c>
      <c r="R75" s="28">
        <f t="shared" si="18"/>
        <v>346310</v>
      </c>
      <c r="S75" s="28">
        <f t="shared" si="18"/>
        <v>367652</v>
      </c>
      <c r="T75" s="28">
        <f t="shared" si="18"/>
        <v>383757</v>
      </c>
      <c r="U75" s="28">
        <f t="shared" si="18"/>
        <v>391561</v>
      </c>
      <c r="V75" s="28">
        <f t="shared" si="18"/>
        <v>310257</v>
      </c>
      <c r="W75" s="28">
        <f t="shared" ref="W75" si="19">W76+W82</f>
        <v>390863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36163</v>
      </c>
      <c r="D76" s="137">
        <f t="shared" si="20"/>
        <v>79174</v>
      </c>
      <c r="E76" s="137">
        <f t="shared" si="20"/>
        <v>91105</v>
      </c>
      <c r="F76" s="137">
        <f t="shared" si="20"/>
        <v>75292</v>
      </c>
      <c r="G76" s="137">
        <f t="shared" si="20"/>
        <v>131905</v>
      </c>
      <c r="H76" s="137">
        <f t="shared" si="20"/>
        <v>152652</v>
      </c>
      <c r="I76" s="137">
        <f t="shared" si="20"/>
        <v>164456</v>
      </c>
      <c r="J76" s="137">
        <f t="shared" si="20"/>
        <v>157606</v>
      </c>
      <c r="K76" s="137">
        <f t="shared" si="20"/>
        <v>171725</v>
      </c>
      <c r="L76" s="137">
        <f t="shared" ref="L76" si="21">SUM(L77:L81)</f>
        <v>198286</v>
      </c>
      <c r="M76" s="137">
        <f t="shared" ref="M76:V76" si="22">SUM(M77:M81)</f>
        <v>213434</v>
      </c>
      <c r="N76" s="137">
        <f t="shared" si="22"/>
        <v>220676</v>
      </c>
      <c r="O76" s="137">
        <f t="shared" si="22"/>
        <v>203181</v>
      </c>
      <c r="P76" s="137">
        <f t="shared" si="22"/>
        <v>239995</v>
      </c>
      <c r="Q76" s="137">
        <f t="shared" si="22"/>
        <v>269966</v>
      </c>
      <c r="R76" s="137">
        <f t="shared" si="22"/>
        <v>334554</v>
      </c>
      <c r="S76" s="137">
        <f t="shared" si="22"/>
        <v>333335</v>
      </c>
      <c r="T76" s="137">
        <f t="shared" si="22"/>
        <v>316555</v>
      </c>
      <c r="U76" s="137">
        <f t="shared" si="22"/>
        <v>329131</v>
      </c>
      <c r="V76" s="137">
        <f t="shared" si="22"/>
        <v>300099</v>
      </c>
      <c r="W76" s="137">
        <f t="shared" ref="W76" si="23">SUM(W77:W81)</f>
        <v>331499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3253</v>
      </c>
      <c r="E77" s="84">
        <v>4961</v>
      </c>
      <c r="F77" s="84">
        <v>4028</v>
      </c>
      <c r="G77" s="84">
        <v>8293</v>
      </c>
      <c r="H77" s="84">
        <v>10008</v>
      </c>
      <c r="I77" s="84">
        <v>0</v>
      </c>
      <c r="J77" s="84">
        <v>5238</v>
      </c>
      <c r="K77" s="84">
        <v>3807</v>
      </c>
      <c r="L77" s="84">
        <v>3531</v>
      </c>
      <c r="M77" s="84">
        <v>12366</v>
      </c>
      <c r="N77" s="84">
        <v>5116</v>
      </c>
      <c r="O77" s="84">
        <v>10394</v>
      </c>
      <c r="P77" s="84">
        <v>12698</v>
      </c>
      <c r="Q77" s="84">
        <v>10693</v>
      </c>
      <c r="R77" s="84">
        <v>11426</v>
      </c>
      <c r="S77" s="84">
        <v>9128</v>
      </c>
      <c r="T77" s="84">
        <v>12099</v>
      </c>
      <c r="U77" s="84">
        <v>18018</v>
      </c>
      <c r="V77" s="84">
        <v>15595</v>
      </c>
      <c r="W77" s="84">
        <v>29112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36163</v>
      </c>
      <c r="D78" s="84">
        <v>75921</v>
      </c>
      <c r="E78" s="84">
        <v>85784</v>
      </c>
      <c r="F78" s="84">
        <v>70416</v>
      </c>
      <c r="G78" s="84">
        <v>122283</v>
      </c>
      <c r="H78" s="84">
        <v>140928</v>
      </c>
      <c r="I78" s="84">
        <v>164038</v>
      </c>
      <c r="J78" s="84">
        <v>147363</v>
      </c>
      <c r="K78" s="84">
        <v>156526</v>
      </c>
      <c r="L78" s="84">
        <v>174908</v>
      </c>
      <c r="M78" s="84">
        <v>194928</v>
      </c>
      <c r="N78" s="84">
        <v>189773</v>
      </c>
      <c r="O78" s="84">
        <v>183694</v>
      </c>
      <c r="P78" s="84">
        <v>218538</v>
      </c>
      <c r="Q78" s="84">
        <v>250357</v>
      </c>
      <c r="R78" s="84">
        <v>312704</v>
      </c>
      <c r="S78" s="84">
        <v>316678</v>
      </c>
      <c r="T78" s="84">
        <v>294667</v>
      </c>
      <c r="U78" s="84">
        <v>298711</v>
      </c>
      <c r="V78" s="84">
        <v>276311</v>
      </c>
      <c r="W78" s="84">
        <v>289902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309</v>
      </c>
      <c r="K79" s="84">
        <v>3239</v>
      </c>
      <c r="L79" s="84">
        <v>3793</v>
      </c>
      <c r="M79" s="84">
        <v>2246</v>
      </c>
      <c r="N79" s="84">
        <v>7471</v>
      </c>
      <c r="O79" s="84">
        <v>3269</v>
      </c>
      <c r="P79" s="84">
        <v>3695</v>
      </c>
      <c r="Q79" s="84">
        <v>3643</v>
      </c>
      <c r="R79" s="84">
        <v>2918</v>
      </c>
      <c r="S79" s="84">
        <v>3127</v>
      </c>
      <c r="T79" s="84">
        <v>4065</v>
      </c>
      <c r="U79" s="84">
        <v>3787</v>
      </c>
      <c r="V79" s="84">
        <v>2391</v>
      </c>
      <c r="W79" s="84">
        <v>5151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360</v>
      </c>
      <c r="F80" s="84">
        <v>848</v>
      </c>
      <c r="G80" s="84">
        <v>1329</v>
      </c>
      <c r="H80" s="84">
        <v>1716</v>
      </c>
      <c r="I80" s="84">
        <v>418</v>
      </c>
      <c r="J80" s="84">
        <v>4696</v>
      </c>
      <c r="K80" s="84">
        <v>8153</v>
      </c>
      <c r="L80" s="84">
        <v>16054</v>
      </c>
      <c r="M80" s="84">
        <v>3894</v>
      </c>
      <c r="N80" s="84">
        <v>18316</v>
      </c>
      <c r="O80" s="84">
        <v>5824</v>
      </c>
      <c r="P80" s="84">
        <v>5050</v>
      </c>
      <c r="Q80" s="84">
        <v>4852</v>
      </c>
      <c r="R80" s="84">
        <v>6844</v>
      </c>
      <c r="S80" s="84">
        <v>3900</v>
      </c>
      <c r="T80" s="84">
        <v>4888</v>
      </c>
      <c r="U80" s="84">
        <v>6282</v>
      </c>
      <c r="V80" s="84">
        <v>4691</v>
      </c>
      <c r="W80" s="84">
        <v>3772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14</v>
      </c>
      <c r="Q81" s="84">
        <v>421</v>
      </c>
      <c r="R81" s="84">
        <v>662</v>
      </c>
      <c r="S81" s="84">
        <v>502</v>
      </c>
      <c r="T81" s="84">
        <v>836</v>
      </c>
      <c r="U81" s="84">
        <v>2333</v>
      </c>
      <c r="V81" s="84">
        <v>1111</v>
      </c>
      <c r="W81" s="84">
        <v>3562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10435</v>
      </c>
      <c r="G82" s="110">
        <f t="shared" si="24"/>
        <v>24422</v>
      </c>
      <c r="H82" s="110">
        <f t="shared" si="24"/>
        <v>30335</v>
      </c>
      <c r="I82" s="110">
        <f t="shared" si="24"/>
        <v>36163</v>
      </c>
      <c r="J82" s="110">
        <f t="shared" si="24"/>
        <v>40447</v>
      </c>
      <c r="K82" s="110">
        <f t="shared" si="24"/>
        <v>43240</v>
      </c>
      <c r="L82" s="110">
        <f t="shared" ref="L82" si="25">SUM(L83:L84)</f>
        <v>46549</v>
      </c>
      <c r="M82" s="110">
        <f t="shared" ref="M82:V82" si="26">SUM(M83:M84)</f>
        <v>53270</v>
      </c>
      <c r="N82" s="110">
        <f t="shared" si="26"/>
        <v>45015</v>
      </c>
      <c r="O82" s="110">
        <f t="shared" si="26"/>
        <v>48042</v>
      </c>
      <c r="P82" s="110">
        <f t="shared" si="26"/>
        <v>57242</v>
      </c>
      <c r="Q82" s="110">
        <f t="shared" si="26"/>
        <v>64325</v>
      </c>
      <c r="R82" s="110">
        <f t="shared" si="26"/>
        <v>11756</v>
      </c>
      <c r="S82" s="110">
        <f t="shared" si="26"/>
        <v>34317</v>
      </c>
      <c r="T82" s="110">
        <f t="shared" si="26"/>
        <v>67202</v>
      </c>
      <c r="U82" s="110">
        <f t="shared" si="26"/>
        <v>62430</v>
      </c>
      <c r="V82" s="110">
        <f t="shared" si="26"/>
        <v>10158</v>
      </c>
      <c r="W82" s="110">
        <f t="shared" ref="W82" si="27">SUM(W83:W84)</f>
        <v>59364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10435</v>
      </c>
      <c r="G83" s="102">
        <v>24422</v>
      </c>
      <c r="H83" s="102">
        <v>30335</v>
      </c>
      <c r="I83" s="102">
        <v>36163</v>
      </c>
      <c r="J83" s="102">
        <v>40447</v>
      </c>
      <c r="K83" s="102">
        <v>43240</v>
      </c>
      <c r="L83" s="102">
        <v>46549</v>
      </c>
      <c r="M83" s="102">
        <v>53270</v>
      </c>
      <c r="N83" s="102">
        <v>44346</v>
      </c>
      <c r="O83" s="102">
        <v>44800</v>
      </c>
      <c r="P83" s="102">
        <v>54553</v>
      </c>
      <c r="Q83" s="102">
        <v>62261</v>
      </c>
      <c r="R83" s="102">
        <v>8154</v>
      </c>
      <c r="S83" s="102">
        <v>29215</v>
      </c>
      <c r="T83" s="102">
        <v>65224</v>
      </c>
      <c r="U83" s="102">
        <v>58421</v>
      </c>
      <c r="V83" s="102">
        <v>7465</v>
      </c>
      <c r="W83" s="102">
        <v>52451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669</v>
      </c>
      <c r="O84" s="86">
        <v>3242</v>
      </c>
      <c r="P84" s="86">
        <v>2689</v>
      </c>
      <c r="Q84" s="86">
        <v>2064</v>
      </c>
      <c r="R84" s="86">
        <v>3602</v>
      </c>
      <c r="S84" s="86">
        <v>5102</v>
      </c>
      <c r="T84" s="86">
        <v>1978</v>
      </c>
      <c r="U84" s="86">
        <v>4009</v>
      </c>
      <c r="V84" s="86">
        <v>2693</v>
      </c>
      <c r="W84" s="86">
        <v>6913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3.7372974731773136</v>
      </c>
      <c r="C90" s="141">
        <v>3.6806526575659975</v>
      </c>
      <c r="D90" s="141">
        <v>3.6340096567878915</v>
      </c>
      <c r="E90" s="141">
        <v>3.5799685936639807</v>
      </c>
      <c r="F90" s="141">
        <v>3.5346075406705699</v>
      </c>
      <c r="G90" s="141">
        <v>3.4886564971346661</v>
      </c>
      <c r="H90" s="141">
        <v>3.4333330221476337</v>
      </c>
      <c r="I90" s="141">
        <v>3.3700151047138163</v>
      </c>
      <c r="J90" s="141">
        <v>3.3029338492850324</v>
      </c>
      <c r="K90" s="141">
        <v>3.2164422192288895</v>
      </c>
      <c r="L90" s="141">
        <v>3.1641630272316319</v>
      </c>
      <c r="M90" s="141">
        <v>3.1081376549667969</v>
      </c>
      <c r="N90" s="141">
        <v>3.0199097557298242</v>
      </c>
      <c r="O90" s="141">
        <v>2.9749827617259559</v>
      </c>
      <c r="P90" s="141">
        <v>2.8918069484106566</v>
      </c>
      <c r="Q90" s="141">
        <v>2.8600524048313667</v>
      </c>
      <c r="R90" s="141">
        <v>2.8187889677466855</v>
      </c>
      <c r="S90" s="141">
        <v>2.7904658233280428</v>
      </c>
      <c r="T90" s="141">
        <v>2.7581330850992889</v>
      </c>
      <c r="U90" s="141">
        <v>2.7228380056348134</v>
      </c>
      <c r="V90" s="141">
        <v>2.693363141247064</v>
      </c>
      <c r="W90" s="141">
        <v>2.4180216421355905</v>
      </c>
      <c r="DA90" s="174" t="s">
        <v>862</v>
      </c>
    </row>
    <row r="91" spans="1:105" ht="11.45" customHeight="1" x14ac:dyDescent="0.25">
      <c r="A91" s="109" t="s">
        <v>20</v>
      </c>
      <c r="B91" s="130">
        <v>7.4520783740518599</v>
      </c>
      <c r="C91" s="130">
        <v>7.277124560490206</v>
      </c>
      <c r="D91" s="130">
        <v>7.204005742944088</v>
      </c>
      <c r="E91" s="130">
        <v>7.1163368434402017</v>
      </c>
      <c r="F91" s="130">
        <v>7.0063325092185442</v>
      </c>
      <c r="G91" s="130">
        <v>6.9179305935073598</v>
      </c>
      <c r="H91" s="130">
        <v>6.8293378043370057</v>
      </c>
      <c r="I91" s="130">
        <v>6.7380436357644644</v>
      </c>
      <c r="J91" s="130">
        <v>6.6550016560628658</v>
      </c>
      <c r="K91" s="130">
        <v>6.5639693286332479</v>
      </c>
      <c r="L91" s="130">
        <v>6.4841193049812418</v>
      </c>
      <c r="M91" s="130">
        <v>6.3954173574482978</v>
      </c>
      <c r="N91" s="130">
        <v>6.348100076019163</v>
      </c>
      <c r="O91" s="130">
        <v>6.2740172650734927</v>
      </c>
      <c r="P91" s="130">
        <v>6.1937559773418425</v>
      </c>
      <c r="Q91" s="130">
        <v>6.1019209566596517</v>
      </c>
      <c r="R91" s="130">
        <v>6.0231165065906351</v>
      </c>
      <c r="S91" s="130">
        <v>5.9199840209749066</v>
      </c>
      <c r="T91" s="130">
        <v>5.8196523447290813</v>
      </c>
      <c r="U91" s="130">
        <v>5.7484119686607693</v>
      </c>
      <c r="V91" s="130">
        <v>5.6883630802005074</v>
      </c>
      <c r="W91" s="130">
        <v>5.610128697203657</v>
      </c>
      <c r="DA91" s="176" t="s">
        <v>863</v>
      </c>
    </row>
    <row r="92" spans="1:105" ht="11.45" customHeight="1" x14ac:dyDescent="0.25">
      <c r="A92" s="111" t="s">
        <v>110</v>
      </c>
      <c r="B92" s="96">
        <v>7.4096270936039161</v>
      </c>
      <c r="C92" s="96">
        <v>7.2285254797618785</v>
      </c>
      <c r="D92" s="96">
        <v>7.1422257653793748</v>
      </c>
      <c r="E92" s="96">
        <v>7.0528615507924295</v>
      </c>
      <c r="F92" s="96">
        <v>6.9624241861896534</v>
      </c>
      <c r="G92" s="96">
        <v>6.8825940654027233</v>
      </c>
      <c r="H92" s="96">
        <v>6.7967939079982163</v>
      </c>
      <c r="I92" s="96">
        <v>6.7000957334504703</v>
      </c>
      <c r="J92" s="96">
        <v>6.6110463449575541</v>
      </c>
      <c r="K92" s="96">
        <v>6.5122615256503993</v>
      </c>
      <c r="L92" s="96">
        <v>6.4266331844422666</v>
      </c>
      <c r="M92" s="96">
        <v>6.3225061692356856</v>
      </c>
      <c r="N92" s="96">
        <v>6.2758063057622469</v>
      </c>
      <c r="O92" s="96">
        <v>6.1984233415368077</v>
      </c>
      <c r="P92" s="96">
        <v>6.1123793657120808</v>
      </c>
      <c r="Q92" s="96">
        <v>6.0034393222752733</v>
      </c>
      <c r="R92" s="96">
        <v>5.9440694429931922</v>
      </c>
      <c r="S92" s="96">
        <v>5.8464849774925636</v>
      </c>
      <c r="T92" s="96">
        <v>5.7335576608302263</v>
      </c>
      <c r="U92" s="96">
        <v>5.6567446159895436</v>
      </c>
      <c r="V92" s="96">
        <v>5.5820901550662905</v>
      </c>
      <c r="W92" s="96">
        <v>5.4834266297034135</v>
      </c>
      <c r="DA92" s="171" t="s">
        <v>864</v>
      </c>
    </row>
    <row r="93" spans="1:105" ht="11.45" customHeight="1" x14ac:dyDescent="0.25">
      <c r="A93" s="111" t="s">
        <v>111</v>
      </c>
      <c r="B93" s="96">
        <v>7.8019806449702438</v>
      </c>
      <c r="C93" s="96">
        <v>7.2687537734534828</v>
      </c>
      <c r="D93" s="96">
        <v>7.1533463875479519</v>
      </c>
      <c r="E93" s="96">
        <v>7.017948208297998</v>
      </c>
      <c r="F93" s="96">
        <v>6.84903262883227</v>
      </c>
      <c r="G93" s="96">
        <v>6.7452102544256043</v>
      </c>
      <c r="H93" s="96">
        <v>6.6574496534470278</v>
      </c>
      <c r="I93" s="96">
        <v>6.592039570343994</v>
      </c>
      <c r="J93" s="96">
        <v>6.5380403738356856</v>
      </c>
      <c r="K93" s="96">
        <v>6.4903820988765633</v>
      </c>
      <c r="L93" s="96">
        <v>6.4361774870008439</v>
      </c>
      <c r="M93" s="96">
        <v>6.3614277003008244</v>
      </c>
      <c r="N93" s="96">
        <v>6.2997460369777905</v>
      </c>
      <c r="O93" s="96">
        <v>6.2286524277703359</v>
      </c>
      <c r="P93" s="96">
        <v>6.1473270939084932</v>
      </c>
      <c r="Q93" s="96">
        <v>6.052898254021116</v>
      </c>
      <c r="R93" s="96">
        <v>5.9165590345945365</v>
      </c>
      <c r="S93" s="96">
        <v>5.7817967900675145</v>
      </c>
      <c r="T93" s="96">
        <v>5.6864719344797559</v>
      </c>
      <c r="U93" s="96">
        <v>5.6001360931448998</v>
      </c>
      <c r="V93" s="96">
        <v>5.5452536088440718</v>
      </c>
      <c r="W93" s="96">
        <v>5.4850511453691944</v>
      </c>
      <c r="DA93" s="171" t="s">
        <v>865</v>
      </c>
    </row>
    <row r="94" spans="1:105" ht="11.45" customHeight="1" x14ac:dyDescent="0.25">
      <c r="A94" s="111" t="s">
        <v>112</v>
      </c>
      <c r="B94" s="96">
        <v>6.8184247654409837</v>
      </c>
      <c r="C94" s="96">
        <v>6.8177029671114528</v>
      </c>
      <c r="D94" s="96">
        <v>6.81766006745646</v>
      </c>
      <c r="E94" s="96">
        <v>6.8063655485027468</v>
      </c>
      <c r="F94" s="96">
        <v>6.8060954412219061</v>
      </c>
      <c r="G94" s="96">
        <v>6.7063458882935656</v>
      </c>
      <c r="H94" s="96">
        <v>6.6875975407350978</v>
      </c>
      <c r="I94" s="96">
        <v>6.6603218815577403</v>
      </c>
      <c r="J94" s="96">
        <v>6.5730856026347881</v>
      </c>
      <c r="K94" s="96">
        <v>6.2031118601414263</v>
      </c>
      <c r="L94" s="96">
        <v>5.9879373757852212</v>
      </c>
      <c r="M94" s="96">
        <v>5.9480355987338935</v>
      </c>
      <c r="N94" s="96">
        <v>5.8569094273003186</v>
      </c>
      <c r="O94" s="96">
        <v>5.7809641619631638</v>
      </c>
      <c r="P94" s="96">
        <v>5.7130671725637896</v>
      </c>
      <c r="Q94" s="96">
        <v>5.653888455286606</v>
      </c>
      <c r="R94" s="96">
        <v>5.6059200520524337</v>
      </c>
      <c r="S94" s="96">
        <v>5.5555072964635777</v>
      </c>
      <c r="T94" s="96">
        <v>5.5139773923949562</v>
      </c>
      <c r="U94" s="96">
        <v>5.492276206864469</v>
      </c>
      <c r="V94" s="96">
        <v>5.4355495243666256</v>
      </c>
      <c r="W94" s="96">
        <v>5.3692670181240789</v>
      </c>
      <c r="DA94" s="171" t="s">
        <v>866</v>
      </c>
    </row>
    <row r="95" spans="1:105" ht="11.45" customHeight="1" x14ac:dyDescent="0.25">
      <c r="A95" s="111" t="s">
        <v>113</v>
      </c>
      <c r="B95" s="96">
        <v>8.7613869052001512</v>
      </c>
      <c r="C95" s="96">
        <v>8.5642943654342467</v>
      </c>
      <c r="D95" s="96">
        <v>8.5642943654342467</v>
      </c>
      <c r="E95" s="96">
        <v>8.5427348571518511</v>
      </c>
      <c r="F95" s="96">
        <v>8.5304672769919918</v>
      </c>
      <c r="G95" s="96">
        <v>8.3774790452752903</v>
      </c>
      <c r="H95" s="96">
        <v>8.2149966898840052</v>
      </c>
      <c r="I95" s="96">
        <v>8.0248990768196808</v>
      </c>
      <c r="J95" s="96">
        <v>7.8080240504983083</v>
      </c>
      <c r="K95" s="96">
        <v>7.4961772160158171</v>
      </c>
      <c r="L95" s="96">
        <v>7.3480005126666983</v>
      </c>
      <c r="M95" s="96">
        <v>7.2395045257237687</v>
      </c>
      <c r="N95" s="96">
        <v>7.1042246888238934</v>
      </c>
      <c r="O95" s="96">
        <v>6.8712250394209944</v>
      </c>
      <c r="P95" s="96">
        <v>6.6687186303063184</v>
      </c>
      <c r="Q95" s="96">
        <v>6.5254484667543124</v>
      </c>
      <c r="R95" s="96">
        <v>6.4331933066891507</v>
      </c>
      <c r="S95" s="96">
        <v>6.3704759456279332</v>
      </c>
      <c r="T95" s="96">
        <v>6.2929924889570259</v>
      </c>
      <c r="U95" s="96">
        <v>6.1980617952022543</v>
      </c>
      <c r="V95" s="96">
        <v>6.1115579854611735</v>
      </c>
      <c r="W95" s="96">
        <v>6.0045048515186163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4.5018593793819148</v>
      </c>
      <c r="O96" s="96">
        <v>5.0019260748622445</v>
      </c>
      <c r="P96" s="96">
        <v>4.9732777329238571</v>
      </c>
      <c r="Q96" s="96">
        <v>4.9314208883670192</v>
      </c>
      <c r="R96" s="96">
        <v>4.8575290773251858</v>
      </c>
      <c r="S96" s="96">
        <v>4.804518137999815</v>
      </c>
      <c r="T96" s="96">
        <v>4.6655687223990201</v>
      </c>
      <c r="U96" s="96">
        <v>4.515468418772187</v>
      </c>
      <c r="V96" s="96">
        <v>3.8861087202123974</v>
      </c>
      <c r="W96" s="96">
        <v>3.4329942628422132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1.3047135028115466</v>
      </c>
      <c r="M97" s="96">
        <v>1.3047135028115466</v>
      </c>
      <c r="N97" s="96">
        <v>1.297642729207364</v>
      </c>
      <c r="O97" s="96">
        <v>1.2918917927009232</v>
      </c>
      <c r="P97" s="96">
        <v>1.2812411664032222</v>
      </c>
      <c r="Q97" s="96">
        <v>1.2533821964338367</v>
      </c>
      <c r="R97" s="96">
        <v>1.2351552060474289</v>
      </c>
      <c r="S97" s="96">
        <v>1.2166287779875788</v>
      </c>
      <c r="T97" s="96">
        <v>1.2010266567597374</v>
      </c>
      <c r="U97" s="96">
        <v>1.30973102752676</v>
      </c>
      <c r="V97" s="96">
        <v>1.3801674706565199</v>
      </c>
      <c r="W97" s="96">
        <v>1.3872368975643437</v>
      </c>
      <c r="DA97" s="171" t="s">
        <v>869</v>
      </c>
    </row>
    <row r="98" spans="1:105" ht="11.45" customHeight="1" x14ac:dyDescent="0.25">
      <c r="A98" s="109" t="s">
        <v>21</v>
      </c>
      <c r="B98" s="130">
        <v>50.635374079191784</v>
      </c>
      <c r="C98" s="130">
        <v>49.919999904383587</v>
      </c>
      <c r="D98" s="130">
        <v>49.472048979783239</v>
      </c>
      <c r="E98" s="130">
        <v>49.049059786282051</v>
      </c>
      <c r="F98" s="130">
        <v>48.660058507335926</v>
      </c>
      <c r="G98" s="130">
        <v>48.18645293009029</v>
      </c>
      <c r="H98" s="130">
        <v>47.702726198409593</v>
      </c>
      <c r="I98" s="130">
        <v>47.358040628098799</v>
      </c>
      <c r="J98" s="130">
        <v>46.881742879358853</v>
      </c>
      <c r="K98" s="130">
        <v>46.416304211222609</v>
      </c>
      <c r="L98" s="130">
        <v>46.018080487294057</v>
      </c>
      <c r="M98" s="130">
        <v>45.613689496273309</v>
      </c>
      <c r="N98" s="130">
        <v>45.320014274059233</v>
      </c>
      <c r="O98" s="130">
        <v>44.894426952491948</v>
      </c>
      <c r="P98" s="130">
        <v>44.712518230120381</v>
      </c>
      <c r="Q98" s="130">
        <v>44.522354239597874</v>
      </c>
      <c r="R98" s="130">
        <v>44.359998185434335</v>
      </c>
      <c r="S98" s="130">
        <v>44.155177303723733</v>
      </c>
      <c r="T98" s="130">
        <v>43.916749842787091</v>
      </c>
      <c r="U98" s="130">
        <v>43.508599203813738</v>
      </c>
      <c r="V98" s="130">
        <v>43.27740518321896</v>
      </c>
      <c r="W98" s="130">
        <v>43.111338108463983</v>
      </c>
      <c r="DA98" s="176" t="s">
        <v>870</v>
      </c>
    </row>
    <row r="99" spans="1:105" ht="11.45" customHeight="1" x14ac:dyDescent="0.25">
      <c r="A99" s="111" t="s">
        <v>110</v>
      </c>
      <c r="B99" s="97">
        <v>15.387102364188721</v>
      </c>
      <c r="C99" s="97">
        <v>15.387102364188722</v>
      </c>
      <c r="D99" s="97">
        <v>15.387102364188724</v>
      </c>
      <c r="E99" s="97">
        <v>15.387102364188722</v>
      </c>
      <c r="F99" s="97">
        <v>15.387102364188721</v>
      </c>
      <c r="G99" s="97">
        <v>15.387102364188721</v>
      </c>
      <c r="H99" s="97">
        <v>15.387102364188721</v>
      </c>
      <c r="I99" s="97">
        <v>15.304833410586044</v>
      </c>
      <c r="J99" s="97">
        <v>15.012328455290175</v>
      </c>
      <c r="K99" s="97">
        <v>14.780177514149065</v>
      </c>
      <c r="L99" s="97">
        <v>14.597932094097247</v>
      </c>
      <c r="M99" s="97">
        <v>14.466432737392891</v>
      </c>
      <c r="N99" s="97">
        <v>14.402268331784805</v>
      </c>
      <c r="O99" s="97">
        <v>11.971688114372343</v>
      </c>
      <c r="P99" s="97">
        <v>10.83805327005703</v>
      </c>
      <c r="Q99" s="97">
        <v>10.730004543450995</v>
      </c>
      <c r="R99" s="97">
        <v>10.719823736143482</v>
      </c>
      <c r="S99" s="97">
        <v>10.649637434867586</v>
      </c>
      <c r="T99" s="97">
        <v>10.589961287703565</v>
      </c>
      <c r="U99" s="97">
        <v>9.898330879186906</v>
      </c>
      <c r="V99" s="97">
        <v>9.8385486845893872</v>
      </c>
      <c r="W99" s="97">
        <v>9.793420538636985</v>
      </c>
      <c r="DA99" s="175" t="s">
        <v>871</v>
      </c>
    </row>
    <row r="100" spans="1:105" ht="11.45" customHeight="1" x14ac:dyDescent="0.25">
      <c r="A100" s="111" t="s">
        <v>111</v>
      </c>
      <c r="B100" s="97">
        <v>51.119815112901769</v>
      </c>
      <c r="C100" s="97">
        <v>50.052353311806151</v>
      </c>
      <c r="D100" s="97">
        <v>49.458400709162248</v>
      </c>
      <c r="E100" s="97">
        <v>48.956103517141578</v>
      </c>
      <c r="F100" s="97">
        <v>48.520757729295028</v>
      </c>
      <c r="G100" s="97">
        <v>48.106032077902157</v>
      </c>
      <c r="H100" s="97">
        <v>47.725042756926868</v>
      </c>
      <c r="I100" s="97">
        <v>47.40549632327324</v>
      </c>
      <c r="J100" s="97">
        <v>47.053308503275268</v>
      </c>
      <c r="K100" s="97">
        <v>46.691609452504579</v>
      </c>
      <c r="L100" s="97">
        <v>46.336401237341505</v>
      </c>
      <c r="M100" s="97">
        <v>45.942199352591373</v>
      </c>
      <c r="N100" s="97">
        <v>45.685713428346901</v>
      </c>
      <c r="O100" s="97">
        <v>45.542110783166947</v>
      </c>
      <c r="P100" s="97">
        <v>45.215660536191358</v>
      </c>
      <c r="Q100" s="97">
        <v>44.976653802943673</v>
      </c>
      <c r="R100" s="97">
        <v>44.78062115358744</v>
      </c>
      <c r="S100" s="97">
        <v>44.600284865992265</v>
      </c>
      <c r="T100" s="97">
        <v>44.369316184245136</v>
      </c>
      <c r="U100" s="97">
        <v>44.163203940667451</v>
      </c>
      <c r="V100" s="97">
        <v>43.9463662696893</v>
      </c>
      <c r="W100" s="97">
        <v>43.802720157787853</v>
      </c>
      <c r="DA100" s="175" t="s">
        <v>872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42.16891503202644</v>
      </c>
      <c r="D101" s="97">
        <v>42.142394448660376</v>
      </c>
      <c r="E101" s="97">
        <v>41.413164400866016</v>
      </c>
      <c r="F101" s="97">
        <v>40.138514893299735</v>
      </c>
      <c r="G101" s="97">
        <v>39.554754058040707</v>
      </c>
      <c r="H101" s="97">
        <v>39.406022237536888</v>
      </c>
      <c r="I101" s="97">
        <v>39.146237905333869</v>
      </c>
      <c r="J101" s="97">
        <v>38.901609293597332</v>
      </c>
      <c r="K101" s="97">
        <v>38.437100653786992</v>
      </c>
      <c r="L101" s="97">
        <v>38.426158971114482</v>
      </c>
      <c r="M101" s="97">
        <v>38.351634859516942</v>
      </c>
      <c r="N101" s="97">
        <v>38.295976539819073</v>
      </c>
      <c r="O101" s="97">
        <v>38.22909803551569</v>
      </c>
      <c r="P101" s="97">
        <v>38.175076450534668</v>
      </c>
      <c r="Q101" s="97">
        <v>38.126031551284491</v>
      </c>
      <c r="R101" s="97">
        <v>38.085300689557926</v>
      </c>
      <c r="S101" s="97">
        <v>37.896811153709805</v>
      </c>
      <c r="T101" s="97">
        <v>37.42398804472419</v>
      </c>
      <c r="U101" s="97">
        <v>37.419435230092226</v>
      </c>
      <c r="V101" s="97">
        <v>37.345020662404536</v>
      </c>
      <c r="W101" s="97">
        <v>37.312878974990845</v>
      </c>
      <c r="DA101" s="175" t="s">
        <v>873</v>
      </c>
    </row>
    <row r="102" spans="1:105" ht="11.45" customHeight="1" x14ac:dyDescent="0.25">
      <c r="A102" s="111" t="s">
        <v>113</v>
      </c>
      <c r="B102" s="97">
        <v>42.608142715665714</v>
      </c>
      <c r="C102" s="97">
        <v>42.05518534468748</v>
      </c>
      <c r="D102" s="97">
        <v>42.01012423319299</v>
      </c>
      <c r="E102" s="97">
        <v>40.190247722373357</v>
      </c>
      <c r="F102" s="97">
        <v>40.007725360993042</v>
      </c>
      <c r="G102" s="97">
        <v>39.380042684482717</v>
      </c>
      <c r="H102" s="97">
        <v>38.94812233460042</v>
      </c>
      <c r="I102" s="97">
        <v>38.707289374999206</v>
      </c>
      <c r="J102" s="97">
        <v>38.498443180927126</v>
      </c>
      <c r="K102" s="97">
        <v>38.302204968870605</v>
      </c>
      <c r="L102" s="97">
        <v>38.102404378931723</v>
      </c>
      <c r="M102" s="97">
        <v>37.974631773407978</v>
      </c>
      <c r="N102" s="97">
        <v>37.829908490827385</v>
      </c>
      <c r="O102" s="97">
        <v>37.751404898164111</v>
      </c>
      <c r="P102" s="97">
        <v>37.723562345013434</v>
      </c>
      <c r="Q102" s="97">
        <v>37.692156939054961</v>
      </c>
      <c r="R102" s="97">
        <v>37.572557419749607</v>
      </c>
      <c r="S102" s="97">
        <v>37.090113178125996</v>
      </c>
      <c r="T102" s="97">
        <v>36.920555692788298</v>
      </c>
      <c r="U102" s="97">
        <v>36.772226966865802</v>
      </c>
      <c r="V102" s="97">
        <v>36.705534778754789</v>
      </c>
      <c r="W102" s="97">
        <v>36.572607331779999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20.404212682088357</v>
      </c>
      <c r="P103" s="97">
        <v>20.40421268208836</v>
      </c>
      <c r="Q103" s="97">
        <v>20.404212682088364</v>
      </c>
      <c r="R103" s="97">
        <v>20.40421268208836</v>
      </c>
      <c r="S103" s="97">
        <v>20.40421268208836</v>
      </c>
      <c r="T103" s="97">
        <v>20.040117264800429</v>
      </c>
      <c r="U103" s="97">
        <v>19.66251314691937</v>
      </c>
      <c r="V103" s="97">
        <v>19.39001491249833</v>
      </c>
      <c r="W103" s="97">
        <v>18.301287627521884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11.199354908302428</v>
      </c>
      <c r="C105" s="141">
        <v>10.808831591613735</v>
      </c>
      <c r="D105" s="141">
        <v>10.386318712610642</v>
      </c>
      <c r="E105" s="141">
        <v>10.033612425841456</v>
      </c>
      <c r="F105" s="141">
        <v>9.7873008155803394</v>
      </c>
      <c r="G105" s="141">
        <v>9.4748136488372801</v>
      </c>
      <c r="H105" s="141">
        <v>9.1900443263276603</v>
      </c>
      <c r="I105" s="141">
        <v>8.9321202920944138</v>
      </c>
      <c r="J105" s="141">
        <v>8.7205722822861489</v>
      </c>
      <c r="K105" s="141">
        <v>8.4974040493690275</v>
      </c>
      <c r="L105" s="141">
        <v>8.2902471083348921</v>
      </c>
      <c r="M105" s="141">
        <v>8.0946914435551154</v>
      </c>
      <c r="N105" s="141">
        <v>7.8872010554210856</v>
      </c>
      <c r="O105" s="141">
        <v>7.6476825461415645</v>
      </c>
      <c r="P105" s="141">
        <v>7.3944234837168921</v>
      </c>
      <c r="Q105" s="141">
        <v>7.296722544719521</v>
      </c>
      <c r="R105" s="141">
        <v>7.0171703382254309</v>
      </c>
      <c r="S105" s="141">
        <v>6.8059414432351373</v>
      </c>
      <c r="T105" s="141">
        <v>6.6355155759476387</v>
      </c>
      <c r="U105" s="141">
        <v>6.5326836214358774</v>
      </c>
      <c r="V105" s="141">
        <v>6.4661386017145066</v>
      </c>
      <c r="W105" s="141">
        <v>6.3893929976780246</v>
      </c>
      <c r="DA105" s="174" t="s">
        <v>876</v>
      </c>
    </row>
    <row r="106" spans="1:105" ht="11.45" customHeight="1" x14ac:dyDescent="0.25">
      <c r="A106" s="111" t="s">
        <v>110</v>
      </c>
      <c r="B106" s="96">
        <v>10.051905938830455</v>
      </c>
      <c r="C106" s="96">
        <v>9.6855965628846565</v>
      </c>
      <c r="D106" s="96">
        <v>9.2887594393149513</v>
      </c>
      <c r="E106" s="96">
        <v>8.9801153284036523</v>
      </c>
      <c r="F106" s="96">
        <v>8.7914271571359919</v>
      </c>
      <c r="G106" s="96">
        <v>8.5444372435120375</v>
      </c>
      <c r="H106" s="96">
        <v>8.3341607275864895</v>
      </c>
      <c r="I106" s="96">
        <v>8.1696038309650323</v>
      </c>
      <c r="J106" s="96">
        <v>8.0247614729569055</v>
      </c>
      <c r="K106" s="96">
        <v>7.9506550738275186</v>
      </c>
      <c r="L106" s="96">
        <v>7.8726436312084225</v>
      </c>
      <c r="M106" s="96">
        <v>7.7453132388633632</v>
      </c>
      <c r="N106" s="96">
        <v>7.5410290675736968</v>
      </c>
      <c r="O106" s="96">
        <v>7.4397607053619756</v>
      </c>
      <c r="P106" s="96">
        <v>7.2072941228808469</v>
      </c>
      <c r="Q106" s="96">
        <v>6.9902175534000186</v>
      </c>
      <c r="R106" s="96">
        <v>6.7789687294126644</v>
      </c>
      <c r="S106" s="96">
        <v>6.684328900204445</v>
      </c>
      <c r="T106" s="96">
        <v>6.4878998198347713</v>
      </c>
      <c r="U106" s="96">
        <v>6.2836851746865614</v>
      </c>
      <c r="V106" s="96">
        <v>6.1759133889101854</v>
      </c>
      <c r="W106" s="96">
        <v>6.0003302382919506</v>
      </c>
      <c r="DA106" s="171" t="s">
        <v>877</v>
      </c>
    </row>
    <row r="107" spans="1:105" ht="11.45" customHeight="1" x14ac:dyDescent="0.25">
      <c r="A107" s="111" t="s">
        <v>111</v>
      </c>
      <c r="B107" s="96">
        <v>11.31242422909235</v>
      </c>
      <c r="C107" s="96">
        <v>10.778347369777993</v>
      </c>
      <c r="D107" s="96">
        <v>10.234139752623825</v>
      </c>
      <c r="E107" s="96">
        <v>9.8058615641528419</v>
      </c>
      <c r="F107" s="96">
        <v>9.5207409227989857</v>
      </c>
      <c r="G107" s="96">
        <v>9.1735571858203517</v>
      </c>
      <c r="H107" s="96">
        <v>8.8751600065393124</v>
      </c>
      <c r="I107" s="96">
        <v>8.6123078608670163</v>
      </c>
      <c r="J107" s="96">
        <v>8.4102280105664811</v>
      </c>
      <c r="K107" s="96">
        <v>8.1965514519944254</v>
      </c>
      <c r="L107" s="96">
        <v>8.0112423622872644</v>
      </c>
      <c r="M107" s="96">
        <v>7.8428877162653388</v>
      </c>
      <c r="N107" s="96">
        <v>7.6698119070135693</v>
      </c>
      <c r="O107" s="96">
        <v>7.4691685744266945</v>
      </c>
      <c r="P107" s="96">
        <v>7.2576023372439575</v>
      </c>
      <c r="Q107" s="96">
        <v>7.1476684171816292</v>
      </c>
      <c r="R107" s="96">
        <v>6.8988913709034883</v>
      </c>
      <c r="S107" s="96">
        <v>6.6942927085572821</v>
      </c>
      <c r="T107" s="96">
        <v>6.5356592041472492</v>
      </c>
      <c r="U107" s="96">
        <v>6.4274948085071051</v>
      </c>
      <c r="V107" s="96">
        <v>6.3604349810408323</v>
      </c>
      <c r="W107" s="96">
        <v>6.2845922523058988</v>
      </c>
      <c r="DA107" s="171" t="s">
        <v>878</v>
      </c>
    </row>
    <row r="108" spans="1:105" ht="11.45" customHeight="1" x14ac:dyDescent="0.25">
      <c r="A108" s="111" t="s">
        <v>112</v>
      </c>
      <c r="B108" s="96">
        <v>12.050574403597647</v>
      </c>
      <c r="C108" s="96">
        <v>11.18165909178837</v>
      </c>
      <c r="D108" s="96">
        <v>10.415403048715614</v>
      </c>
      <c r="E108" s="96">
        <v>9.825321543868176</v>
      </c>
      <c r="F108" s="96">
        <v>9.3974153232229209</v>
      </c>
      <c r="G108" s="96">
        <v>8.9468184959700228</v>
      </c>
      <c r="H108" s="96">
        <v>8.5565306734892452</v>
      </c>
      <c r="I108" s="96">
        <v>8.4668223841072443</v>
      </c>
      <c r="J108" s="96">
        <v>8.1662922436330394</v>
      </c>
      <c r="K108" s="96">
        <v>7.754867293054466</v>
      </c>
      <c r="L108" s="96">
        <v>7.5415091750289696</v>
      </c>
      <c r="M108" s="96">
        <v>7.4597687920129117</v>
      </c>
      <c r="N108" s="96">
        <v>7.00641743730844</v>
      </c>
      <c r="O108" s="96">
        <v>6.9062867626493256</v>
      </c>
      <c r="P108" s="96">
        <v>6.7957159985988449</v>
      </c>
      <c r="Q108" s="96">
        <v>6.6413156501665283</v>
      </c>
      <c r="R108" s="96">
        <v>6.4092391005131768</v>
      </c>
      <c r="S108" s="96">
        <v>6.2456258585159539</v>
      </c>
      <c r="T108" s="96">
        <v>6.1233140554216607</v>
      </c>
      <c r="U108" s="96">
        <v>5.9832410003146732</v>
      </c>
      <c r="V108" s="96">
        <v>5.95583156560002</v>
      </c>
      <c r="W108" s="96">
        <v>6.1693078625323281</v>
      </c>
      <c r="DA108" s="171" t="s">
        <v>879</v>
      </c>
    </row>
    <row r="109" spans="1:105" ht="11.45" customHeight="1" x14ac:dyDescent="0.25">
      <c r="A109" s="111" t="s">
        <v>113</v>
      </c>
      <c r="B109" s="96">
        <v>13.321850093805011</v>
      </c>
      <c r="C109" s="96">
        <v>12.104918714246482</v>
      </c>
      <c r="D109" s="96">
        <v>11.151627456037088</v>
      </c>
      <c r="E109" s="96">
        <v>10.460472990899907</v>
      </c>
      <c r="F109" s="96">
        <v>10.007083208818985</v>
      </c>
      <c r="G109" s="96">
        <v>9.599819673813176</v>
      </c>
      <c r="H109" s="96">
        <v>9.2658759622405604</v>
      </c>
      <c r="I109" s="96">
        <v>9.1422972424974454</v>
      </c>
      <c r="J109" s="96">
        <v>8.7316045833423335</v>
      </c>
      <c r="K109" s="96">
        <v>8.267088534212041</v>
      </c>
      <c r="L109" s="96">
        <v>7.82476341713277</v>
      </c>
      <c r="M109" s="96">
        <v>7.5206571397273914</v>
      </c>
      <c r="N109" s="96">
        <v>7.2607983209061091</v>
      </c>
      <c r="O109" s="96">
        <v>7.2065328904412196</v>
      </c>
      <c r="P109" s="96">
        <v>7.1156025408823682</v>
      </c>
      <c r="Q109" s="96">
        <v>7.0535465235468822</v>
      </c>
      <c r="R109" s="96">
        <v>6.9574067039789176</v>
      </c>
      <c r="S109" s="96">
        <v>6.8766242157026349</v>
      </c>
      <c r="T109" s="96">
        <v>6.8430820309769675</v>
      </c>
      <c r="U109" s="96">
        <v>6.8267091646263003</v>
      </c>
      <c r="V109" s="96">
        <v>6.8353520729083321</v>
      </c>
      <c r="W109" s="96">
        <v>7.0024257906780196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1.2702870179721593</v>
      </c>
      <c r="P110" s="96">
        <v>1.2811433794849654</v>
      </c>
      <c r="Q110" s="96">
        <v>1.3295305535255104</v>
      </c>
      <c r="R110" s="96">
        <v>1.3458416292689057</v>
      </c>
      <c r="S110" s="96">
        <v>1.3748581841591296</v>
      </c>
      <c r="T110" s="96">
        <v>1.480700160201383</v>
      </c>
      <c r="U110" s="96">
        <v>1.5675302331649008</v>
      </c>
      <c r="V110" s="96">
        <v>1.6662413436302486</v>
      </c>
      <c r="W110" s="96">
        <v>1.87967505628637</v>
      </c>
      <c r="DA110" s="171" t="s">
        <v>881</v>
      </c>
    </row>
    <row r="111" spans="1:105" ht="11.45" customHeight="1" x14ac:dyDescent="0.25">
      <c r="A111" s="109" t="s">
        <v>158</v>
      </c>
      <c r="B111" s="130">
        <v>35.533098971160932</v>
      </c>
      <c r="C111" s="130">
        <v>35.441114431639285</v>
      </c>
      <c r="D111" s="130">
        <v>35.323902942667118</v>
      </c>
      <c r="E111" s="130">
        <v>35.179997600646722</v>
      </c>
      <c r="F111" s="130">
        <v>34.993711482632364</v>
      </c>
      <c r="G111" s="130">
        <v>34.775395302886039</v>
      </c>
      <c r="H111" s="130">
        <v>34.517511432107298</v>
      </c>
      <c r="I111" s="130">
        <v>34.216316270206718</v>
      </c>
      <c r="J111" s="130">
        <v>33.864082123230183</v>
      </c>
      <c r="K111" s="130">
        <v>33.502010581744358</v>
      </c>
      <c r="L111" s="130">
        <v>33.064078555337993</v>
      </c>
      <c r="M111" s="130">
        <v>32.607439438568328</v>
      </c>
      <c r="N111" s="130">
        <v>32.147660029260159</v>
      </c>
      <c r="O111" s="130">
        <v>31.626373195565588</v>
      </c>
      <c r="P111" s="130">
        <v>31.016339135978807</v>
      </c>
      <c r="Q111" s="130">
        <v>30.35789593806587</v>
      </c>
      <c r="R111" s="130">
        <v>29.989476226568819</v>
      </c>
      <c r="S111" s="130">
        <v>29.439825216382523</v>
      </c>
      <c r="T111" s="130">
        <v>28.557344346107332</v>
      </c>
      <c r="U111" s="130">
        <v>27.68529755785476</v>
      </c>
      <c r="V111" s="130">
        <v>27.393176809140432</v>
      </c>
      <c r="W111" s="130">
        <v>26.475055262701837</v>
      </c>
      <c r="DA111" s="176" t="s">
        <v>882</v>
      </c>
    </row>
    <row r="112" spans="1:105" ht="11.45" customHeight="1" x14ac:dyDescent="0.25">
      <c r="A112" s="128" t="s">
        <v>27</v>
      </c>
      <c r="B112" s="97">
        <v>35.507204638976816</v>
      </c>
      <c r="C112" s="97">
        <v>35.423771767957206</v>
      </c>
      <c r="D112" s="97">
        <v>35.314839274534627</v>
      </c>
      <c r="E112" s="97">
        <v>35.178006859619721</v>
      </c>
      <c r="F112" s="97">
        <v>35.007761241955762</v>
      </c>
      <c r="G112" s="97">
        <v>34.796460632756521</v>
      </c>
      <c r="H112" s="97">
        <v>34.54724472966172</v>
      </c>
      <c r="I112" s="97">
        <v>34.248360711495458</v>
      </c>
      <c r="J112" s="97">
        <v>33.903078622600979</v>
      </c>
      <c r="K112" s="97">
        <v>33.531522300270545</v>
      </c>
      <c r="L112" s="97">
        <v>33.095161689120388</v>
      </c>
      <c r="M112" s="97">
        <v>32.624121496024379</v>
      </c>
      <c r="N112" s="97">
        <v>32.15809746391929</v>
      </c>
      <c r="O112" s="97">
        <v>31.640903042640126</v>
      </c>
      <c r="P112" s="97">
        <v>31.028826129307671</v>
      </c>
      <c r="Q112" s="97">
        <v>30.363945179920769</v>
      </c>
      <c r="R112" s="97">
        <v>30.007445657219002</v>
      </c>
      <c r="S112" s="97">
        <v>29.47052483011807</v>
      </c>
      <c r="T112" s="97">
        <v>28.568602197632558</v>
      </c>
      <c r="U112" s="97">
        <v>27.68779055699947</v>
      </c>
      <c r="V112" s="97">
        <v>27.402714116118279</v>
      </c>
      <c r="W112" s="97">
        <v>26.476891870949384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36.195141245524361</v>
      </c>
      <c r="D113" s="98">
        <v>35.699692497443145</v>
      </c>
      <c r="E113" s="98">
        <v>35.260914230641198</v>
      </c>
      <c r="F113" s="98">
        <v>34.514305602482047</v>
      </c>
      <c r="G113" s="98">
        <v>34.080346296660174</v>
      </c>
      <c r="H113" s="98">
        <v>33.585618027424673</v>
      </c>
      <c r="I113" s="98">
        <v>33.198133885283909</v>
      </c>
      <c r="J113" s="98">
        <v>32.690363246159208</v>
      </c>
      <c r="K113" s="98">
        <v>32.487832248306503</v>
      </c>
      <c r="L113" s="98">
        <v>32.088620496483024</v>
      </c>
      <c r="M113" s="98">
        <v>31.999580504558367</v>
      </c>
      <c r="N113" s="98">
        <v>31.749785327116992</v>
      </c>
      <c r="O113" s="98">
        <v>31.125394935148751</v>
      </c>
      <c r="P113" s="98">
        <v>30.603429889207554</v>
      </c>
      <c r="Q113" s="98">
        <v>30.154376130495638</v>
      </c>
      <c r="R113" s="98">
        <v>29.460249127930343</v>
      </c>
      <c r="S113" s="98">
        <v>28.66668611918664</v>
      </c>
      <c r="T113" s="98">
        <v>28.26341993884235</v>
      </c>
      <c r="U113" s="98">
        <v>27.623016882535111</v>
      </c>
      <c r="V113" s="98">
        <v>27.163576391843154</v>
      </c>
      <c r="W113" s="98">
        <v>26.435396036440519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1.0727956048507719</v>
      </c>
      <c r="D117" s="150">
        <f>IF(TrRoad_act!D59=0,0,TrRoad_ene!D62/TrRoad_tech!D90)</f>
        <v>1.0733973070934804</v>
      </c>
      <c r="E117" s="150">
        <f>IF(TrRoad_act!E59=0,0,TrRoad_ene!E62/TrRoad_tech!E90)</f>
        <v>1.0744891113031443</v>
      </c>
      <c r="F117" s="150">
        <f>IF(TrRoad_act!F59=0,0,TrRoad_ene!F62/TrRoad_tech!F90)</f>
        <v>1.0758581797550204</v>
      </c>
      <c r="G117" s="150">
        <f>IF(TrRoad_act!G59=0,0,TrRoad_ene!G62/TrRoad_tech!G90)</f>
        <v>1.077792896741768</v>
      </c>
      <c r="H117" s="150">
        <f>IF(TrRoad_act!H59=0,0,TrRoad_ene!H62/TrRoad_tech!H90)</f>
        <v>1.0805901116458949</v>
      </c>
      <c r="I117" s="150">
        <f>IF(TrRoad_act!I59=0,0,TrRoad_ene!I62/TrRoad_tech!I90)</f>
        <v>1.0841602839365725</v>
      </c>
      <c r="J117" s="150">
        <f>IF(TrRoad_act!J59=0,0,TrRoad_ene!J62/TrRoad_tech!J90)</f>
        <v>1.0885500180577494</v>
      </c>
      <c r="K117" s="150">
        <f>IF(TrRoad_act!K59=0,0,TrRoad_ene!K62/TrRoad_tech!K90)</f>
        <v>1.0944287491369622</v>
      </c>
      <c r="L117" s="150">
        <f>IF(TrRoad_act!L59=0,0,TrRoad_ene!L62/TrRoad_tech!L90)</f>
        <v>1.0987404822078535</v>
      </c>
      <c r="M117" s="150">
        <f>IF(TrRoad_act!M59=0,0,TrRoad_ene!M62/TrRoad_tech!M90)</f>
        <v>1.1033805403200254</v>
      </c>
      <c r="N117" s="150">
        <f>IF(TrRoad_act!N59=0,0,TrRoad_ene!N62/TrRoad_tech!N90)</f>
        <v>1.1102680734027048</v>
      </c>
      <c r="O117" s="150">
        <f>IF(TrRoad_act!O59=0,0,TrRoad_ene!O62/TrRoad_tech!O90)</f>
        <v>1.1178807785483837</v>
      </c>
      <c r="P117" s="150">
        <f>IF(TrRoad_act!P59=0,0,TrRoad_ene!P62/TrRoad_tech!P90)</f>
        <v>1.1283731987483263</v>
      </c>
      <c r="Q117" s="150">
        <f>IF(TrRoad_act!Q59=0,0,TrRoad_ene!Q62/TrRoad_tech!Q90)</f>
        <v>1.1350375838752544</v>
      </c>
      <c r="R117" s="150">
        <f>IF(TrRoad_act!R59=0,0,TrRoad_ene!R62/TrRoad_tech!R90)</f>
        <v>1.1420944398800001</v>
      </c>
      <c r="S117" s="150">
        <f>IF(TrRoad_act!S59=0,0,TrRoad_ene!S62/TrRoad_tech!S90)</f>
        <v>1.1485782694788278</v>
      </c>
      <c r="T117" s="150">
        <f>IF(TrRoad_act!T59=0,0,TrRoad_ene!T62/TrRoad_tech!T90)</f>
        <v>1.1566709215427056</v>
      </c>
      <c r="U117" s="150">
        <f>IF(TrRoad_act!U59=0,0,TrRoad_ene!U62/TrRoad_tech!U90)</f>
        <v>1.166414545296794</v>
      </c>
      <c r="V117" s="150">
        <f>IF(TrRoad_act!V59=0,0,TrRoad_ene!V62/TrRoad_tech!V90)</f>
        <v>1.175363071613833</v>
      </c>
      <c r="W117" s="150">
        <f>IF(TrRoad_act!W59=0,0,TrRoad_ene!W62/TrRoad_tech!W90)</f>
        <v>1.2407333226599582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0.89903415150744881</v>
      </c>
      <c r="C118" s="151">
        <f>IF(TrRoad_act!C60=0,0,TrRoad_ene!C63/TrRoad_tech!C91)</f>
        <v>0.88654005403605107</v>
      </c>
      <c r="D118" s="151">
        <f>IF(TrRoad_act!D60=0,0,TrRoad_ene!D63/TrRoad_tech!D91)</f>
        <v>0.91596038827632742</v>
      </c>
      <c r="E118" s="151">
        <f>IF(TrRoad_act!E60=0,0,TrRoad_ene!E63/TrRoad_tech!E91)</f>
        <v>0.9167629686447184</v>
      </c>
      <c r="F118" s="151">
        <f>IF(TrRoad_act!F60=0,0,TrRoad_ene!F63/TrRoad_tech!F91)</f>
        <v>0.93702664988421591</v>
      </c>
      <c r="G118" s="151">
        <f>IF(TrRoad_act!G60=0,0,TrRoad_ene!G63/TrRoad_tech!G91)</f>
        <v>0.97446572260378828</v>
      </c>
      <c r="H118" s="151">
        <f>IF(TrRoad_act!H60=0,0,TrRoad_ene!H63/TrRoad_tech!H91)</f>
        <v>1.0126439482992646</v>
      </c>
      <c r="I118" s="151">
        <f>IF(TrRoad_act!I60=0,0,TrRoad_ene!I63/TrRoad_tech!I91)</f>
        <v>1.0245532069919303</v>
      </c>
      <c r="J118" s="151">
        <f>IF(TrRoad_act!J60=0,0,TrRoad_ene!J63/TrRoad_tech!J91)</f>
        <v>1.0173741236313758</v>
      </c>
      <c r="K118" s="151">
        <f>IF(TrRoad_act!K60=0,0,TrRoad_ene!K63/TrRoad_tech!K91)</f>
        <v>0.95198357069269168</v>
      </c>
      <c r="L118" s="151">
        <f>IF(TrRoad_act!L60=0,0,TrRoad_ene!L63/TrRoad_tech!L91)</f>
        <v>0.9761193673136529</v>
      </c>
      <c r="M118" s="151">
        <f>IF(TrRoad_act!M60=0,0,TrRoad_ene!M63/TrRoad_tech!M91)</f>
        <v>0.98003706316618355</v>
      </c>
      <c r="N118" s="151">
        <f>IF(TrRoad_act!N60=0,0,TrRoad_ene!N63/TrRoad_tech!N91)</f>
        <v>0.95780910151135579</v>
      </c>
      <c r="O118" s="151">
        <f>IF(TrRoad_act!O60=0,0,TrRoad_ene!O63/TrRoad_tech!O91)</f>
        <v>0.99051993088027912</v>
      </c>
      <c r="P118" s="151">
        <f>IF(TrRoad_act!P60=0,0,TrRoad_ene!P63/TrRoad_tech!P91)</f>
        <v>0.99882347780828229</v>
      </c>
      <c r="Q118" s="151">
        <f>IF(TrRoad_act!Q60=0,0,TrRoad_ene!Q63/TrRoad_tech!Q91)</f>
        <v>1.0138452140200558</v>
      </c>
      <c r="R118" s="151">
        <f>IF(TrRoad_act!R60=0,0,TrRoad_ene!R63/TrRoad_tech!R91)</f>
        <v>0.98637639007337707</v>
      </c>
      <c r="S118" s="151">
        <f>IF(TrRoad_act!S60=0,0,TrRoad_ene!S63/TrRoad_tech!S91)</f>
        <v>0.96638857194908279</v>
      </c>
      <c r="T118" s="151">
        <f>IF(TrRoad_act!T60=0,0,TrRoad_ene!T63/TrRoad_tech!T91)</f>
        <v>1.0174158847043526</v>
      </c>
      <c r="U118" s="151">
        <f>IF(TrRoad_act!U60=0,0,TrRoad_ene!U63/TrRoad_tech!U91)</f>
        <v>1.0265812938259884</v>
      </c>
      <c r="V118" s="151">
        <f>IF(TrRoad_act!V60=0,0,TrRoad_ene!V63/TrRoad_tech!V91)</f>
        <v>1.0004812771428591</v>
      </c>
      <c r="W118" s="151">
        <f>IF(TrRoad_act!W60=0,0,TrRoad_ene!W63/TrRoad_tech!W91)</f>
        <v>1.1881155996903421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0.87869214706171161</v>
      </c>
      <c r="C119" s="91">
        <f>IF(TrRoad_act!C61=0,0,TrRoad_ene!C64/TrRoad_tech!C92)</f>
        <v>0.87798062815431233</v>
      </c>
      <c r="D119" s="91">
        <f>IF(TrRoad_act!D61=0,0,TrRoad_ene!D64/TrRoad_tech!D92)</f>
        <v>0.91682735288063888</v>
      </c>
      <c r="E119" s="91">
        <f>IF(TrRoad_act!E61=0,0,TrRoad_ene!E64/TrRoad_tech!E92)</f>
        <v>0.91843297123469547</v>
      </c>
      <c r="F119" s="91">
        <f>IF(TrRoad_act!F61=0,0,TrRoad_ene!F64/TrRoad_tech!F92)</f>
        <v>0.96088801665280854</v>
      </c>
      <c r="G119" s="91">
        <f>IF(TrRoad_act!G61=0,0,TrRoad_ene!G64/TrRoad_tech!G92)</f>
        <v>1.0135661446332056</v>
      </c>
      <c r="H119" s="91">
        <f>IF(TrRoad_act!H61=0,0,TrRoad_ene!H64/TrRoad_tech!H92)</f>
        <v>1.1236165519583738</v>
      </c>
      <c r="I119" s="91">
        <f>IF(TrRoad_act!I61=0,0,TrRoad_ene!I64/TrRoad_tech!I92)</f>
        <v>1.1132236142388141</v>
      </c>
      <c r="J119" s="91">
        <f>IF(TrRoad_act!J61=0,0,TrRoad_ene!J64/TrRoad_tech!J92)</f>
        <v>1.0357166740139943</v>
      </c>
      <c r="K119" s="91">
        <f>IF(TrRoad_act!K61=0,0,TrRoad_ene!K64/TrRoad_tech!K92)</f>
        <v>0.93802458098901487</v>
      </c>
      <c r="L119" s="91">
        <f>IF(TrRoad_act!L61=0,0,TrRoad_ene!L64/TrRoad_tech!L92)</f>
        <v>0.92643276383951678</v>
      </c>
      <c r="M119" s="91">
        <f>IF(TrRoad_act!M61=0,0,TrRoad_ene!M64/TrRoad_tech!M92)</f>
        <v>0.92543132831712349</v>
      </c>
      <c r="N119" s="91">
        <f>IF(TrRoad_act!N61=0,0,TrRoad_ene!N64/TrRoad_tech!N92)</f>
        <v>0.92990758935685491</v>
      </c>
      <c r="O119" s="91">
        <f>IF(TrRoad_act!O61=0,0,TrRoad_ene!O64/TrRoad_tech!O92)</f>
        <v>0.93908219113719016</v>
      </c>
      <c r="P119" s="91">
        <f>IF(TrRoad_act!P61=0,0,TrRoad_ene!P64/TrRoad_tech!P92)</f>
        <v>0.94543878023997574</v>
      </c>
      <c r="Q119" s="91">
        <f>IF(TrRoad_act!Q61=0,0,TrRoad_ene!Q64/TrRoad_tech!Q92)</f>
        <v>0.96417421702289041</v>
      </c>
      <c r="R119" s="91">
        <f>IF(TrRoad_act!R61=0,0,TrRoad_ene!R64/TrRoad_tech!R92)</f>
        <v>0.91399459346054079</v>
      </c>
      <c r="S119" s="91">
        <f>IF(TrRoad_act!S61=0,0,TrRoad_ene!S64/TrRoad_tech!S92)</f>
        <v>0.9217946228601509</v>
      </c>
      <c r="T119" s="91">
        <f>IF(TrRoad_act!T61=0,0,TrRoad_ene!T64/TrRoad_tech!T92)</f>
        <v>1.0472090869709492</v>
      </c>
      <c r="U119" s="91">
        <f>IF(TrRoad_act!U61=0,0,TrRoad_ene!U64/TrRoad_tech!U92)</f>
        <v>1.0504916899682486</v>
      </c>
      <c r="V119" s="91">
        <f>IF(TrRoad_act!V61=0,0,TrRoad_ene!V64/TrRoad_tech!V92)</f>
        <v>1.052524365992128</v>
      </c>
      <c r="W119" s="91">
        <f>IF(TrRoad_act!W61=0,0,TrRoad_ene!W64/TrRoad_tech!W92)</f>
        <v>1.3156011790067843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0.91666421779737839</v>
      </c>
      <c r="C120" s="91">
        <f>IF(TrRoad_act!C62=0,0,TrRoad_ene!C65/TrRoad_tech!C93)</f>
        <v>0.90155801090998278</v>
      </c>
      <c r="D120" s="91">
        <f>IF(TrRoad_act!D62=0,0,TrRoad_ene!D65/TrRoad_tech!D93)</f>
        <v>0.92279836867367471</v>
      </c>
      <c r="E120" s="91">
        <f>IF(TrRoad_act!E62=0,0,TrRoad_ene!E65/TrRoad_tech!E93)</f>
        <v>0.92845955513716472</v>
      </c>
      <c r="F120" s="91">
        <f>IF(TrRoad_act!F62=0,0,TrRoad_ene!F65/TrRoad_tech!F93)</f>
        <v>0.9331001711525202</v>
      </c>
      <c r="G120" s="91">
        <f>IF(TrRoad_act!G62=0,0,TrRoad_ene!G65/TrRoad_tech!G93)</f>
        <v>0.96418537891399503</v>
      </c>
      <c r="H120" s="91">
        <f>IF(TrRoad_act!H62=0,0,TrRoad_ene!H65/TrRoad_tech!H93)</f>
        <v>0.95504382995707848</v>
      </c>
      <c r="I120" s="91">
        <f>IF(TrRoad_act!I62=0,0,TrRoad_ene!I65/TrRoad_tech!I93)</f>
        <v>0.99052172218183931</v>
      </c>
      <c r="J120" s="91">
        <f>IF(TrRoad_act!J62=0,0,TrRoad_ene!J65/TrRoad_tech!J93)</f>
        <v>1.0214787943360935</v>
      </c>
      <c r="K120" s="91">
        <f>IF(TrRoad_act!K62=0,0,TrRoad_ene!K65/TrRoad_tech!K93)</f>
        <v>0.97749846042213762</v>
      </c>
      <c r="L120" s="91">
        <f>IF(TrRoad_act!L62=0,0,TrRoad_ene!L65/TrRoad_tech!L93)</f>
        <v>1.0274055896992194</v>
      </c>
      <c r="M120" s="91">
        <f>IF(TrRoad_act!M62=0,0,TrRoad_ene!M65/TrRoad_tech!M93)</f>
        <v>1.0275054429319963</v>
      </c>
      <c r="N120" s="91">
        <f>IF(TrRoad_act!N62=0,0,TrRoad_ene!N65/TrRoad_tech!N93)</f>
        <v>0.97770599514038725</v>
      </c>
      <c r="O120" s="91">
        <f>IF(TrRoad_act!O62=0,0,TrRoad_ene!O65/TrRoad_tech!O93)</f>
        <v>1.0277433925389063</v>
      </c>
      <c r="P120" s="91">
        <f>IF(TrRoad_act!P62=0,0,TrRoad_ene!P65/TrRoad_tech!P93)</f>
        <v>1.0369935723709609</v>
      </c>
      <c r="Q120" s="91">
        <f>IF(TrRoad_act!Q62=0,0,TrRoad_ene!Q65/TrRoad_tech!Q93)</f>
        <v>1.054092410845443</v>
      </c>
      <c r="R120" s="91">
        <f>IF(TrRoad_act!R62=0,0,TrRoad_ene!R65/TrRoad_tech!R93)</f>
        <v>1.0444645970987882</v>
      </c>
      <c r="S120" s="91">
        <f>IF(TrRoad_act!S62=0,0,TrRoad_ene!S65/TrRoad_tech!S93)</f>
        <v>1.0142050679283006</v>
      </c>
      <c r="T120" s="91">
        <f>IF(TrRoad_act!T62=0,0,TrRoad_ene!T65/TrRoad_tech!T93)</f>
        <v>1.0405968604920841</v>
      </c>
      <c r="U120" s="91">
        <f>IF(TrRoad_act!U62=0,0,TrRoad_ene!U65/TrRoad_tech!U93)</f>
        <v>1.0541185065192651</v>
      </c>
      <c r="V120" s="91">
        <f>IF(TrRoad_act!V62=0,0,TrRoad_ene!V65/TrRoad_tech!V93)</f>
        <v>1.0105549116112742</v>
      </c>
      <c r="W120" s="91">
        <f>IF(TrRoad_act!W62=0,0,TrRoad_ene!W65/TrRoad_tech!W93)</f>
        <v>1.202564123245635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1.0055778644727498</v>
      </c>
      <c r="C121" s="91">
        <f>IF(TrRoad_act!C63=0,0,TrRoad_ene!C66/TrRoad_tech!C94)</f>
        <v>1.0082335274791572</v>
      </c>
      <c r="D121" s="91">
        <f>IF(TrRoad_act!D63=0,0,TrRoad_ene!D66/TrRoad_tech!D94)</f>
        <v>1.0108507410638607</v>
      </c>
      <c r="E121" s="91">
        <f>IF(TrRoad_act!E63=0,0,TrRoad_ene!E66/TrRoad_tech!E94)</f>
        <v>1.0026483809180089</v>
      </c>
      <c r="F121" s="91">
        <f>IF(TrRoad_act!F63=0,0,TrRoad_ene!F66/TrRoad_tech!F94)</f>
        <v>0.9245456107053136</v>
      </c>
      <c r="G121" s="91">
        <f>IF(TrRoad_act!G63=0,0,TrRoad_ene!G66/TrRoad_tech!G94)</f>
        <v>0.89810568386285894</v>
      </c>
      <c r="H121" s="91">
        <f>IF(TrRoad_act!H63=0,0,TrRoad_ene!H66/TrRoad_tech!H94)</f>
        <v>0.86630725746878467</v>
      </c>
      <c r="I121" s="91">
        <f>IF(TrRoad_act!I63=0,0,TrRoad_ene!I66/TrRoad_tech!I94)</f>
        <v>0.85286620269185032</v>
      </c>
      <c r="J121" s="91">
        <f>IF(TrRoad_act!J63=0,0,TrRoad_ene!J66/TrRoad_tech!J94)</f>
        <v>1.0091141963012455</v>
      </c>
      <c r="K121" s="91">
        <f>IF(TrRoad_act!K63=0,0,TrRoad_ene!K66/TrRoad_tech!K94)</f>
        <v>0.99959737077914301</v>
      </c>
      <c r="L121" s="91">
        <f>IF(TrRoad_act!L63=0,0,TrRoad_ene!L66/TrRoad_tech!L94)</f>
        <v>1.0252335046899503</v>
      </c>
      <c r="M121" s="91">
        <f>IF(TrRoad_act!M63=0,0,TrRoad_ene!M66/TrRoad_tech!M94)</f>
        <v>1.0873827484383263</v>
      </c>
      <c r="N121" s="91">
        <f>IF(TrRoad_act!N63=0,0,TrRoad_ene!N66/TrRoad_tech!N94)</f>
        <v>1.0974831991392071</v>
      </c>
      <c r="O121" s="91">
        <f>IF(TrRoad_act!O63=0,0,TrRoad_ene!O66/TrRoad_tech!O94)</f>
        <v>1.1116203321905327</v>
      </c>
      <c r="P121" s="91">
        <f>IF(TrRoad_act!P63=0,0,TrRoad_ene!P66/TrRoad_tech!P94)</f>
        <v>1.1154099830513526</v>
      </c>
      <c r="Q121" s="91">
        <f>IF(TrRoad_act!Q63=0,0,TrRoad_ene!Q66/TrRoad_tech!Q94)</f>
        <v>1.0906471016581891</v>
      </c>
      <c r="R121" s="91">
        <f>IF(TrRoad_act!R63=0,0,TrRoad_ene!R66/TrRoad_tech!R94)</f>
        <v>1.0528925480516658</v>
      </c>
      <c r="S121" s="91">
        <f>IF(TrRoad_act!S63=0,0,TrRoad_ene!S66/TrRoad_tech!S94)</f>
        <v>1.0560431900041265</v>
      </c>
      <c r="T121" s="91">
        <f>IF(TrRoad_act!T63=0,0,TrRoad_ene!T66/TrRoad_tech!T94)</f>
        <v>1.0257975368671808</v>
      </c>
      <c r="U121" s="91">
        <f>IF(TrRoad_act!U63=0,0,TrRoad_ene!U66/TrRoad_tech!U94)</f>
        <v>1.0143598175446007</v>
      </c>
      <c r="V121" s="91">
        <f>IF(TrRoad_act!V63=0,0,TrRoad_ene!V66/TrRoad_tech!V94)</f>
        <v>1.0173530895728033</v>
      </c>
      <c r="W121" s="91">
        <f>IF(TrRoad_act!W63=0,0,TrRoad_ene!W66/TrRoad_tech!W94)</f>
        <v>1.0685540010478247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0.92169586815078453</v>
      </c>
      <c r="C122" s="91">
        <f>IF(TrRoad_act!C64=0,0,TrRoad_ene!C67/TrRoad_tech!C95)</f>
        <v>0.92271109383925998</v>
      </c>
      <c r="D122" s="91">
        <f>IF(TrRoad_act!D64=0,0,TrRoad_ene!D67/TrRoad_tech!D95)</f>
        <v>0.90975277194319781</v>
      </c>
      <c r="E122" s="91">
        <f>IF(TrRoad_act!E64=0,0,TrRoad_ene!E67/TrRoad_tech!E95)</f>
        <v>0.91247169161516495</v>
      </c>
      <c r="F122" s="91">
        <f>IF(TrRoad_act!F64=0,0,TrRoad_ene!F67/TrRoad_tech!F95)</f>
        <v>0.93586512122430709</v>
      </c>
      <c r="G122" s="91">
        <f>IF(TrRoad_act!G64=0,0,TrRoad_ene!G67/TrRoad_tech!G95)</f>
        <v>0.98813690271415555</v>
      </c>
      <c r="H122" s="91">
        <f>IF(TrRoad_act!H64=0,0,TrRoad_ene!H67/TrRoad_tech!H95)</f>
        <v>1.0309657557641296</v>
      </c>
      <c r="I122" s="91">
        <f>IF(TrRoad_act!I64=0,0,TrRoad_ene!I67/TrRoad_tech!I95)</f>
        <v>1.0330032501332476</v>
      </c>
      <c r="J122" s="91">
        <f>IF(TrRoad_act!J64=0,0,TrRoad_ene!J67/TrRoad_tech!J95)</f>
        <v>1.0358038783186021</v>
      </c>
      <c r="K122" s="91">
        <f>IF(TrRoad_act!K64=0,0,TrRoad_ene!K67/TrRoad_tech!K95)</f>
        <v>0.92718185491134786</v>
      </c>
      <c r="L122" s="91">
        <f>IF(TrRoad_act!L64=0,0,TrRoad_ene!L67/TrRoad_tech!L95)</f>
        <v>1.0415318090817434</v>
      </c>
      <c r="M122" s="91">
        <f>IF(TrRoad_act!M64=0,0,TrRoad_ene!M67/TrRoad_tech!M95)</f>
        <v>1.0429032137646777</v>
      </c>
      <c r="N122" s="91">
        <f>IF(TrRoad_act!N64=0,0,TrRoad_ene!N67/TrRoad_tech!N95)</f>
        <v>1.0449033692981478</v>
      </c>
      <c r="O122" s="91">
        <f>IF(TrRoad_act!O64=0,0,TrRoad_ene!O67/TrRoad_tech!O95)</f>
        <v>1.0676129954087858</v>
      </c>
      <c r="P122" s="91">
        <f>IF(TrRoad_act!P64=0,0,TrRoad_ene!P67/TrRoad_tech!P95)</f>
        <v>1.0502773667879268</v>
      </c>
      <c r="Q122" s="91">
        <f>IF(TrRoad_act!Q64=0,0,TrRoad_ene!Q67/TrRoad_tech!Q95)</f>
        <v>1.0746940687355306</v>
      </c>
      <c r="R122" s="91">
        <f>IF(TrRoad_act!R64=0,0,TrRoad_ene!R67/TrRoad_tech!R95)</f>
        <v>1.0550245094278541</v>
      </c>
      <c r="S122" s="91">
        <f>IF(TrRoad_act!S64=0,0,TrRoad_ene!S67/TrRoad_tech!S95)</f>
        <v>0.92684423665238513</v>
      </c>
      <c r="T122" s="91">
        <f>IF(TrRoad_act!T64=0,0,TrRoad_ene!T67/TrRoad_tech!T95)</f>
        <v>0.9618023441804251</v>
      </c>
      <c r="U122" s="91">
        <f>IF(TrRoad_act!U64=0,0,TrRoad_ene!U67/TrRoad_tech!U95)</f>
        <v>1.0608777460275827</v>
      </c>
      <c r="V122" s="91">
        <f>IF(TrRoad_act!V64=0,0,TrRoad_ene!V67/TrRoad_tech!V95)</f>
        <v>1.0624550969794979</v>
      </c>
      <c r="W122" s="91">
        <f>IF(TrRoad_act!W64=0,0,TrRoad_ene!W67/TrRoad_tech!W95)</f>
        <v>1.1050560551217568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0.9789695887336104</v>
      </c>
      <c r="O123" s="91">
        <f>IF(TrRoad_act!O65=0,0,TrRoad_ene!O68/TrRoad_tech!O96)</f>
        <v>0.98963770390310934</v>
      </c>
      <c r="P123" s="91">
        <f>IF(TrRoad_act!P65=0,0,TrRoad_ene!P68/TrRoad_tech!P96)</f>
        <v>0.99726151113175232</v>
      </c>
      <c r="Q123" s="91">
        <f>IF(TrRoad_act!Q65=0,0,TrRoad_ene!Q68/TrRoad_tech!Q96)</f>
        <v>1.0115018384913448</v>
      </c>
      <c r="R123" s="91">
        <f>IF(TrRoad_act!R65=0,0,TrRoad_ene!R68/TrRoad_tech!R96)</f>
        <v>0.96992775411810961</v>
      </c>
      <c r="S123" s="91">
        <f>IF(TrRoad_act!S65=0,0,TrRoad_ene!S68/TrRoad_tech!S96)</f>
        <v>0.97638573985678456</v>
      </c>
      <c r="T123" s="91">
        <f>IF(TrRoad_act!T65=0,0,TrRoad_ene!T68/TrRoad_tech!T96)</f>
        <v>1.0769951482183719</v>
      </c>
      <c r="U123" s="91">
        <f>IF(TrRoad_act!U65=0,0,TrRoad_ene!U68/TrRoad_tech!U96)</f>
        <v>1.0791840505997055</v>
      </c>
      <c r="V123" s="91">
        <f>IF(TrRoad_act!V65=0,0,TrRoad_ene!V68/TrRoad_tech!V96)</f>
        <v>1.0845479175201358</v>
      </c>
      <c r="W123" s="91">
        <f>IF(TrRoad_act!W65=0,0,TrRoad_ene!W68/TrRoad_tech!W96)</f>
        <v>1.2557570959843245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1.0585300191854017</v>
      </c>
      <c r="N124" s="91">
        <f>IF(TrRoad_act!N66=0,0,TrRoad_ene!N69/TrRoad_tech!N97)</f>
        <v>1.0590676476987504</v>
      </c>
      <c r="O124" s="91">
        <f>IF(TrRoad_act!O66=0,0,TrRoad_ene!O69/TrRoad_tech!O97)</f>
        <v>1.0601631257046464</v>
      </c>
      <c r="P124" s="91">
        <f>IF(TrRoad_act!P66=0,0,TrRoad_ene!P69/TrRoad_tech!P97)</f>
        <v>1.061932928723649</v>
      </c>
      <c r="Q124" s="91">
        <f>IF(TrRoad_act!Q66=0,0,TrRoad_ene!Q69/TrRoad_tech!Q97)</f>
        <v>1.064470877735038</v>
      </c>
      <c r="R124" s="91">
        <f>IF(TrRoad_act!R66=0,0,TrRoad_ene!R69/TrRoad_tech!R97)</f>
        <v>1.0671712548349443</v>
      </c>
      <c r="S124" s="91">
        <f>IF(TrRoad_act!S66=0,0,TrRoad_ene!S69/TrRoad_tech!S97)</f>
        <v>1.0707983442863851</v>
      </c>
      <c r="T124" s="91">
        <f>IF(TrRoad_act!T66=0,0,TrRoad_ene!T69/TrRoad_tech!T97)</f>
        <v>1.0777176284443239</v>
      </c>
      <c r="U124" s="91">
        <f>IF(TrRoad_act!U66=0,0,TrRoad_ene!U69/TrRoad_tech!U97)</f>
        <v>1.086445173190679</v>
      </c>
      <c r="V124" s="91">
        <f>IF(TrRoad_act!V66=0,0,TrRoad_ene!V69/TrRoad_tech!V97)</f>
        <v>1.0934734979069654</v>
      </c>
      <c r="W124" s="91">
        <f>IF(TrRoad_act!W66=0,0,TrRoad_ene!W69/TrRoad_tech!W97)</f>
        <v>1.0979511323727078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1.0980495529866676</v>
      </c>
      <c r="C125" s="151">
        <f>IF(TrRoad_act!C67=0,0,TrRoad_ene!C70/TrRoad_tech!C98)</f>
        <v>1.0921188630119414</v>
      </c>
      <c r="D125" s="151">
        <f>IF(TrRoad_act!D67=0,0,TrRoad_ene!D70/TrRoad_tech!D98)</f>
        <v>1.09187722532418</v>
      </c>
      <c r="E125" s="151">
        <f>IF(TrRoad_act!E67=0,0,TrRoad_ene!E70/TrRoad_tech!E98)</f>
        <v>1.0877191612913046</v>
      </c>
      <c r="F125" s="151">
        <f>IF(TrRoad_act!F67=0,0,TrRoad_ene!F70/TrRoad_tech!F98)</f>
        <v>1.0893128860258572</v>
      </c>
      <c r="G125" s="151">
        <f>IF(TrRoad_act!G67=0,0,TrRoad_ene!G70/TrRoad_tech!G98)</f>
        <v>1.0875280900027648</v>
      </c>
      <c r="H125" s="151">
        <f>IF(TrRoad_act!H67=0,0,TrRoad_ene!H70/TrRoad_tech!H98)</f>
        <v>1.0841222953109431</v>
      </c>
      <c r="I125" s="151">
        <f>IF(TrRoad_act!I67=0,0,TrRoad_ene!I70/TrRoad_tech!I98)</f>
        <v>1.0907880085597277</v>
      </c>
      <c r="J125" s="151">
        <f>IF(TrRoad_act!J67=0,0,TrRoad_ene!J70/TrRoad_tech!J98)</f>
        <v>1.1090990210162477</v>
      </c>
      <c r="K125" s="151">
        <f>IF(TrRoad_act!K67=0,0,TrRoad_ene!K70/TrRoad_tech!K98)</f>
        <v>1.1080724727659141</v>
      </c>
      <c r="L125" s="151">
        <f>IF(TrRoad_act!L67=0,0,TrRoad_ene!L70/TrRoad_tech!L98)</f>
        <v>1.1158845770637607</v>
      </c>
      <c r="M125" s="151">
        <f>IF(TrRoad_act!M67=0,0,TrRoad_ene!M70/TrRoad_tech!M98)</f>
        <v>1.1345689509562908</v>
      </c>
      <c r="N125" s="151">
        <f>IF(TrRoad_act!N67=0,0,TrRoad_ene!N70/TrRoad_tech!N98)</f>
        <v>1.1506920229443114</v>
      </c>
      <c r="O125" s="151">
        <f>IF(TrRoad_act!O67=0,0,TrRoad_ene!O70/TrRoad_tech!O98)</f>
        <v>1.1633532454771724</v>
      </c>
      <c r="P125" s="151">
        <f>IF(TrRoad_act!P67=0,0,TrRoad_ene!P70/TrRoad_tech!P98)</f>
        <v>1.1666613104413575</v>
      </c>
      <c r="Q125" s="151">
        <f>IF(TrRoad_act!Q67=0,0,TrRoad_ene!Q70/TrRoad_tech!Q98)</f>
        <v>1.1868335769617946</v>
      </c>
      <c r="R125" s="151">
        <f>IF(TrRoad_act!R67=0,0,TrRoad_ene!R70/TrRoad_tech!R98)</f>
        <v>1.1860967850735855</v>
      </c>
      <c r="S125" s="151">
        <f>IF(TrRoad_act!S67=0,0,TrRoad_ene!S70/TrRoad_tech!S98)</f>
        <v>1.1959850959544467</v>
      </c>
      <c r="T125" s="151">
        <f>IF(TrRoad_act!T67=0,0,TrRoad_ene!T70/TrRoad_tech!T98)</f>
        <v>1.2088694146597936</v>
      </c>
      <c r="U125" s="151">
        <f>IF(TrRoad_act!U67=0,0,TrRoad_ene!U70/TrRoad_tech!U98)</f>
        <v>1.2279147691503978</v>
      </c>
      <c r="V125" s="151">
        <f>IF(TrRoad_act!V67=0,0,TrRoad_ene!V70/TrRoad_tech!V98)</f>
        <v>1.2194031976320183</v>
      </c>
      <c r="W125" s="151">
        <f>IF(TrRoad_act!W67=0,0,TrRoad_ene!W70/TrRoad_tech!W98)</f>
        <v>1.2684180089765542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1.1000000000067296</v>
      </c>
      <c r="E126" s="93">
        <f>IF(TrRoad_act!E68=0,0,TrRoad_ene!E71/TrRoad_tech!E99)</f>
        <v>1.10000000000673</v>
      </c>
      <c r="F126" s="93">
        <f>IF(TrRoad_act!F68=0,0,TrRoad_ene!F71/TrRoad_tech!F99)</f>
        <v>1.10000000000673</v>
      </c>
      <c r="G126" s="93">
        <f>IF(TrRoad_act!G68=0,0,TrRoad_ene!G71/TrRoad_tech!G99)</f>
        <v>1.10000000000673</v>
      </c>
      <c r="H126" s="93">
        <f>IF(TrRoad_act!H68=0,0,TrRoad_ene!H71/TrRoad_tech!H99)</f>
        <v>1.1000000000067303</v>
      </c>
      <c r="I126" s="93">
        <f>IF(TrRoad_act!I68=0,0,TrRoad_ene!I71/TrRoad_tech!I99)</f>
        <v>1.1013827538660699</v>
      </c>
      <c r="J126" s="93">
        <f>IF(TrRoad_act!J68=0,0,TrRoad_ene!J71/TrRoad_tech!J99)</f>
        <v>1.1070952727619037</v>
      </c>
      <c r="K126" s="93">
        <f>IF(TrRoad_act!K68=0,0,TrRoad_ene!K71/TrRoad_tech!K99)</f>
        <v>1.1114373442024679</v>
      </c>
      <c r="L126" s="93">
        <f>IF(TrRoad_act!L68=0,0,TrRoad_ene!L71/TrRoad_tech!L99)</f>
        <v>1.1150523866867146</v>
      </c>
      <c r="M126" s="93">
        <f>IF(TrRoad_act!M68=0,0,TrRoad_ene!M71/TrRoad_tech!M99)</f>
        <v>1.1178348322081038</v>
      </c>
      <c r="N126" s="93">
        <f>IF(TrRoad_act!N68=0,0,TrRoad_ene!N71/TrRoad_tech!N99)</f>
        <v>1.1192990981988713</v>
      </c>
      <c r="O126" s="93">
        <f>IF(TrRoad_act!O68=0,0,TrRoad_ene!O71/TrRoad_tech!O99)</f>
        <v>1.1923030831801271</v>
      </c>
      <c r="P126" s="93">
        <f>IF(TrRoad_act!P68=0,0,TrRoad_ene!P71/TrRoad_tech!P99)</f>
        <v>1.2358591168189459</v>
      </c>
      <c r="Q126" s="93">
        <f>IF(TrRoad_act!Q68=0,0,TrRoad_ene!Q71/TrRoad_tech!Q99)</f>
        <v>1.2405278658100058</v>
      </c>
      <c r="R126" s="93">
        <f>IF(TrRoad_act!R68=0,0,TrRoad_ene!R71/TrRoad_tech!R99)</f>
        <v>1.2410682241907998</v>
      </c>
      <c r="S126" s="93">
        <f>IF(TrRoad_act!S68=0,0,TrRoad_ene!S71/TrRoad_tech!S99)</f>
        <v>1.2442627105147308</v>
      </c>
      <c r="T126" s="93">
        <f>IF(TrRoad_act!T68=0,0,TrRoad_ene!T71/TrRoad_tech!T99)</f>
        <v>1.2472065463469706</v>
      </c>
      <c r="U126" s="93">
        <f>IF(TrRoad_act!U68=0,0,TrRoad_ene!U71/TrRoad_tech!U99)</f>
        <v>1.2977878991555452</v>
      </c>
      <c r="V126" s="93">
        <f>IF(TrRoad_act!V68=0,0,TrRoad_ene!V71/TrRoad_tech!V99)</f>
        <v>1.3017404141535061</v>
      </c>
      <c r="W126" s="93">
        <f>IF(TrRoad_act!W68=0,0,TrRoad_ene!W71/TrRoad_tech!W99)</f>
        <v>1.3050814328603957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1.1005494337065087</v>
      </c>
      <c r="D127" s="93">
        <f>IF(TrRoad_act!D69=0,0,TrRoad_ene!D72/TrRoad_tech!D100)</f>
        <v>1.1017987067289012</v>
      </c>
      <c r="E127" s="93">
        <f>IF(TrRoad_act!E69=0,0,TrRoad_ene!E72/TrRoad_tech!E100)</f>
        <v>1.1036166021661693</v>
      </c>
      <c r="F127" s="93">
        <f>IF(TrRoad_act!F69=0,0,TrRoad_ene!F72/TrRoad_tech!F100)</f>
        <v>1.1061072554609519</v>
      </c>
      <c r="G127" s="93">
        <f>IF(TrRoad_act!G69=0,0,TrRoad_ene!G72/TrRoad_tech!G100)</f>
        <v>1.1097054627552727</v>
      </c>
      <c r="H127" s="93">
        <f>IF(TrRoad_act!H69=0,0,TrRoad_ene!H72/TrRoad_tech!H100)</f>
        <v>1.1140945844645487</v>
      </c>
      <c r="I127" s="93">
        <f>IF(TrRoad_act!I69=0,0,TrRoad_ene!I72/TrRoad_tech!I100)</f>
        <v>1.1189542295350892</v>
      </c>
      <c r="J127" s="93">
        <f>IF(TrRoad_act!J69=0,0,TrRoad_ene!J72/TrRoad_tech!J100)</f>
        <v>1.1249628156332379</v>
      </c>
      <c r="K127" s="93">
        <f>IF(TrRoad_act!K69=0,0,TrRoad_ene!K72/TrRoad_tech!K100)</f>
        <v>1.1311364766905851</v>
      </c>
      <c r="L127" s="93">
        <f>IF(TrRoad_act!L69=0,0,TrRoad_ene!L72/TrRoad_tech!L100)</f>
        <v>1.1383281988300331</v>
      </c>
      <c r="M127" s="93">
        <f>IF(TrRoad_act!M69=0,0,TrRoad_ene!M72/TrRoad_tech!M100)</f>
        <v>1.147953671857348</v>
      </c>
      <c r="N127" s="93">
        <f>IF(TrRoad_act!N69=0,0,TrRoad_ene!N72/TrRoad_tech!N100)</f>
        <v>1.154892846203061</v>
      </c>
      <c r="O127" s="93">
        <f>IF(TrRoad_act!O69=0,0,TrRoad_ene!O72/TrRoad_tech!O100)</f>
        <v>1.1615841612800082</v>
      </c>
      <c r="P127" s="93">
        <f>IF(TrRoad_act!P69=0,0,TrRoad_ene!P72/TrRoad_tech!P100)</f>
        <v>1.1740955025445066</v>
      </c>
      <c r="Q127" s="93">
        <f>IF(TrRoad_act!Q69=0,0,TrRoad_ene!Q72/TrRoad_tech!Q100)</f>
        <v>1.1878659488271361</v>
      </c>
      <c r="R127" s="93">
        <f>IF(TrRoad_act!R69=0,0,TrRoad_ene!R72/TrRoad_tech!R100)</f>
        <v>1.2000031969881952</v>
      </c>
      <c r="S127" s="93">
        <f>IF(TrRoad_act!S69=0,0,TrRoad_ene!S72/TrRoad_tech!S100)</f>
        <v>1.212171399286293</v>
      </c>
      <c r="T127" s="93">
        <f>IF(TrRoad_act!T69=0,0,TrRoad_ene!T72/TrRoad_tech!T100)</f>
        <v>1.2275889484126006</v>
      </c>
      <c r="U127" s="93">
        <f>IF(TrRoad_act!U69=0,0,TrRoad_ene!U72/TrRoad_tech!U100)</f>
        <v>1.2414632137006532</v>
      </c>
      <c r="V127" s="93">
        <f>IF(TrRoad_act!V69=0,0,TrRoad_ene!V72/TrRoad_tech!V100)</f>
        <v>1.2562534058081636</v>
      </c>
      <c r="W127" s="93">
        <f>IF(TrRoad_act!W69=0,0,TrRoad_ene!W72/TrRoad_tech!W100)</f>
        <v>1.2673187262200942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1.1005836006121001</v>
      </c>
      <c r="D128" s="93">
        <f>IF(TrRoad_act!D70=0,0,TrRoad_ene!D73/TrRoad_tech!D101)</f>
        <v>1.1006077922035127</v>
      </c>
      <c r="E128" s="93">
        <f>IF(TrRoad_act!E70=0,0,TrRoad_ene!E73/TrRoad_tech!E101)</f>
        <v>1.1035398590579231</v>
      </c>
      <c r="F128" s="93">
        <f>IF(TrRoad_act!F70=0,0,TrRoad_ene!F73/TrRoad_tech!F101)</f>
        <v>1.1123756141524292</v>
      </c>
      <c r="G128" s="93">
        <f>IF(TrRoad_act!G70=0,0,TrRoad_ene!G73/TrRoad_tech!G101)</f>
        <v>1.1200139995921401</v>
      </c>
      <c r="H128" s="93">
        <f>IF(TrRoad_act!H70=0,0,TrRoad_ene!H73/TrRoad_tech!H101)</f>
        <v>1.1230902426699678</v>
      </c>
      <c r="I128" s="93">
        <f>IF(TrRoad_act!I70=0,0,TrRoad_ene!I73/TrRoad_tech!I101)</f>
        <v>1.1295203907804581</v>
      </c>
      <c r="J128" s="93">
        <f>IF(TrRoad_act!J70=0,0,TrRoad_ene!J73/TrRoad_tech!J101)</f>
        <v>1.1374865230086297</v>
      </c>
      <c r="K128" s="93">
        <f>IF(TrRoad_act!K70=0,0,TrRoad_ene!K73/TrRoad_tech!K101)</f>
        <v>1.1515714957431753</v>
      </c>
      <c r="L128" s="93">
        <f>IF(TrRoad_act!L70=0,0,TrRoad_ene!L73/TrRoad_tech!L101)</f>
        <v>1.1519423226208345</v>
      </c>
      <c r="M128" s="93">
        <f>IF(TrRoad_act!M70=0,0,TrRoad_ene!M73/TrRoad_tech!M101)</f>
        <v>1.1531069994296042</v>
      </c>
      <c r="N128" s="93">
        <f>IF(TrRoad_act!N70=0,0,TrRoad_ene!N73/TrRoad_tech!N101)</f>
        <v>1.1540632774628092</v>
      </c>
      <c r="O128" s="93">
        <f>IF(TrRoad_act!O70=0,0,TrRoad_ene!O73/TrRoad_tech!O101)</f>
        <v>1.155508302461719</v>
      </c>
      <c r="P128" s="93">
        <f>IF(TrRoad_act!P70=0,0,TrRoad_ene!P73/TrRoad_tech!P101)</f>
        <v>1.1566537931616241</v>
      </c>
      <c r="Q128" s="93">
        <f>IF(TrRoad_act!Q70=0,0,TrRoad_ene!Q73/TrRoad_tech!Q101)</f>
        <v>1.1575956289523726</v>
      </c>
      <c r="R128" s="93">
        <f>IF(TrRoad_act!R70=0,0,TrRoad_ene!R73/TrRoad_tech!R101)</f>
        <v>1.1583964409244396</v>
      </c>
      <c r="S128" s="93">
        <f>IF(TrRoad_act!S70=0,0,TrRoad_ene!S73/TrRoad_tech!S101)</f>
        <v>1.1636355605058999</v>
      </c>
      <c r="T128" s="93">
        <f>IF(TrRoad_act!T70=0,0,TrRoad_ene!T73/TrRoad_tech!T101)</f>
        <v>1.1951909575466293</v>
      </c>
      <c r="U128" s="93">
        <f>IF(TrRoad_act!U70=0,0,TrRoad_ene!U73/TrRoad_tech!U101)</f>
        <v>1.1956827375165318</v>
      </c>
      <c r="V128" s="93">
        <f>IF(TrRoad_act!V70=0,0,TrRoad_ene!V73/TrRoad_tech!V101)</f>
        <v>1.2006545125037111</v>
      </c>
      <c r="W128" s="93">
        <f>IF(TrRoad_act!W70=0,0,TrRoad_ene!W73/TrRoad_tech!W101)</f>
        <v>1.2028575437674067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9.7726771955786482E-2</v>
      </c>
      <c r="C129" s="93">
        <f>IF(TrRoad_act!C71=0,0,TrRoad_ene!C74/TrRoad_tech!C102)</f>
        <v>9.7807295657066987E-2</v>
      </c>
      <c r="D129" s="93">
        <f>IF(TrRoad_act!D71=0,0,TrRoad_ene!D74/TrRoad_tech!D102)</f>
        <v>9.7862013868849615E-2</v>
      </c>
      <c r="E129" s="93">
        <f>IF(TrRoad_act!E71=0,0,TrRoad_ene!E74/TrRoad_tech!E102)</f>
        <v>9.7687604744986486E-2</v>
      </c>
      <c r="F129" s="93">
        <f>IF(TrRoad_act!F71=0,0,TrRoad_ene!F74/TrRoad_tech!F102)</f>
        <v>9.7672115727891196E-2</v>
      </c>
      <c r="G129" s="93">
        <f>IF(TrRoad_act!G71=0,0,TrRoad_ene!G74/TrRoad_tech!G102)</f>
        <v>9.7444077359602671E-2</v>
      </c>
      <c r="H129" s="93">
        <f>IF(TrRoad_act!H71=0,0,TrRoad_ene!H74/TrRoad_tech!H102)</f>
        <v>9.8202054884013276E-2</v>
      </c>
      <c r="I129" s="93">
        <f>IF(TrRoad_act!I71=0,0,TrRoad_ene!I74/TrRoad_tech!I102)</f>
        <v>0.32443559485646911</v>
      </c>
      <c r="J129" s="93">
        <f>IF(TrRoad_act!J71=0,0,TrRoad_ene!J74/TrRoad_tech!J102)</f>
        <v>0.72565926879696918</v>
      </c>
      <c r="K129" s="93">
        <f>IF(TrRoad_act!K71=0,0,TrRoad_ene!K74/TrRoad_tech!K102)</f>
        <v>0.5239817630766177</v>
      </c>
      <c r="L129" s="93">
        <f>IF(TrRoad_act!L71=0,0,TrRoad_ene!L74/TrRoad_tech!L102)</f>
        <v>0.55549668984348788</v>
      </c>
      <c r="M129" s="93">
        <f>IF(TrRoad_act!M71=0,0,TrRoad_ene!M74/TrRoad_tech!M102)</f>
        <v>0.88798274461546889</v>
      </c>
      <c r="N129" s="93">
        <f>IF(TrRoad_act!N71=0,0,TrRoad_ene!N74/TrRoad_tech!N102)</f>
        <v>1.1185757512284147</v>
      </c>
      <c r="O129" s="93">
        <f>IF(TrRoad_act!O71=0,0,TrRoad_ene!O74/TrRoad_tech!O102)</f>
        <v>1.194574981717228</v>
      </c>
      <c r="P129" s="93">
        <f>IF(TrRoad_act!P71=0,0,TrRoad_ene!P74/TrRoad_tech!P102)</f>
        <v>1.039362004930986</v>
      </c>
      <c r="Q129" s="93">
        <f>IF(TrRoad_act!Q71=0,0,TrRoad_ene!Q74/TrRoad_tech!Q102)</f>
        <v>1.199764390761159</v>
      </c>
      <c r="R129" s="93">
        <f>IF(TrRoad_act!R71=0,0,TrRoad_ene!R74/TrRoad_tech!R102)</f>
        <v>0.8061335206244038</v>
      </c>
      <c r="S129" s="93">
        <f>IF(TrRoad_act!S71=0,0,TrRoad_ene!S74/TrRoad_tech!S102)</f>
        <v>0.86703608446603397</v>
      </c>
      <c r="T129" s="93">
        <f>IF(TrRoad_act!T71=0,0,TrRoad_ene!T74/TrRoad_tech!T102)</f>
        <v>0.86282612521317792</v>
      </c>
      <c r="U129" s="93">
        <f>IF(TrRoad_act!U71=0,0,TrRoad_ene!U74/TrRoad_tech!U102)</f>
        <v>0.94004307636367979</v>
      </c>
      <c r="V129" s="93">
        <f>IF(TrRoad_act!V71=0,0,TrRoad_ene!V74/TrRoad_tech!V102)</f>
        <v>0.4705551343593346</v>
      </c>
      <c r="W129" s="93">
        <f>IF(TrRoad_act!W71=0,0,TrRoad_ene!W74/TrRoad_tech!W102)</f>
        <v>1.3144115364918449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1.2560000000062248</v>
      </c>
      <c r="P130" s="93">
        <f>IF(TrRoad_act!P72=0,0,TrRoad_ene!P75/TrRoad_tech!P103)</f>
        <v>1.2560000000062246</v>
      </c>
      <c r="Q130" s="93">
        <f>IF(TrRoad_act!Q72=0,0,TrRoad_ene!Q75/TrRoad_tech!Q103)</f>
        <v>1.2560000000062244</v>
      </c>
      <c r="R130" s="93">
        <f>IF(TrRoad_act!R72=0,0,TrRoad_ene!R75/TrRoad_tech!R103)</f>
        <v>1.2560000000062246</v>
      </c>
      <c r="S130" s="93">
        <f>IF(TrRoad_act!S72=0,0,TrRoad_ene!S75/TrRoad_tech!S103)</f>
        <v>1.2560000000062246</v>
      </c>
      <c r="T130" s="93">
        <f>IF(TrRoad_act!T72=0,0,TrRoad_ene!T75/TrRoad_tech!T103)</f>
        <v>1.2668908222128386</v>
      </c>
      <c r="U130" s="93">
        <f>IF(TrRoad_act!U72=0,0,TrRoad_ene!U75/TrRoad_tech!U103)</f>
        <v>1.2778718700015514</v>
      </c>
      <c r="V130" s="93">
        <f>IF(TrRoad_act!V72=0,0,TrRoad_ene!V75/TrRoad_tech!V103)</f>
        <v>1.2855003191236971</v>
      </c>
      <c r="W130" s="93">
        <f>IF(TrRoad_act!W72=0,0,TrRoad_ene!W75/TrRoad_tech!W103)</f>
        <v>1.3164695258132841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1.105930998139238</v>
      </c>
      <c r="C132" s="150">
        <f>IF(TrRoad_act!C74=0,0,TrRoad_ene!C77/TrRoad_tech!C105)</f>
        <v>1.0918114462810005</v>
      </c>
      <c r="D132" s="150">
        <f>IF(TrRoad_act!D74=0,0,TrRoad_ene!D77/TrRoad_tech!D105)</f>
        <v>1.0794756277288791</v>
      </c>
      <c r="E132" s="150">
        <f>IF(TrRoad_act!E74=0,0,TrRoad_ene!E77/TrRoad_tech!E105)</f>
        <v>1.0716498842504927</v>
      </c>
      <c r="F132" s="150">
        <f>IF(TrRoad_act!F74=0,0,TrRoad_ene!F77/TrRoad_tech!F105)</f>
        <v>1.0676900575798909</v>
      </c>
      <c r="G132" s="150">
        <f>IF(TrRoad_act!G74=0,0,TrRoad_ene!G77/TrRoad_tech!G105)</f>
        <v>1.0640293355667676</v>
      </c>
      <c r="H132" s="150">
        <f>IF(TrRoad_act!H74=0,0,TrRoad_ene!H77/TrRoad_tech!H105)</f>
        <v>1.0626068298679778</v>
      </c>
      <c r="I132" s="150">
        <f>IF(TrRoad_act!I74=0,0,TrRoad_ene!I77/TrRoad_tech!I105)</f>
        <v>1.0638196483979394</v>
      </c>
      <c r="J132" s="150">
        <f>IF(TrRoad_act!J74=0,0,TrRoad_ene!J77/TrRoad_tech!J105)</f>
        <v>1.0664461329121071</v>
      </c>
      <c r="K132" s="150">
        <f>IF(TrRoad_act!K74=0,0,TrRoad_ene!K77/TrRoad_tech!K105)</f>
        <v>1.0694380380125215</v>
      </c>
      <c r="L132" s="150">
        <f>IF(TrRoad_act!L74=0,0,TrRoad_ene!L77/TrRoad_tech!L105)</f>
        <v>1.0745638107055457</v>
      </c>
      <c r="M132" s="150">
        <f>IF(TrRoad_act!M74=0,0,TrRoad_ene!M77/TrRoad_tech!M105)</f>
        <v>1.0806109652259013</v>
      </c>
      <c r="N132" s="150">
        <f>IF(TrRoad_act!N74=0,0,TrRoad_ene!N77/TrRoad_tech!N105)</f>
        <v>1.0898564842054173</v>
      </c>
      <c r="O132" s="150">
        <f>IF(TrRoad_act!O74=0,0,TrRoad_ene!O77/TrRoad_tech!O105)</f>
        <v>1.1022871896362445</v>
      </c>
      <c r="P132" s="150">
        <f>IF(TrRoad_act!P74=0,0,TrRoad_ene!P77/TrRoad_tech!P105)</f>
        <v>1.1160732317495587</v>
      </c>
      <c r="Q132" s="150">
        <f>IF(TrRoad_act!Q74=0,0,TrRoad_ene!Q77/TrRoad_tech!Q105)</f>
        <v>1.1230721279414202</v>
      </c>
      <c r="R132" s="150">
        <f>IF(TrRoad_act!R74=0,0,TrRoad_ene!R77/TrRoad_tech!R105)</f>
        <v>1.1409911922792051</v>
      </c>
      <c r="S132" s="150">
        <f>IF(TrRoad_act!S74=0,0,TrRoad_ene!S77/TrRoad_tech!S105)</f>
        <v>1.154498602755613</v>
      </c>
      <c r="T132" s="150">
        <f>IF(TrRoad_act!T74=0,0,TrRoad_ene!T77/TrRoad_tech!T105)</f>
        <v>1.1700245355640442</v>
      </c>
      <c r="U132" s="150">
        <f>IF(TrRoad_act!U74=0,0,TrRoad_ene!U77/TrRoad_tech!U105)</f>
        <v>1.1835728988637686</v>
      </c>
      <c r="V132" s="150">
        <f>IF(TrRoad_act!V74=0,0,TrRoad_ene!V77/TrRoad_tech!V105)</f>
        <v>1.1959555400339306</v>
      </c>
      <c r="W132" s="150">
        <f>IF(TrRoad_act!W74=0,0,TrRoad_ene!W77/TrRoad_tech!W105)</f>
        <v>1.211188677307655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1.1000508823441748</v>
      </c>
      <c r="D133" s="91">
        <f>IF(TrRoad_act!D75=0,0,TrRoad_ene!D78/TrRoad_tech!D106)</f>
        <v>1.100197133217466</v>
      </c>
      <c r="E133" s="91">
        <f>IF(TrRoad_act!E75=0,0,TrRoad_ene!E78/TrRoad_tech!E106)</f>
        <v>1.1004142758166839</v>
      </c>
      <c r="F133" s="91">
        <f>IF(TrRoad_act!F75=0,0,TrRoad_ene!F78/TrRoad_tech!F106)</f>
        <v>1.1006264442870686</v>
      </c>
      <c r="G133" s="91">
        <f>IF(TrRoad_act!G75=0,0,TrRoad_ene!G78/TrRoad_tech!G106)</f>
        <v>1.1010862912854193</v>
      </c>
      <c r="H133" s="91">
        <f>IF(TrRoad_act!H75=0,0,TrRoad_ene!H78/TrRoad_tech!H106)</f>
        <v>1.1019829293262313</v>
      </c>
      <c r="I133" s="91">
        <f>IF(TrRoad_act!I75=0,0,TrRoad_ene!I78/TrRoad_tech!I106)</f>
        <v>1.1022217295826915</v>
      </c>
      <c r="J133" s="91">
        <f>IF(TrRoad_act!J75=0,0,TrRoad_ene!J78/TrRoad_tech!J106)</f>
        <v>1.1032850819341709</v>
      </c>
      <c r="K133" s="91">
        <f>IF(TrRoad_act!K75=0,0,TrRoad_ene!K78/TrRoad_tech!K106)</f>
        <v>1.1043163237139431</v>
      </c>
      <c r="L133" s="91">
        <f>IF(TrRoad_act!L75=0,0,TrRoad_ene!L78/TrRoad_tech!L106)</f>
        <v>1.105319518405931</v>
      </c>
      <c r="M133" s="91">
        <f>IF(TrRoad_act!M75=0,0,TrRoad_ene!M78/TrRoad_tech!M106)</f>
        <v>1.1088441669306661</v>
      </c>
      <c r="N133" s="91">
        <f>IF(TrRoad_act!N75=0,0,TrRoad_ene!N78/TrRoad_tech!N106)</f>
        <v>1.1125483805440735</v>
      </c>
      <c r="O133" s="91">
        <f>IF(TrRoad_act!O75=0,0,TrRoad_ene!O78/TrRoad_tech!O106)</f>
        <v>1.1181228972857611</v>
      </c>
      <c r="P133" s="91">
        <f>IF(TrRoad_act!P75=0,0,TrRoad_ene!P78/TrRoad_tech!P106)</f>
        <v>1.1259124366229021</v>
      </c>
      <c r="Q133" s="91">
        <f>IF(TrRoad_act!Q75=0,0,TrRoad_ene!Q78/TrRoad_tech!Q106)</f>
        <v>1.1343180241833037</v>
      </c>
      <c r="R133" s="91">
        <f>IF(TrRoad_act!R75=0,0,TrRoad_ene!R78/TrRoad_tech!R106)</f>
        <v>1.1447797936850186</v>
      </c>
      <c r="S133" s="91">
        <f>IF(TrRoad_act!S75=0,0,TrRoad_ene!S78/TrRoad_tech!S106)</f>
        <v>1.1543989655948059</v>
      </c>
      <c r="T133" s="91">
        <f>IF(TrRoad_act!T75=0,0,TrRoad_ene!T78/TrRoad_tech!T106)</f>
        <v>1.1691418093303469</v>
      </c>
      <c r="U133" s="91">
        <f>IF(TrRoad_act!U75=0,0,TrRoad_ene!U78/TrRoad_tech!U106)</f>
        <v>1.1898188602469824</v>
      </c>
      <c r="V133" s="91">
        <f>IF(TrRoad_act!V75=0,0,TrRoad_ene!V78/TrRoad_tech!V106)</f>
        <v>1.205253436459252</v>
      </c>
      <c r="W133" s="91">
        <f>IF(TrRoad_act!W75=0,0,TrRoad_ene!W78/TrRoad_tech!W106)</f>
        <v>1.2382602789471673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1.1000969140145895</v>
      </c>
      <c r="D134" s="91">
        <f>IF(TrRoad_act!D76=0,0,TrRoad_ene!D79/TrRoad_tech!D107)</f>
        <v>1.1003621592694364</v>
      </c>
      <c r="E134" s="91">
        <f>IF(TrRoad_act!E76=0,0,TrRoad_ene!E79/TrRoad_tech!E107)</f>
        <v>1.1007581440438927</v>
      </c>
      <c r="F134" s="91">
        <f>IF(TrRoad_act!F76=0,0,TrRoad_ene!F79/TrRoad_tech!F107)</f>
        <v>1.1011626512071997</v>
      </c>
      <c r="G134" s="91">
        <f>IF(TrRoad_act!G76=0,0,TrRoad_ene!G79/TrRoad_tech!G107)</f>
        <v>1.1019585463147286</v>
      </c>
      <c r="H134" s="91">
        <f>IF(TrRoad_act!H76=0,0,TrRoad_ene!H79/TrRoad_tech!H107)</f>
        <v>1.103282770164262</v>
      </c>
      <c r="I134" s="91">
        <f>IF(TrRoad_act!I76=0,0,TrRoad_ene!I79/TrRoad_tech!I107)</f>
        <v>1.1052813216404758</v>
      </c>
      <c r="J134" s="91">
        <f>IF(TrRoad_act!J76=0,0,TrRoad_ene!J79/TrRoad_tech!J107)</f>
        <v>1.1074981284905292</v>
      </c>
      <c r="K134" s="91">
        <f>IF(TrRoad_act!K76=0,0,TrRoad_ene!K79/TrRoad_tech!K107)</f>
        <v>1.1103317826985313</v>
      </c>
      <c r="L134" s="91">
        <f>IF(TrRoad_act!L76=0,0,TrRoad_ene!L79/TrRoad_tech!L107)</f>
        <v>1.1127259944598837</v>
      </c>
      <c r="M134" s="91">
        <f>IF(TrRoad_act!M76=0,0,TrRoad_ene!M79/TrRoad_tech!M107)</f>
        <v>1.1159953281102062</v>
      </c>
      <c r="N134" s="91">
        <f>IF(TrRoad_act!N76=0,0,TrRoad_ene!N79/TrRoad_tech!N107)</f>
        <v>1.1219652357742493</v>
      </c>
      <c r="O134" s="91">
        <f>IF(TrRoad_act!O76=0,0,TrRoad_ene!O79/TrRoad_tech!O107)</f>
        <v>1.1286656152120575</v>
      </c>
      <c r="P134" s="91">
        <f>IF(TrRoad_act!P76=0,0,TrRoad_ene!P79/TrRoad_tech!P107)</f>
        <v>1.1373260486175787</v>
      </c>
      <c r="Q134" s="91">
        <f>IF(TrRoad_act!Q76=0,0,TrRoad_ene!Q79/TrRoad_tech!Q107)</f>
        <v>1.1469496596679425</v>
      </c>
      <c r="R134" s="91">
        <f>IF(TrRoad_act!R76=0,0,TrRoad_ene!R79/TrRoad_tech!R107)</f>
        <v>1.1610981120118791</v>
      </c>
      <c r="S134" s="91">
        <f>IF(TrRoad_act!S76=0,0,TrRoad_ene!S79/TrRoad_tech!S107)</f>
        <v>1.1756811601356427</v>
      </c>
      <c r="T134" s="91">
        <f>IF(TrRoad_act!T76=0,0,TrRoad_ene!T79/TrRoad_tech!T107)</f>
        <v>1.1899252526462865</v>
      </c>
      <c r="U134" s="91">
        <f>IF(TrRoad_act!U76=0,0,TrRoad_ene!U79/TrRoad_tech!U107)</f>
        <v>1.20292769603577</v>
      </c>
      <c r="V134" s="91">
        <f>IF(TrRoad_act!V76=0,0,TrRoad_ene!V79/TrRoad_tech!V107)</f>
        <v>1.2158366482577652</v>
      </c>
      <c r="W134" s="91">
        <f>IF(TrRoad_act!W76=0,0,TrRoad_ene!W79/TrRoad_tech!W107)</f>
        <v>1.2293302652884133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1.100119525382016</v>
      </c>
      <c r="D135" s="91">
        <f>IF(TrRoad_act!D77=0,0,TrRoad_ene!D80/TrRoad_tech!D108)</f>
        <v>1.1004154685785141</v>
      </c>
      <c r="E135" s="91">
        <f>IF(TrRoad_act!E77=0,0,TrRoad_ene!E80/TrRoad_tech!E108)</f>
        <v>1.1008613366133928</v>
      </c>
      <c r="F135" s="91">
        <f>IF(TrRoad_act!F77=0,0,TrRoad_ene!F80/TrRoad_tech!F108)</f>
        <v>1.1013757930750645</v>
      </c>
      <c r="G135" s="91">
        <f>IF(TrRoad_act!G77=0,0,TrRoad_ene!G80/TrRoad_tech!G108)</f>
        <v>1.1022341649863188</v>
      </c>
      <c r="H135" s="91">
        <f>IF(TrRoad_act!H77=0,0,TrRoad_ene!H80/TrRoad_tech!H108)</f>
        <v>1.103799668417039</v>
      </c>
      <c r="I135" s="91">
        <f>IF(TrRoad_act!I77=0,0,TrRoad_ene!I80/TrRoad_tech!I108)</f>
        <v>1.1040532297494527</v>
      </c>
      <c r="J135" s="91">
        <f>IF(TrRoad_act!J77=0,0,TrRoad_ene!J80/TrRoad_tech!J108)</f>
        <v>1.108131445489422</v>
      </c>
      <c r="K135" s="91">
        <f>IF(TrRoad_act!K77=0,0,TrRoad_ene!K80/TrRoad_tech!K108)</f>
        <v>1.1153383455202701</v>
      </c>
      <c r="L135" s="91">
        <f>IF(TrRoad_act!L77=0,0,TrRoad_ene!L80/TrRoad_tech!L108)</f>
        <v>1.1191331021133555</v>
      </c>
      <c r="M135" s="91">
        <f>IF(TrRoad_act!M77=0,0,TrRoad_ene!M80/TrRoad_tech!M108)</f>
        <v>1.1216734051514612</v>
      </c>
      <c r="N135" s="91">
        <f>IF(TrRoad_act!N77=0,0,TrRoad_ene!N80/TrRoad_tech!N108)</f>
        <v>1.137049766482372</v>
      </c>
      <c r="O135" s="91">
        <f>IF(TrRoad_act!O77=0,0,TrRoad_ene!O80/TrRoad_tech!O108)</f>
        <v>1.1433291199661386</v>
      </c>
      <c r="P135" s="91">
        <f>IF(TrRoad_act!P77=0,0,TrRoad_ene!P80/TrRoad_tech!P108)</f>
        <v>1.1504481825424542</v>
      </c>
      <c r="Q135" s="91">
        <f>IF(TrRoad_act!Q77=0,0,TrRoad_ene!Q80/TrRoad_tech!Q108)</f>
        <v>1.1599463609247773</v>
      </c>
      <c r="R135" s="91">
        <f>IF(TrRoad_act!R77=0,0,TrRoad_ene!R80/TrRoad_tech!R108)</f>
        <v>1.1730308846202169</v>
      </c>
      <c r="S135" s="91">
        <f>IF(TrRoad_act!S77=0,0,TrRoad_ene!S80/TrRoad_tech!S108)</f>
        <v>1.1854683536095787</v>
      </c>
      <c r="T135" s="91">
        <f>IF(TrRoad_act!T77=0,0,TrRoad_ene!T80/TrRoad_tech!T108)</f>
        <v>1.1970916588334599</v>
      </c>
      <c r="U135" s="91">
        <f>IF(TrRoad_act!U77=0,0,TrRoad_ene!U80/TrRoad_tech!U108)</f>
        <v>1.2142899241049732</v>
      </c>
      <c r="V135" s="91">
        <f>IF(TrRoad_act!V77=0,0,TrRoad_ene!V80/TrRoad_tech!V108)</f>
        <v>1.2245312119241498</v>
      </c>
      <c r="W135" s="91">
        <f>IF(TrRoad_act!W77=0,0,TrRoad_ene!W80/TrRoad_tech!W108)</f>
        <v>1.2560394494603622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1.0946761682226929</v>
      </c>
      <c r="C136" s="91">
        <f>IF(TrRoad_act!C78=0,0,TrRoad_ene!C81/TrRoad_tech!C109)</f>
        <v>1.0962945090134908</v>
      </c>
      <c r="D136" s="91">
        <f>IF(TrRoad_act!D78=0,0,TrRoad_ene!D81/TrRoad_tech!D109)</f>
        <v>1.0986329677643529</v>
      </c>
      <c r="E136" s="91">
        <f>IF(TrRoad_act!E78=0,0,TrRoad_ene!E81/TrRoad_tech!E109)</f>
        <v>1.0992846228068798</v>
      </c>
      <c r="F136" s="91">
        <f>IF(TrRoad_act!F78=0,0,TrRoad_ene!F81/TrRoad_tech!F109)</f>
        <v>1.1022919142617649</v>
      </c>
      <c r="G136" s="91">
        <f>IF(TrRoad_act!G78=0,0,TrRoad_ene!G81/TrRoad_tech!G109)</f>
        <v>1.1046759315785559</v>
      </c>
      <c r="H136" s="91">
        <f>IF(TrRoad_act!H78=0,0,TrRoad_ene!H81/TrRoad_tech!H109)</f>
        <v>1.1193314348717263</v>
      </c>
      <c r="I136" s="91">
        <f>IF(TrRoad_act!I78=0,0,TrRoad_ene!I81/TrRoad_tech!I109)</f>
        <v>1.1213694443724687</v>
      </c>
      <c r="J136" s="91">
        <f>IF(TrRoad_act!J78=0,0,TrRoad_ene!J81/TrRoad_tech!J109)</f>
        <v>1.1355483890813785</v>
      </c>
      <c r="K136" s="91">
        <f>IF(TrRoad_act!K78=0,0,TrRoad_ene!K81/TrRoad_tech!K109)</f>
        <v>1.0858802691250917</v>
      </c>
      <c r="L136" s="91">
        <f>IF(TrRoad_act!L78=0,0,TrRoad_ene!L81/TrRoad_tech!L109)</f>
        <v>1.169336577656124</v>
      </c>
      <c r="M136" s="91">
        <f>IF(TrRoad_act!M78=0,0,TrRoad_ene!M81/TrRoad_tech!M109)</f>
        <v>1.178875969012374</v>
      </c>
      <c r="N136" s="91">
        <f>IF(TrRoad_act!N78=0,0,TrRoad_ene!N81/TrRoad_tech!N109)</f>
        <v>1.1945106062083466</v>
      </c>
      <c r="O136" s="91">
        <f>IF(TrRoad_act!O78=0,0,TrRoad_ene!O81/TrRoad_tech!O109)</f>
        <v>1.2257793963617327</v>
      </c>
      <c r="P136" s="91">
        <f>IF(TrRoad_act!P78=0,0,TrRoad_ene!P81/TrRoad_tech!P109)</f>
        <v>1.2075993821392532</v>
      </c>
      <c r="Q136" s="91">
        <f>IF(TrRoad_act!Q78=0,0,TrRoad_ene!Q81/TrRoad_tech!Q109)</f>
        <v>1.2386752109031174</v>
      </c>
      <c r="R136" s="91">
        <f>IF(TrRoad_act!R78=0,0,TrRoad_ene!R81/TrRoad_tech!R109)</f>
        <v>1.2225035040781558</v>
      </c>
      <c r="S136" s="91">
        <f>IF(TrRoad_act!S78=0,0,TrRoad_ene!S81/TrRoad_tech!S109)</f>
        <v>1.1352547236193959</v>
      </c>
      <c r="T136" s="91">
        <f>IF(TrRoad_act!T78=0,0,TrRoad_ene!T81/TrRoad_tech!T109)</f>
        <v>1.1359646540064994</v>
      </c>
      <c r="U136" s="91">
        <f>IF(TrRoad_act!U78=0,0,TrRoad_ene!U81/TrRoad_tech!U109)</f>
        <v>1.2469261446158473</v>
      </c>
      <c r="V136" s="91">
        <f>IF(TrRoad_act!V78=0,0,TrRoad_ene!V81/TrRoad_tech!V109)</f>
        <v>1.2545459996856678</v>
      </c>
      <c r="W136" s="91">
        <f>IF(TrRoad_act!W78=0,0,TrRoad_ene!W81/TrRoad_tech!W109)</f>
        <v>1.3120100470190741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1.2931011492848214</v>
      </c>
      <c r="R137" s="91">
        <f>IF(TrRoad_act!R79=0,0,TrRoad_ene!R82/TrRoad_tech!R110)</f>
        <v>1.30431347011952</v>
      </c>
      <c r="S137" s="91">
        <f>IF(TrRoad_act!S79=0,0,TrRoad_ene!S82/TrRoad_tech!S110)</f>
        <v>1.3136198456355124</v>
      </c>
      <c r="T137" s="91">
        <f>IF(TrRoad_act!T79=0,0,TrRoad_ene!T82/TrRoad_tech!T110)</f>
        <v>1.3232841483152515</v>
      </c>
      <c r="U137" s="91">
        <f>IF(TrRoad_act!U79=0,0,TrRoad_ene!U82/TrRoad_tech!U110)</f>
        <v>1.3354953055408316</v>
      </c>
      <c r="V137" s="91">
        <f>IF(TrRoad_act!V79=0,0,TrRoad_ene!V82/TrRoad_tech!V110)</f>
        <v>1.3398776637978789</v>
      </c>
      <c r="W137" s="91">
        <f>IF(TrRoad_act!W79=0,0,TrRoad_ene!W82/TrRoad_tech!W110)</f>
        <v>1.3491157681020645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0.60521655287623</v>
      </c>
      <c r="C138" s="151">
        <f>IF(TrRoad_act!C80=0,0,TrRoad_ene!C83/TrRoad_tech!C111)</f>
        <v>0.93815139008733561</v>
      </c>
      <c r="D138" s="151">
        <f>IF(TrRoad_act!D80=0,0,TrRoad_ene!D83/TrRoad_tech!D111)</f>
        <v>0.94166160492245976</v>
      </c>
      <c r="E138" s="151">
        <f>IF(TrRoad_act!E80=0,0,TrRoad_ene!E83/TrRoad_tech!E111)</f>
        <v>0.94256222529878897</v>
      </c>
      <c r="F138" s="151">
        <f>IF(TrRoad_act!F80=0,0,TrRoad_ene!F83/TrRoad_tech!F111)</f>
        <v>0.85154637216052909</v>
      </c>
      <c r="G138" s="151">
        <f>IF(TrRoad_act!G80=0,0,TrRoad_ene!G83/TrRoad_tech!G111)</f>
        <v>0.83471569644802202</v>
      </c>
      <c r="H138" s="151">
        <f>IF(TrRoad_act!H80=0,0,TrRoad_ene!H83/TrRoad_tech!H111)</f>
        <v>1.1392252735822581</v>
      </c>
      <c r="I138" s="151">
        <f>IF(TrRoad_act!I80=0,0,TrRoad_ene!I83/TrRoad_tech!I111)</f>
        <v>1.1047035949909678</v>
      </c>
      <c r="J138" s="151">
        <f>IF(TrRoad_act!J80=0,0,TrRoad_ene!J83/TrRoad_tech!J111)</f>
        <v>0.87523897734683032</v>
      </c>
      <c r="K138" s="151">
        <f>IF(TrRoad_act!K80=0,0,TrRoad_ene!K83/TrRoad_tech!K111)</f>
        <v>0.78596663334302941</v>
      </c>
      <c r="L138" s="151">
        <f>IF(TrRoad_act!L80=0,0,TrRoad_ene!L83/TrRoad_tech!L111)</f>
        <v>0.60649703810250566</v>
      </c>
      <c r="M138" s="151">
        <f>IF(TrRoad_act!M80=0,0,TrRoad_ene!M83/TrRoad_tech!M111)</f>
        <v>0.80643270386779198</v>
      </c>
      <c r="N138" s="151">
        <f>IF(TrRoad_act!N80=0,0,TrRoad_ene!N83/TrRoad_tech!N111)</f>
        <v>1.121882627478423</v>
      </c>
      <c r="O138" s="151">
        <f>IF(TrRoad_act!O80=0,0,TrRoad_ene!O83/TrRoad_tech!O111)</f>
        <v>0.89949500985260877</v>
      </c>
      <c r="P138" s="151">
        <f>IF(TrRoad_act!P80=0,0,TrRoad_ene!P83/TrRoad_tech!P111)</f>
        <v>0.86811555914866267</v>
      </c>
      <c r="Q138" s="151">
        <f>IF(TrRoad_act!Q80=0,0,TrRoad_ene!Q83/TrRoad_tech!Q111)</f>
        <v>0.97258081562423859</v>
      </c>
      <c r="R138" s="151">
        <f>IF(TrRoad_act!R80=0,0,TrRoad_ene!R83/TrRoad_tech!R111)</f>
        <v>1.0114496733127782</v>
      </c>
      <c r="S138" s="151">
        <f>IF(TrRoad_act!S80=0,0,TrRoad_ene!S83/TrRoad_tech!S111)</f>
        <v>0.59648675394353834</v>
      </c>
      <c r="T138" s="151">
        <f>IF(TrRoad_act!T80=0,0,TrRoad_ene!T83/TrRoad_tech!T111)</f>
        <v>1.0379183514987047</v>
      </c>
      <c r="U138" s="151">
        <f>IF(TrRoad_act!U80=0,0,TrRoad_ene!U83/TrRoad_tech!U111)</f>
        <v>1.0738229180612464</v>
      </c>
      <c r="V138" s="151">
        <f>IF(TrRoad_act!V80=0,0,TrRoad_ene!V83/TrRoad_tech!V111)</f>
        <v>0.92501363484752952</v>
      </c>
      <c r="W138" s="151">
        <f>IF(TrRoad_act!W80=0,0,TrRoad_ene!W83/TrRoad_tech!W111)</f>
        <v>1.4565838516498326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0.60267557979691944</v>
      </c>
      <c r="C139" s="93">
        <f>IF(TrRoad_act!C81=0,0,TrRoad_ene!C84/TrRoad_tech!C112)</f>
        <v>0.93537845873559233</v>
      </c>
      <c r="D139" s="93">
        <f>IF(TrRoad_act!D81=0,0,TrRoad_ene!D84/TrRoad_tech!D112)</f>
        <v>0.94005187668107426</v>
      </c>
      <c r="E139" s="93">
        <f>IF(TrRoad_act!E81=0,0,TrRoad_ene!E84/TrRoad_tech!E112)</f>
        <v>0.94188649358448029</v>
      </c>
      <c r="F139" s="93">
        <f>IF(TrRoad_act!F81=0,0,TrRoad_ene!F84/TrRoad_tech!F112)</f>
        <v>0.85242421380599231</v>
      </c>
      <c r="G139" s="93">
        <f>IF(TrRoad_act!G81=0,0,TrRoad_ene!G84/TrRoad_tech!G112)</f>
        <v>0.83609883789865302</v>
      </c>
      <c r="H139" s="93">
        <f>IF(TrRoad_act!H81=0,0,TrRoad_ene!H84/TrRoad_tech!H112)</f>
        <v>1.1424304930840115</v>
      </c>
      <c r="I139" s="93">
        <f>IF(TrRoad_act!I81=0,0,TrRoad_ene!I84/TrRoad_tech!I112)</f>
        <v>1.1080164045384941</v>
      </c>
      <c r="J139" s="93">
        <f>IF(TrRoad_act!J81=0,0,TrRoad_ene!J84/TrRoad_tech!J112)</f>
        <v>0.878250853356081</v>
      </c>
      <c r="K139" s="93">
        <f>IF(TrRoad_act!K81=0,0,TrRoad_ene!K84/TrRoad_tech!K112)</f>
        <v>0.7882243248766988</v>
      </c>
      <c r="L139" s="93">
        <f>IF(TrRoad_act!L81=0,0,TrRoad_ene!L84/TrRoad_tech!L112)</f>
        <v>0.6075156415743882</v>
      </c>
      <c r="M139" s="93">
        <f>IF(TrRoad_act!M81=0,0,TrRoad_ene!M84/TrRoad_tech!M112)</f>
        <v>0.80695163125928093</v>
      </c>
      <c r="N139" s="93">
        <f>IF(TrRoad_act!N81=0,0,TrRoad_ene!N84/TrRoad_tech!N112)</f>
        <v>1.1212198545989651</v>
      </c>
      <c r="O139" s="93">
        <f>IF(TrRoad_act!O81=0,0,TrRoad_ene!O84/TrRoad_tech!O112)</f>
        <v>0.89754439516213369</v>
      </c>
      <c r="P139" s="93">
        <f>IF(TrRoad_act!P81=0,0,TrRoad_ene!P84/TrRoad_tech!P112)</f>
        <v>0.86452555949197163</v>
      </c>
      <c r="Q139" s="93">
        <f>IF(TrRoad_act!Q81=0,0,TrRoad_ene!Q84/TrRoad_tech!Q112)</f>
        <v>0.96674773709665618</v>
      </c>
      <c r="R139" s="93">
        <f>IF(TrRoad_act!R81=0,0,TrRoad_ene!R84/TrRoad_tech!R112)</f>
        <v>1.0041255253321231</v>
      </c>
      <c r="S139" s="93">
        <f>IF(TrRoad_act!S81=0,0,TrRoad_ene!S84/TrRoad_tech!S112)</f>
        <v>0.59081424598873711</v>
      </c>
      <c r="T139" s="93">
        <f>IF(TrRoad_act!T81=0,0,TrRoad_ene!T84/TrRoad_tech!T112)</f>
        <v>1.0247497259342659</v>
      </c>
      <c r="U139" s="93">
        <f>IF(TrRoad_act!U81=0,0,TrRoad_ene!U84/TrRoad_tech!U112)</f>
        <v>1.0565349761467999</v>
      </c>
      <c r="V139" s="93">
        <f>IF(TrRoad_act!V81=0,0,TrRoad_ene!V84/TrRoad_tech!V112)</f>
        <v>0.90881937620516395</v>
      </c>
      <c r="W139" s="93">
        <f>IF(TrRoad_act!W81=0,0,TrRoad_ene!W84/TrRoad_tech!W112)</f>
        <v>1.4244322399125413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0.60267557979691977</v>
      </c>
      <c r="C140" s="94">
        <f>IF(TrRoad_act!C82=0,0,TrRoad_ene!C85/TrRoad_tech!C113)</f>
        <v>0.93575060882039984</v>
      </c>
      <c r="D140" s="94">
        <f>IF(TrRoad_act!D82=0,0,TrRoad_ene!D85/TrRoad_tech!D113)</f>
        <v>0.94115901320532136</v>
      </c>
      <c r="E140" s="94">
        <f>IF(TrRoad_act!E82=0,0,TrRoad_ene!E85/TrRoad_tech!E113)</f>
        <v>0.94394688836995688</v>
      </c>
      <c r="F140" s="94">
        <f>IF(TrRoad_act!F82=0,0,TrRoad_ene!F85/TrRoad_tech!F113)</f>
        <v>0.8573315439496515</v>
      </c>
      <c r="G140" s="94">
        <f>IF(TrRoad_act!G82=0,0,TrRoad_ene!G85/TrRoad_tech!G113)</f>
        <v>0.84235933359431259</v>
      </c>
      <c r="H140" s="94">
        <f>IF(TrRoad_act!H82=0,0,TrRoad_ene!H85/TrRoad_tech!H113)</f>
        <v>1.154217645791014</v>
      </c>
      <c r="I140" s="94">
        <f>IF(TrRoad_act!I82=0,0,TrRoad_ene!I85/TrRoad_tech!I113)</f>
        <v>1.1206929800710927</v>
      </c>
      <c r="J140" s="94">
        <f>IF(TrRoad_act!J82=0,0,TrRoad_ene!J85/TrRoad_tech!J113)</f>
        <v>0.89136221139203564</v>
      </c>
      <c r="K140" s="94">
        <f>IF(TrRoad_act!K82=0,0,TrRoad_ene!K85/TrRoad_tech!K113)</f>
        <v>0.79782746770985313</v>
      </c>
      <c r="L140" s="94">
        <f>IF(TrRoad_act!L82=0,0,TrRoad_ene!L85/TrRoad_tech!L113)</f>
        <v>0.61847704281058957</v>
      </c>
      <c r="M140" s="94">
        <f>IF(TrRoad_act!M82=0,0,TrRoad_ene!M85/TrRoad_tech!M113)</f>
        <v>0.81807808044419794</v>
      </c>
      <c r="N140" s="94">
        <f>IF(TrRoad_act!N82=0,0,TrRoad_ene!N85/TrRoad_tech!N113)</f>
        <v>1.1370518024501006</v>
      </c>
      <c r="O140" s="94">
        <f>IF(TrRoad_act!O82=0,0,TrRoad_ene!O85/TrRoad_tech!O113)</f>
        <v>0.91939316814050476</v>
      </c>
      <c r="P140" s="94">
        <f>IF(TrRoad_act!P82=0,0,TrRoad_ene!P85/TrRoad_tech!P113)</f>
        <v>0.89020915224623642</v>
      </c>
      <c r="Q140" s="94">
        <f>IF(TrRoad_act!Q82=0,0,TrRoad_ene!Q85/TrRoad_tech!Q113)</f>
        <v>0.99729011203725837</v>
      </c>
      <c r="R140" s="94">
        <f>IF(TrRoad_act!R82=0,0,TrRoad_ene!R85/TrRoad_tech!R113)</f>
        <v>1.0499376620160059</v>
      </c>
      <c r="S140" s="94">
        <f>IF(TrRoad_act!S82=0,0,TrRoad_ene!S85/TrRoad_tech!S113)</f>
        <v>0.6268782580216985</v>
      </c>
      <c r="T140" s="94">
        <f>IF(TrRoad_act!T82=0,0,TrRoad_ene!T85/TrRoad_tech!T113)</f>
        <v>1.0861907156133814</v>
      </c>
      <c r="U140" s="94">
        <f>IF(TrRoad_act!U82=0,0,TrRoad_ene!U85/TrRoad_tech!U113)</f>
        <v>1.127013794354492</v>
      </c>
      <c r="V140" s="94">
        <f>IF(TrRoad_act!V82=0,0,TrRoad_ene!V85/TrRoad_tech!V113)</f>
        <v>0.97885621985574778</v>
      </c>
      <c r="W140" s="94">
        <f>IF(TrRoad_act!W82=0,0,TrRoad_ene!W85/TrRoad_tech!W113)</f>
        <v>1.5475888152655382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3.1346167469587494</v>
      </c>
      <c r="C144" s="141">
        <v>3.1346167469587494</v>
      </c>
      <c r="D144" s="141">
        <v>3.1346167469587494</v>
      </c>
      <c r="E144" s="141">
        <v>3.0863918739286142</v>
      </c>
      <c r="F144" s="141">
        <v>3.0863918739286142</v>
      </c>
      <c r="G144" s="141">
        <v>3.0863918739286142</v>
      </c>
      <c r="H144" s="141">
        <v>3.0381670008984796</v>
      </c>
      <c r="I144" s="141">
        <v>2.9417172548382102</v>
      </c>
      <c r="J144" s="141">
        <v>2.893492381808076</v>
      </c>
      <c r="K144" s="141">
        <v>2.7342262765649741</v>
      </c>
      <c r="L144" s="141">
        <v>2.6347809722699203</v>
      </c>
      <c r="M144" s="141">
        <v>2.5550924843793101</v>
      </c>
      <c r="N144" s="141">
        <v>2.4966821362003042</v>
      </c>
      <c r="O144" s="141">
        <v>2.4292984230773405</v>
      </c>
      <c r="P144" s="141">
        <v>2.3782163510742294</v>
      </c>
      <c r="Q144" s="141">
        <v>2.3487842177585558</v>
      </c>
      <c r="R144" s="141">
        <v>2.3099974011983981</v>
      </c>
      <c r="S144" s="141">
        <v>2.2789679479502722</v>
      </c>
      <c r="T144" s="141">
        <v>2.2541443853517715</v>
      </c>
      <c r="U144" s="141">
        <v>2.2342855352729707</v>
      </c>
      <c r="V144" s="141">
        <v>2.2183984552099303</v>
      </c>
      <c r="W144" s="141">
        <v>2.2056887911594978</v>
      </c>
      <c r="DA144" s="174" t="s">
        <v>885</v>
      </c>
    </row>
    <row r="145" spans="1:105" ht="11.45" customHeight="1" x14ac:dyDescent="0.25">
      <c r="A145" s="109" t="s">
        <v>20</v>
      </c>
      <c r="B145" s="130">
        <v>6.5624661355706229</v>
      </c>
      <c r="C145" s="130">
        <v>6.5639337270056579</v>
      </c>
      <c r="D145" s="130">
        <v>6.5323953112641719</v>
      </c>
      <c r="E145" s="130">
        <v>6.4324939600647868</v>
      </c>
      <c r="F145" s="130">
        <v>6.3388841685730561</v>
      </c>
      <c r="G145" s="130">
        <v>6.3430237779054108</v>
      </c>
      <c r="H145" s="130">
        <v>6.3018430630571682</v>
      </c>
      <c r="I145" s="130">
        <v>6.2107559691791545</v>
      </c>
      <c r="J145" s="130">
        <v>6.1430597696979259</v>
      </c>
      <c r="K145" s="130">
        <v>5.8296751645190472</v>
      </c>
      <c r="L145" s="130">
        <v>5.5985314225872731</v>
      </c>
      <c r="M145" s="130">
        <v>5.4375940020232312</v>
      </c>
      <c r="N145" s="130">
        <v>5.3285811445457734</v>
      </c>
      <c r="O145" s="130">
        <v>5.1536876474972422</v>
      </c>
      <c r="P145" s="130">
        <v>5.0301515784492103</v>
      </c>
      <c r="Q145" s="130">
        <v>4.8840678897180645</v>
      </c>
      <c r="R145" s="130">
        <v>4.8048477092647159</v>
      </c>
      <c r="S145" s="130">
        <v>4.7762231806899287</v>
      </c>
      <c r="T145" s="130">
        <v>4.914201300162226</v>
      </c>
      <c r="U145" s="130">
        <v>4.8813494058128741</v>
      </c>
      <c r="V145" s="130">
        <v>4.5899298855149002</v>
      </c>
      <c r="W145" s="130">
        <v>4.3037303570184058</v>
      </c>
      <c r="DA145" s="176" t="s">
        <v>886</v>
      </c>
    </row>
    <row r="146" spans="1:105" ht="11.45" customHeight="1" x14ac:dyDescent="0.25">
      <c r="A146" s="111" t="s">
        <v>110</v>
      </c>
      <c r="B146" s="96">
        <v>6.4069509577265888</v>
      </c>
      <c r="C146" s="96">
        <v>6.4069509577265888</v>
      </c>
      <c r="D146" s="96">
        <v>6.4069509577265888</v>
      </c>
      <c r="E146" s="96">
        <v>6.3083824814538705</v>
      </c>
      <c r="F146" s="96">
        <v>6.3083824814538705</v>
      </c>
      <c r="G146" s="96">
        <v>6.3083824814538705</v>
      </c>
      <c r="H146" s="96">
        <v>6.2098140051811512</v>
      </c>
      <c r="I146" s="96">
        <v>6.0126770526357207</v>
      </c>
      <c r="J146" s="96">
        <v>5.9141085763630041</v>
      </c>
      <c r="K146" s="96">
        <v>5.5885791072466624</v>
      </c>
      <c r="L146" s="96">
        <v>5.3853194302183161</v>
      </c>
      <c r="M146" s="96">
        <v>5.2224309235722473</v>
      </c>
      <c r="N146" s="96">
        <v>5.1036228454718398</v>
      </c>
      <c r="O146" s="96">
        <v>5.0129445736709393</v>
      </c>
      <c r="P146" s="96">
        <v>4.9311591891780822</v>
      </c>
      <c r="Q146" s="96">
        <v>4.805610666565606</v>
      </c>
      <c r="R146" s="96">
        <v>4.8395289873308469</v>
      </c>
      <c r="S146" s="96">
        <v>4.7341508744517178</v>
      </c>
      <c r="T146" s="96">
        <v>4.8178827645839508</v>
      </c>
      <c r="U146" s="96">
        <v>4.8942878323805559</v>
      </c>
      <c r="V146" s="96">
        <v>4.6489442698370098</v>
      </c>
      <c r="W146" s="96">
        <v>4.4106439869082079</v>
      </c>
      <c r="DA146" s="171" t="s">
        <v>887</v>
      </c>
    </row>
    <row r="147" spans="1:105" ht="11.45" customHeight="1" x14ac:dyDescent="0.25">
      <c r="A147" s="111" t="s">
        <v>111</v>
      </c>
      <c r="B147" s="96">
        <v>6.7462109407105979</v>
      </c>
      <c r="C147" s="96">
        <v>6.7462109407105979</v>
      </c>
      <c r="D147" s="96">
        <v>6.7462109407105979</v>
      </c>
      <c r="E147" s="96">
        <v>6.597565614898329</v>
      </c>
      <c r="F147" s="96">
        <v>6.3664793045394132</v>
      </c>
      <c r="G147" s="96">
        <v>6.3779135603711259</v>
      </c>
      <c r="H147" s="96">
        <v>6.3531012252163093</v>
      </c>
      <c r="I147" s="96">
        <v>6.3593900659237512</v>
      </c>
      <c r="J147" s="96">
        <v>6.3380080075184484</v>
      </c>
      <c r="K147" s="96">
        <v>6.0889375919176825</v>
      </c>
      <c r="L147" s="96">
        <v>5.8550529938038913</v>
      </c>
      <c r="M147" s="96">
        <v>5.6294141470450487</v>
      </c>
      <c r="N147" s="96">
        <v>5.5161017807562418</v>
      </c>
      <c r="O147" s="96">
        <v>5.2722329889738591</v>
      </c>
      <c r="P147" s="96">
        <v>5.1069485741883822</v>
      </c>
      <c r="Q147" s="96">
        <v>4.918793028959608</v>
      </c>
      <c r="R147" s="96">
        <v>4.7605609520215042</v>
      </c>
      <c r="S147" s="96">
        <v>4.7590771667100027</v>
      </c>
      <c r="T147" s="96">
        <v>4.9209600601993646</v>
      </c>
      <c r="U147" s="96">
        <v>4.8469759996350747</v>
      </c>
      <c r="V147" s="96">
        <v>4.6869533292982979</v>
      </c>
      <c r="W147" s="96">
        <v>4.5214525181021781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6.0578719037924831</v>
      </c>
      <c r="D148" s="96">
        <v>0</v>
      </c>
      <c r="E148" s="96">
        <v>5.9243933703190903</v>
      </c>
      <c r="F148" s="96">
        <v>0</v>
      </c>
      <c r="G148" s="96">
        <v>5.7271531681634054</v>
      </c>
      <c r="H148" s="96">
        <v>5.7659708475451499</v>
      </c>
      <c r="I148" s="96">
        <v>5.7105196893767198</v>
      </c>
      <c r="J148" s="96">
        <v>5.6913193157155471</v>
      </c>
      <c r="K148" s="96">
        <v>5.4676624087503951</v>
      </c>
      <c r="L148" s="96">
        <v>5.2576418582376228</v>
      </c>
      <c r="M148" s="96">
        <v>5.3017688184672203</v>
      </c>
      <c r="N148" s="96">
        <v>5.0953743046806208</v>
      </c>
      <c r="O148" s="96">
        <v>5.0704743289214536</v>
      </c>
      <c r="P148" s="96">
        <v>5.0658709151688708</v>
      </c>
      <c r="Q148" s="96">
        <v>5.0528933349459653</v>
      </c>
      <c r="R148" s="96">
        <v>4.9806494331511759</v>
      </c>
      <c r="S148" s="96">
        <v>5.1008251219567597</v>
      </c>
      <c r="T148" s="96">
        <v>5.3473132960284948</v>
      </c>
      <c r="U148" s="96">
        <v>5.3646407270257068</v>
      </c>
      <c r="V148" s="96">
        <v>4.8516909970433097</v>
      </c>
      <c r="W148" s="96">
        <v>4.5591968421733746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7.6683701759500158</v>
      </c>
      <c r="D149" s="96">
        <v>0</v>
      </c>
      <c r="E149" s="96">
        <v>7.326691223354409</v>
      </c>
      <c r="F149" s="96">
        <v>0</v>
      </c>
      <c r="G149" s="96">
        <v>7.5503952501661669</v>
      </c>
      <c r="H149" s="96">
        <v>7.4324203243823206</v>
      </c>
      <c r="I149" s="96">
        <v>7.1964704728146272</v>
      </c>
      <c r="J149" s="96">
        <v>7.07849554703078</v>
      </c>
      <c r="K149" s="96">
        <v>6.6888748852159496</v>
      </c>
      <c r="L149" s="96">
        <v>6.4455968492856126</v>
      </c>
      <c r="M149" s="96">
        <v>6.0938232357431286</v>
      </c>
      <c r="N149" s="96">
        <v>5.9688974863765765</v>
      </c>
      <c r="O149" s="96">
        <v>5.2967961797286769</v>
      </c>
      <c r="P149" s="96">
        <v>5.1636117624289373</v>
      </c>
      <c r="Q149" s="96">
        <v>5.2576536073679199</v>
      </c>
      <c r="R149" s="96">
        <v>5.3073642715076108</v>
      </c>
      <c r="S149" s="96">
        <v>5.4416517833151392</v>
      </c>
      <c r="T149" s="96">
        <v>5.328020932563593</v>
      </c>
      <c r="U149" s="96">
        <v>4.8557771144183555</v>
      </c>
      <c r="V149" s="96">
        <v>4.6240828582466662</v>
      </c>
      <c r="W149" s="96">
        <v>4.4841905168869962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4.5018593793819148</v>
      </c>
      <c r="O150" s="96">
        <v>5.0065654239311073</v>
      </c>
      <c r="P150" s="96">
        <v>4.9535125253184971</v>
      </c>
      <c r="Q150" s="96">
        <v>3.5386365501116268</v>
      </c>
      <c r="R150" s="96">
        <v>3.23502520351078</v>
      </c>
      <c r="S150" s="96">
        <v>4.3822586836438218</v>
      </c>
      <c r="T150" s="96">
        <v>3.7042878930369572</v>
      </c>
      <c r="U150" s="96">
        <v>3.7051001073124672</v>
      </c>
      <c r="V150" s="96">
        <v>3.0371771862621006</v>
      </c>
      <c r="W150" s="96">
        <v>3.013619117248111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1.2366194374867603</v>
      </c>
      <c r="P151" s="96">
        <v>1.1964370685121342</v>
      </c>
      <c r="Q151" s="96">
        <v>1.0764675994684592</v>
      </c>
      <c r="R151" s="96">
        <v>1.1088959739459285</v>
      </c>
      <c r="S151" s="96">
        <v>1.121064328639424</v>
      </c>
      <c r="T151" s="96">
        <v>1.1678392240955597</v>
      </c>
      <c r="U151" s="96">
        <v>1.4774793273529176</v>
      </c>
      <c r="V151" s="96">
        <v>1.4339720210527953</v>
      </c>
      <c r="W151" s="96">
        <v>1.3843844555486724</v>
      </c>
      <c r="DA151" s="171" t="s">
        <v>892</v>
      </c>
    </row>
    <row r="152" spans="1:105" ht="11.45" customHeight="1" x14ac:dyDescent="0.25">
      <c r="A152" s="109" t="s">
        <v>21</v>
      </c>
      <c r="B152" s="130">
        <v>46.472559193547056</v>
      </c>
      <c r="C152" s="130">
        <v>46.407207415692909</v>
      </c>
      <c r="D152" s="130">
        <v>46.472559193547056</v>
      </c>
      <c r="E152" s="130">
        <v>45.92061696299637</v>
      </c>
      <c r="F152" s="130">
        <v>46.208429835094414</v>
      </c>
      <c r="G152" s="130">
        <v>45.867975728819466</v>
      </c>
      <c r="H152" s="130">
        <v>45.512135525694923</v>
      </c>
      <c r="I152" s="130">
        <v>45.156954702397869</v>
      </c>
      <c r="J152" s="130">
        <v>44.890777942121112</v>
      </c>
      <c r="K152" s="130">
        <v>44.277457585372574</v>
      </c>
      <c r="L152" s="130">
        <v>44.027396986982794</v>
      </c>
      <c r="M152" s="130">
        <v>43.832445932478286</v>
      </c>
      <c r="N152" s="130">
        <v>43.441367281344839</v>
      </c>
      <c r="O152" s="130">
        <v>38.065292662214787</v>
      </c>
      <c r="P152" s="130">
        <v>43.319032673108495</v>
      </c>
      <c r="Q152" s="130">
        <v>43.194474427768007</v>
      </c>
      <c r="R152" s="130">
        <v>42.91266080318951</v>
      </c>
      <c r="S152" s="130">
        <v>42.041372638878343</v>
      </c>
      <c r="T152" s="130">
        <v>42.166624217493244</v>
      </c>
      <c r="U152" s="130">
        <v>39.431686916553616</v>
      </c>
      <c r="V152" s="130">
        <v>42.175218171935114</v>
      </c>
      <c r="W152" s="130">
        <v>41.315638890342981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12.636242503600561</v>
      </c>
      <c r="J153" s="97">
        <v>12.429090987148093</v>
      </c>
      <c r="K153" s="97">
        <v>11.744958232667416</v>
      </c>
      <c r="L153" s="97">
        <v>11.317787681571824</v>
      </c>
      <c r="M153" s="97">
        <v>10.975483180323499</v>
      </c>
      <c r="N153" s="97">
        <v>10.72457962285354</v>
      </c>
      <c r="O153" s="97">
        <v>10.43513068332191</v>
      </c>
      <c r="P153" s="97">
        <v>10.181311973558454</v>
      </c>
      <c r="Q153" s="97">
        <v>9.9581580037552815</v>
      </c>
      <c r="R153" s="97">
        <v>0</v>
      </c>
      <c r="S153" s="97">
        <v>9.5878387305475705</v>
      </c>
      <c r="T153" s="97">
        <v>0</v>
      </c>
      <c r="U153" s="97">
        <v>9.2979991833075477</v>
      </c>
      <c r="V153" s="97">
        <v>9.1771154549453424</v>
      </c>
      <c r="W153" s="97">
        <v>9.0696644147413288</v>
      </c>
      <c r="DA153" s="175" t="s">
        <v>894</v>
      </c>
    </row>
    <row r="154" spans="1:105" ht="11.45" customHeight="1" x14ac:dyDescent="0.25">
      <c r="A154" s="111" t="s">
        <v>111</v>
      </c>
      <c r="B154" s="97">
        <v>46.472559193547056</v>
      </c>
      <c r="C154" s="97">
        <v>46.472559193547056</v>
      </c>
      <c r="D154" s="97">
        <v>46.472559193547056</v>
      </c>
      <c r="E154" s="97">
        <v>46.291732114972945</v>
      </c>
      <c r="F154" s="97">
        <v>46.291732114972945</v>
      </c>
      <c r="G154" s="97">
        <v>46.291732114972945</v>
      </c>
      <c r="H154" s="97">
        <v>46.108760841791231</v>
      </c>
      <c r="I154" s="97">
        <v>45.733892867467731</v>
      </c>
      <c r="J154" s="97">
        <v>45.54412567714629</v>
      </c>
      <c r="K154" s="97">
        <v>44.890419513548004</v>
      </c>
      <c r="L154" s="97">
        <v>44.470800921299947</v>
      </c>
      <c r="M154" s="97">
        <v>44.126743564114385</v>
      </c>
      <c r="N154" s="97">
        <v>43.870155926746143</v>
      </c>
      <c r="O154" s="97">
        <v>43.568034140680417</v>
      </c>
      <c r="P154" s="97">
        <v>43.335332584913488</v>
      </c>
      <c r="Q154" s="97">
        <v>43.199999999908329</v>
      </c>
      <c r="R154" s="97">
        <v>43.078562061614491</v>
      </c>
      <c r="S154" s="97">
        <v>42.96955981564961</v>
      </c>
      <c r="T154" s="97">
        <v>42.871693631564568</v>
      </c>
      <c r="U154" s="97">
        <v>42.783804657380365</v>
      </c>
      <c r="V154" s="97">
        <v>42.704858642056578</v>
      </c>
      <c r="W154" s="97">
        <v>42.633931786907652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38.727132661289211</v>
      </c>
      <c r="D155" s="97">
        <v>0</v>
      </c>
      <c r="E155" s="97">
        <v>38.576443429144121</v>
      </c>
      <c r="F155" s="97">
        <v>38.576443429144121</v>
      </c>
      <c r="G155" s="97">
        <v>38.576443429144121</v>
      </c>
      <c r="H155" s="97">
        <v>38.42396736815936</v>
      </c>
      <c r="I155" s="97">
        <v>38.111577389556437</v>
      </c>
      <c r="J155" s="97">
        <v>37.953438064288576</v>
      </c>
      <c r="K155" s="97">
        <v>37.408682927956669</v>
      </c>
      <c r="L155" s="97">
        <v>37.059000767749957</v>
      </c>
      <c r="M155" s="97">
        <v>0</v>
      </c>
      <c r="N155" s="97">
        <v>0</v>
      </c>
      <c r="O155" s="97">
        <v>36.30669511723368</v>
      </c>
      <c r="P155" s="97">
        <v>0</v>
      </c>
      <c r="Q155" s="97">
        <v>0</v>
      </c>
      <c r="R155" s="97">
        <v>0</v>
      </c>
      <c r="S155" s="97">
        <v>0</v>
      </c>
      <c r="T155" s="97">
        <v>35.397227017636574</v>
      </c>
      <c r="U155" s="97">
        <v>0</v>
      </c>
      <c r="V155" s="97">
        <v>35.152060943552961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38.727132661289211</v>
      </c>
      <c r="D156" s="97">
        <v>0</v>
      </c>
      <c r="E156" s="97">
        <v>38.576443429144121</v>
      </c>
      <c r="F156" s="97">
        <v>38.576443429144121</v>
      </c>
      <c r="G156" s="97">
        <v>38.576443429144121</v>
      </c>
      <c r="H156" s="97">
        <v>38.42396736815936</v>
      </c>
      <c r="I156" s="97">
        <v>38.111577389556437</v>
      </c>
      <c r="J156" s="97">
        <v>37.953438064288576</v>
      </c>
      <c r="K156" s="97">
        <v>37.408682927956669</v>
      </c>
      <c r="L156" s="97">
        <v>37.059000767749957</v>
      </c>
      <c r="M156" s="97">
        <v>36.77228630342865</v>
      </c>
      <c r="N156" s="97">
        <v>36.558463272288456</v>
      </c>
      <c r="O156" s="97">
        <v>36.30669511723368</v>
      </c>
      <c r="P156" s="97">
        <v>0</v>
      </c>
      <c r="Q156" s="97">
        <v>0</v>
      </c>
      <c r="R156" s="97">
        <v>35.898801718012088</v>
      </c>
      <c r="S156" s="97">
        <v>35.807966513041357</v>
      </c>
      <c r="T156" s="97">
        <v>35.726411359637162</v>
      </c>
      <c r="U156" s="97">
        <v>35.653170547817005</v>
      </c>
      <c r="V156" s="97">
        <v>35.587382201713865</v>
      </c>
      <c r="W156" s="97">
        <v>35.528276489089777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20.40421268208836</v>
      </c>
      <c r="P157" s="97">
        <v>0</v>
      </c>
      <c r="Q157" s="97">
        <v>0</v>
      </c>
      <c r="R157" s="97">
        <v>0</v>
      </c>
      <c r="S157" s="97">
        <v>0</v>
      </c>
      <c r="T157" s="97">
        <v>17.889301000762714</v>
      </c>
      <c r="U157" s="97">
        <v>17.553190298430106</v>
      </c>
      <c r="V157" s="97">
        <v>17.256093365001124</v>
      </c>
      <c r="W157" s="97">
        <v>16.993007947474904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7.3325936477351563</v>
      </c>
      <c r="D159" s="141">
        <v>7.3499110660780707</v>
      </c>
      <c r="E159" s="141">
        <v>7.3322058471298872</v>
      </c>
      <c r="F159" s="141">
        <v>7.3005380786655723</v>
      </c>
      <c r="G159" s="141">
        <v>7.325154913208789</v>
      </c>
      <c r="H159" s="141">
        <v>7.3455214311555066</v>
      </c>
      <c r="I159" s="141">
        <v>7.3560867347383212</v>
      </c>
      <c r="J159" s="141">
        <v>7.234409450414292</v>
      </c>
      <c r="K159" s="141">
        <v>6.9821777781039378</v>
      </c>
      <c r="L159" s="141">
        <v>7.0626427423862133</v>
      </c>
      <c r="M159" s="141">
        <v>7.0193756423272653</v>
      </c>
      <c r="N159" s="141">
        <v>6.6496705928711721</v>
      </c>
      <c r="O159" s="141">
        <v>6.6026214273710933</v>
      </c>
      <c r="P159" s="141">
        <v>6.3102291380391211</v>
      </c>
      <c r="Q159" s="141">
        <v>6.1192941283138671</v>
      </c>
      <c r="R159" s="141">
        <v>5.8238955481325245</v>
      </c>
      <c r="S159" s="141">
        <v>5.7057083467851735</v>
      </c>
      <c r="T159" s="141">
        <v>5.6661190335275036</v>
      </c>
      <c r="U159" s="141">
        <v>5.648001048824824</v>
      </c>
      <c r="V159" s="141">
        <v>5.913039640413376</v>
      </c>
      <c r="W159" s="141">
        <v>5.8410179678509611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7.1780559906131813</v>
      </c>
      <c r="D160" s="96">
        <v>7.1780559906131813</v>
      </c>
      <c r="E160" s="96">
        <v>7.0676243599883639</v>
      </c>
      <c r="F160" s="96">
        <v>7.0676243599883639</v>
      </c>
      <c r="G160" s="96">
        <v>7.0676243599883639</v>
      </c>
      <c r="H160" s="96">
        <v>6.9571927293635438</v>
      </c>
      <c r="I160" s="96">
        <v>0</v>
      </c>
      <c r="J160" s="96">
        <v>6.6258978374890916</v>
      </c>
      <c r="K160" s="96">
        <v>6.261189449469712</v>
      </c>
      <c r="L160" s="96">
        <v>6.0334665666241385</v>
      </c>
      <c r="M160" s="96">
        <v>5.8509854296745987</v>
      </c>
      <c r="N160" s="96">
        <v>5.7172297639885823</v>
      </c>
      <c r="O160" s="96">
        <v>5.5538031673770112</v>
      </c>
      <c r="P160" s="96">
        <v>5.7190365152811315</v>
      </c>
      <c r="Q160" s="96">
        <v>5.5705091742841422</v>
      </c>
      <c r="R160" s="96">
        <v>5.6411053993893265</v>
      </c>
      <c r="S160" s="96">
        <v>5.3217844390487388</v>
      </c>
      <c r="T160" s="96">
        <v>5.3601530280861622</v>
      </c>
      <c r="U160" s="96">
        <v>5.242429669602461</v>
      </c>
      <c r="V160" s="96">
        <v>5.4173921713826108</v>
      </c>
      <c r="W160" s="96">
        <v>5.5886440454865189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7.4650902850022804</v>
      </c>
      <c r="D161" s="96">
        <v>7.4650902850022804</v>
      </c>
      <c r="E161" s="96">
        <v>7.3006052448242649</v>
      </c>
      <c r="F161" s="96">
        <v>7.0448942708244404</v>
      </c>
      <c r="G161" s="96">
        <v>7.0575469662227475</v>
      </c>
      <c r="H161" s="96">
        <v>7.0300906172084181</v>
      </c>
      <c r="I161" s="96">
        <v>7.0370495996774887</v>
      </c>
      <c r="J161" s="96">
        <v>7.01338905928265</v>
      </c>
      <c r="K161" s="96">
        <v>6.7377775855052073</v>
      </c>
      <c r="L161" s="96">
        <v>6.4789701369188126</v>
      </c>
      <c r="M161" s="96">
        <v>6.2292871107486505</v>
      </c>
      <c r="N161" s="96">
        <v>6.1039001265307968</v>
      </c>
      <c r="O161" s="96">
        <v>5.9282326749879086</v>
      </c>
      <c r="P161" s="96">
        <v>5.7259486503572443</v>
      </c>
      <c r="Q161" s="96">
        <v>5.6483522540256601</v>
      </c>
      <c r="R161" s="96">
        <v>5.4459107217969693</v>
      </c>
      <c r="S161" s="96">
        <v>5.3256881047384219</v>
      </c>
      <c r="T161" s="96">
        <v>5.4335371937776893</v>
      </c>
      <c r="U161" s="96">
        <v>5.6184170494408363</v>
      </c>
      <c r="V161" s="96">
        <v>6.2828433819380356</v>
      </c>
      <c r="W161" s="96">
        <v>6.2099237582182525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7.2323904632247755</v>
      </c>
      <c r="D162" s="96">
        <v>7.2323904632247755</v>
      </c>
      <c r="E162" s="96">
        <v>7.0730327072554164</v>
      </c>
      <c r="F162" s="96">
        <v>6.825292688167667</v>
      </c>
      <c r="G162" s="96">
        <v>6.8375509770883864</v>
      </c>
      <c r="H162" s="96">
        <v>6.8109504901304234</v>
      </c>
      <c r="I162" s="96">
        <v>6.8176925490368179</v>
      </c>
      <c r="J162" s="96">
        <v>6.7947695487550703</v>
      </c>
      <c r="K162" s="96">
        <v>6.5277493630102317</v>
      </c>
      <c r="L162" s="96">
        <v>6.2770093918235048</v>
      </c>
      <c r="M162" s="96">
        <v>6.3296918208025419</v>
      </c>
      <c r="N162" s="96">
        <v>6.0832809133289611</v>
      </c>
      <c r="O162" s="96">
        <v>5.0621046927589282</v>
      </c>
      <c r="P162" s="96">
        <v>4.8954896658168083</v>
      </c>
      <c r="Q162" s="96">
        <v>5.2640895739303772</v>
      </c>
      <c r="R162" s="96">
        <v>4.6003345181991637</v>
      </c>
      <c r="S162" s="96">
        <v>4.810395888561092</v>
      </c>
      <c r="T162" s="96">
        <v>5.0587115040931847</v>
      </c>
      <c r="U162" s="96">
        <v>5.1976894296359708</v>
      </c>
      <c r="V162" s="96">
        <v>5.8663339494012954</v>
      </c>
      <c r="W162" s="96">
        <v>8.2064476645502271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8.5446318554800165</v>
      </c>
      <c r="D163" s="96">
        <v>8.5446318554800165</v>
      </c>
      <c r="E163" s="96">
        <v>8.4131759807803252</v>
      </c>
      <c r="F163" s="96">
        <v>8.4131759807803252</v>
      </c>
      <c r="G163" s="96">
        <v>8.4131759807803252</v>
      </c>
      <c r="H163" s="96">
        <v>8.2817201060806305</v>
      </c>
      <c r="I163" s="96">
        <v>8.0188083566812463</v>
      </c>
      <c r="J163" s="96">
        <v>7.8873524819815541</v>
      </c>
      <c r="K163" s="96">
        <v>7.4532100185755352</v>
      </c>
      <c r="L163" s="96">
        <v>7.1821326960346417</v>
      </c>
      <c r="M163" s="96">
        <v>6.790162048396982</v>
      </c>
      <c r="N163" s="96">
        <v>6.6509610822054173</v>
      </c>
      <c r="O163" s="96">
        <v>7.0826364327454883</v>
      </c>
      <c r="P163" s="96">
        <v>6.0038114635780104</v>
      </c>
      <c r="Q163" s="96">
        <v>6.2936919120367554</v>
      </c>
      <c r="R163" s="96">
        <v>6.0941416317833754</v>
      </c>
      <c r="S163" s="96">
        <v>6.1785907978115642</v>
      </c>
      <c r="T163" s="96">
        <v>6.3847486563987577</v>
      </c>
      <c r="U163" s="96">
        <v>6.7171594637145731</v>
      </c>
      <c r="V163" s="96">
        <v>7.0982110798542353</v>
      </c>
      <c r="W163" s="96">
        <v>10.464333209768441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1.270287017972159</v>
      </c>
      <c r="P164" s="96">
        <v>1.2811433794849654</v>
      </c>
      <c r="Q164" s="96">
        <v>1.3518700131017518</v>
      </c>
      <c r="R164" s="96">
        <v>1.3650567288132038</v>
      </c>
      <c r="S164" s="96">
        <v>1.4364948962652071</v>
      </c>
      <c r="T164" s="96">
        <v>1.7148132489006491</v>
      </c>
      <c r="U164" s="96">
        <v>1.6651486683014343</v>
      </c>
      <c r="V164" s="96">
        <v>2.0840556186517447</v>
      </c>
      <c r="W164" s="96">
        <v>2.1687591410395002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33.376599965183161</v>
      </c>
      <c r="D165" s="130">
        <v>33.153979308462148</v>
      </c>
      <c r="E165" s="130">
        <v>32.874784579443393</v>
      </c>
      <c r="F165" s="130">
        <v>32.559234076920816</v>
      </c>
      <c r="G165" s="130">
        <v>32.159450501708562</v>
      </c>
      <c r="H165" s="130">
        <v>31.727636355935182</v>
      </c>
      <c r="I165" s="130">
        <v>31.221118918675995</v>
      </c>
      <c r="J165" s="130">
        <v>30.70050606538053</v>
      </c>
      <c r="K165" s="130">
        <v>30.045703004756639</v>
      </c>
      <c r="L165" s="130">
        <v>29.491776046232744</v>
      </c>
      <c r="M165" s="130">
        <v>28.707672302185937</v>
      </c>
      <c r="N165" s="130">
        <v>28.01971478756824</v>
      </c>
      <c r="O165" s="130">
        <v>27.356591978264273</v>
      </c>
      <c r="P165" s="130">
        <v>26.4983027598599</v>
      </c>
      <c r="Q165" s="130">
        <v>25.603921562619355</v>
      </c>
      <c r="R165" s="130">
        <v>25.110286722010287</v>
      </c>
      <c r="S165" s="130">
        <v>23.584269990706908</v>
      </c>
      <c r="T165" s="130">
        <v>21.990546181462111</v>
      </c>
      <c r="U165" s="130">
        <v>20.839280918507853</v>
      </c>
      <c r="V165" s="130">
        <v>21.748233412848265</v>
      </c>
      <c r="W165" s="130">
        <v>20.85195966105001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24.004372296020541</v>
      </c>
      <c r="S166" s="97">
        <v>22.953232903272809</v>
      </c>
      <c r="T166" s="97">
        <v>21.849536540887691</v>
      </c>
      <c r="U166" s="97">
        <v>20.500574320194769</v>
      </c>
      <c r="V166" s="97">
        <v>20.55953761752945</v>
      </c>
      <c r="W166" s="97">
        <v>20.353942241354154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108.43590723064253</v>
      </c>
      <c r="C171" s="152">
        <v>106.79238486861242</v>
      </c>
      <c r="D171" s="152">
        <v>105.43906040310405</v>
      </c>
      <c r="E171" s="152">
        <v>103.87108468010982</v>
      </c>
      <c r="F171" s="152">
        <v>102.55495531936724</v>
      </c>
      <c r="G171" s="152">
        <v>101.22170766386971</v>
      </c>
      <c r="H171" s="152">
        <v>99.616523371095056</v>
      </c>
      <c r="I171" s="152">
        <v>97.779384136081532</v>
      </c>
      <c r="J171" s="152">
        <v>95.833053440492947</v>
      </c>
      <c r="K171" s="152">
        <v>93.323539964429898</v>
      </c>
      <c r="L171" s="152">
        <v>91.806684093524836</v>
      </c>
      <c r="M171" s="152">
        <v>90.181134585337858</v>
      </c>
      <c r="N171" s="152">
        <v>87.621244085457121</v>
      </c>
      <c r="O171" s="152">
        <v>86.317708739684022</v>
      </c>
      <c r="P171" s="152">
        <v>83.904402108027767</v>
      </c>
      <c r="Q171" s="152">
        <v>82.983059141237419</v>
      </c>
      <c r="R171" s="152">
        <v>81.785820155621451</v>
      </c>
      <c r="S171" s="152">
        <v>80.964037602131256</v>
      </c>
      <c r="T171" s="152">
        <v>80.025918592807358</v>
      </c>
      <c r="U171" s="152">
        <v>79.001848662603436</v>
      </c>
      <c r="V171" s="152">
        <v>78.146649502428318</v>
      </c>
      <c r="W171" s="152">
        <v>70.157746968262501</v>
      </c>
      <c r="DA171" s="174" t="s">
        <v>908</v>
      </c>
    </row>
    <row r="172" spans="1:105" ht="11.45" customHeight="1" x14ac:dyDescent="0.25">
      <c r="A172" s="109" t="s">
        <v>20</v>
      </c>
      <c r="B172" s="116">
        <v>221.74165097515623</v>
      </c>
      <c r="C172" s="116">
        <v>216.52575844469902</v>
      </c>
      <c r="D172" s="116">
        <v>214.54924825139702</v>
      </c>
      <c r="E172" s="116">
        <v>212.65455665385801</v>
      </c>
      <c r="F172" s="116">
        <v>210.70998785638611</v>
      </c>
      <c r="G172" s="116">
        <v>206.89419829233759</v>
      </c>
      <c r="H172" s="116">
        <v>204.70140182060661</v>
      </c>
      <c r="I172" s="116">
        <v>201.71054625621159</v>
      </c>
      <c r="J172" s="116">
        <v>198.16526206108514</v>
      </c>
      <c r="K172" s="116">
        <v>192.41329948161746</v>
      </c>
      <c r="L172" s="116">
        <v>191.30915654955135</v>
      </c>
      <c r="M172" s="116">
        <v>191.29118572750542</v>
      </c>
      <c r="N172" s="116">
        <v>188.75796218324885</v>
      </c>
      <c r="O172" s="116">
        <v>186.00747154693252</v>
      </c>
      <c r="P172" s="116">
        <v>183.17016302228728</v>
      </c>
      <c r="Q172" s="116">
        <v>181.21381404426506</v>
      </c>
      <c r="R172" s="116">
        <v>180.40171269208938</v>
      </c>
      <c r="S172" s="116">
        <v>177.20942305538779</v>
      </c>
      <c r="T172" s="116">
        <v>172.94407294083913</v>
      </c>
      <c r="U172" s="116">
        <v>170.08241292807779</v>
      </c>
      <c r="V172" s="116">
        <v>166.83205730106997</v>
      </c>
      <c r="W172" s="116">
        <v>162.02631079750066</v>
      </c>
      <c r="DA172" s="176" t="s">
        <v>909</v>
      </c>
    </row>
    <row r="173" spans="1:105" ht="11.45" customHeight="1" x14ac:dyDescent="0.25">
      <c r="A173" s="111" t="s">
        <v>110</v>
      </c>
      <c r="B173" s="87">
        <v>214.9868031384211</v>
      </c>
      <c r="C173" s="87">
        <v>209.73222601716256</v>
      </c>
      <c r="D173" s="87">
        <v>207.22828088301824</v>
      </c>
      <c r="E173" s="87">
        <v>204.63542073414416</v>
      </c>
      <c r="F173" s="87">
        <v>202.01142364838014</v>
      </c>
      <c r="G173" s="87">
        <v>199.69519069288486</v>
      </c>
      <c r="H173" s="87">
        <v>197.20573996666806</v>
      </c>
      <c r="I173" s="87">
        <v>194.40008846049625</v>
      </c>
      <c r="J173" s="87">
        <v>191.81636284088324</v>
      </c>
      <c r="K173" s="87">
        <v>188.95016833026014</v>
      </c>
      <c r="L173" s="87">
        <v>186.46570276919661</v>
      </c>
      <c r="M173" s="87">
        <v>183.44450698743688</v>
      </c>
      <c r="N173" s="87">
        <v>182.08953267789005</v>
      </c>
      <c r="O173" s="87">
        <v>179.84430280517989</v>
      </c>
      <c r="P173" s="87">
        <v>177.34777780355793</v>
      </c>
      <c r="Q173" s="87">
        <v>174.18693429869967</v>
      </c>
      <c r="R173" s="87">
        <v>172.46434551139259</v>
      </c>
      <c r="S173" s="87">
        <v>169.63297869509745</v>
      </c>
      <c r="T173" s="87">
        <v>166.35644635554246</v>
      </c>
      <c r="U173" s="87">
        <v>164.12775242249938</v>
      </c>
      <c r="V173" s="87">
        <v>161.96168877433462</v>
      </c>
      <c r="W173" s="87">
        <v>159.09901354976884</v>
      </c>
      <c r="DA173" s="171" t="s">
        <v>910</v>
      </c>
    </row>
    <row r="174" spans="1:105" ht="11.45" customHeight="1" x14ac:dyDescent="0.25">
      <c r="A174" s="111" t="s">
        <v>111</v>
      </c>
      <c r="B174" s="87">
        <v>242.05011430191811</v>
      </c>
      <c r="C174" s="87">
        <v>225.50718359333027</v>
      </c>
      <c r="D174" s="87">
        <v>221.92676315640853</v>
      </c>
      <c r="E174" s="87">
        <v>217.72614458850026</v>
      </c>
      <c r="F174" s="87">
        <v>212.48567589502659</v>
      </c>
      <c r="G174" s="87">
        <v>209.26467103282781</v>
      </c>
      <c r="H174" s="87">
        <v>206.54196964907544</v>
      </c>
      <c r="I174" s="87">
        <v>204.51267493379135</v>
      </c>
      <c r="J174" s="87">
        <v>202.83739370946864</v>
      </c>
      <c r="K174" s="87">
        <v>201.35883442738111</v>
      </c>
      <c r="L174" s="87">
        <v>199.67718035808178</v>
      </c>
      <c r="M174" s="87">
        <v>197.35812892254043</v>
      </c>
      <c r="N174" s="87">
        <v>195.44450540345392</v>
      </c>
      <c r="O174" s="87">
        <v>193.23888390580333</v>
      </c>
      <c r="P174" s="87">
        <v>190.71583145891071</v>
      </c>
      <c r="Q174" s="87">
        <v>187.78625337762287</v>
      </c>
      <c r="R174" s="87">
        <v>183.55643980235942</v>
      </c>
      <c r="S174" s="87">
        <v>179.37555059285114</v>
      </c>
      <c r="T174" s="87">
        <v>176.41817435202361</v>
      </c>
      <c r="U174" s="87">
        <v>173.73967497931289</v>
      </c>
      <c r="V174" s="87">
        <v>172.03699046845696</v>
      </c>
      <c r="W174" s="87">
        <v>170.16925792354922</v>
      </c>
      <c r="DA174" s="171" t="s">
        <v>911</v>
      </c>
    </row>
    <row r="175" spans="1:105" ht="11.45" customHeight="1" x14ac:dyDescent="0.25">
      <c r="A175" s="111" t="s">
        <v>112</v>
      </c>
      <c r="B175" s="87">
        <v>180.13397289815384</v>
      </c>
      <c r="C175" s="87">
        <v>180.1149039188511</v>
      </c>
      <c r="D175" s="87">
        <v>180.11377056539254</v>
      </c>
      <c r="E175" s="87">
        <v>179.81538396715391</v>
      </c>
      <c r="F175" s="87">
        <v>179.80824808177275</v>
      </c>
      <c r="G175" s="87">
        <v>177.17299376982834</v>
      </c>
      <c r="H175" s="87">
        <v>176.67768665019869</v>
      </c>
      <c r="I175" s="87">
        <v>175.95709897488456</v>
      </c>
      <c r="J175" s="87">
        <v>173.65242919501253</v>
      </c>
      <c r="K175" s="87">
        <v>163.87820092441322</v>
      </c>
      <c r="L175" s="87">
        <v>158.19356905315607</v>
      </c>
      <c r="M175" s="87">
        <v>157.13941565655594</v>
      </c>
      <c r="N175" s="87">
        <v>154.73197994229437</v>
      </c>
      <c r="O175" s="87">
        <v>152.72560415336957</v>
      </c>
      <c r="P175" s="87">
        <v>150.93185341634839</v>
      </c>
      <c r="Q175" s="87">
        <v>149.3684281647879</v>
      </c>
      <c r="R175" s="87">
        <v>148.10116492651807</v>
      </c>
      <c r="S175" s="87">
        <v>146.76932505714069</v>
      </c>
      <c r="T175" s="87">
        <v>145.67215864828381</v>
      </c>
      <c r="U175" s="87">
        <v>145.09884136450003</v>
      </c>
      <c r="V175" s="87">
        <v>143.6001957037808</v>
      </c>
      <c r="W175" s="87">
        <v>141.84909752585077</v>
      </c>
      <c r="DA175" s="171" t="s">
        <v>912</v>
      </c>
    </row>
    <row r="176" spans="1:105" ht="11.45" customHeight="1" x14ac:dyDescent="0.25">
      <c r="A176" s="111" t="s">
        <v>113</v>
      </c>
      <c r="B176" s="87">
        <v>205.7870000372221</v>
      </c>
      <c r="C176" s="87">
        <v>201.15770071201257</v>
      </c>
      <c r="D176" s="87">
        <v>201.1577007120126</v>
      </c>
      <c r="E176" s="87">
        <v>200.65131210257013</v>
      </c>
      <c r="F176" s="87">
        <v>200.36317181768953</v>
      </c>
      <c r="G176" s="87">
        <v>196.76979218651573</v>
      </c>
      <c r="H176" s="87">
        <v>192.95341507216767</v>
      </c>
      <c r="I176" s="87">
        <v>188.4884122215887</v>
      </c>
      <c r="J176" s="87">
        <v>183.39446288085364</v>
      </c>
      <c r="K176" s="87">
        <v>176.0698206485643</v>
      </c>
      <c r="L176" s="87">
        <v>172.58945394548877</v>
      </c>
      <c r="M176" s="87">
        <v>170.04110584596458</v>
      </c>
      <c r="N176" s="87">
        <v>166.86366007141177</v>
      </c>
      <c r="O176" s="87">
        <v>161.39097642221827</v>
      </c>
      <c r="P176" s="87">
        <v>156.63451641526603</v>
      </c>
      <c r="Q176" s="87">
        <v>153.26939426380503</v>
      </c>
      <c r="R176" s="87">
        <v>151.10250986146283</v>
      </c>
      <c r="S176" s="87">
        <v>149.62940774615973</v>
      </c>
      <c r="T176" s="87">
        <v>147.80948034501324</v>
      </c>
      <c r="U176" s="87">
        <v>145.57975314649721</v>
      </c>
      <c r="V176" s="87">
        <v>143.54795616149687</v>
      </c>
      <c r="W176" s="87">
        <v>141.03349771821701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103.73084794382929</v>
      </c>
      <c r="O177" s="87">
        <v>116.45333931420609</v>
      </c>
      <c r="P177" s="87">
        <v>115.46130308352201</v>
      </c>
      <c r="Q177" s="87">
        <v>114.04294891840033</v>
      </c>
      <c r="R177" s="87">
        <v>111.57701053113539</v>
      </c>
      <c r="S177" s="87">
        <v>109.77501746906785</v>
      </c>
      <c r="T177" s="87">
        <v>104.91134010204027</v>
      </c>
      <c r="U177" s="87">
        <v>99.221836183026028</v>
      </c>
      <c r="V177" s="87">
        <v>76.357725040693111</v>
      </c>
      <c r="W177" s="87">
        <v>61.426492328242595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1570.9213648831731</v>
      </c>
      <c r="C179" s="116">
        <v>1546.1958850442575</v>
      </c>
      <c r="D179" s="116">
        <v>1534.8301482940037</v>
      </c>
      <c r="E179" s="116">
        <v>1506.9432927341732</v>
      </c>
      <c r="F179" s="116">
        <v>1507.0555032158636</v>
      </c>
      <c r="G179" s="116">
        <v>1478.9706311789594</v>
      </c>
      <c r="H179" s="116">
        <v>1456.6859700853036</v>
      </c>
      <c r="I179" s="116">
        <v>1448.7322972776687</v>
      </c>
      <c r="J179" s="116">
        <v>1434.5909382817576</v>
      </c>
      <c r="K179" s="116">
        <v>1422.3411636735693</v>
      </c>
      <c r="L179" s="116">
        <v>1413.1658749882076</v>
      </c>
      <c r="M179" s="116">
        <v>1405.0357394473604</v>
      </c>
      <c r="N179" s="116">
        <v>1390.3859934200204</v>
      </c>
      <c r="O179" s="116">
        <v>1310.8191922313781</v>
      </c>
      <c r="P179" s="116">
        <v>1387.1591884344159</v>
      </c>
      <c r="Q179" s="116">
        <v>1381.2664593128457</v>
      </c>
      <c r="R179" s="116">
        <v>1369.7707221022447</v>
      </c>
      <c r="S179" s="116">
        <v>1333.5274003499851</v>
      </c>
      <c r="T179" s="116">
        <v>1339.1408588194499</v>
      </c>
      <c r="U179" s="116">
        <v>1322.1110650149246</v>
      </c>
      <c r="V179" s="116">
        <v>1329.8067367552312</v>
      </c>
      <c r="W179" s="116">
        <v>1303.2753372169861</v>
      </c>
      <c r="DA179" s="176" t="s">
        <v>916</v>
      </c>
    </row>
    <row r="180" spans="1:105" ht="11.45" customHeight="1" x14ac:dyDescent="0.25">
      <c r="A180" s="111" t="s">
        <v>110</v>
      </c>
      <c r="B180" s="101">
        <v>446.44945083621036</v>
      </c>
      <c r="C180" s="101">
        <v>446.44945083621042</v>
      </c>
      <c r="D180" s="101">
        <v>446.44945083621053</v>
      </c>
      <c r="E180" s="101">
        <v>446.44945083621047</v>
      </c>
      <c r="F180" s="101">
        <v>446.44945083621042</v>
      </c>
      <c r="G180" s="101">
        <v>446.44945083621042</v>
      </c>
      <c r="H180" s="101">
        <v>446.44945083621036</v>
      </c>
      <c r="I180" s="101">
        <v>444.06245630745065</v>
      </c>
      <c r="J180" s="101">
        <v>435.57556426189979</v>
      </c>
      <c r="K180" s="101">
        <v>428.83981520853837</v>
      </c>
      <c r="L180" s="101">
        <v>423.55205109455494</v>
      </c>
      <c r="M180" s="101">
        <v>419.73665985347174</v>
      </c>
      <c r="N180" s="101">
        <v>417.87496016701022</v>
      </c>
      <c r="O180" s="101">
        <v>347.35283211497114</v>
      </c>
      <c r="P180" s="101">
        <v>314.46095671734821</v>
      </c>
      <c r="Q180" s="101">
        <v>311.32597434606794</v>
      </c>
      <c r="R180" s="101">
        <v>311.03058306810476</v>
      </c>
      <c r="S180" s="101">
        <v>308.99416094526401</v>
      </c>
      <c r="T180" s="101">
        <v>307.26268594114606</v>
      </c>
      <c r="U180" s="101">
        <v>287.1953588541096</v>
      </c>
      <c r="V180" s="101">
        <v>285.46080693418725</v>
      </c>
      <c r="W180" s="101">
        <v>284.15143526037576</v>
      </c>
      <c r="DA180" s="175" t="s">
        <v>917</v>
      </c>
    </row>
    <row r="181" spans="1:105" ht="11.45" customHeight="1" x14ac:dyDescent="0.25">
      <c r="A181" s="111" t="s">
        <v>111</v>
      </c>
      <c r="B181" s="101">
        <v>1585.950754587906</v>
      </c>
      <c r="C181" s="101">
        <v>1552.8336189878969</v>
      </c>
      <c r="D181" s="101">
        <v>1534.4067217803831</v>
      </c>
      <c r="E181" s="101">
        <v>1518.8233592632616</v>
      </c>
      <c r="F181" s="101">
        <v>1505.3171096961021</v>
      </c>
      <c r="G181" s="101">
        <v>1492.4505831188674</v>
      </c>
      <c r="H181" s="101">
        <v>1480.6306987989376</v>
      </c>
      <c r="I181" s="101">
        <v>1470.7170301665381</v>
      </c>
      <c r="J181" s="101">
        <v>1459.7906890276104</v>
      </c>
      <c r="K181" s="101">
        <v>1448.5692696770791</v>
      </c>
      <c r="L181" s="101">
        <v>1437.5492232307154</v>
      </c>
      <c r="M181" s="101">
        <v>1425.3194298482731</v>
      </c>
      <c r="N181" s="101">
        <v>1417.3621623151589</v>
      </c>
      <c r="O181" s="101">
        <v>1412.9070068537987</v>
      </c>
      <c r="P181" s="101">
        <v>1402.7791530189813</v>
      </c>
      <c r="Q181" s="101">
        <v>1395.3641631934397</v>
      </c>
      <c r="R181" s="101">
        <v>1389.2824094256739</v>
      </c>
      <c r="S181" s="101">
        <v>1383.6876225360988</v>
      </c>
      <c r="T181" s="101">
        <v>1376.5220067314635</v>
      </c>
      <c r="U181" s="101">
        <v>1370.1275417376078</v>
      </c>
      <c r="V181" s="101">
        <v>1363.4003290676997</v>
      </c>
      <c r="W181" s="101">
        <v>1358.9438250866001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1114.0482529079175</v>
      </c>
      <c r="D182" s="101">
        <v>1113.3476133599797</v>
      </c>
      <c r="E182" s="101">
        <v>1094.0822976624745</v>
      </c>
      <c r="F182" s="101">
        <v>1060.4077045197371</v>
      </c>
      <c r="G182" s="101">
        <v>1044.9854974711927</v>
      </c>
      <c r="H182" s="101">
        <v>1041.0561949349935</v>
      </c>
      <c r="I182" s="101">
        <v>1034.1930285195474</v>
      </c>
      <c r="J182" s="101">
        <v>1027.7302566576343</v>
      </c>
      <c r="K182" s="101">
        <v>1015.4585385390077</v>
      </c>
      <c r="L182" s="101">
        <v>1015.1694734194542</v>
      </c>
      <c r="M182" s="101">
        <v>1013.2006426761993</v>
      </c>
      <c r="N182" s="101">
        <v>1011.7302217803306</v>
      </c>
      <c r="O182" s="101">
        <v>1009.9633781036628</v>
      </c>
      <c r="P182" s="101">
        <v>1008.5361976243519</v>
      </c>
      <c r="Q182" s="101">
        <v>1007.2404947521721</v>
      </c>
      <c r="R182" s="101">
        <v>1006.1644380096295</v>
      </c>
      <c r="S182" s="101">
        <v>1001.1847880010024</v>
      </c>
      <c r="T182" s="101">
        <v>988.69341234905949</v>
      </c>
      <c r="U182" s="101">
        <v>988.57313286871954</v>
      </c>
      <c r="V182" s="101">
        <v>986.60719613403228</v>
      </c>
      <c r="W182" s="101">
        <v>985.75805427962234</v>
      </c>
      <c r="DA182" s="175" t="s">
        <v>919</v>
      </c>
    </row>
    <row r="183" spans="1:105" ht="11.45" customHeight="1" x14ac:dyDescent="0.25">
      <c r="A183" s="111" t="s">
        <v>113</v>
      </c>
      <c r="B183" s="101">
        <v>1000.7778404821352</v>
      </c>
      <c r="C183" s="101">
        <v>987.79000650638159</v>
      </c>
      <c r="D183" s="101">
        <v>986.73161346277698</v>
      </c>
      <c r="E183" s="101">
        <v>943.98644861022399</v>
      </c>
      <c r="F183" s="101">
        <v>939.6993728772859</v>
      </c>
      <c r="G183" s="101">
        <v>924.95639481091064</v>
      </c>
      <c r="H183" s="101">
        <v>914.81147209273342</v>
      </c>
      <c r="I183" s="101">
        <v>909.15480006093412</v>
      </c>
      <c r="J183" s="101">
        <v>904.24943151457103</v>
      </c>
      <c r="K183" s="101">
        <v>899.64019859417465</v>
      </c>
      <c r="L183" s="101">
        <v>894.9472927273207</v>
      </c>
      <c r="M183" s="101">
        <v>891.9461764129544</v>
      </c>
      <c r="N183" s="101">
        <v>888.54692347731225</v>
      </c>
      <c r="O183" s="101">
        <v>886.70303517502407</v>
      </c>
      <c r="P183" s="101">
        <v>886.04907073443371</v>
      </c>
      <c r="Q183" s="101">
        <v>885.31142219236222</v>
      </c>
      <c r="R183" s="101">
        <v>882.50227490209318</v>
      </c>
      <c r="S183" s="101">
        <v>871.17064964193821</v>
      </c>
      <c r="T183" s="101">
        <v>867.18809224331562</v>
      </c>
      <c r="U183" s="101">
        <v>863.70415484194177</v>
      </c>
      <c r="V183" s="101">
        <v>862.13769219558424</v>
      </c>
      <c r="W183" s="101">
        <v>859.01549923326752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350.1167386813795</v>
      </c>
      <c r="C186" s="152">
        <v>338.18359629454551</v>
      </c>
      <c r="D186" s="152">
        <v>324.13688826559775</v>
      </c>
      <c r="E186" s="152">
        <v>307.13638874113559</v>
      </c>
      <c r="F186" s="152">
        <v>291.14089806325512</v>
      </c>
      <c r="G186" s="152">
        <v>281.31907843959704</v>
      </c>
      <c r="H186" s="152">
        <v>270.76716220134369</v>
      </c>
      <c r="I186" s="152">
        <v>264.99253037982567</v>
      </c>
      <c r="J186" s="152">
        <v>259.6649930733326</v>
      </c>
      <c r="K186" s="152">
        <v>250.8388826784749</v>
      </c>
      <c r="L186" s="152">
        <v>231.64197504283493</v>
      </c>
      <c r="M186" s="152">
        <v>220.32984377976973</v>
      </c>
      <c r="N186" s="152">
        <v>219.37958600141977</v>
      </c>
      <c r="O186" s="152">
        <v>210.07543383309499</v>
      </c>
      <c r="P186" s="152">
        <v>205.49107295246392</v>
      </c>
      <c r="Q186" s="152">
        <v>206.72191336267397</v>
      </c>
      <c r="R186" s="152">
        <v>201.80234255643416</v>
      </c>
      <c r="S186" s="152">
        <v>195.73783678472947</v>
      </c>
      <c r="T186" s="152">
        <v>195.46036943172103</v>
      </c>
      <c r="U186" s="152">
        <v>197.93957035135233</v>
      </c>
      <c r="V186" s="152">
        <v>209.46441160675968</v>
      </c>
      <c r="W186" s="152">
        <v>206.62190620450752</v>
      </c>
      <c r="DA186" s="174" t="s">
        <v>922</v>
      </c>
    </row>
    <row r="187" spans="1:105" ht="11.45" customHeight="1" x14ac:dyDescent="0.25">
      <c r="A187" s="111" t="s">
        <v>110</v>
      </c>
      <c r="B187" s="87">
        <v>291.6512661079388</v>
      </c>
      <c r="C187" s="87">
        <v>281.02297392813443</v>
      </c>
      <c r="D187" s="87">
        <v>269.50893368223024</v>
      </c>
      <c r="E187" s="87">
        <v>260.55377171873562</v>
      </c>
      <c r="F187" s="87">
        <v>255.07907424497398</v>
      </c>
      <c r="G187" s="87">
        <v>247.91277946837383</v>
      </c>
      <c r="H187" s="87">
        <v>241.81170645041567</v>
      </c>
      <c r="I187" s="87">
        <v>237.03716642402688</v>
      </c>
      <c r="J187" s="87">
        <v>232.8346343513835</v>
      </c>
      <c r="K187" s="87">
        <v>230.68447245529032</v>
      </c>
      <c r="L187" s="87">
        <v>228.4210075811439</v>
      </c>
      <c r="M187" s="87">
        <v>224.72657685651879</v>
      </c>
      <c r="N187" s="87">
        <v>218.79936886581467</v>
      </c>
      <c r="O187" s="87">
        <v>215.86111553998199</v>
      </c>
      <c r="P187" s="87">
        <v>209.11620830338529</v>
      </c>
      <c r="Q187" s="87">
        <v>202.81783496834612</v>
      </c>
      <c r="R187" s="87">
        <v>196.68855089479325</v>
      </c>
      <c r="S187" s="87">
        <v>193.94262129887551</v>
      </c>
      <c r="T187" s="87">
        <v>188.24332503219168</v>
      </c>
      <c r="U187" s="87">
        <v>182.31813430938743</v>
      </c>
      <c r="V187" s="87">
        <v>179.19118724445593</v>
      </c>
      <c r="W187" s="87">
        <v>174.09672570684754</v>
      </c>
      <c r="DA187" s="171" t="s">
        <v>923</v>
      </c>
    </row>
    <row r="188" spans="1:105" ht="11.45" customHeight="1" x14ac:dyDescent="0.25">
      <c r="A188" s="111" t="s">
        <v>111</v>
      </c>
      <c r="B188" s="87">
        <v>350.95877601911616</v>
      </c>
      <c r="C188" s="87">
        <v>334.38947512929798</v>
      </c>
      <c r="D188" s="87">
        <v>317.50587570367509</v>
      </c>
      <c r="E188" s="87">
        <v>304.21889266825184</v>
      </c>
      <c r="F188" s="87">
        <v>295.37325628820923</v>
      </c>
      <c r="G188" s="87">
        <v>284.60216276164152</v>
      </c>
      <c r="H188" s="87">
        <v>275.34463257295687</v>
      </c>
      <c r="I188" s="87">
        <v>267.18985818941616</v>
      </c>
      <c r="J188" s="87">
        <v>260.92049492268052</v>
      </c>
      <c r="K188" s="87">
        <v>254.29135319834805</v>
      </c>
      <c r="L188" s="87">
        <v>248.54228916116421</v>
      </c>
      <c r="M188" s="87">
        <v>243.31922297230656</v>
      </c>
      <c r="N188" s="87">
        <v>237.94968652782754</v>
      </c>
      <c r="O188" s="87">
        <v>231.72489005670576</v>
      </c>
      <c r="P188" s="87">
        <v>225.16121933989598</v>
      </c>
      <c r="Q188" s="87">
        <v>221.75060873630531</v>
      </c>
      <c r="R188" s="87">
        <v>214.03250288248756</v>
      </c>
      <c r="S188" s="87">
        <v>207.68499551731037</v>
      </c>
      <c r="T188" s="87">
        <v>202.76351985339463</v>
      </c>
      <c r="U188" s="87">
        <v>199.40780730814845</v>
      </c>
      <c r="V188" s="87">
        <v>197.32733061358721</v>
      </c>
      <c r="W188" s="87">
        <v>194.97437153888163</v>
      </c>
      <c r="DA188" s="171" t="s">
        <v>924</v>
      </c>
    </row>
    <row r="189" spans="1:105" ht="11.45" customHeight="1" x14ac:dyDescent="0.25">
      <c r="A189" s="111" t="s">
        <v>112</v>
      </c>
      <c r="B189" s="87">
        <v>318.3606064009204</v>
      </c>
      <c r="C189" s="87">
        <v>295.40498650150221</v>
      </c>
      <c r="D189" s="87">
        <v>275.16149184632769</v>
      </c>
      <c r="E189" s="87">
        <v>259.57230087356254</v>
      </c>
      <c r="F189" s="87">
        <v>248.26757137895203</v>
      </c>
      <c r="G189" s="87">
        <v>236.36338537403122</v>
      </c>
      <c r="H189" s="87">
        <v>226.05248535595572</v>
      </c>
      <c r="I189" s="87">
        <v>223.68250825359317</v>
      </c>
      <c r="J189" s="87">
        <v>215.74289022720615</v>
      </c>
      <c r="K189" s="87">
        <v>204.87357459395639</v>
      </c>
      <c r="L189" s="87">
        <v>199.23692877441127</v>
      </c>
      <c r="M189" s="87">
        <v>197.07745346370186</v>
      </c>
      <c r="N189" s="87">
        <v>185.10049640235999</v>
      </c>
      <c r="O189" s="87">
        <v>182.45517334669785</v>
      </c>
      <c r="P189" s="87">
        <v>179.53403661791134</v>
      </c>
      <c r="Q189" s="87">
        <v>175.45497889757968</v>
      </c>
      <c r="R189" s="87">
        <v>169.32381629864028</v>
      </c>
      <c r="S189" s="87">
        <v>165.00136583338229</v>
      </c>
      <c r="T189" s="87">
        <v>161.7700460224807</v>
      </c>
      <c r="U189" s="87">
        <v>158.0694968809413</v>
      </c>
      <c r="V189" s="87">
        <v>157.34537502876978</v>
      </c>
      <c r="W189" s="87">
        <v>162.98514298234574</v>
      </c>
      <c r="DA189" s="171" t="s">
        <v>925</v>
      </c>
    </row>
    <row r="190" spans="1:105" ht="11.45" customHeight="1" x14ac:dyDescent="0.25">
      <c r="A190" s="111" t="s">
        <v>113</v>
      </c>
      <c r="B190" s="87">
        <v>312.90292226708732</v>
      </c>
      <c r="C190" s="87">
        <v>284.3197013044483</v>
      </c>
      <c r="D190" s="87">
        <v>261.92884580277149</v>
      </c>
      <c r="E190" s="87">
        <v>245.69504566566152</v>
      </c>
      <c r="F190" s="87">
        <v>235.04585004041348</v>
      </c>
      <c r="G190" s="87">
        <v>225.48006530790087</v>
      </c>
      <c r="H190" s="87">
        <v>217.63641277555629</v>
      </c>
      <c r="I190" s="87">
        <v>214.73380223232343</v>
      </c>
      <c r="J190" s="87">
        <v>205.08747441010641</v>
      </c>
      <c r="K190" s="87">
        <v>194.17694560296866</v>
      </c>
      <c r="L190" s="87">
        <v>183.78763625391682</v>
      </c>
      <c r="M190" s="87">
        <v>176.64480382374575</v>
      </c>
      <c r="N190" s="87">
        <v>170.54125339993001</v>
      </c>
      <c r="O190" s="87">
        <v>169.26666979097308</v>
      </c>
      <c r="P190" s="87">
        <v>167.13090246891295</v>
      </c>
      <c r="Q190" s="87">
        <v>165.67333396064996</v>
      </c>
      <c r="R190" s="87">
        <v>163.41520687790822</v>
      </c>
      <c r="S190" s="87">
        <v>161.51779199396427</v>
      </c>
      <c r="T190" s="87">
        <v>160.72995490332139</v>
      </c>
      <c r="U190" s="87">
        <v>160.34538986986601</v>
      </c>
      <c r="V190" s="87">
        <v>160.54839405016313</v>
      </c>
      <c r="W190" s="87">
        <v>164.47261284530427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1102.3855427039034</v>
      </c>
      <c r="C192" s="116">
        <v>1099.5317970566903</v>
      </c>
      <c r="D192" s="116">
        <v>1095.8954057870578</v>
      </c>
      <c r="E192" s="116">
        <v>1091.4308594020129</v>
      </c>
      <c r="F192" s="116">
        <v>1085.6514838549454</v>
      </c>
      <c r="G192" s="116">
        <v>1078.8784016510533</v>
      </c>
      <c r="H192" s="116">
        <v>1070.8777639618461</v>
      </c>
      <c r="I192" s="116">
        <v>1061.533428634352</v>
      </c>
      <c r="J192" s="116">
        <v>1050.6056502385325</v>
      </c>
      <c r="K192" s="116">
        <v>1039.3726746660263</v>
      </c>
      <c r="L192" s="116">
        <v>1025.7861891475743</v>
      </c>
      <c r="M192" s="116">
        <v>1011.6193313407582</v>
      </c>
      <c r="N192" s="116">
        <v>997.35504850785287</v>
      </c>
      <c r="O192" s="116">
        <v>981.18254777738764</v>
      </c>
      <c r="P192" s="116">
        <v>962.256736426364</v>
      </c>
      <c r="Q192" s="116">
        <v>941.82907086699174</v>
      </c>
      <c r="R192" s="116">
        <v>930.39914847460159</v>
      </c>
      <c r="S192" s="116">
        <v>913.34667220019207</v>
      </c>
      <c r="T192" s="116">
        <v>885.96841977437089</v>
      </c>
      <c r="U192" s="116">
        <v>858.91387627082713</v>
      </c>
      <c r="V192" s="116">
        <v>849.85106724401294</v>
      </c>
      <c r="W192" s="116">
        <v>821.36709178045123</v>
      </c>
      <c r="DA192" s="176" t="s">
        <v>928</v>
      </c>
    </row>
    <row r="193" spans="1:105" ht="11.45" customHeight="1" x14ac:dyDescent="0.25">
      <c r="A193" s="128" t="s">
        <v>27</v>
      </c>
      <c r="B193" s="101">
        <v>1030.2246411705041</v>
      </c>
      <c r="C193" s="101">
        <v>1027.8038761319169</v>
      </c>
      <c r="D193" s="101">
        <v>1024.6432516871278</v>
      </c>
      <c r="E193" s="101">
        <v>1020.6731243006012</v>
      </c>
      <c r="F193" s="101">
        <v>1015.7335287409953</v>
      </c>
      <c r="G193" s="101">
        <v>1009.6027421441693</v>
      </c>
      <c r="H193" s="101">
        <v>1002.3718613426436</v>
      </c>
      <c r="I193" s="101">
        <v>993.69988382434212</v>
      </c>
      <c r="J193" s="101">
        <v>983.68168836934319</v>
      </c>
      <c r="K193" s="101">
        <v>972.90115853773511</v>
      </c>
      <c r="L193" s="101">
        <v>960.24036311286397</v>
      </c>
      <c r="M193" s="101">
        <v>946.5733561253154</v>
      </c>
      <c r="N193" s="101">
        <v>933.05189066122546</v>
      </c>
      <c r="O193" s="101">
        <v>918.04574071235515</v>
      </c>
      <c r="P193" s="101">
        <v>900.28662042062456</v>
      </c>
      <c r="Q193" s="101">
        <v>880.99541615749547</v>
      </c>
      <c r="R193" s="101">
        <v>870.65175220007654</v>
      </c>
      <c r="S193" s="101">
        <v>855.07324997605667</v>
      </c>
      <c r="T193" s="101">
        <v>828.90439410966258</v>
      </c>
      <c r="U193" s="101">
        <v>803.34806362303459</v>
      </c>
      <c r="V193" s="101">
        <v>795.07670638725267</v>
      </c>
      <c r="W193" s="101">
        <v>768.21441463506574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1050.1847943516566</v>
      </c>
      <c r="D194" s="88">
        <v>1035.8095847596842</v>
      </c>
      <c r="E194" s="88">
        <v>1023.0786422068807</v>
      </c>
      <c r="F194" s="88">
        <v>1001.4161482465498</v>
      </c>
      <c r="G194" s="88">
        <v>988.82502555275778</v>
      </c>
      <c r="H194" s="88">
        <v>974.47072031154585</v>
      </c>
      <c r="I194" s="88">
        <v>963.22805236978331</v>
      </c>
      <c r="J194" s="88">
        <v>948.49532897440429</v>
      </c>
      <c r="K194" s="88">
        <v>942.61898847646319</v>
      </c>
      <c r="L194" s="88">
        <v>931.03604952209878</v>
      </c>
      <c r="M194" s="88">
        <v>928.45259653944072</v>
      </c>
      <c r="N194" s="88">
        <v>921.20490836848398</v>
      </c>
      <c r="O194" s="88">
        <v>903.08851835535188</v>
      </c>
      <c r="P194" s="88">
        <v>887.94395100272993</v>
      </c>
      <c r="Q194" s="88">
        <v>874.91486994329273</v>
      </c>
      <c r="R194" s="88">
        <v>854.77510536831403</v>
      </c>
      <c r="S194" s="88">
        <v>831.75025240560763</v>
      </c>
      <c r="T194" s="88">
        <v>820.04967613762005</v>
      </c>
      <c r="U194" s="88">
        <v>801.46868629072026</v>
      </c>
      <c r="V194" s="88">
        <v>788.13823914696661</v>
      </c>
      <c r="W194" s="88">
        <v>767.0104327488084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1.0725000000065619</v>
      </c>
      <c r="C198" s="150">
        <f>IF(TrRoad_act!C59=0,0,TrRoad_emi!C56/TrRoad_tech!C171)</f>
        <v>1.0727956048507719</v>
      </c>
      <c r="D198" s="150">
        <f>IF(TrRoad_act!D59=0,0,TrRoad_emi!D56/TrRoad_tech!D171)</f>
        <v>1.0733973070934804</v>
      </c>
      <c r="E198" s="150">
        <f>IF(TrRoad_act!E59=0,0,TrRoad_emi!E56/TrRoad_tech!E171)</f>
        <v>1.0744891113031445</v>
      </c>
      <c r="F198" s="150">
        <f>IF(TrRoad_act!F59=0,0,TrRoad_emi!F56/TrRoad_tech!F171)</f>
        <v>1.0758581797550204</v>
      </c>
      <c r="G198" s="150">
        <f>IF(TrRoad_act!G59=0,0,TrRoad_emi!G56/TrRoad_tech!G171)</f>
        <v>1.0777928967417678</v>
      </c>
      <c r="H198" s="150">
        <f>IF(TrRoad_act!H59=0,0,TrRoad_emi!H56/TrRoad_tech!H171)</f>
        <v>1.0805901116458951</v>
      </c>
      <c r="I198" s="150">
        <f>IF(TrRoad_act!I59=0,0,TrRoad_emi!I56/TrRoad_tech!I171)</f>
        <v>1.0841602839365723</v>
      </c>
      <c r="J198" s="150">
        <f>IF(TrRoad_act!J59=0,0,TrRoad_emi!J56/TrRoad_tech!J171)</f>
        <v>1.0818853708094767</v>
      </c>
      <c r="K198" s="150">
        <f>IF(TrRoad_act!K59=0,0,TrRoad_emi!K56/TrRoad_tech!K171)</f>
        <v>1.0852310737211555</v>
      </c>
      <c r="L198" s="150">
        <f>IF(TrRoad_act!L59=0,0,TrRoad_emi!L56/TrRoad_tech!L171)</f>
        <v>1.0858400087567681</v>
      </c>
      <c r="M198" s="150">
        <f>IF(TrRoad_act!M59=0,0,TrRoad_emi!M56/TrRoad_tech!M171)</f>
        <v>1.0908006338781013</v>
      </c>
      <c r="N198" s="150">
        <f>IF(TrRoad_act!N59=0,0,TrRoad_emi!N56/TrRoad_tech!N171)</f>
        <v>1.0971222409915422</v>
      </c>
      <c r="O198" s="150">
        <f>IF(TrRoad_act!O59=0,0,TrRoad_emi!O56/TrRoad_tech!O171)</f>
        <v>1.1080759737398378</v>
      </c>
      <c r="P198" s="150">
        <f>IF(TrRoad_act!P59=0,0,TrRoad_emi!P56/TrRoad_tech!P171)</f>
        <v>1.1270463394475796</v>
      </c>
      <c r="Q198" s="150">
        <f>IF(TrRoad_act!Q59=0,0,TrRoad_emi!Q56/TrRoad_tech!Q171)</f>
        <v>1.13161156633766</v>
      </c>
      <c r="R198" s="150">
        <f>IF(TrRoad_act!R59=0,0,TrRoad_emi!R56/TrRoad_tech!R171)</f>
        <v>1.1372562892550853</v>
      </c>
      <c r="S198" s="150">
        <f>IF(TrRoad_act!S59=0,0,TrRoad_emi!S56/TrRoad_tech!S171)</f>
        <v>1.1434919524403502</v>
      </c>
      <c r="T198" s="150">
        <f>IF(TrRoad_act!T59=0,0,TrRoad_emi!T56/TrRoad_tech!T171)</f>
        <v>1.1517546506426397</v>
      </c>
      <c r="U198" s="150">
        <f>IF(TrRoad_act!U59=0,0,TrRoad_emi!U56/TrRoad_tech!U171)</f>
        <v>1.1618290944139018</v>
      </c>
      <c r="V198" s="150">
        <f>IF(TrRoad_act!V59=0,0,TrRoad_emi!V56/TrRoad_tech!V171)</f>
        <v>1.1715786220266817</v>
      </c>
      <c r="W198" s="150">
        <f>IF(TrRoad_act!W59=0,0,TrRoad_emi!W56/TrRoad_tech!W171)</f>
        <v>1.2361863059633431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0.88439286888233926</v>
      </c>
      <c r="C199" s="151">
        <f>IF(TrRoad_act!C60=0,0,TrRoad_emi!C57/TrRoad_tech!C172)</f>
        <v>0.87312327646086474</v>
      </c>
      <c r="D199" s="151">
        <f>IF(TrRoad_act!D60=0,0,TrRoad_emi!D57/TrRoad_tech!D172)</f>
        <v>0.90431203536096683</v>
      </c>
      <c r="E199" s="151">
        <f>IF(TrRoad_act!E60=0,0,TrRoad_emi!E57/TrRoad_tech!E172)</f>
        <v>0.90398680570286583</v>
      </c>
      <c r="F199" s="151">
        <f>IF(TrRoad_act!F60=0,0,TrRoad_emi!F57/TrRoad_tech!F172)</f>
        <v>0.91774819239510796</v>
      </c>
      <c r="G199" s="151">
        <f>IF(TrRoad_act!G60=0,0,TrRoad_emi!G57/TrRoad_tech!G172)</f>
        <v>0.96225995036314205</v>
      </c>
      <c r="H199" s="151">
        <f>IF(TrRoad_act!H60=0,0,TrRoad_emi!H57/TrRoad_tech!H172)</f>
        <v>1.0011073845504788</v>
      </c>
      <c r="I199" s="151">
        <f>IF(TrRoad_act!I60=0,0,TrRoad_emi!I57/TrRoad_tech!I172)</f>
        <v>1.0163702992049943</v>
      </c>
      <c r="J199" s="151">
        <f>IF(TrRoad_act!J60=0,0,TrRoad_emi!J57/TrRoad_tech!J172)</f>
        <v>1.0013398037715862</v>
      </c>
      <c r="K199" s="151">
        <f>IF(TrRoad_act!K60=0,0,TrRoad_emi!K57/TrRoad_tech!K172)</f>
        <v>0.94092395442891485</v>
      </c>
      <c r="L199" s="151">
        <f>IF(TrRoad_act!L60=0,0,TrRoad_emi!L57/TrRoad_tech!L172)</f>
        <v>0.95080182341484665</v>
      </c>
      <c r="M199" s="151">
        <f>IF(TrRoad_act!M60=0,0,TrRoad_emi!M57/TrRoad_tech!M172)</f>
        <v>0.94192774395043355</v>
      </c>
      <c r="N199" s="151">
        <f>IF(TrRoad_act!N60=0,0,TrRoad_emi!N57/TrRoad_tech!N172)</f>
        <v>0.92428822125975474</v>
      </c>
      <c r="O199" s="151">
        <f>IF(TrRoad_act!O60=0,0,TrRoad_emi!O57/TrRoad_tech!O172)</f>
        <v>0.96068021768763112</v>
      </c>
      <c r="P199" s="151">
        <f>IF(TrRoad_act!P60=0,0,TrRoad_emi!P57/TrRoad_tech!P172)</f>
        <v>0.9791496534733396</v>
      </c>
      <c r="Q199" s="151">
        <f>IF(TrRoad_act!Q60=0,0,TrRoad_emi!Q57/TrRoad_tech!Q172)</f>
        <v>0.98569438389084918</v>
      </c>
      <c r="R199" s="151">
        <f>IF(TrRoad_act!R60=0,0,TrRoad_emi!R57/TrRoad_tech!R172)</f>
        <v>0.95429407821885348</v>
      </c>
      <c r="S199" s="151">
        <f>IF(TrRoad_act!S60=0,0,TrRoad_emi!S57/TrRoad_tech!S172)</f>
        <v>0.93347084458076068</v>
      </c>
      <c r="T199" s="151">
        <f>IF(TrRoad_act!T60=0,0,TrRoad_emi!T57/TrRoad_tech!T172)</f>
        <v>0.98584932583888973</v>
      </c>
      <c r="U199" s="151">
        <f>IF(TrRoad_act!U60=0,0,TrRoad_emi!U57/TrRoad_tech!U172)</f>
        <v>0.99751069112910551</v>
      </c>
      <c r="V199" s="151">
        <f>IF(TrRoad_act!V60=0,0,TrRoad_emi!V57/TrRoad_tech!V172)</f>
        <v>0.97244096992176698</v>
      </c>
      <c r="W199" s="151">
        <f>IF(TrRoad_act!W60=0,0,TrRoad_emi!W57/TrRoad_tech!W172)</f>
        <v>1.1778557556028371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0.8786921470617115</v>
      </c>
      <c r="C200" s="91">
        <f>IF(TrRoad_act!C61=0,0,TrRoad_emi!C58/TrRoad_tech!C173)</f>
        <v>0.87798062815431221</v>
      </c>
      <c r="D200" s="91">
        <f>IF(TrRoad_act!D61=0,0,TrRoad_emi!D58/TrRoad_tech!D173)</f>
        <v>0.91682735288063888</v>
      </c>
      <c r="E200" s="91">
        <f>IF(TrRoad_act!E61=0,0,TrRoad_emi!E58/TrRoad_tech!E173)</f>
        <v>0.91843297123469569</v>
      </c>
      <c r="F200" s="91">
        <f>IF(TrRoad_act!F61=0,0,TrRoad_emi!F58/TrRoad_tech!F173)</f>
        <v>0.96088801665280887</v>
      </c>
      <c r="G200" s="91">
        <f>IF(TrRoad_act!G61=0,0,TrRoad_emi!G58/TrRoad_tech!G173)</f>
        <v>1.0135661446332056</v>
      </c>
      <c r="H200" s="91">
        <f>IF(TrRoad_act!H61=0,0,TrRoad_emi!H58/TrRoad_tech!H173)</f>
        <v>1.1236165519583738</v>
      </c>
      <c r="I200" s="91">
        <f>IF(TrRoad_act!I61=0,0,TrRoad_emi!I58/TrRoad_tech!I173)</f>
        <v>1.1132236142388146</v>
      </c>
      <c r="J200" s="91">
        <f>IF(TrRoad_act!J61=0,0,TrRoad_emi!J58/TrRoad_tech!J173)</f>
        <v>1.0293754989031128</v>
      </c>
      <c r="K200" s="91">
        <f>IF(TrRoad_act!K61=0,0,TrRoad_emi!K58/TrRoad_tech!K173)</f>
        <v>0.93014133995136083</v>
      </c>
      <c r="L200" s="91">
        <f>IF(TrRoad_act!L61=0,0,TrRoad_emi!L58/TrRoad_tech!L173)</f>
        <v>0.91555538062877739</v>
      </c>
      <c r="M200" s="91">
        <f>IF(TrRoad_act!M61=0,0,TrRoad_emi!M58/TrRoad_tech!M173)</f>
        <v>0.91488026356363572</v>
      </c>
      <c r="N200" s="91">
        <f>IF(TrRoad_act!N61=0,0,TrRoad_emi!N58/TrRoad_tech!N173)</f>
        <v>0.91889726705686448</v>
      </c>
      <c r="O200" s="91">
        <f>IF(TrRoad_act!O61=0,0,TrRoad_emi!O58/TrRoad_tech!O173)</f>
        <v>0.93084560834592134</v>
      </c>
      <c r="P200" s="91">
        <f>IF(TrRoad_act!P61=0,0,TrRoad_emi!P58/TrRoad_tech!P173)</f>
        <v>0.94432703437412269</v>
      </c>
      <c r="Q200" s="91">
        <f>IF(TrRoad_act!Q61=0,0,TrRoad_emi!Q58/TrRoad_tech!Q173)</f>
        <v>0.96126393649672603</v>
      </c>
      <c r="R200" s="91">
        <f>IF(TrRoad_act!R61=0,0,TrRoad_emi!R58/TrRoad_tech!R173)</f>
        <v>0.91012272143392958</v>
      </c>
      <c r="S200" s="91">
        <f>IF(TrRoad_act!S61=0,0,TrRoad_emi!S58/TrRoad_tech!S173)</f>
        <v>0.91771258524824462</v>
      </c>
      <c r="T200" s="91">
        <f>IF(TrRoad_act!T61=0,0,TrRoad_emi!T58/TrRoad_tech!T173)</f>
        <v>1.0427580685657374</v>
      </c>
      <c r="U200" s="91">
        <f>IF(TrRoad_act!U61=0,0,TrRoad_emi!U58/TrRoad_tech!U173)</f>
        <v>1.0463619591905773</v>
      </c>
      <c r="V200" s="91">
        <f>IF(TrRoad_act!V61=0,0,TrRoad_emi!V58/TrRoad_tech!V173)</f>
        <v>1.0491354340964911</v>
      </c>
      <c r="W200" s="91">
        <f>IF(TrRoad_act!W61=0,0,TrRoad_emi!W58/TrRoad_tech!W173)</f>
        <v>1.3107797879650689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0.9166642177973785</v>
      </c>
      <c r="C201" s="91">
        <f>IF(TrRoad_act!C62=0,0,TrRoad_emi!C59/TrRoad_tech!C174)</f>
        <v>0.90155801090998278</v>
      </c>
      <c r="D201" s="91">
        <f>IF(TrRoad_act!D62=0,0,TrRoad_emi!D59/TrRoad_tech!D174)</f>
        <v>0.92279836867367482</v>
      </c>
      <c r="E201" s="91">
        <f>IF(TrRoad_act!E62=0,0,TrRoad_emi!E59/TrRoad_tech!E174)</f>
        <v>0.92845955513716472</v>
      </c>
      <c r="F201" s="91">
        <f>IF(TrRoad_act!F62=0,0,TrRoad_emi!F59/TrRoad_tech!F174)</f>
        <v>0.92260012074980069</v>
      </c>
      <c r="G201" s="91">
        <f>IF(TrRoad_act!G62=0,0,TrRoad_emi!G59/TrRoad_tech!G174)</f>
        <v>0.95680729933254682</v>
      </c>
      <c r="H201" s="91">
        <f>IF(TrRoad_act!H62=0,0,TrRoad_emi!H59/TrRoad_tech!H174)</f>
        <v>0.94877856407744121</v>
      </c>
      <c r="I201" s="91">
        <f>IF(TrRoad_act!I62=0,0,TrRoad_emi!I59/TrRoad_tech!I174)</f>
        <v>0.98503876101249987</v>
      </c>
      <c r="J201" s="91">
        <f>IF(TrRoad_act!J62=0,0,TrRoad_emi!J59/TrRoad_tech!J174)</f>
        <v>0.99384891109937779</v>
      </c>
      <c r="K201" s="91">
        <f>IF(TrRoad_act!K62=0,0,TrRoad_emi!K59/TrRoad_tech!K174)</f>
        <v>0.93362447272293292</v>
      </c>
      <c r="L201" s="91">
        <f>IF(TrRoad_act!L62=0,0,TrRoad_emi!L59/TrRoad_tech!L174)</f>
        <v>0.9702368317084975</v>
      </c>
      <c r="M201" s="91">
        <f>IF(TrRoad_act!M62=0,0,TrRoad_emi!M59/TrRoad_tech!M174)</f>
        <v>0.97133188560355521</v>
      </c>
      <c r="N201" s="91">
        <f>IF(TrRoad_act!N62=0,0,TrRoad_emi!N59/TrRoad_tech!N174)</f>
        <v>0.92273558831334912</v>
      </c>
      <c r="O201" s="91">
        <f>IF(TrRoad_act!O62=0,0,TrRoad_emi!O59/TrRoad_tech!O174)</f>
        <v>0.9723990591516537</v>
      </c>
      <c r="P201" s="91">
        <f>IF(TrRoad_act!P62=0,0,TrRoad_emi!P59/TrRoad_tech!P174)</f>
        <v>0.98979152772022438</v>
      </c>
      <c r="Q201" s="91">
        <f>IF(TrRoad_act!Q62=0,0,TrRoad_emi!Q59/TrRoad_tech!Q174)</f>
        <v>1.0009973629064792</v>
      </c>
      <c r="R201" s="91">
        <f>IF(TrRoad_act!R62=0,0,TrRoad_emi!R59/TrRoad_tech!R174)</f>
        <v>0.99791932550556917</v>
      </c>
      <c r="S201" s="91">
        <f>IF(TrRoad_act!S62=0,0,TrRoad_emi!S59/TrRoad_tech!S174)</f>
        <v>0.96568463683830985</v>
      </c>
      <c r="T201" s="91">
        <f>IF(TrRoad_act!T62=0,0,TrRoad_emi!T59/TrRoad_tech!T174)</f>
        <v>0.98429221574524017</v>
      </c>
      <c r="U201" s="91">
        <f>IF(TrRoad_act!U62=0,0,TrRoad_emi!U59/TrRoad_tech!U174)</f>
        <v>0.99604452752070882</v>
      </c>
      <c r="V201" s="91">
        <f>IF(TrRoad_act!V62=0,0,TrRoad_emi!V59/TrRoad_tech!V174)</f>
        <v>0.94311467946859173</v>
      </c>
      <c r="W201" s="91">
        <f>IF(TrRoad_act!W62=0,0,TrRoad_emi!W59/TrRoad_tech!W174)</f>
        <v>1.1293328530046387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1.00557786447275</v>
      </c>
      <c r="C202" s="91">
        <f>IF(TrRoad_act!C63=0,0,TrRoad_emi!C60/TrRoad_tech!C175)</f>
        <v>1.0082335274791572</v>
      </c>
      <c r="D202" s="91">
        <f>IF(TrRoad_act!D63=0,0,TrRoad_emi!D60/TrRoad_tech!D175)</f>
        <v>1.0108507410638607</v>
      </c>
      <c r="E202" s="91">
        <f>IF(TrRoad_act!E63=0,0,TrRoad_emi!E60/TrRoad_tech!E175)</f>
        <v>1.0026483809180089</v>
      </c>
      <c r="F202" s="91">
        <f>IF(TrRoad_act!F63=0,0,TrRoad_emi!F60/TrRoad_tech!F175)</f>
        <v>0.92454561070531371</v>
      </c>
      <c r="G202" s="91">
        <f>IF(TrRoad_act!G63=0,0,TrRoad_emi!G60/TrRoad_tech!G175)</f>
        <v>0.89810568386285905</v>
      </c>
      <c r="H202" s="91">
        <f>IF(TrRoad_act!H63=0,0,TrRoad_emi!H60/TrRoad_tech!H175)</f>
        <v>0.86630725746878456</v>
      </c>
      <c r="I202" s="91">
        <f>IF(TrRoad_act!I63=0,0,TrRoad_emi!I60/TrRoad_tech!I175)</f>
        <v>0.85286620269185021</v>
      </c>
      <c r="J202" s="91">
        <f>IF(TrRoad_act!J63=0,0,TrRoad_emi!J60/TrRoad_tech!J175)</f>
        <v>1.0091141963012455</v>
      </c>
      <c r="K202" s="91">
        <f>IF(TrRoad_act!K63=0,0,TrRoad_emi!K60/TrRoad_tech!K175)</f>
        <v>0.9995973707791429</v>
      </c>
      <c r="L202" s="91">
        <f>IF(TrRoad_act!L63=0,0,TrRoad_emi!L60/TrRoad_tech!L175)</f>
        <v>1.0252335046899501</v>
      </c>
      <c r="M202" s="91">
        <f>IF(TrRoad_act!M63=0,0,TrRoad_emi!M60/TrRoad_tech!M175)</f>
        <v>1.0873827484383261</v>
      </c>
      <c r="N202" s="91">
        <f>IF(TrRoad_act!N63=0,0,TrRoad_emi!N60/TrRoad_tech!N175)</f>
        <v>1.0974831991392069</v>
      </c>
      <c r="O202" s="91">
        <f>IF(TrRoad_act!O63=0,0,TrRoad_emi!O60/TrRoad_tech!O175)</f>
        <v>1.1116203321905325</v>
      </c>
      <c r="P202" s="91">
        <f>IF(TrRoad_act!P63=0,0,TrRoad_emi!P60/TrRoad_tech!P175)</f>
        <v>1.1154099830513526</v>
      </c>
      <c r="Q202" s="91">
        <f>IF(TrRoad_act!Q63=0,0,TrRoad_emi!Q60/TrRoad_tech!Q175)</f>
        <v>1.0906471016581891</v>
      </c>
      <c r="R202" s="91">
        <f>IF(TrRoad_act!R63=0,0,TrRoad_emi!R60/TrRoad_tech!R175)</f>
        <v>1.0528925480516658</v>
      </c>
      <c r="S202" s="91">
        <f>IF(TrRoad_act!S63=0,0,TrRoad_emi!S60/TrRoad_tech!S175)</f>
        <v>1.0560431900041265</v>
      </c>
      <c r="T202" s="91">
        <f>IF(TrRoad_act!T63=0,0,TrRoad_emi!T60/TrRoad_tech!T175)</f>
        <v>1.0257975368671808</v>
      </c>
      <c r="U202" s="91">
        <f>IF(TrRoad_act!U63=0,0,TrRoad_emi!U60/TrRoad_tech!U175)</f>
        <v>1.0143598175446007</v>
      </c>
      <c r="V202" s="91">
        <f>IF(TrRoad_act!V63=0,0,TrRoad_emi!V60/TrRoad_tech!V175)</f>
        <v>1.0173530895728033</v>
      </c>
      <c r="W202" s="91">
        <f>IF(TrRoad_act!W63=0,0,TrRoad_emi!W60/TrRoad_tech!W175)</f>
        <v>1.0685540010478249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0.92169586815078453</v>
      </c>
      <c r="C203" s="91">
        <f>IF(TrRoad_act!C64=0,0,TrRoad_emi!C61/TrRoad_tech!C176)</f>
        <v>0.9227110938392602</v>
      </c>
      <c r="D203" s="91">
        <f>IF(TrRoad_act!D64=0,0,TrRoad_emi!D61/TrRoad_tech!D176)</f>
        <v>0.90975277194319781</v>
      </c>
      <c r="E203" s="91">
        <f>IF(TrRoad_act!E64=0,0,TrRoad_emi!E61/TrRoad_tech!E176)</f>
        <v>0.91247169161516495</v>
      </c>
      <c r="F203" s="91">
        <f>IF(TrRoad_act!F64=0,0,TrRoad_emi!F61/TrRoad_tech!F176)</f>
        <v>0.93586512122430709</v>
      </c>
      <c r="G203" s="91">
        <f>IF(TrRoad_act!G64=0,0,TrRoad_emi!G61/TrRoad_tech!G176)</f>
        <v>0.98813690271415544</v>
      </c>
      <c r="H203" s="91">
        <f>IF(TrRoad_act!H64=0,0,TrRoad_emi!H61/TrRoad_tech!H176)</f>
        <v>1.0309657557641294</v>
      </c>
      <c r="I203" s="91">
        <f>IF(TrRoad_act!I64=0,0,TrRoad_emi!I61/TrRoad_tech!I176)</f>
        <v>1.0330032501332473</v>
      </c>
      <c r="J203" s="91">
        <f>IF(TrRoad_act!J64=0,0,TrRoad_emi!J61/TrRoad_tech!J176)</f>
        <v>1.0358038783186023</v>
      </c>
      <c r="K203" s="91">
        <f>IF(TrRoad_act!K64=0,0,TrRoad_emi!K61/TrRoad_tech!K176)</f>
        <v>0.92718185491134786</v>
      </c>
      <c r="L203" s="91">
        <f>IF(TrRoad_act!L64=0,0,TrRoad_emi!L61/TrRoad_tech!L176)</f>
        <v>1.0414960031285672</v>
      </c>
      <c r="M203" s="91">
        <f>IF(TrRoad_act!M64=0,0,TrRoad_emi!M61/TrRoad_tech!M176)</f>
        <v>1.0428687059386643</v>
      </c>
      <c r="N203" s="91">
        <f>IF(TrRoad_act!N64=0,0,TrRoad_emi!N61/TrRoad_tech!N176)</f>
        <v>1.0448703665188612</v>
      </c>
      <c r="O203" s="91">
        <f>IF(TrRoad_act!O64=0,0,TrRoad_emi!O61/TrRoad_tech!O176)</f>
        <v>1.0675815535387347</v>
      </c>
      <c r="P203" s="91">
        <f>IF(TrRoad_act!P64=0,0,TrRoad_emi!P61/TrRoad_tech!P176)</f>
        <v>1.0502482564895346</v>
      </c>
      <c r="Q203" s="91">
        <f>IF(TrRoad_act!Q64=0,0,TrRoad_emi!Q61/TrRoad_tech!Q176)</f>
        <v>1.0746655545838555</v>
      </c>
      <c r="R203" s="91">
        <f>IF(TrRoad_act!R64=0,0,TrRoad_emi!R61/TrRoad_tech!R176)</f>
        <v>1.0549962882136978</v>
      </c>
      <c r="S203" s="91">
        <f>IF(TrRoad_act!S64=0,0,TrRoad_emi!S61/TrRoad_tech!S176)</f>
        <v>0.92681808261500209</v>
      </c>
      <c r="T203" s="91">
        <f>IF(TrRoad_act!T64=0,0,TrRoad_emi!T61/TrRoad_tech!T176)</f>
        <v>0.9617755475191927</v>
      </c>
      <c r="U203" s="91">
        <f>IF(TrRoad_act!U64=0,0,TrRoad_emi!U61/TrRoad_tech!U176)</f>
        <v>1.0608513276146514</v>
      </c>
      <c r="V203" s="91">
        <f>IF(TrRoad_act!V64=0,0,TrRoad_emi!V61/TrRoad_tech!V176)</f>
        <v>1.0624222169578299</v>
      </c>
      <c r="W203" s="91">
        <f>IF(TrRoad_act!W64=0,0,TrRoad_emi!W61/TrRoad_tech!W176)</f>
        <v>1.1050255541187941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0.9451998356940482</v>
      </c>
      <c r="O204" s="91">
        <f>IF(TrRoad_act!O65=0,0,TrRoad_emi!O62/TrRoad_tech!O177)</f>
        <v>0.9610830844633792</v>
      </c>
      <c r="P204" s="91">
        <f>IF(TrRoad_act!P65=0,0,TrRoad_emi!P62/TrRoad_tech!P177)</f>
        <v>0.97675823198391176</v>
      </c>
      <c r="Q204" s="91">
        <f>IF(TrRoad_act!Q65=0,0,TrRoad_emi!Q62/TrRoad_tech!Q177)</f>
        <v>0.99231780335211761</v>
      </c>
      <c r="R204" s="91">
        <f>IF(TrRoad_act!R65=0,0,TrRoad_emi!R62/TrRoad_tech!R177)</f>
        <v>0.93816915236739074</v>
      </c>
      <c r="S204" s="91">
        <f>IF(TrRoad_act!S65=0,0,TrRoad_emi!S62/TrRoad_tech!S177)</f>
        <v>0.94500265773484138</v>
      </c>
      <c r="T204" s="91">
        <f>IF(TrRoad_act!T65=0,0,TrRoad_emi!T62/TrRoad_tech!T177)</f>
        <v>1.0718771088689225</v>
      </c>
      <c r="U204" s="91">
        <f>IF(TrRoad_act!U65=0,0,TrRoad_emi!U62/TrRoad_tech!U177)</f>
        <v>1.074318935692921</v>
      </c>
      <c r="V204" s="91">
        <f>IF(TrRoad_act!V65=0,0,TrRoad_emi!V62/TrRoad_tech!V177)</f>
        <v>1.0799939508079728</v>
      </c>
      <c r="W204" s="91">
        <f>IF(TrRoad_act!W65=0,0,TrRoad_emi!W62/TrRoad_tech!W177)</f>
        <v>1.352300640519114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1.0977190572275339</v>
      </c>
      <c r="C206" s="151">
        <f>IF(TrRoad_act!C67=0,0,TrRoad_emi!C64/TrRoad_tech!C179)</f>
        <v>1.0935898236417956</v>
      </c>
      <c r="D206" s="151">
        <f>IF(TrRoad_act!D67=0,0,TrRoad_emi!D64/TrRoad_tech!D179)</f>
        <v>1.0915979759289565</v>
      </c>
      <c r="E206" s="151">
        <f>IF(TrRoad_act!E67=0,0,TrRoad_emi!E64/TrRoad_tech!E179)</f>
        <v>1.098011913354384</v>
      </c>
      <c r="F206" s="151">
        <f>IF(TrRoad_act!F67=0,0,TrRoad_emi!F64/TrRoad_tech!F179)</f>
        <v>1.0785277431784888</v>
      </c>
      <c r="G206" s="151">
        <f>IF(TrRoad_act!G67=0,0,TrRoad_emi!G64/TrRoad_tech!G179)</f>
        <v>1.0903047098152272</v>
      </c>
      <c r="H206" s="151">
        <f>IF(TrRoad_act!H67=0,0,TrRoad_emi!H64/TrRoad_tech!H179)</f>
        <v>1.0934280385212081</v>
      </c>
      <c r="I206" s="151">
        <f>IF(TrRoad_act!I67=0,0,TrRoad_emi!I64/TrRoad_tech!I179)</f>
        <v>1.0977455304014676</v>
      </c>
      <c r="J206" s="151">
        <f>IF(TrRoad_act!J67=0,0,TrRoad_emi!J64/TrRoad_tech!J179)</f>
        <v>1.0892277681481053</v>
      </c>
      <c r="K206" s="151">
        <f>IF(TrRoad_act!K67=0,0,TrRoad_emi!K64/TrRoad_tech!K179)</f>
        <v>1.0677266342789389</v>
      </c>
      <c r="L206" s="151">
        <f>IF(TrRoad_act!L67=0,0,TrRoad_emi!L64/TrRoad_tech!L179)</f>
        <v>1.0606916212502473</v>
      </c>
      <c r="M206" s="151">
        <f>IF(TrRoad_act!M67=0,0,TrRoad_emi!M64/TrRoad_tech!M179)</f>
        <v>1.073225869968979</v>
      </c>
      <c r="N206" s="151">
        <f>IF(TrRoad_act!N67=0,0,TrRoad_emi!N64/TrRoad_tech!N179)</f>
        <v>1.0888349146350411</v>
      </c>
      <c r="O206" s="151">
        <f>IF(TrRoad_act!O67=0,0,TrRoad_emi!O64/TrRoad_tech!O179)</f>
        <v>1.1557536850561327</v>
      </c>
      <c r="P206" s="151">
        <f>IF(TrRoad_act!P67=0,0,TrRoad_emi!P64/TrRoad_tech!P179)</f>
        <v>1.101773461618285</v>
      </c>
      <c r="Q206" s="151">
        <f>IF(TrRoad_act!Q67=0,0,TrRoad_emi!Q64/TrRoad_tech!Q179)</f>
        <v>1.1155032567225966</v>
      </c>
      <c r="R206" s="151">
        <f>IF(TrRoad_act!R67=0,0,TrRoad_emi!R64/TrRoad_tech!R179)</f>
        <v>1.130308997119263</v>
      </c>
      <c r="S206" s="151">
        <f>IF(TrRoad_act!S67=0,0,TrRoad_emi!S64/TrRoad_tech!S179)</f>
        <v>1.1598820833587047</v>
      </c>
      <c r="T206" s="151">
        <f>IF(TrRoad_act!T67=0,0,TrRoad_emi!T64/TrRoad_tech!T179)</f>
        <v>1.1532263777962468</v>
      </c>
      <c r="U206" s="151">
        <f>IF(TrRoad_act!U67=0,0,TrRoad_emi!U64/TrRoad_tech!U179)</f>
        <v>1.1728817364459851</v>
      </c>
      <c r="V206" s="151">
        <f>IF(TrRoad_act!V67=0,0,TrRoad_emi!V64/TrRoad_tech!V179)</f>
        <v>1.1415392421430772</v>
      </c>
      <c r="W206" s="151">
        <f>IF(TrRoad_act!W67=0,0,TrRoad_emi!W64/TrRoad_tech!W179)</f>
        <v>1.2049236091132696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1.1000000000067296</v>
      </c>
      <c r="E207" s="93">
        <f>IF(TrRoad_act!E68=0,0,TrRoad_emi!E65/TrRoad_tech!E180)</f>
        <v>1.10000000000673</v>
      </c>
      <c r="F207" s="93">
        <f>IF(TrRoad_act!F68=0,0,TrRoad_emi!F65/TrRoad_tech!F180)</f>
        <v>1.10000000000673</v>
      </c>
      <c r="G207" s="93">
        <f>IF(TrRoad_act!G68=0,0,TrRoad_emi!G65/TrRoad_tech!G180)</f>
        <v>1.10000000000673</v>
      </c>
      <c r="H207" s="93">
        <f>IF(TrRoad_act!H68=0,0,TrRoad_emi!H65/TrRoad_tech!H180)</f>
        <v>1.1000000000067305</v>
      </c>
      <c r="I207" s="93">
        <f>IF(TrRoad_act!I68=0,0,TrRoad_emi!I65/TrRoad_tech!I180)</f>
        <v>1.1013827538660699</v>
      </c>
      <c r="J207" s="93">
        <f>IF(TrRoad_act!J68=0,0,TrRoad_emi!J65/TrRoad_tech!J180)</f>
        <v>1.1003170821957473</v>
      </c>
      <c r="K207" s="93">
        <f>IF(TrRoad_act!K68=0,0,TrRoad_emi!K65/TrRoad_tech!K180)</f>
        <v>1.1020967270585544</v>
      </c>
      <c r="L207" s="93">
        <f>IF(TrRoad_act!L68=0,0,TrRoad_emi!L65/TrRoad_tech!L180)</f>
        <v>1.1019603927682629</v>
      </c>
      <c r="M207" s="93">
        <f>IF(TrRoad_act!M68=0,0,TrRoad_emi!M65/TrRoad_tech!M180)</f>
        <v>1.1050901289141493</v>
      </c>
      <c r="N207" s="93">
        <f>IF(TrRoad_act!N68=0,0,TrRoad_emi!N65/TrRoad_tech!N180)</f>
        <v>1.1060463363520929</v>
      </c>
      <c r="O207" s="93">
        <f>IF(TrRoad_act!O68=0,0,TrRoad_emi!O65/TrRoad_tech!O180)</f>
        <v>1.1818455288259058</v>
      </c>
      <c r="P207" s="93">
        <f>IF(TrRoad_act!P68=0,0,TrRoad_emi!P65/TrRoad_tech!P180)</f>
        <v>1.2344058643264346</v>
      </c>
      <c r="Q207" s="93">
        <f>IF(TrRoad_act!Q68=0,0,TrRoad_emi!Q65/TrRoad_tech!Q180)</f>
        <v>1.2367834345378459</v>
      </c>
      <c r="R207" s="93">
        <f>IF(TrRoad_act!R68=0,0,TrRoad_emi!R65/TrRoad_tech!R180)</f>
        <v>1.2358107999404362</v>
      </c>
      <c r="S207" s="93">
        <f>IF(TrRoad_act!S68=0,0,TrRoad_emi!S65/TrRoad_tech!S180)</f>
        <v>1.2387526684104995</v>
      </c>
      <c r="T207" s="93">
        <f>IF(TrRoad_act!T68=0,0,TrRoad_emi!T65/TrRoad_tech!T180)</f>
        <v>1.2419054662074267</v>
      </c>
      <c r="U207" s="93">
        <f>IF(TrRoad_act!U68=0,0,TrRoad_emi!U65/TrRoad_tech!U180)</f>
        <v>1.2926859886109754</v>
      </c>
      <c r="V207" s="93">
        <f>IF(TrRoad_act!V68=0,0,TrRoad_emi!V65/TrRoad_tech!V180)</f>
        <v>1.2975490531248179</v>
      </c>
      <c r="W207" s="93">
        <f>IF(TrRoad_act!W68=0,0,TrRoad_emi!W65/TrRoad_tech!W180)</f>
        <v>1.300298594391178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1.1005494337065087</v>
      </c>
      <c r="D208" s="93">
        <f>IF(TrRoad_act!D69=0,0,TrRoad_emi!D66/TrRoad_tech!D181)</f>
        <v>1.1017987067289012</v>
      </c>
      <c r="E208" s="93">
        <f>IF(TrRoad_act!E69=0,0,TrRoad_emi!E66/TrRoad_tech!E181)</f>
        <v>1.1036166021661693</v>
      </c>
      <c r="F208" s="93">
        <f>IF(TrRoad_act!F69=0,0,TrRoad_emi!F66/TrRoad_tech!F181)</f>
        <v>1.0936603796675326</v>
      </c>
      <c r="G208" s="93">
        <f>IF(TrRoad_act!G69=0,0,TrRoad_emi!G66/TrRoad_tech!G181)</f>
        <v>1.1012138434098329</v>
      </c>
      <c r="H208" s="93">
        <f>IF(TrRoad_act!H69=0,0,TrRoad_emi!H66/TrRoad_tech!H181)</f>
        <v>1.1067859159325004</v>
      </c>
      <c r="I208" s="93">
        <f>IF(TrRoad_act!I69=0,0,TrRoad_emi!I66/TrRoad_tech!I181)</f>
        <v>1.1127603395340755</v>
      </c>
      <c r="J208" s="93">
        <f>IF(TrRoad_act!J69=0,0,TrRoad_emi!J66/TrRoad_tech!J181)</f>
        <v>1.0945338028980351</v>
      </c>
      <c r="K208" s="93">
        <f>IF(TrRoad_act!K69=0,0,TrRoad_emi!K66/TrRoad_tech!K181)</f>
        <v>1.0803666086306267</v>
      </c>
      <c r="L208" s="93">
        <f>IF(TrRoad_act!L69=0,0,TrRoad_emi!L66/TrRoad_tech!L181)</f>
        <v>1.0749872846230355</v>
      </c>
      <c r="M208" s="93">
        <f>IF(TrRoad_act!M69=0,0,TrRoad_emi!M66/TrRoad_tech!M181)</f>
        <v>1.0851952292232476</v>
      </c>
      <c r="N208" s="93">
        <f>IF(TrRoad_act!N69=0,0,TrRoad_emi!N66/TrRoad_tech!N181)</f>
        <v>1.0899603103354631</v>
      </c>
      <c r="O208" s="93">
        <f>IF(TrRoad_act!O69=0,0,TrRoad_emi!O66/TrRoad_tech!O181)</f>
        <v>1.0990324566950533</v>
      </c>
      <c r="P208" s="93">
        <f>IF(TrRoad_act!P69=0,0,TrRoad_emi!P66/TrRoad_tech!P181)</f>
        <v>1.1206528295984981</v>
      </c>
      <c r="Q208" s="93">
        <f>IF(TrRoad_act!Q69=0,0,TrRoad_emi!Q66/TrRoad_tech!Q181)</f>
        <v>1.1280326753407499</v>
      </c>
      <c r="R208" s="93">
        <f>IF(TrRoad_act!R69=0,0,TrRoad_emi!R66/TrRoad_tech!R181)</f>
        <v>1.1465265402669487</v>
      </c>
      <c r="S208" s="93">
        <f>IF(TrRoad_act!S69=0,0,TrRoad_emi!S66/TrRoad_tech!S181)</f>
        <v>1.1541800909126636</v>
      </c>
      <c r="T208" s="93">
        <f>IF(TrRoad_act!T69=0,0,TrRoad_emi!T66/TrRoad_tech!T181)</f>
        <v>1.1611665304141094</v>
      </c>
      <c r="U208" s="93">
        <f>IF(TrRoad_act!U69=0,0,TrRoad_emi!U66/TrRoad_tech!U181)</f>
        <v>1.1730679543877347</v>
      </c>
      <c r="V208" s="93">
        <f>IF(TrRoad_act!V69=0,0,TrRoad_emi!V66/TrRoad_tech!V181)</f>
        <v>1.1724162779645579</v>
      </c>
      <c r="W208" s="93">
        <f>IF(TrRoad_act!W69=0,0,TrRoad_emi!W66/TrRoad_tech!W181)</f>
        <v>1.1901441636937997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1.1000000000067307</v>
      </c>
      <c r="C209" s="93">
        <f>IF(TrRoad_act!C70=0,0,TrRoad_emi!C67/TrRoad_tech!C182)</f>
        <v>1.1005836006121001</v>
      </c>
      <c r="D209" s="93">
        <f>IF(TrRoad_act!D70=0,0,TrRoad_emi!D67/TrRoad_tech!D182)</f>
        <v>1.1006077922035127</v>
      </c>
      <c r="E209" s="93">
        <f>IF(TrRoad_act!E70=0,0,TrRoad_emi!E67/TrRoad_tech!E182)</f>
        <v>1.1035398590579231</v>
      </c>
      <c r="F209" s="93">
        <f>IF(TrRoad_act!F70=0,0,TrRoad_emi!F67/TrRoad_tech!F182)</f>
        <v>1.1123756141524292</v>
      </c>
      <c r="G209" s="93">
        <f>IF(TrRoad_act!G70=0,0,TrRoad_emi!G67/TrRoad_tech!G182)</f>
        <v>1.1200139995921399</v>
      </c>
      <c r="H209" s="93">
        <f>IF(TrRoad_act!H70=0,0,TrRoad_emi!H67/TrRoad_tech!H182)</f>
        <v>1.123090242669968</v>
      </c>
      <c r="I209" s="93">
        <f>IF(TrRoad_act!I70=0,0,TrRoad_emi!I67/TrRoad_tech!I182)</f>
        <v>1.1295203907804581</v>
      </c>
      <c r="J209" s="93">
        <f>IF(TrRoad_act!J70=0,0,TrRoad_emi!J67/TrRoad_tech!J182)</f>
        <v>1.1374865230086295</v>
      </c>
      <c r="K209" s="93">
        <f>IF(TrRoad_act!K70=0,0,TrRoad_emi!K67/TrRoad_tech!K182)</f>
        <v>1.1515714957431757</v>
      </c>
      <c r="L209" s="93">
        <f>IF(TrRoad_act!L70=0,0,TrRoad_emi!L67/TrRoad_tech!L182)</f>
        <v>1.1519423226208343</v>
      </c>
      <c r="M209" s="93">
        <f>IF(TrRoad_act!M70=0,0,TrRoad_emi!M67/TrRoad_tech!M182)</f>
        <v>1.1531069994296039</v>
      </c>
      <c r="N209" s="93">
        <f>IF(TrRoad_act!N70=0,0,TrRoad_emi!N67/TrRoad_tech!N182)</f>
        <v>1.1540632774628092</v>
      </c>
      <c r="O209" s="93">
        <f>IF(TrRoad_act!O70=0,0,TrRoad_emi!O67/TrRoad_tech!O182)</f>
        <v>1.1555083024617188</v>
      </c>
      <c r="P209" s="93">
        <f>IF(TrRoad_act!P70=0,0,TrRoad_emi!P67/TrRoad_tech!P182)</f>
        <v>1.1566537931616245</v>
      </c>
      <c r="Q209" s="93">
        <f>IF(TrRoad_act!Q70=0,0,TrRoad_emi!Q67/TrRoad_tech!Q182)</f>
        <v>1.1575956289523723</v>
      </c>
      <c r="R209" s="93">
        <f>IF(TrRoad_act!R70=0,0,TrRoad_emi!R67/TrRoad_tech!R182)</f>
        <v>1.1583964409244396</v>
      </c>
      <c r="S209" s="93">
        <f>IF(TrRoad_act!S70=0,0,TrRoad_emi!S67/TrRoad_tech!S182)</f>
        <v>1.1636355605058999</v>
      </c>
      <c r="T209" s="93">
        <f>IF(TrRoad_act!T70=0,0,TrRoad_emi!T67/TrRoad_tech!T182)</f>
        <v>1.1951909575466289</v>
      </c>
      <c r="U209" s="93">
        <f>IF(TrRoad_act!U70=0,0,TrRoad_emi!U67/TrRoad_tech!U182)</f>
        <v>1.1956827375165318</v>
      </c>
      <c r="V209" s="93">
        <f>IF(TrRoad_act!V70=0,0,TrRoad_emi!V67/TrRoad_tech!V182)</f>
        <v>1.2006545125037109</v>
      </c>
      <c r="W209" s="93">
        <f>IF(TrRoad_act!W70=0,0,TrRoad_emi!W67/TrRoad_tech!W182)</f>
        <v>1.2028575437674069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9.7726771955786496E-2</v>
      </c>
      <c r="C210" s="93">
        <f>IF(TrRoad_act!C71=0,0,TrRoad_emi!C68/TrRoad_tech!C183)</f>
        <v>9.7807295657067E-2</v>
      </c>
      <c r="D210" s="93">
        <f>IF(TrRoad_act!D71=0,0,TrRoad_emi!D68/TrRoad_tech!D183)</f>
        <v>9.7862013868849615E-2</v>
      </c>
      <c r="E210" s="93">
        <f>IF(TrRoad_act!E71=0,0,TrRoad_emi!E68/TrRoad_tech!E183)</f>
        <v>9.76876047449865E-2</v>
      </c>
      <c r="F210" s="93">
        <f>IF(TrRoad_act!F71=0,0,TrRoad_emi!F68/TrRoad_tech!F183)</f>
        <v>9.7672115727891209E-2</v>
      </c>
      <c r="G210" s="93">
        <f>IF(TrRoad_act!G71=0,0,TrRoad_emi!G68/TrRoad_tech!G183)</f>
        <v>9.7444077359602643E-2</v>
      </c>
      <c r="H210" s="93">
        <f>IF(TrRoad_act!H71=0,0,TrRoad_emi!H68/TrRoad_tech!H183)</f>
        <v>9.8202054884013276E-2</v>
      </c>
      <c r="I210" s="93">
        <f>IF(TrRoad_act!I71=0,0,TrRoad_emi!I68/TrRoad_tech!I183)</f>
        <v>0.324435594856469</v>
      </c>
      <c r="J210" s="93">
        <f>IF(TrRoad_act!J71=0,0,TrRoad_emi!J68/TrRoad_tech!J183)</f>
        <v>0.72565926879696918</v>
      </c>
      <c r="K210" s="93">
        <f>IF(TrRoad_act!K71=0,0,TrRoad_emi!K68/TrRoad_tech!K183)</f>
        <v>0.5239817630766177</v>
      </c>
      <c r="L210" s="93">
        <f>IF(TrRoad_act!L71=0,0,TrRoad_emi!L68/TrRoad_tech!L183)</f>
        <v>0.55547759288620568</v>
      </c>
      <c r="M210" s="93">
        <f>IF(TrRoad_act!M71=0,0,TrRoad_emi!M68/TrRoad_tech!M183)</f>
        <v>0.88795336283425508</v>
      </c>
      <c r="N210" s="93">
        <f>IF(TrRoad_act!N71=0,0,TrRoad_emi!N68/TrRoad_tech!N183)</f>
        <v>1.1185404215417489</v>
      </c>
      <c r="O210" s="93">
        <f>IF(TrRoad_act!O71=0,0,TrRoad_emi!O68/TrRoad_tech!O183)</f>
        <v>1.1945398007373191</v>
      </c>
      <c r="P210" s="93">
        <f>IF(TrRoad_act!P71=0,0,TrRoad_emi!P68/TrRoad_tech!P183)</f>
        <v>1.0393331971711901</v>
      </c>
      <c r="Q210" s="93">
        <f>IF(TrRoad_act!Q71=0,0,TrRoad_emi!Q68/TrRoad_tech!Q183)</f>
        <v>1.199732558200798</v>
      </c>
      <c r="R210" s="93">
        <f>IF(TrRoad_act!R71=0,0,TrRoad_emi!R68/TrRoad_tech!R183)</f>
        <v>0.80611195708107253</v>
      </c>
      <c r="S210" s="93">
        <f>IF(TrRoad_act!S71=0,0,TrRoad_emi!S68/TrRoad_tech!S183)</f>
        <v>0.86701161811746219</v>
      </c>
      <c r="T210" s="93">
        <f>IF(TrRoad_act!T71=0,0,TrRoad_emi!T68/TrRoad_tech!T183)</f>
        <v>0.86280208611666298</v>
      </c>
      <c r="U210" s="93">
        <f>IF(TrRoad_act!U71=0,0,TrRoad_emi!U68/TrRoad_tech!U183)</f>
        <v>0.94001966702527351</v>
      </c>
      <c r="V210" s="93">
        <f>IF(TrRoad_act!V71=0,0,TrRoad_emi!V68/TrRoad_tech!V183)</f>
        <v>0.47054057199048011</v>
      </c>
      <c r="W210" s="93">
        <f>IF(TrRoad_act!W71=0,0,TrRoad_emi!W68/TrRoad_tech!W183)</f>
        <v>1.3143752570017835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1.0938778284844393</v>
      </c>
      <c r="C213" s="150">
        <f>IF(TrRoad_act!C74=0,0,TrRoad_emi!C71/TrRoad_tech!C186)</f>
        <v>1.0785688547295282</v>
      </c>
      <c r="D213" s="150">
        <f>IF(TrRoad_act!D74=0,0,TrRoad_emi!D71/TrRoad_tech!D186)</f>
        <v>1.0689412022451483</v>
      </c>
      <c r="E213" s="150">
        <f>IF(TrRoad_act!E74=0,0,TrRoad_emi!E71/TrRoad_tech!E186)</f>
        <v>1.0819991258743988</v>
      </c>
      <c r="F213" s="150">
        <f>IF(TrRoad_act!F74=0,0,TrRoad_emi!F71/TrRoad_tech!F186)</f>
        <v>1.0975373860614639</v>
      </c>
      <c r="G213" s="150">
        <f>IF(TrRoad_act!G74=0,0,TrRoad_emi!G71/TrRoad_tech!G186)</f>
        <v>1.0997690265401672</v>
      </c>
      <c r="H213" s="150">
        <f>IF(TrRoad_act!H74=0,0,TrRoad_emi!H71/TrRoad_tech!H186)</f>
        <v>1.1073428983202074</v>
      </c>
      <c r="I213" s="150">
        <f>IF(TrRoad_act!I74=0,0,TrRoad_emi!I71/TrRoad_tech!I186)</f>
        <v>1.1026590723429472</v>
      </c>
      <c r="J213" s="150">
        <f>IF(TrRoad_act!J74=0,0,TrRoad_emi!J71/TrRoad_tech!J186)</f>
        <v>1.0778407478030296</v>
      </c>
      <c r="K213" s="150">
        <f>IF(TrRoad_act!K74=0,0,TrRoad_emi!K71/TrRoad_tech!K186)</f>
        <v>1.0705289948563015</v>
      </c>
      <c r="L213" s="150">
        <f>IF(TrRoad_act!L74=0,0,TrRoad_emi!L71/TrRoad_tech!L186)</f>
        <v>1.123195142106677</v>
      </c>
      <c r="M213" s="150">
        <f>IF(TrRoad_act!M74=0,0,TrRoad_emi!M71/TrRoad_tech!M186)</f>
        <v>1.1607559986708671</v>
      </c>
      <c r="N213" s="150">
        <f>IF(TrRoad_act!N74=0,0,TrRoad_emi!N71/TrRoad_tech!N186)</f>
        <v>1.1425383984644697</v>
      </c>
      <c r="O213" s="150">
        <f>IF(TrRoad_act!O74=0,0,TrRoad_emi!O71/TrRoad_tech!O186)</f>
        <v>1.1721995045537164</v>
      </c>
      <c r="P213" s="150">
        <f>IF(TrRoad_act!P74=0,0,TrRoad_emi!P71/TrRoad_tech!P186)</f>
        <v>1.1832398323891353</v>
      </c>
      <c r="Q213" s="150">
        <f>IF(TrRoad_act!Q74=0,0,TrRoad_emi!Q71/TrRoad_tech!Q186)</f>
        <v>1.1609186567283434</v>
      </c>
      <c r="R213" s="150">
        <f>IF(TrRoad_act!R74=0,0,TrRoad_emi!R71/TrRoad_tech!R186)</f>
        <v>1.1678602419060642</v>
      </c>
      <c r="S213" s="150">
        <f>IF(TrRoad_act!S74=0,0,TrRoad_emi!S71/TrRoad_tech!S186)</f>
        <v>1.1784148643834347</v>
      </c>
      <c r="T213" s="150">
        <f>IF(TrRoad_act!T74=0,0,TrRoad_emi!T71/TrRoad_tech!T186)</f>
        <v>1.158755609051191</v>
      </c>
      <c r="U213" s="150">
        <f>IF(TrRoad_act!U74=0,0,TrRoad_emi!U71/TrRoad_tech!U186)</f>
        <v>1.1377810763172764</v>
      </c>
      <c r="V213" s="150">
        <f>IF(TrRoad_act!V74=0,0,TrRoad_emi!V71/TrRoad_tech!V186)</f>
        <v>1.0626282525770312</v>
      </c>
      <c r="W213" s="150">
        <f>IF(TrRoad_act!W74=0,0,TrRoad_emi!W71/TrRoad_tech!W186)</f>
        <v>1.0847483196803764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1.1000508823441748</v>
      </c>
      <c r="D214" s="91">
        <f>IF(TrRoad_act!D75=0,0,TrRoad_emi!D72/TrRoad_tech!D187)</f>
        <v>1.1001971332174663</v>
      </c>
      <c r="E214" s="91">
        <f>IF(TrRoad_act!E75=0,0,TrRoad_emi!E72/TrRoad_tech!E187)</f>
        <v>1.1004142758166842</v>
      </c>
      <c r="F214" s="91">
        <f>IF(TrRoad_act!F75=0,0,TrRoad_emi!F72/TrRoad_tech!F187)</f>
        <v>1.1006264442870686</v>
      </c>
      <c r="G214" s="91">
        <f>IF(TrRoad_act!G75=0,0,TrRoad_emi!G72/TrRoad_tech!G187)</f>
        <v>1.1010862912854198</v>
      </c>
      <c r="H214" s="91">
        <f>IF(TrRoad_act!H75=0,0,TrRoad_emi!H72/TrRoad_tech!H187)</f>
        <v>1.1019829293262315</v>
      </c>
      <c r="I214" s="91">
        <f>IF(TrRoad_act!I75=0,0,TrRoad_emi!I72/TrRoad_tech!I187)</f>
        <v>1.1022217295826917</v>
      </c>
      <c r="J214" s="91">
        <f>IF(TrRoad_act!J75=0,0,TrRoad_emi!J72/TrRoad_tech!J187)</f>
        <v>1.0965302192605266</v>
      </c>
      <c r="K214" s="91">
        <f>IF(TrRoad_act!K75=0,0,TrRoad_emi!K72/TrRoad_tech!K187)</f>
        <v>1.0950355522522035</v>
      </c>
      <c r="L214" s="91">
        <f>IF(TrRoad_act!L75=0,0,TrRoad_emi!L72/TrRoad_tech!L187)</f>
        <v>1.0923417995241171</v>
      </c>
      <c r="M214" s="91">
        <f>IF(TrRoad_act!M75=0,0,TrRoad_emi!M72/TrRoad_tech!M187)</f>
        <v>1.0962019683700357</v>
      </c>
      <c r="N214" s="91">
        <f>IF(TrRoad_act!N75=0,0,TrRoad_emi!N72/TrRoad_tech!N187)</f>
        <v>1.0993755487656007</v>
      </c>
      <c r="O214" s="91">
        <f>IF(TrRoad_act!O75=0,0,TrRoad_emi!O72/TrRoad_tech!O187)</f>
        <v>1.1083159688813842</v>
      </c>
      <c r="P214" s="91">
        <f>IF(TrRoad_act!P75=0,0,TrRoad_emi!P72/TrRoad_tech!P187)</f>
        <v>1.1245884709438017</v>
      </c>
      <c r="Q214" s="91">
        <f>IF(TrRoad_act!Q75=0,0,TrRoad_emi!Q72/TrRoad_tech!Q187)</f>
        <v>1.1308941785774227</v>
      </c>
      <c r="R214" s="91">
        <f>IF(TrRoad_act!R75=0,0,TrRoad_emi!R72/TrRoad_tech!R187)</f>
        <v>1.1399302673404295</v>
      </c>
      <c r="S214" s="91">
        <f>IF(TrRoad_act!S75=0,0,TrRoad_emi!S72/TrRoad_tech!S187)</f>
        <v>1.1492868724236802</v>
      </c>
      <c r="T214" s="91">
        <f>IF(TrRoad_act!T75=0,0,TrRoad_emi!T72/TrRoad_tech!T187)</f>
        <v>1.1641725326344348</v>
      </c>
      <c r="U214" s="91">
        <f>IF(TrRoad_act!U75=0,0,TrRoad_emi!U72/TrRoad_tech!U187)</f>
        <v>1.1851414014779713</v>
      </c>
      <c r="V214" s="91">
        <f>IF(TrRoad_act!V75=0,0,TrRoad_emi!V72/TrRoad_tech!V187)</f>
        <v>1.2013727454794356</v>
      </c>
      <c r="W214" s="91">
        <f>IF(TrRoad_act!W75=0,0,TrRoad_emi!W72/TrRoad_tech!W187)</f>
        <v>1.2337223254157372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1.1000969140145895</v>
      </c>
      <c r="D215" s="91">
        <f>IF(TrRoad_act!D76=0,0,TrRoad_emi!D73/TrRoad_tech!D188)</f>
        <v>1.1003621592694361</v>
      </c>
      <c r="E215" s="91">
        <f>IF(TrRoad_act!E76=0,0,TrRoad_emi!E73/TrRoad_tech!E188)</f>
        <v>1.1007581440438925</v>
      </c>
      <c r="F215" s="91">
        <f>IF(TrRoad_act!F76=0,0,TrRoad_emi!F73/TrRoad_tech!F188)</f>
        <v>1.0887714163786961</v>
      </c>
      <c r="G215" s="91">
        <f>IF(TrRoad_act!G76=0,0,TrRoad_emi!G73/TrRoad_tech!G188)</f>
        <v>1.0935262074430023</v>
      </c>
      <c r="H215" s="91">
        <f>IF(TrRoad_act!H76=0,0,TrRoad_emi!H73/TrRoad_tech!H188)</f>
        <v>1.0960450291531376</v>
      </c>
      <c r="I215" s="91">
        <f>IF(TrRoad_act!I76=0,0,TrRoad_emi!I73/TrRoad_tech!I188)</f>
        <v>1.0991631170296756</v>
      </c>
      <c r="J215" s="91">
        <f>IF(TrRoad_act!J76=0,0,TrRoad_emi!J73/TrRoad_tech!J188)</f>
        <v>1.0775415164250162</v>
      </c>
      <c r="K215" s="91">
        <f>IF(TrRoad_act!K76=0,0,TrRoad_emi!K73/TrRoad_tech!K188)</f>
        <v>1.0604957113914586</v>
      </c>
      <c r="L215" s="91">
        <f>IF(TrRoad_act!L76=0,0,TrRoad_emi!L73/TrRoad_tech!L188)</f>
        <v>1.050809684362831</v>
      </c>
      <c r="M215" s="91">
        <f>IF(TrRoad_act!M76=0,0,TrRoad_emi!M73/TrRoad_tech!M188)</f>
        <v>1.0549840429894319</v>
      </c>
      <c r="N215" s="91">
        <f>IF(TrRoad_act!N76=0,0,TrRoad_emi!N73/TrRoad_tech!N188)</f>
        <v>1.0588840173273391</v>
      </c>
      <c r="O215" s="91">
        <f>IF(TrRoad_act!O76=0,0,TrRoad_emi!O73/TrRoad_tech!O188)</f>
        <v>1.0678865855977564</v>
      </c>
      <c r="P215" s="91">
        <f>IF(TrRoad_act!P76=0,0,TrRoad_emi!P73/TrRoad_tech!P188)</f>
        <v>1.0855570537466168</v>
      </c>
      <c r="Q215" s="91">
        <f>IF(TrRoad_act!Q76=0,0,TrRoad_emi!Q73/TrRoad_tech!Q188)</f>
        <v>1.0891773557057078</v>
      </c>
      <c r="R215" s="91">
        <f>IF(TrRoad_act!R76=0,0,TrRoad_emi!R73/TrRoad_tech!R188)</f>
        <v>1.1093552122332899</v>
      </c>
      <c r="S215" s="91">
        <f>IF(TrRoad_act!S76=0,0,TrRoad_emi!S73/TrRoad_tech!S188)</f>
        <v>1.1194355757680892</v>
      </c>
      <c r="T215" s="91">
        <f>IF(TrRoad_act!T76=0,0,TrRoad_emi!T73/TrRoad_tech!T188)</f>
        <v>1.1255407429776096</v>
      </c>
      <c r="U215" s="91">
        <f>IF(TrRoad_act!U76=0,0,TrRoad_emi!U73/TrRoad_tech!U188)</f>
        <v>1.1366554530912465</v>
      </c>
      <c r="V215" s="91">
        <f>IF(TrRoad_act!V76=0,0,TrRoad_emi!V73/TrRoad_tech!V188)</f>
        <v>1.1346967667293624</v>
      </c>
      <c r="W215" s="91">
        <f>IF(TrRoad_act!W76=0,0,TrRoad_emi!W73/TrRoad_tech!W188)</f>
        <v>1.1544690457221758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1.1001195253820157</v>
      </c>
      <c r="D216" s="91">
        <f>IF(TrRoad_act!D77=0,0,TrRoad_emi!D74/TrRoad_tech!D189)</f>
        <v>1.1004154685785137</v>
      </c>
      <c r="E216" s="91">
        <f>IF(TrRoad_act!E77=0,0,TrRoad_emi!E74/TrRoad_tech!E189)</f>
        <v>1.100861336613393</v>
      </c>
      <c r="F216" s="91">
        <f>IF(TrRoad_act!F77=0,0,TrRoad_emi!F74/TrRoad_tech!F189)</f>
        <v>1.1013757930750645</v>
      </c>
      <c r="G216" s="91">
        <f>IF(TrRoad_act!G77=0,0,TrRoad_emi!G74/TrRoad_tech!G189)</f>
        <v>1.1022341649863188</v>
      </c>
      <c r="H216" s="91">
        <f>IF(TrRoad_act!H77=0,0,TrRoad_emi!H74/TrRoad_tech!H189)</f>
        <v>1.103799668417039</v>
      </c>
      <c r="I216" s="91">
        <f>IF(TrRoad_act!I77=0,0,TrRoad_emi!I74/TrRoad_tech!I189)</f>
        <v>1.1040532297494527</v>
      </c>
      <c r="J216" s="91">
        <f>IF(TrRoad_act!J77=0,0,TrRoad_emi!J74/TrRoad_tech!J189)</f>
        <v>1.108131445489422</v>
      </c>
      <c r="K216" s="91">
        <f>IF(TrRoad_act!K77=0,0,TrRoad_emi!K74/TrRoad_tech!K189)</f>
        <v>1.1153383455202699</v>
      </c>
      <c r="L216" s="91">
        <f>IF(TrRoad_act!L77=0,0,TrRoad_emi!L74/TrRoad_tech!L189)</f>
        <v>1.1191331021133555</v>
      </c>
      <c r="M216" s="91">
        <f>IF(TrRoad_act!M77=0,0,TrRoad_emi!M74/TrRoad_tech!M189)</f>
        <v>1.1216734051514614</v>
      </c>
      <c r="N216" s="91">
        <f>IF(TrRoad_act!N77=0,0,TrRoad_emi!N74/TrRoad_tech!N189)</f>
        <v>1.137049766482372</v>
      </c>
      <c r="O216" s="91">
        <f>IF(TrRoad_act!O77=0,0,TrRoad_emi!O74/TrRoad_tech!O189)</f>
        <v>1.1433291199661384</v>
      </c>
      <c r="P216" s="91">
        <f>IF(TrRoad_act!P77=0,0,TrRoad_emi!P74/TrRoad_tech!P189)</f>
        <v>1.150448182542454</v>
      </c>
      <c r="Q216" s="91">
        <f>IF(TrRoad_act!Q77=0,0,TrRoad_emi!Q74/TrRoad_tech!Q189)</f>
        <v>1.1599463609247773</v>
      </c>
      <c r="R216" s="91">
        <f>IF(TrRoad_act!R77=0,0,TrRoad_emi!R74/TrRoad_tech!R189)</f>
        <v>1.1730308846202169</v>
      </c>
      <c r="S216" s="91">
        <f>IF(TrRoad_act!S77=0,0,TrRoad_emi!S74/TrRoad_tech!S189)</f>
        <v>1.1854683536095791</v>
      </c>
      <c r="T216" s="91">
        <f>IF(TrRoad_act!T77=0,0,TrRoad_emi!T74/TrRoad_tech!T189)</f>
        <v>1.1970916588334597</v>
      </c>
      <c r="U216" s="91">
        <f>IF(TrRoad_act!U77=0,0,TrRoad_emi!U74/TrRoad_tech!U189)</f>
        <v>1.2142899241049729</v>
      </c>
      <c r="V216" s="91">
        <f>IF(TrRoad_act!V77=0,0,TrRoad_emi!V74/TrRoad_tech!V189)</f>
        <v>1.2245312119241498</v>
      </c>
      <c r="W216" s="91">
        <f>IF(TrRoad_act!W77=0,0,TrRoad_emi!W74/TrRoad_tech!W189)</f>
        <v>1.2560394494603624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1.0946761682226926</v>
      </c>
      <c r="C217" s="91">
        <f>IF(TrRoad_act!C78=0,0,TrRoad_emi!C75/TrRoad_tech!C190)</f>
        <v>1.0962945090134903</v>
      </c>
      <c r="D217" s="91">
        <f>IF(TrRoad_act!D78=0,0,TrRoad_emi!D75/TrRoad_tech!D190)</f>
        <v>1.0986329677643525</v>
      </c>
      <c r="E217" s="91">
        <f>IF(TrRoad_act!E78=0,0,TrRoad_emi!E75/TrRoad_tech!E190)</f>
        <v>1.0992846228068798</v>
      </c>
      <c r="F217" s="91">
        <f>IF(TrRoad_act!F78=0,0,TrRoad_emi!F75/TrRoad_tech!F190)</f>
        <v>1.1022919142617649</v>
      </c>
      <c r="G217" s="91">
        <f>IF(TrRoad_act!G78=0,0,TrRoad_emi!G75/TrRoad_tech!G190)</f>
        <v>1.1046759315785559</v>
      </c>
      <c r="H217" s="91">
        <f>IF(TrRoad_act!H78=0,0,TrRoad_emi!H75/TrRoad_tech!H190)</f>
        <v>1.119331434871726</v>
      </c>
      <c r="I217" s="91">
        <f>IF(TrRoad_act!I78=0,0,TrRoad_emi!I75/TrRoad_tech!I190)</f>
        <v>1.1213694443724687</v>
      </c>
      <c r="J217" s="91">
        <f>IF(TrRoad_act!J78=0,0,TrRoad_emi!J75/TrRoad_tech!J190)</f>
        <v>1.1355483890813787</v>
      </c>
      <c r="K217" s="91">
        <f>IF(TrRoad_act!K78=0,0,TrRoad_emi!K75/TrRoad_tech!K190)</f>
        <v>1.0858802691250917</v>
      </c>
      <c r="L217" s="91">
        <f>IF(TrRoad_act!L78=0,0,TrRoad_emi!L75/TrRoad_tech!L190)</f>
        <v>1.1692963780094292</v>
      </c>
      <c r="M217" s="91">
        <f>IF(TrRoad_act!M78=0,0,TrRoad_emi!M75/TrRoad_tech!M190)</f>
        <v>1.1788369620879604</v>
      </c>
      <c r="N217" s="91">
        <f>IF(TrRoad_act!N78=0,0,TrRoad_emi!N75/TrRoad_tech!N190)</f>
        <v>1.1944728781551595</v>
      </c>
      <c r="O217" s="91">
        <f>IF(TrRoad_act!O78=0,0,TrRoad_emi!O75/TrRoad_tech!O190)</f>
        <v>1.2257432963923074</v>
      </c>
      <c r="P217" s="91">
        <f>IF(TrRoad_act!P78=0,0,TrRoad_emi!P75/TrRoad_tech!P190)</f>
        <v>1.2075659113824184</v>
      </c>
      <c r="Q217" s="91">
        <f>IF(TrRoad_act!Q78=0,0,TrRoad_emi!Q75/TrRoad_tech!Q190)</f>
        <v>1.2386423459475293</v>
      </c>
      <c r="R217" s="91">
        <f>IF(TrRoad_act!R78=0,0,TrRoad_emi!R75/TrRoad_tech!R190)</f>
        <v>1.2224708029106592</v>
      </c>
      <c r="S217" s="91">
        <f>IF(TrRoad_act!S78=0,0,TrRoad_emi!S75/TrRoad_tech!S190)</f>
        <v>1.1352226885769292</v>
      </c>
      <c r="T217" s="91">
        <f>IF(TrRoad_act!T78=0,0,TrRoad_emi!T75/TrRoad_tech!T190)</f>
        <v>1.1359330050297742</v>
      </c>
      <c r="U217" s="91">
        <f>IF(TrRoad_act!U78=0,0,TrRoad_emi!U75/TrRoad_tech!U190)</f>
        <v>1.2468950931493548</v>
      </c>
      <c r="V217" s="91">
        <f>IF(TrRoad_act!V78=0,0,TrRoad_emi!V75/TrRoad_tech!V190)</f>
        <v>1.2545071749863748</v>
      </c>
      <c r="W217" s="91">
        <f>IF(TrRoad_act!W78=0,0,TrRoad_emi!W75/TrRoad_tech!W190)</f>
        <v>1.311973833813286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0.60521655287622989</v>
      </c>
      <c r="C219" s="151">
        <f>IF(TrRoad_act!C80=0,0,TrRoad_emi!C77/TrRoad_tech!C192)</f>
        <v>0.93815139008733583</v>
      </c>
      <c r="D219" s="151">
        <f>IF(TrRoad_act!D80=0,0,TrRoad_emi!D77/TrRoad_tech!D192)</f>
        <v>0.94166160492245998</v>
      </c>
      <c r="E219" s="151">
        <f>IF(TrRoad_act!E80=0,0,TrRoad_emi!E77/TrRoad_tech!E192)</f>
        <v>0.94256222529878864</v>
      </c>
      <c r="F219" s="151">
        <f>IF(TrRoad_act!F80=0,0,TrRoad_emi!F77/TrRoad_tech!F192)</f>
        <v>0.84196403566079991</v>
      </c>
      <c r="G219" s="151">
        <f>IF(TrRoad_act!G80=0,0,TrRoad_emi!G77/TrRoad_tech!G192)</f>
        <v>0.82832833674421291</v>
      </c>
      <c r="H219" s="151">
        <f>IF(TrRoad_act!H80=0,0,TrRoad_emi!H77/TrRoad_tech!H192)</f>
        <v>1.1317517430364232</v>
      </c>
      <c r="I219" s="151">
        <f>IF(TrRoad_act!I80=0,0,TrRoad_emi!I77/TrRoad_tech!I192)</f>
        <v>1.0985885883441446</v>
      </c>
      <c r="J219" s="151">
        <f>IF(TrRoad_act!J80=0,0,TrRoad_emi!J77/TrRoad_tech!J192)</f>
        <v>0.85156472107993186</v>
      </c>
      <c r="K219" s="151">
        <f>IF(TrRoad_act!K80=0,0,TrRoad_emi!K77/TrRoad_tech!K192)</f>
        <v>0.75068934974671009</v>
      </c>
      <c r="L219" s="151">
        <f>IF(TrRoad_act!L80=0,0,TrRoad_emi!L77/TrRoad_tech!L192)</f>
        <v>0.57274923417677248</v>
      </c>
      <c r="M219" s="151">
        <f>IF(TrRoad_act!M80=0,0,TrRoad_emi!M77/TrRoad_tech!M192)</f>
        <v>0.76234515763253063</v>
      </c>
      <c r="N219" s="151">
        <f>IF(TrRoad_act!N80=0,0,TrRoad_emi!N77/TrRoad_tech!N192)</f>
        <v>1.0588060535889274</v>
      </c>
      <c r="O219" s="151">
        <f>IF(TrRoad_act!O80=0,0,TrRoad_emi!O77/TrRoad_tech!O192)</f>
        <v>0.85105689576026411</v>
      </c>
      <c r="P219" s="151">
        <f>IF(TrRoad_act!P80=0,0,TrRoad_emi!P77/TrRoad_tech!P192)</f>
        <v>0.82860053178813098</v>
      </c>
      <c r="Q219" s="151">
        <f>IF(TrRoad_act!Q80=0,0,TrRoad_emi!Q77/TrRoad_tech!Q192)</f>
        <v>0.92359153868914734</v>
      </c>
      <c r="R219" s="151">
        <f>IF(TrRoad_act!R80=0,0,TrRoad_emi!R77/TrRoad_tech!R192)</f>
        <v>0.96637567092151944</v>
      </c>
      <c r="S219" s="151">
        <f>IF(TrRoad_act!S80=0,0,TrRoad_emi!S77/TrRoad_tech!S192)</f>
        <v>0.5679503214645244</v>
      </c>
      <c r="T219" s="151">
        <f>IF(TrRoad_act!T80=0,0,TrRoad_emi!T77/TrRoad_tech!T192)</f>
        <v>0.98175863559323007</v>
      </c>
      <c r="U219" s="151">
        <f>IF(TrRoad_act!U80=0,0,TrRoad_emi!U77/TrRoad_tech!U192)</f>
        <v>1.014663374607659</v>
      </c>
      <c r="V219" s="151">
        <f>IF(TrRoad_act!V80=0,0,TrRoad_emi!V77/TrRoad_tech!V192)</f>
        <v>0.86328207177017302</v>
      </c>
      <c r="W219" s="151">
        <f>IF(TrRoad_act!W80=0,0,TrRoad_emi!W77/TrRoad_tech!W192)</f>
        <v>1.3678838117875489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0.64441934289973646</v>
      </c>
      <c r="C220" s="93">
        <f>IF(TrRoad_act!C81=0,0,TrRoad_emi!C78/TrRoad_tech!C193)</f>
        <v>1.0001665770895727</v>
      </c>
      <c r="D220" s="93">
        <f>IF(TrRoad_act!D81=0,0,TrRoad_emi!D78/TrRoad_tech!D193)</f>
        <v>1.0051636949793303</v>
      </c>
      <c r="E220" s="93">
        <f>IF(TrRoad_act!E81=0,0,TrRoad_emi!E78/TrRoad_tech!E193)</f>
        <v>1.0071253849150068</v>
      </c>
      <c r="F220" s="93">
        <f>IF(TrRoad_act!F81=0,0,TrRoad_emi!F78/TrRoad_tech!F193)</f>
        <v>0.90120997303433714</v>
      </c>
      <c r="G220" s="93">
        <f>IF(TrRoad_act!G81=0,0,TrRoad_emi!G78/TrRoad_tech!G193)</f>
        <v>0.88716935441029943</v>
      </c>
      <c r="H220" s="93">
        <f>IF(TrRoad_act!H81=0,0,TrRoad_emi!H78/TrRoad_tech!H193)</f>
        <v>1.2135462169602516</v>
      </c>
      <c r="I220" s="93">
        <f>IF(TrRoad_act!I81=0,0,TrRoad_emi!I78/TrRoad_tech!I193)</f>
        <v>1.17820396466855</v>
      </c>
      <c r="J220" s="93">
        <f>IF(TrRoad_act!J81=0,0,TrRoad_emi!J78/TrRoad_tech!J193)</f>
        <v>0.91368093895061397</v>
      </c>
      <c r="K220" s="93">
        <f>IF(TrRoad_act!K81=0,0,TrRoad_emi!K78/TrRoad_tech!K193)</f>
        <v>0.80499086438347933</v>
      </c>
      <c r="L220" s="93">
        <f>IF(TrRoad_act!L81=0,0,TrRoad_emi!L78/TrRoad_tech!L193)</f>
        <v>0.61344872810597184</v>
      </c>
      <c r="M220" s="93">
        <f>IF(TrRoad_act!M81=0,0,TrRoad_emi!M78/TrRoad_tech!M193)</f>
        <v>0.81567282117187612</v>
      </c>
      <c r="N220" s="93">
        <f>IF(TrRoad_act!N81=0,0,TrRoad_emi!N78/TrRoad_tech!N193)</f>
        <v>1.131474434878762</v>
      </c>
      <c r="O220" s="93">
        <f>IF(TrRoad_act!O81=0,0,TrRoad_emi!O78/TrRoad_tech!O193)</f>
        <v>0.90803115418865887</v>
      </c>
      <c r="P220" s="93">
        <f>IF(TrRoad_act!P81=0,0,TrRoad_emi!P78/TrRoad_tech!P193)</f>
        <v>0.88232884742492868</v>
      </c>
      <c r="Q220" s="93">
        <f>IF(TrRoad_act!Q81=0,0,TrRoad_emi!Q78/TrRoad_tech!Q193)</f>
        <v>0.98164031095043902</v>
      </c>
      <c r="R220" s="93">
        <f>IF(TrRoad_act!R81=0,0,TrRoad_emi!R78/TrRoad_tech!R193)</f>
        <v>1.0258283328496656</v>
      </c>
      <c r="S220" s="93">
        <f>IF(TrRoad_act!S81=0,0,TrRoad_emi!S78/TrRoad_tech!S193)</f>
        <v>0.60151363724095852</v>
      </c>
      <c r="T220" s="93">
        <f>IF(TrRoad_act!T81=0,0,TrRoad_emi!T78/TrRoad_tech!T193)</f>
        <v>1.0364403765556425</v>
      </c>
      <c r="U220" s="93">
        <f>IF(TrRoad_act!U81=0,0,TrRoad_emi!U78/TrRoad_tech!U193)</f>
        <v>1.067476118488379</v>
      </c>
      <c r="V220" s="93">
        <f>IF(TrRoad_act!V81=0,0,TrRoad_emi!V78/TrRoad_tech!V193)</f>
        <v>0.9069161558379859</v>
      </c>
      <c r="W220" s="93">
        <f>IF(TrRoad_act!W81=0,0,TrRoad_emi!W78/TrRoad_tech!W193)</f>
        <v>1.4303439625245129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0.64441934289973668</v>
      </c>
      <c r="C221" s="94">
        <f>IF(TrRoad_act!C82=0,0,TrRoad_emi!C79/TrRoad_tech!C194)</f>
        <v>1.0005645038036306</v>
      </c>
      <c r="D221" s="94">
        <f>IF(TrRoad_act!D82=0,0,TrRoad_emi!D79/TrRoad_tech!D194)</f>
        <v>1.0063475162844775</v>
      </c>
      <c r="E221" s="94">
        <f>IF(TrRoad_act!E82=0,0,TrRoad_emi!E79/TrRoad_tech!E194)</f>
        <v>1.0093284910276161</v>
      </c>
      <c r="F221" s="94">
        <f>IF(TrRoad_act!F82=0,0,TrRoad_emi!F79/TrRoad_tech!F194)</f>
        <v>0.90639815844109772</v>
      </c>
      <c r="G221" s="94">
        <f>IF(TrRoad_act!G82=0,0,TrRoad_emi!G79/TrRoad_tech!G194)</f>
        <v>0.89381225315964563</v>
      </c>
      <c r="H221" s="94">
        <f>IF(TrRoad_act!H82=0,0,TrRoad_emi!H79/TrRoad_tech!H194)</f>
        <v>1.2260671139976731</v>
      </c>
      <c r="I221" s="94">
        <f>IF(TrRoad_act!I82=0,0,TrRoad_emi!I79/TrRoad_tech!I194)</f>
        <v>1.1916835408641291</v>
      </c>
      <c r="J221" s="94">
        <f>IF(TrRoad_act!J82=0,0,TrRoad_emi!J79/TrRoad_tech!J194)</f>
        <v>0.92732123075953254</v>
      </c>
      <c r="K221" s="94">
        <f>IF(TrRoad_act!K82=0,0,TrRoad_emi!K79/TrRoad_tech!K194)</f>
        <v>0.81479827834684337</v>
      </c>
      <c r="L221" s="94">
        <f>IF(TrRoad_act!L82=0,0,TrRoad_emi!L79/TrRoad_tech!L194)</f>
        <v>0.62451717998843004</v>
      </c>
      <c r="M221" s="94">
        <f>IF(TrRoad_act!M82=0,0,TrRoad_emi!M79/TrRoad_tech!M194)</f>
        <v>0.82691952028582949</v>
      </c>
      <c r="N221" s="94">
        <f>IF(TrRoad_act!N82=0,0,TrRoad_emi!N79/TrRoad_tech!N194)</f>
        <v>1.1474511803621896</v>
      </c>
      <c r="O221" s="94">
        <f>IF(TrRoad_act!O82=0,0,TrRoad_emi!O79/TrRoad_tech!O194)</f>
        <v>0.93013520458671484</v>
      </c>
      <c r="P221" s="94">
        <f>IF(TrRoad_act!P82=0,0,TrRoad_emi!P79/TrRoad_tech!P194)</f>
        <v>0.90854134576438594</v>
      </c>
      <c r="Q221" s="94">
        <f>IF(TrRoad_act!Q82=0,0,TrRoad_emi!Q79/TrRoad_tech!Q194)</f>
        <v>1.0126531856470986</v>
      </c>
      <c r="R221" s="94">
        <f>IF(TrRoad_act!R82=0,0,TrRoad_emi!R79/TrRoad_tech!R194)</f>
        <v>1.0726306365588205</v>
      </c>
      <c r="S221" s="94">
        <f>IF(TrRoad_act!S82=0,0,TrRoad_emi!S79/TrRoad_tech!S194)</f>
        <v>0.63823075298203991</v>
      </c>
      <c r="T221" s="94">
        <f>IF(TrRoad_act!T82=0,0,TrRoad_emi!T79/TrRoad_tech!T194)</f>
        <v>1.0985823033767661</v>
      </c>
      <c r="U221" s="94">
        <f>IF(TrRoad_act!U82=0,0,TrRoad_emi!U79/TrRoad_tech!U194)</f>
        <v>1.1386847930657003</v>
      </c>
      <c r="V221" s="94">
        <f>IF(TrRoad_act!V82=0,0,TrRoad_emi!V79/TrRoad_tech!V194)</f>
        <v>0.97680633057857669</v>
      </c>
      <c r="W221" s="94">
        <f>IF(TrRoad_act!W82=0,0,TrRoad_emi!W79/TrRoad_tech!W194)</f>
        <v>1.5540116660947225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90.949412835436561</v>
      </c>
      <c r="C225" s="152">
        <v>90.949412835436561</v>
      </c>
      <c r="D225" s="152">
        <v>90.949412835436561</v>
      </c>
      <c r="E225" s="152">
        <v>89.550191099506762</v>
      </c>
      <c r="F225" s="152">
        <v>89.550191099506762</v>
      </c>
      <c r="G225" s="152">
        <v>89.550191099506762</v>
      </c>
      <c r="H225" s="152">
        <v>88.150969363576962</v>
      </c>
      <c r="I225" s="152">
        <v>85.352525891717363</v>
      </c>
      <c r="J225" s="152">
        <v>83.953304155787578</v>
      </c>
      <c r="K225" s="152">
        <v>79.332273922825095</v>
      </c>
      <c r="L225" s="152">
        <v>76.446915754668936</v>
      </c>
      <c r="M225" s="152">
        <v>74.13479221024312</v>
      </c>
      <c r="N225" s="152">
        <v>72.440043761154996</v>
      </c>
      <c r="O225" s="152">
        <v>70.484937399539646</v>
      </c>
      <c r="P225" s="152">
        <v>69.002815395435661</v>
      </c>
      <c r="Q225" s="152">
        <v>68.148856056976854</v>
      </c>
      <c r="R225" s="152">
        <v>67.023475037008566</v>
      </c>
      <c r="S225" s="152">
        <v>66.123170221033917</v>
      </c>
      <c r="T225" s="152">
        <v>65.402926368254228</v>
      </c>
      <c r="U225" s="152">
        <v>64.826731286030466</v>
      </c>
      <c r="V225" s="152">
        <v>64.365775220251436</v>
      </c>
      <c r="W225" s="152">
        <v>63.997010367628242</v>
      </c>
      <c r="DA225" s="174" t="s">
        <v>931</v>
      </c>
    </row>
    <row r="226" spans="1:105" ht="11.45" customHeight="1" x14ac:dyDescent="0.25">
      <c r="A226" s="109" t="s">
        <v>20</v>
      </c>
      <c r="B226" s="116">
        <v>195.27063489252785</v>
      </c>
      <c r="C226" s="116">
        <v>195.3052633367183</v>
      </c>
      <c r="D226" s="116">
        <v>194.54738840059753</v>
      </c>
      <c r="E226" s="116">
        <v>192.21956202327863</v>
      </c>
      <c r="F226" s="116">
        <v>190.63699937530387</v>
      </c>
      <c r="G226" s="116">
        <v>189.70048940800754</v>
      </c>
      <c r="H226" s="116">
        <v>188.89036477915167</v>
      </c>
      <c r="I226" s="116">
        <v>185.92562573469004</v>
      </c>
      <c r="J226" s="116">
        <v>182.92122407063144</v>
      </c>
      <c r="K226" s="116">
        <v>170.88852448137706</v>
      </c>
      <c r="L226" s="116">
        <v>165.18053940625782</v>
      </c>
      <c r="M226" s="116">
        <v>162.64205227206773</v>
      </c>
      <c r="N226" s="116">
        <v>158.44301541056987</v>
      </c>
      <c r="O226" s="116">
        <v>152.7927590811932</v>
      </c>
      <c r="P226" s="116">
        <v>148.75847353721238</v>
      </c>
      <c r="Q226" s="116">
        <v>145.04622013842675</v>
      </c>
      <c r="R226" s="116">
        <v>143.91266631278694</v>
      </c>
      <c r="S226" s="116">
        <v>142.97196601122701</v>
      </c>
      <c r="T226" s="116">
        <v>146.03655643983086</v>
      </c>
      <c r="U226" s="116">
        <v>144.42800721520223</v>
      </c>
      <c r="V226" s="116">
        <v>134.61648542327643</v>
      </c>
      <c r="W226" s="116">
        <v>124.2961775123764</v>
      </c>
      <c r="DA226" s="176" t="s">
        <v>932</v>
      </c>
    </row>
    <row r="227" spans="1:105" ht="11.45" customHeight="1" x14ac:dyDescent="0.25">
      <c r="A227" s="111" t="s">
        <v>110</v>
      </c>
      <c r="B227" s="87">
        <v>185.8946323297811</v>
      </c>
      <c r="C227" s="87">
        <v>185.8946323297811</v>
      </c>
      <c r="D227" s="87">
        <v>185.8946323297811</v>
      </c>
      <c r="E227" s="87">
        <v>183.03471490932287</v>
      </c>
      <c r="F227" s="87">
        <v>183.03471490932287</v>
      </c>
      <c r="G227" s="87">
        <v>183.03471490932287</v>
      </c>
      <c r="H227" s="87">
        <v>180.17479748886467</v>
      </c>
      <c r="I227" s="87">
        <v>174.45496264794838</v>
      </c>
      <c r="J227" s="87">
        <v>171.59504522749023</v>
      </c>
      <c r="K227" s="87">
        <v>162.14996263310687</v>
      </c>
      <c r="L227" s="87">
        <v>156.25247985573569</v>
      </c>
      <c r="M227" s="87">
        <v>151.52634737032915</v>
      </c>
      <c r="N227" s="87">
        <v>148.079187536891</v>
      </c>
      <c r="O227" s="87">
        <v>145.44820064344523</v>
      </c>
      <c r="P227" s="87">
        <v>143.07523664222799</v>
      </c>
      <c r="Q227" s="87">
        <v>139.43250601972377</v>
      </c>
      <c r="R227" s="87">
        <v>140.41662995160655</v>
      </c>
      <c r="S227" s="87">
        <v>137.35913416640037</v>
      </c>
      <c r="T227" s="87">
        <v>139.7885751022074</v>
      </c>
      <c r="U227" s="87">
        <v>142.00543177551361</v>
      </c>
      <c r="V227" s="87">
        <v>134.8869050918484</v>
      </c>
      <c r="W227" s="87">
        <v>127.9727358136039</v>
      </c>
      <c r="DA227" s="171" t="s">
        <v>933</v>
      </c>
    </row>
    <row r="228" spans="1:105" ht="11.45" customHeight="1" x14ac:dyDescent="0.25">
      <c r="A228" s="111" t="s">
        <v>111</v>
      </c>
      <c r="B228" s="87">
        <v>209.29571651226246</v>
      </c>
      <c r="C228" s="87">
        <v>209.29571651226246</v>
      </c>
      <c r="D228" s="87">
        <v>209.29571651226246</v>
      </c>
      <c r="E228" s="87">
        <v>204.68411597894138</v>
      </c>
      <c r="F228" s="87">
        <v>197.51485084214002</v>
      </c>
      <c r="G228" s="87">
        <v>197.86958934470317</v>
      </c>
      <c r="H228" s="87">
        <v>197.0998067941411</v>
      </c>
      <c r="I228" s="87">
        <v>197.29491297055088</v>
      </c>
      <c r="J228" s="87">
        <v>196.63155197075778</v>
      </c>
      <c r="K228" s="87">
        <v>188.90434457192148</v>
      </c>
      <c r="L228" s="87">
        <v>181.64826482973479</v>
      </c>
      <c r="M228" s="87">
        <v>174.64800282778523</v>
      </c>
      <c r="N228" s="87">
        <v>171.13257867331643</v>
      </c>
      <c r="O228" s="87">
        <v>163.56674742972695</v>
      </c>
      <c r="P228" s="87">
        <v>158.4389326719523</v>
      </c>
      <c r="Q228" s="87">
        <v>152.60155966353233</v>
      </c>
      <c r="R228" s="87">
        <v>147.69253796097414</v>
      </c>
      <c r="S228" s="87">
        <v>147.64650472651849</v>
      </c>
      <c r="T228" s="87">
        <v>152.66879004811639</v>
      </c>
      <c r="U228" s="87">
        <v>150.3734946441665</v>
      </c>
      <c r="V228" s="87">
        <v>145.40892123537631</v>
      </c>
      <c r="W228" s="87">
        <v>140.27439295467539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160.04114892769772</v>
      </c>
      <c r="D229" s="87">
        <v>0</v>
      </c>
      <c r="E229" s="87">
        <v>156.51481852759593</v>
      </c>
      <c r="F229" s="87">
        <v>0</v>
      </c>
      <c r="G229" s="87">
        <v>151.30398722098391</v>
      </c>
      <c r="H229" s="87">
        <v>152.32950015780787</v>
      </c>
      <c r="I229" s="87">
        <v>150.8645522018943</v>
      </c>
      <c r="J229" s="87">
        <v>150.35730313664888</v>
      </c>
      <c r="K229" s="87">
        <v>144.44857661935336</v>
      </c>
      <c r="L229" s="87">
        <v>138.90010502135718</v>
      </c>
      <c r="M229" s="87">
        <v>140.06588229859054</v>
      </c>
      <c r="N229" s="87">
        <v>134.61320590606039</v>
      </c>
      <c r="O229" s="87">
        <v>133.95538071727188</v>
      </c>
      <c r="P229" s="87">
        <v>133.83376447353919</v>
      </c>
      <c r="Q229" s="87">
        <v>133.49091357108367</v>
      </c>
      <c r="R229" s="87">
        <v>131.58232302478646</v>
      </c>
      <c r="S229" s="87">
        <v>134.75720945604004</v>
      </c>
      <c r="T229" s="87">
        <v>141.2691085522944</v>
      </c>
      <c r="U229" s="87">
        <v>141.7268768921999</v>
      </c>
      <c r="V229" s="87">
        <v>128.17540775711609</v>
      </c>
      <c r="W229" s="87">
        <v>120.4480900879005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180.11427993746483</v>
      </c>
      <c r="D230" s="87">
        <v>0</v>
      </c>
      <c r="E230" s="87">
        <v>172.08894246620477</v>
      </c>
      <c r="F230" s="87">
        <v>0</v>
      </c>
      <c r="G230" s="87">
        <v>177.34329101534996</v>
      </c>
      <c r="H230" s="87">
        <v>174.57230209323509</v>
      </c>
      <c r="I230" s="87">
        <v>169.03032424900539</v>
      </c>
      <c r="J230" s="87">
        <v>166.25933532689052</v>
      </c>
      <c r="K230" s="87">
        <v>157.10794548245821</v>
      </c>
      <c r="L230" s="87">
        <v>151.39384362498433</v>
      </c>
      <c r="M230" s="87">
        <v>143.13140328232637</v>
      </c>
      <c r="N230" s="87">
        <v>140.19715377734374</v>
      </c>
      <c r="O230" s="87">
        <v>124.41087323606584</v>
      </c>
      <c r="P230" s="87">
        <v>121.28264456811924</v>
      </c>
      <c r="Q230" s="87">
        <v>123.49149453187013</v>
      </c>
      <c r="R230" s="87">
        <v>124.65909602622867</v>
      </c>
      <c r="S230" s="87">
        <v>127.81323412061326</v>
      </c>
      <c r="T230" s="87">
        <v>125.14427860696522</v>
      </c>
      <c r="U230" s="87">
        <v>114.0522403630484</v>
      </c>
      <c r="V230" s="87">
        <v>108.61021772218911</v>
      </c>
      <c r="W230" s="87">
        <v>105.32443368273491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103.73084794382927</v>
      </c>
      <c r="O231" s="87">
        <v>116.57291265021928</v>
      </c>
      <c r="P231" s="87">
        <v>114.78951251058578</v>
      </c>
      <c r="Q231" s="87">
        <v>70.717232846340067</v>
      </c>
      <c r="R231" s="87">
        <v>62.249150942029893</v>
      </c>
      <c r="S231" s="87">
        <v>95.338020963972326</v>
      </c>
      <c r="T231" s="87">
        <v>72.562057422812842</v>
      </c>
      <c r="U231" s="87">
        <v>69.216303317535548</v>
      </c>
      <c r="V231" s="87">
        <v>48.298537960190238</v>
      </c>
      <c r="W231" s="87">
        <v>48.298537960190238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1441.7734132617325</v>
      </c>
      <c r="C233" s="116">
        <v>1437.3924935893037</v>
      </c>
      <c r="D233" s="116">
        <v>1441.7734132617325</v>
      </c>
      <c r="E233" s="116">
        <v>1410.82756799257</v>
      </c>
      <c r="F233" s="116">
        <v>1431.1258681993675</v>
      </c>
      <c r="G233" s="116">
        <v>1407.8103883880585</v>
      </c>
      <c r="H233" s="116">
        <v>1389.7924620314689</v>
      </c>
      <c r="I233" s="116">
        <v>1381.3987626264429</v>
      </c>
      <c r="J233" s="116">
        <v>1373.6670032491393</v>
      </c>
      <c r="K233" s="116">
        <v>1356.8001937400932</v>
      </c>
      <c r="L233" s="116">
        <v>1352.0341206700612</v>
      </c>
      <c r="M233" s="116">
        <v>1350.1682008765752</v>
      </c>
      <c r="N233" s="116">
        <v>1332.7504320220212</v>
      </c>
      <c r="O233" s="116">
        <v>1111.4233896411451</v>
      </c>
      <c r="P233" s="116">
        <v>1343.92775413203</v>
      </c>
      <c r="Q233" s="116">
        <v>1340.070168653805</v>
      </c>
      <c r="R233" s="116">
        <v>1325.0790978394189</v>
      </c>
      <c r="S233" s="116">
        <v>1269.6885345207402</v>
      </c>
      <c r="T233" s="116">
        <v>1285.774780016083</v>
      </c>
      <c r="U233" s="116">
        <v>1198.2245013305337</v>
      </c>
      <c r="V233" s="116">
        <v>1295.9392785154359</v>
      </c>
      <c r="W233" s="116">
        <v>1248.9905340371595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366.63456139053858</v>
      </c>
      <c r="J234" s="101">
        <v>360.62415874479211</v>
      </c>
      <c r="K234" s="101">
        <v>340.77437252072633</v>
      </c>
      <c r="L234" s="101">
        <v>328.38022231387009</v>
      </c>
      <c r="M234" s="101">
        <v>318.44842014709252</v>
      </c>
      <c r="N234" s="101">
        <v>311.16857285719499</v>
      </c>
      <c r="O234" s="101">
        <v>302.77034965437997</v>
      </c>
      <c r="P234" s="101">
        <v>295.4059206082992</v>
      </c>
      <c r="Q234" s="101">
        <v>288.93121439574969</v>
      </c>
      <c r="R234" s="101">
        <v>0</v>
      </c>
      <c r="S234" s="101">
        <v>278.18657695560205</v>
      </c>
      <c r="T234" s="101">
        <v>0</v>
      </c>
      <c r="U234" s="101">
        <v>269.77702045605724</v>
      </c>
      <c r="V234" s="101">
        <v>266.26963661828256</v>
      </c>
      <c r="W234" s="101">
        <v>263.15199583345827</v>
      </c>
      <c r="DA234" s="175" t="s">
        <v>940</v>
      </c>
    </row>
    <row r="235" spans="1:105" ht="11.45" customHeight="1" x14ac:dyDescent="0.25">
      <c r="A235" s="111" t="s">
        <v>111</v>
      </c>
      <c r="B235" s="101">
        <v>1441.7734132617325</v>
      </c>
      <c r="C235" s="101">
        <v>1441.7734132617325</v>
      </c>
      <c r="D235" s="101">
        <v>1441.7734132617325</v>
      </c>
      <c r="E235" s="101">
        <v>1436.1633999805583</v>
      </c>
      <c r="F235" s="101">
        <v>1436.1633999805583</v>
      </c>
      <c r="G235" s="101">
        <v>1436.1633999805583</v>
      </c>
      <c r="H235" s="101">
        <v>1430.4868648027696</v>
      </c>
      <c r="I235" s="101">
        <v>1418.8568902921782</v>
      </c>
      <c r="J235" s="101">
        <v>1412.9695173034138</v>
      </c>
      <c r="K235" s="101">
        <v>1392.6888143871818</v>
      </c>
      <c r="L235" s="101">
        <v>1379.6704882929828</v>
      </c>
      <c r="M235" s="101">
        <v>1368.9963881608746</v>
      </c>
      <c r="N235" s="101">
        <v>1361.0359650606867</v>
      </c>
      <c r="O235" s="101">
        <v>1351.6628819708878</v>
      </c>
      <c r="P235" s="101">
        <v>1344.4435051568819</v>
      </c>
      <c r="Q235" s="101">
        <v>1340.2449215971562</v>
      </c>
      <c r="R235" s="101">
        <v>1336.4774081691958</v>
      </c>
      <c r="S235" s="101">
        <v>1333.0957019979589</v>
      </c>
      <c r="T235" s="101">
        <v>1330.0594831040617</v>
      </c>
      <c r="U235" s="101">
        <v>1327.332799045844</v>
      </c>
      <c r="V235" s="101">
        <v>1324.8835630245881</v>
      </c>
      <c r="W235" s="101">
        <v>1322.683114936199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1023.1208094558629</v>
      </c>
      <c r="D236" s="101">
        <v>0</v>
      </c>
      <c r="E236" s="101">
        <v>1019.1397946330774</v>
      </c>
      <c r="F236" s="101">
        <v>1019.1397946330774</v>
      </c>
      <c r="G236" s="101">
        <v>1019.1397946330774</v>
      </c>
      <c r="H236" s="101">
        <v>1015.1115741009306</v>
      </c>
      <c r="I236" s="101">
        <v>1006.8586344740939</v>
      </c>
      <c r="J236" s="101">
        <v>1002.6807978165253</v>
      </c>
      <c r="K236" s="101">
        <v>988.2890709382724</v>
      </c>
      <c r="L236" s="101">
        <v>979.05092005496215</v>
      </c>
      <c r="M236" s="101">
        <v>0</v>
      </c>
      <c r="N236" s="101">
        <v>0</v>
      </c>
      <c r="O236" s="101">
        <v>959.17597674722242</v>
      </c>
      <c r="P236" s="101">
        <v>0</v>
      </c>
      <c r="Q236" s="101">
        <v>0</v>
      </c>
      <c r="R236" s="101">
        <v>0</v>
      </c>
      <c r="S236" s="101">
        <v>0</v>
      </c>
      <c r="T236" s="101">
        <v>935.14900458865168</v>
      </c>
      <c r="U236" s="101">
        <v>0</v>
      </c>
      <c r="V236" s="101">
        <v>928.67203366593037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909.62087813746257</v>
      </c>
      <c r="D237" s="101">
        <v>0</v>
      </c>
      <c r="E237" s="101">
        <v>906.08149728867886</v>
      </c>
      <c r="F237" s="101">
        <v>906.08149728867886</v>
      </c>
      <c r="G237" s="101">
        <v>906.08149728867886</v>
      </c>
      <c r="H237" s="101">
        <v>902.50014749702405</v>
      </c>
      <c r="I237" s="101">
        <v>895.16274792387753</v>
      </c>
      <c r="J237" s="101">
        <v>891.44837967523085</v>
      </c>
      <c r="K237" s="101">
        <v>878.65319936033416</v>
      </c>
      <c r="L237" s="101">
        <v>870.43988296487123</v>
      </c>
      <c r="M237" s="101">
        <v>863.70554853604438</v>
      </c>
      <c r="N237" s="101">
        <v>858.68328429942119</v>
      </c>
      <c r="O237" s="101">
        <v>852.76976696543875</v>
      </c>
      <c r="P237" s="101">
        <v>0</v>
      </c>
      <c r="Q237" s="101">
        <v>0</v>
      </c>
      <c r="R237" s="101">
        <v>843.18918801497875</v>
      </c>
      <c r="S237" s="101">
        <v>841.05565544405681</v>
      </c>
      <c r="T237" s="101">
        <v>839.14009224176709</v>
      </c>
      <c r="U237" s="101">
        <v>837.41981586225745</v>
      </c>
      <c r="V237" s="101">
        <v>835.87458260998096</v>
      </c>
      <c r="W237" s="101">
        <v>834.48631070536339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229.42006903702639</v>
      </c>
      <c r="D240" s="152">
        <v>229.3764872721307</v>
      </c>
      <c r="E240" s="152">
        <v>224.44431076430106</v>
      </c>
      <c r="F240" s="152">
        <v>217.16765966609913</v>
      </c>
      <c r="G240" s="152">
        <v>217.49301949216348</v>
      </c>
      <c r="H240" s="152">
        <v>216.42180626977495</v>
      </c>
      <c r="I240" s="152">
        <v>218.23575744463037</v>
      </c>
      <c r="J240" s="152">
        <v>215.41279849801478</v>
      </c>
      <c r="K240" s="152">
        <v>206.11020287450239</v>
      </c>
      <c r="L240" s="152">
        <v>197.34086240004495</v>
      </c>
      <c r="M240" s="152">
        <v>191.06076488398477</v>
      </c>
      <c r="N240" s="152">
        <v>184.95813298777509</v>
      </c>
      <c r="O240" s="152">
        <v>181.36848024509987</v>
      </c>
      <c r="P240" s="152">
        <v>175.36130558480829</v>
      </c>
      <c r="Q240" s="152">
        <v>173.36443627686873</v>
      </c>
      <c r="R240" s="152">
        <v>167.48571115837365</v>
      </c>
      <c r="S240" s="152">
        <v>164.09530091305547</v>
      </c>
      <c r="T240" s="152">
        <v>166.90514954886928</v>
      </c>
      <c r="U240" s="152">
        <v>171.13378907252908</v>
      </c>
      <c r="V240" s="152">
        <v>191.54729667536427</v>
      </c>
      <c r="W240" s="152">
        <v>188.8884072603984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208.26787781298995</v>
      </c>
      <c r="D241" s="87">
        <v>208.26787781298995</v>
      </c>
      <c r="E241" s="87">
        <v>205.06375661586702</v>
      </c>
      <c r="F241" s="87">
        <v>205.06375661586702</v>
      </c>
      <c r="G241" s="87">
        <v>205.06375661586702</v>
      </c>
      <c r="H241" s="87">
        <v>201.85963541874406</v>
      </c>
      <c r="I241" s="87">
        <v>0</v>
      </c>
      <c r="J241" s="87">
        <v>192.24727182737536</v>
      </c>
      <c r="K241" s="87">
        <v>181.66543155018576</v>
      </c>
      <c r="L241" s="87">
        <v>175.05816050051365</v>
      </c>
      <c r="M241" s="87">
        <v>169.76355717294396</v>
      </c>
      <c r="N241" s="87">
        <v>165.88270020076106</v>
      </c>
      <c r="O241" s="87">
        <v>161.14095529113632</v>
      </c>
      <c r="P241" s="87">
        <v>165.93512222950076</v>
      </c>
      <c r="Q241" s="87">
        <v>161.62567212948744</v>
      </c>
      <c r="R241" s="87">
        <v>163.6739879971112</v>
      </c>
      <c r="S241" s="87">
        <v>154.40904232960619</v>
      </c>
      <c r="T241" s="87">
        <v>155.52228867707865</v>
      </c>
      <c r="U241" s="87">
        <v>152.10660146699269</v>
      </c>
      <c r="V241" s="87">
        <v>157.1830551739929</v>
      </c>
      <c r="W241" s="87">
        <v>162.1518467852257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231.59836443888435</v>
      </c>
      <c r="D242" s="87">
        <v>231.59836443888435</v>
      </c>
      <c r="E242" s="87">
        <v>226.49534962921402</v>
      </c>
      <c r="F242" s="87">
        <v>218.56212429818038</v>
      </c>
      <c r="G242" s="87">
        <v>218.9546638989242</v>
      </c>
      <c r="H242" s="87">
        <v>218.10285296531001</v>
      </c>
      <c r="I242" s="87">
        <v>218.31874974571917</v>
      </c>
      <c r="J242" s="87">
        <v>217.58470069232811</v>
      </c>
      <c r="K242" s="87">
        <v>209.03407851489965</v>
      </c>
      <c r="L242" s="87">
        <v>201.00478757415499</v>
      </c>
      <c r="M242" s="87">
        <v>193.25857442984298</v>
      </c>
      <c r="N242" s="87">
        <v>189.36854505871526</v>
      </c>
      <c r="O242" s="87">
        <v>183.91860501656777</v>
      </c>
      <c r="P242" s="87">
        <v>177.64290740702944</v>
      </c>
      <c r="Q242" s="87">
        <v>175.23554221911584</v>
      </c>
      <c r="R242" s="87">
        <v>168.95495806424489</v>
      </c>
      <c r="S242" s="87">
        <v>165.22514899076853</v>
      </c>
      <c r="T242" s="87">
        <v>168.57107940475146</v>
      </c>
      <c r="U242" s="87">
        <v>174.30682680425781</v>
      </c>
      <c r="V242" s="87">
        <v>194.92011425580142</v>
      </c>
      <c r="W242" s="87">
        <v>192.65784214062961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191.07041178992012</v>
      </c>
      <c r="D243" s="87">
        <v>191.07041178992014</v>
      </c>
      <c r="E243" s="87">
        <v>186.86038576743033</v>
      </c>
      <c r="F243" s="87">
        <v>180.3154145432367</v>
      </c>
      <c r="G243" s="87">
        <v>180.63926269881279</v>
      </c>
      <c r="H243" s="87">
        <v>179.93651220121257</v>
      </c>
      <c r="I243" s="87">
        <v>180.11462868677941</v>
      </c>
      <c r="J243" s="87">
        <v>179.50903263585198</v>
      </c>
      <c r="K243" s="87">
        <v>172.45470431855333</v>
      </c>
      <c r="L243" s="87">
        <v>165.8304782358428</v>
      </c>
      <c r="M243" s="87">
        <v>167.2222799437707</v>
      </c>
      <c r="N243" s="87">
        <v>160.71242213121116</v>
      </c>
      <c r="O243" s="87">
        <v>133.73426574342784</v>
      </c>
      <c r="P243" s="87">
        <v>129.33251199823187</v>
      </c>
      <c r="Q243" s="87">
        <v>139.07044533951105</v>
      </c>
      <c r="R243" s="87">
        <v>121.5348943386244</v>
      </c>
      <c r="S243" s="87">
        <v>127.08444434429603</v>
      </c>
      <c r="T243" s="87">
        <v>133.64462208287867</v>
      </c>
      <c r="U243" s="87">
        <v>137.31623931623929</v>
      </c>
      <c r="V243" s="87">
        <v>154.98096363971962</v>
      </c>
      <c r="W243" s="87">
        <v>216.80374456703441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200.6958687006582</v>
      </c>
      <c r="D244" s="87">
        <v>200.6958687006582</v>
      </c>
      <c r="E244" s="87">
        <v>197.60823995141729</v>
      </c>
      <c r="F244" s="87">
        <v>197.60823995141729</v>
      </c>
      <c r="G244" s="87">
        <v>197.60823995141729</v>
      </c>
      <c r="H244" s="87">
        <v>194.52061120217638</v>
      </c>
      <c r="I244" s="87">
        <v>188.3453537036946</v>
      </c>
      <c r="J244" s="87">
        <v>185.25772495445369</v>
      </c>
      <c r="K244" s="87">
        <v>175.06060934938122</v>
      </c>
      <c r="L244" s="87">
        <v>168.69355929356146</v>
      </c>
      <c r="M244" s="87">
        <v>159.48697310432183</v>
      </c>
      <c r="N244" s="87">
        <v>156.21742804886458</v>
      </c>
      <c r="O244" s="87">
        <v>166.35659623523154</v>
      </c>
      <c r="P244" s="87">
        <v>141.01721145832423</v>
      </c>
      <c r="Q244" s="87">
        <v>147.82590835793991</v>
      </c>
      <c r="R244" s="87">
        <v>143.13888175196308</v>
      </c>
      <c r="S244" s="87">
        <v>145.12241937227654</v>
      </c>
      <c r="T244" s="87">
        <v>149.96464443456389</v>
      </c>
      <c r="U244" s="87">
        <v>157.77229219143581</v>
      </c>
      <c r="V244" s="87">
        <v>166.72241273664014</v>
      </c>
      <c r="W244" s="87">
        <v>245.78571428571431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1035.4819121206358</v>
      </c>
      <c r="D246" s="116">
        <v>1028.5752870138397</v>
      </c>
      <c r="E246" s="116">
        <v>1019.9134972521529</v>
      </c>
      <c r="F246" s="116">
        <v>1010.123799138398</v>
      </c>
      <c r="G246" s="116">
        <v>997.72083834170076</v>
      </c>
      <c r="H246" s="116">
        <v>984.32415510216799</v>
      </c>
      <c r="I246" s="116">
        <v>968.60986290336086</v>
      </c>
      <c r="J246" s="116">
        <v>952.45827186750591</v>
      </c>
      <c r="K246" s="116">
        <v>932.14353861173493</v>
      </c>
      <c r="L246" s="116">
        <v>914.95840451222136</v>
      </c>
      <c r="M246" s="116">
        <v>890.63222254540926</v>
      </c>
      <c r="N246" s="116">
        <v>869.28889927589728</v>
      </c>
      <c r="O246" s="116">
        <v>848.71605257296278</v>
      </c>
      <c r="P246" s="116">
        <v>822.08832650281238</v>
      </c>
      <c r="Q246" s="116">
        <v>794.34087609595656</v>
      </c>
      <c r="R246" s="116">
        <v>779.02625599755083</v>
      </c>
      <c r="S246" s="116">
        <v>731.68282603444936</v>
      </c>
      <c r="T246" s="116">
        <v>682.23883895636266</v>
      </c>
      <c r="U246" s="116">
        <v>646.52176900060044</v>
      </c>
      <c r="V246" s="116">
        <v>674.72128206808623</v>
      </c>
      <c r="W246" s="116">
        <v>646.91511669283182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696.47543608782314</v>
      </c>
      <c r="S247" s="101">
        <v>665.97712694959864</v>
      </c>
      <c r="T247" s="101">
        <v>633.95390235446291</v>
      </c>
      <c r="U247" s="101">
        <v>594.81440562707485</v>
      </c>
      <c r="V247" s="101">
        <v>596.52519763271107</v>
      </c>
      <c r="W247" s="101">
        <v>590.55994565638389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55180.7</v>
      </c>
      <c r="C4" s="28">
        <f t="shared" ref="C4:V4" si="1">SUM(C5,C6,C9)</f>
        <v>55665</v>
      </c>
      <c r="D4" s="28">
        <f t="shared" si="1"/>
        <v>55189</v>
      </c>
      <c r="E4" s="28">
        <f t="shared" si="1"/>
        <v>54682</v>
      </c>
      <c r="F4" s="28">
        <f t="shared" si="1"/>
        <v>55259</v>
      </c>
      <c r="G4" s="28">
        <f t="shared" si="1"/>
        <v>56123</v>
      </c>
      <c r="H4" s="28">
        <f t="shared" si="1"/>
        <v>56464</v>
      </c>
      <c r="I4" s="28">
        <f t="shared" si="1"/>
        <v>56505</v>
      </c>
      <c r="J4" s="28">
        <f t="shared" si="1"/>
        <v>56408</v>
      </c>
      <c r="K4" s="28">
        <f t="shared" si="1"/>
        <v>55072</v>
      </c>
      <c r="L4" s="28">
        <f t="shared" si="1"/>
        <v>54255</v>
      </c>
      <c r="M4" s="28">
        <f t="shared" si="1"/>
        <v>53940</v>
      </c>
      <c r="N4" s="28">
        <f t="shared" si="1"/>
        <v>53297</v>
      </c>
      <c r="O4" s="28">
        <f t="shared" si="1"/>
        <v>55323</v>
      </c>
      <c r="P4" s="28">
        <f t="shared" si="1"/>
        <v>56611</v>
      </c>
      <c r="Q4" s="28">
        <f t="shared" si="1"/>
        <v>59035</v>
      </c>
      <c r="R4" s="28">
        <f t="shared" si="1"/>
        <v>59127.064999999995</v>
      </c>
      <c r="S4" s="28">
        <f t="shared" si="1"/>
        <v>60510</v>
      </c>
      <c r="T4" s="28">
        <f t="shared" si="1"/>
        <v>62772</v>
      </c>
      <c r="U4" s="28">
        <f t="shared" si="1"/>
        <v>64200</v>
      </c>
      <c r="V4" s="28">
        <f t="shared" si="1"/>
        <v>26662</v>
      </c>
      <c r="W4" s="28">
        <f t="shared" ref="W4" si="2">SUM(W5,W6,W9)</f>
        <v>33402</v>
      </c>
      <c r="DA4" s="173" t="s">
        <v>375</v>
      </c>
    </row>
    <row r="5" spans="1:105" ht="11.45" customHeight="1" x14ac:dyDescent="0.25">
      <c r="A5" s="107" t="s">
        <v>23</v>
      </c>
      <c r="B5" s="108">
        <v>5608.7</v>
      </c>
      <c r="C5" s="108">
        <v>5589</v>
      </c>
      <c r="D5" s="108">
        <v>5885</v>
      </c>
      <c r="E5" s="108">
        <v>5984.9999999999991</v>
      </c>
      <c r="F5" s="108">
        <v>6005</v>
      </c>
      <c r="G5" s="108">
        <v>6035</v>
      </c>
      <c r="H5" s="108">
        <v>6279</v>
      </c>
      <c r="I5" s="108">
        <v>6725</v>
      </c>
      <c r="J5" s="108">
        <v>6884</v>
      </c>
      <c r="K5" s="108">
        <v>6948</v>
      </c>
      <c r="L5" s="108">
        <v>7083</v>
      </c>
      <c r="M5" s="108">
        <v>7095.0000000000009</v>
      </c>
      <c r="N5" s="108">
        <v>6538</v>
      </c>
      <c r="O5" s="108">
        <v>6584</v>
      </c>
      <c r="P5" s="108">
        <v>6654</v>
      </c>
      <c r="Q5" s="108">
        <v>6828</v>
      </c>
      <c r="R5" s="108">
        <v>6949</v>
      </c>
      <c r="S5" s="108">
        <v>7279</v>
      </c>
      <c r="T5" s="108">
        <v>7279</v>
      </c>
      <c r="U5" s="108">
        <v>7614</v>
      </c>
      <c r="V5" s="108">
        <v>4393</v>
      </c>
      <c r="W5" s="108">
        <v>5709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44486</v>
      </c>
      <c r="C6" s="110">
        <f t="shared" ref="C6:V6" si="4">SUM(C7:C8)</f>
        <v>43313</v>
      </c>
      <c r="D6" s="110">
        <f t="shared" si="4"/>
        <v>42226</v>
      </c>
      <c r="E6" s="110">
        <f t="shared" si="4"/>
        <v>41266</v>
      </c>
      <c r="F6" s="110">
        <f t="shared" si="4"/>
        <v>41329</v>
      </c>
      <c r="G6" s="110">
        <f t="shared" si="4"/>
        <v>41538</v>
      </c>
      <c r="H6" s="110">
        <f t="shared" si="4"/>
        <v>41273</v>
      </c>
      <c r="I6" s="110">
        <f t="shared" si="4"/>
        <v>40962</v>
      </c>
      <c r="J6" s="110">
        <f t="shared" si="4"/>
        <v>40646</v>
      </c>
      <c r="K6" s="110">
        <f t="shared" si="4"/>
        <v>37378</v>
      </c>
      <c r="L6" s="110">
        <f t="shared" si="4"/>
        <v>35565.800000000003</v>
      </c>
      <c r="M6" s="110">
        <f t="shared" si="4"/>
        <v>34562</v>
      </c>
      <c r="N6" s="110">
        <f t="shared" si="4"/>
        <v>33965</v>
      </c>
      <c r="O6" s="110">
        <f t="shared" si="4"/>
        <v>35945</v>
      </c>
      <c r="P6" s="110">
        <f t="shared" si="4"/>
        <v>37163</v>
      </c>
      <c r="Q6" s="110">
        <f t="shared" si="4"/>
        <v>39413</v>
      </c>
      <c r="R6" s="110">
        <f t="shared" si="4"/>
        <v>39384.064999999995</v>
      </c>
      <c r="S6" s="110">
        <f t="shared" si="4"/>
        <v>40441</v>
      </c>
      <c r="T6" s="110">
        <f t="shared" si="4"/>
        <v>42703</v>
      </c>
      <c r="U6" s="110">
        <f t="shared" si="4"/>
        <v>43796</v>
      </c>
      <c r="V6" s="110">
        <f t="shared" si="4"/>
        <v>17235.59049941682</v>
      </c>
      <c r="W6" s="110">
        <f t="shared" ref="W6" si="5">SUM(W7:W8)</f>
        <v>21433.616583607254</v>
      </c>
      <c r="DA6" s="176" t="s">
        <v>377</v>
      </c>
    </row>
    <row r="7" spans="1:105" ht="11.45" customHeight="1" x14ac:dyDescent="0.25">
      <c r="A7" s="111" t="s">
        <v>90</v>
      </c>
      <c r="B7" s="84">
        <v>8086.4876853177884</v>
      </c>
      <c r="C7" s="84">
        <v>7308.4517512573766</v>
      </c>
      <c r="D7" s="84">
        <v>8037.4930798777013</v>
      </c>
      <c r="E7" s="84">
        <v>7384.7667645710007</v>
      </c>
      <c r="F7" s="84">
        <v>6525.753876470967</v>
      </c>
      <c r="G7" s="84">
        <v>5442.5580560480257</v>
      </c>
      <c r="H7" s="84">
        <v>5658.3323938979393</v>
      </c>
      <c r="I7" s="84">
        <v>4819.6523177811387</v>
      </c>
      <c r="J7" s="84">
        <v>2842.6215437425208</v>
      </c>
      <c r="K7" s="84">
        <v>2698.88259665742</v>
      </c>
      <c r="L7" s="84">
        <v>2872.7154029486883</v>
      </c>
      <c r="M7" s="84">
        <v>2711.173675792204</v>
      </c>
      <c r="N7" s="84">
        <v>3395.3566247915169</v>
      </c>
      <c r="O7" s="84">
        <v>2449.0694490507844</v>
      </c>
      <c r="P7" s="84">
        <v>1264.6314858963497</v>
      </c>
      <c r="Q7" s="84">
        <v>1582.4037396303345</v>
      </c>
      <c r="R7" s="84">
        <v>1024.2202007526107</v>
      </c>
      <c r="S7" s="84">
        <v>2546.975446067243</v>
      </c>
      <c r="T7" s="84">
        <v>3373.1891625702069</v>
      </c>
      <c r="U7" s="84">
        <v>3531.0811773157166</v>
      </c>
      <c r="V7" s="84">
        <v>1510.9457955700416</v>
      </c>
      <c r="W7" s="84">
        <v>1659.5752582263635</v>
      </c>
      <c r="DA7" s="171" t="s">
        <v>1029</v>
      </c>
    </row>
    <row r="8" spans="1:105" ht="11.45" customHeight="1" x14ac:dyDescent="0.25">
      <c r="A8" s="111" t="s">
        <v>93</v>
      </c>
      <c r="B8" s="84">
        <v>36399.512314682215</v>
      </c>
      <c r="C8" s="84">
        <v>36004.54824874262</v>
      </c>
      <c r="D8" s="84">
        <v>34188.506920122301</v>
      </c>
      <c r="E8" s="84">
        <v>33881.233235428997</v>
      </c>
      <c r="F8" s="84">
        <v>34803.246123529032</v>
      </c>
      <c r="G8" s="84">
        <v>36095.441943951977</v>
      </c>
      <c r="H8" s="84">
        <v>35614.667606102063</v>
      </c>
      <c r="I8" s="84">
        <v>36142.34768221886</v>
      </c>
      <c r="J8" s="84">
        <v>37803.37845625748</v>
      </c>
      <c r="K8" s="84">
        <v>34679.117403342578</v>
      </c>
      <c r="L8" s="84">
        <v>32693.084597051315</v>
      </c>
      <c r="M8" s="84">
        <v>31850.826324207796</v>
      </c>
      <c r="N8" s="84">
        <v>30569.643375208485</v>
      </c>
      <c r="O8" s="84">
        <v>33495.930550949219</v>
      </c>
      <c r="P8" s="84">
        <v>35898.368514103648</v>
      </c>
      <c r="Q8" s="84">
        <v>37830.596260369668</v>
      </c>
      <c r="R8" s="84">
        <v>38359.844799247381</v>
      </c>
      <c r="S8" s="84">
        <v>37894.024553932759</v>
      </c>
      <c r="T8" s="84">
        <v>39329.810837429795</v>
      </c>
      <c r="U8" s="84">
        <v>40264.918822684282</v>
      </c>
      <c r="V8" s="84">
        <v>15724.644703846778</v>
      </c>
      <c r="W8" s="84">
        <v>19774.041325380891</v>
      </c>
      <c r="DA8" s="171" t="s">
        <v>1030</v>
      </c>
    </row>
    <row r="9" spans="1:105" ht="11.45" customHeight="1" x14ac:dyDescent="0.25">
      <c r="A9" s="112" t="s">
        <v>25</v>
      </c>
      <c r="B9" s="113">
        <v>5086</v>
      </c>
      <c r="C9" s="113">
        <v>6763</v>
      </c>
      <c r="D9" s="113">
        <v>7078</v>
      </c>
      <c r="E9" s="113">
        <v>7431</v>
      </c>
      <c r="F9" s="113">
        <v>7925</v>
      </c>
      <c r="G9" s="113">
        <v>8550</v>
      </c>
      <c r="H9" s="113">
        <v>8912</v>
      </c>
      <c r="I9" s="113">
        <v>8818</v>
      </c>
      <c r="J9" s="113">
        <v>8878</v>
      </c>
      <c r="K9" s="113">
        <v>10746</v>
      </c>
      <c r="L9" s="113">
        <v>11606.199999999999</v>
      </c>
      <c r="M9" s="113">
        <v>12283</v>
      </c>
      <c r="N9" s="113">
        <v>12794</v>
      </c>
      <c r="O9" s="113">
        <v>12794</v>
      </c>
      <c r="P9" s="113">
        <v>12794</v>
      </c>
      <c r="Q9" s="113">
        <v>12794</v>
      </c>
      <c r="R9" s="113">
        <v>12794</v>
      </c>
      <c r="S9" s="113">
        <v>12790</v>
      </c>
      <c r="T9" s="113">
        <v>12790</v>
      </c>
      <c r="U9" s="113">
        <v>12790</v>
      </c>
      <c r="V9" s="113">
        <v>5033.4095005831814</v>
      </c>
      <c r="W9" s="113">
        <v>6259.3834163927459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22817</v>
      </c>
      <c r="C10" s="28">
        <f t="shared" ref="C10:V10" si="7">SUM(C11:C12)</f>
        <v>21762</v>
      </c>
      <c r="D10" s="28">
        <f t="shared" si="7"/>
        <v>20679</v>
      </c>
      <c r="E10" s="28">
        <f t="shared" si="7"/>
        <v>20299</v>
      </c>
      <c r="F10" s="28">
        <f t="shared" si="7"/>
        <v>22183</v>
      </c>
      <c r="G10" s="28">
        <f t="shared" si="7"/>
        <v>22761</v>
      </c>
      <c r="H10" s="28">
        <f t="shared" si="7"/>
        <v>24151</v>
      </c>
      <c r="I10" s="28">
        <f t="shared" si="7"/>
        <v>25285</v>
      </c>
      <c r="J10" s="28">
        <f t="shared" si="7"/>
        <v>23831</v>
      </c>
      <c r="K10" s="28">
        <f t="shared" si="7"/>
        <v>17791</v>
      </c>
      <c r="L10" s="28">
        <f t="shared" si="7"/>
        <v>18616</v>
      </c>
      <c r="M10" s="28">
        <f t="shared" si="7"/>
        <v>19787</v>
      </c>
      <c r="N10" s="28">
        <f t="shared" si="7"/>
        <v>20244</v>
      </c>
      <c r="O10" s="28">
        <f t="shared" si="7"/>
        <v>19037</v>
      </c>
      <c r="P10" s="28">
        <f t="shared" si="7"/>
        <v>20157</v>
      </c>
      <c r="Q10" s="28">
        <f t="shared" si="7"/>
        <v>20781</v>
      </c>
      <c r="R10" s="28">
        <f t="shared" si="7"/>
        <v>22712</v>
      </c>
      <c r="S10" s="28">
        <f t="shared" si="7"/>
        <v>22335</v>
      </c>
      <c r="T10" s="28">
        <f t="shared" si="7"/>
        <v>22070</v>
      </c>
      <c r="U10" s="28">
        <f t="shared" si="7"/>
        <v>21309</v>
      </c>
      <c r="V10" s="28">
        <f t="shared" si="7"/>
        <v>20750</v>
      </c>
      <c r="W10" s="28">
        <f t="shared" ref="W10" si="8">SUM(W11:W12)</f>
        <v>24262</v>
      </c>
      <c r="DA10" s="173" t="s">
        <v>383</v>
      </c>
    </row>
    <row r="11" spans="1:105" ht="11.45" customHeight="1" x14ac:dyDescent="0.25">
      <c r="A11" s="83" t="s">
        <v>90</v>
      </c>
      <c r="B11" s="84">
        <v>1085.2038747739316</v>
      </c>
      <c r="C11" s="84">
        <v>840.49472165385259</v>
      </c>
      <c r="D11" s="84">
        <v>807.29152298700922</v>
      </c>
      <c r="E11" s="84">
        <v>889.52227126601872</v>
      </c>
      <c r="F11" s="84">
        <v>1075.6942726033446</v>
      </c>
      <c r="G11" s="84">
        <v>690.40917196667556</v>
      </c>
      <c r="H11" s="84">
        <v>2938.1222078694909</v>
      </c>
      <c r="I11" s="84">
        <v>3665.6018372279877</v>
      </c>
      <c r="J11" s="84">
        <v>3675.1373466079676</v>
      </c>
      <c r="K11" s="84">
        <v>2142.8411880094627</v>
      </c>
      <c r="L11" s="84">
        <v>1952.5694066834633</v>
      </c>
      <c r="M11" s="84">
        <v>1043.6741963707916</v>
      </c>
      <c r="N11" s="84">
        <v>1034.7954479022826</v>
      </c>
      <c r="O11" s="84">
        <v>679.78096516999028</v>
      </c>
      <c r="P11" s="84">
        <v>361.3230637762947</v>
      </c>
      <c r="Q11" s="84">
        <v>439.58648294460346</v>
      </c>
      <c r="R11" s="84">
        <v>312.82755932188252</v>
      </c>
      <c r="S11" s="84">
        <v>694.68173176145467</v>
      </c>
      <c r="T11" s="84">
        <v>867.98105204154899</v>
      </c>
      <c r="U11" s="84">
        <v>841.07321154911904</v>
      </c>
      <c r="V11" s="84">
        <v>969.70617049046939</v>
      </c>
      <c r="W11" s="84">
        <v>899.02553825918392</v>
      </c>
      <c r="DA11" s="171" t="s">
        <v>1031</v>
      </c>
    </row>
    <row r="12" spans="1:105" ht="11.45" customHeight="1" x14ac:dyDescent="0.25">
      <c r="A12" s="85" t="s">
        <v>93</v>
      </c>
      <c r="B12" s="86">
        <v>21731.796125226068</v>
      </c>
      <c r="C12" s="86">
        <v>20921.505278346147</v>
      </c>
      <c r="D12" s="86">
        <v>19871.708477012991</v>
      </c>
      <c r="E12" s="86">
        <v>19409.477728733982</v>
      </c>
      <c r="F12" s="86">
        <v>21107.305727396655</v>
      </c>
      <c r="G12" s="86">
        <v>22070.590828033324</v>
      </c>
      <c r="H12" s="86">
        <v>21212.877792130508</v>
      </c>
      <c r="I12" s="86">
        <v>21619.398162772013</v>
      </c>
      <c r="J12" s="86">
        <v>20155.862653392032</v>
      </c>
      <c r="K12" s="86">
        <v>15648.158811990537</v>
      </c>
      <c r="L12" s="86">
        <v>16663.430593316538</v>
      </c>
      <c r="M12" s="86">
        <v>18743.32580362921</v>
      </c>
      <c r="N12" s="86">
        <v>19209.204552097719</v>
      </c>
      <c r="O12" s="86">
        <v>18357.21903483001</v>
      </c>
      <c r="P12" s="86">
        <v>19795.676936223706</v>
      </c>
      <c r="Q12" s="86">
        <v>20341.413517055396</v>
      </c>
      <c r="R12" s="86">
        <v>22399.172440678118</v>
      </c>
      <c r="S12" s="86">
        <v>21640.318268238545</v>
      </c>
      <c r="T12" s="86">
        <v>21202.018947958451</v>
      </c>
      <c r="U12" s="86">
        <v>20467.926788450881</v>
      </c>
      <c r="V12" s="86">
        <v>19780.29382950953</v>
      </c>
      <c r="W12" s="86">
        <v>23362.974461740818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357.47457456211856</v>
      </c>
      <c r="C14" s="62">
        <f t="shared" ref="C14:V14" si="10">C15+C21</f>
        <v>346.96500296753993</v>
      </c>
      <c r="D14" s="62">
        <f t="shared" si="10"/>
        <v>357.03315489913342</v>
      </c>
      <c r="E14" s="62">
        <f t="shared" si="10"/>
        <v>375.07804187872773</v>
      </c>
      <c r="F14" s="62">
        <f t="shared" si="10"/>
        <v>367.6317936142683</v>
      </c>
      <c r="G14" s="62">
        <f t="shared" si="10"/>
        <v>373.0940143377365</v>
      </c>
      <c r="H14" s="62">
        <f t="shared" si="10"/>
        <v>372.99001167099971</v>
      </c>
      <c r="I14" s="62">
        <f t="shared" si="10"/>
        <v>382.06738361696029</v>
      </c>
      <c r="J14" s="62">
        <f t="shared" si="10"/>
        <v>380.774492420527</v>
      </c>
      <c r="K14" s="62">
        <f t="shared" si="10"/>
        <v>373.43639742666011</v>
      </c>
      <c r="L14" s="62">
        <f t="shared" si="10"/>
        <v>390.64861751292921</v>
      </c>
      <c r="M14" s="62">
        <f t="shared" si="10"/>
        <v>391.28603734913861</v>
      </c>
      <c r="N14" s="62">
        <f t="shared" si="10"/>
        <v>406.45683656867175</v>
      </c>
      <c r="O14" s="62">
        <f t="shared" si="10"/>
        <v>419.0630093927445</v>
      </c>
      <c r="P14" s="62">
        <f t="shared" si="10"/>
        <v>412.01551082616504</v>
      </c>
      <c r="Q14" s="62">
        <f t="shared" si="10"/>
        <v>433.12463573144925</v>
      </c>
      <c r="R14" s="62">
        <f t="shared" si="10"/>
        <v>460.8687751807617</v>
      </c>
      <c r="S14" s="62">
        <f t="shared" si="10"/>
        <v>481.11774566122057</v>
      </c>
      <c r="T14" s="62">
        <f t="shared" si="10"/>
        <v>504.36587098821957</v>
      </c>
      <c r="U14" s="62">
        <f t="shared" si="10"/>
        <v>495.6315076950076</v>
      </c>
      <c r="V14" s="62">
        <f t="shared" si="10"/>
        <v>416.9761016782893</v>
      </c>
      <c r="W14" s="62">
        <f t="shared" ref="W14" si="11">W15+W21</f>
        <v>465.75718892092891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323.40388386856955</v>
      </c>
      <c r="C15" s="29">
        <f t="shared" ref="C15:V15" si="13">SUM(C16,C17,C20)</f>
        <v>314.85748628785677</v>
      </c>
      <c r="D15" s="29">
        <f t="shared" si="13"/>
        <v>326.15863759528622</v>
      </c>
      <c r="E15" s="29">
        <f t="shared" si="13"/>
        <v>342.4801432830908</v>
      </c>
      <c r="F15" s="29">
        <f t="shared" si="13"/>
        <v>330.29790282220563</v>
      </c>
      <c r="G15" s="29">
        <f t="shared" si="13"/>
        <v>334.78489925240768</v>
      </c>
      <c r="H15" s="29">
        <f t="shared" si="13"/>
        <v>333.11491030017493</v>
      </c>
      <c r="I15" s="29">
        <f t="shared" si="13"/>
        <v>340.62677854451562</v>
      </c>
      <c r="J15" s="29">
        <f t="shared" si="13"/>
        <v>341.75263926122147</v>
      </c>
      <c r="K15" s="29">
        <f t="shared" si="13"/>
        <v>344.5184045986619</v>
      </c>
      <c r="L15" s="29">
        <f t="shared" si="13"/>
        <v>360.66209606935666</v>
      </c>
      <c r="M15" s="29">
        <f t="shared" si="13"/>
        <v>358.94742209329752</v>
      </c>
      <c r="N15" s="29">
        <f t="shared" si="13"/>
        <v>373.06129546520663</v>
      </c>
      <c r="O15" s="29">
        <f t="shared" si="13"/>
        <v>387.40572539724161</v>
      </c>
      <c r="P15" s="29">
        <f t="shared" si="13"/>
        <v>378.41716068019201</v>
      </c>
      <c r="Q15" s="29">
        <f t="shared" si="13"/>
        <v>404.68766185374346</v>
      </c>
      <c r="R15" s="29">
        <f t="shared" si="13"/>
        <v>427.10116008378412</v>
      </c>
      <c r="S15" s="29">
        <f t="shared" si="13"/>
        <v>440.33233747370588</v>
      </c>
      <c r="T15" s="29">
        <f t="shared" si="13"/>
        <v>468.39357645290414</v>
      </c>
      <c r="U15" s="29">
        <f t="shared" si="13"/>
        <v>459.61884232627057</v>
      </c>
      <c r="V15" s="29">
        <f t="shared" si="13"/>
        <v>380.52043354441503</v>
      </c>
      <c r="W15" s="29">
        <f t="shared" ref="W15" si="14">SUM(W16,W17,W20)</f>
        <v>427.18170116111168</v>
      </c>
      <c r="DA15" s="173" t="s">
        <v>1034</v>
      </c>
    </row>
    <row r="16" spans="1:105" ht="11.45" customHeight="1" x14ac:dyDescent="0.25">
      <c r="A16" s="107" t="s">
        <v>23</v>
      </c>
      <c r="B16" s="115">
        <v>63.151598021172461</v>
      </c>
      <c r="C16" s="115">
        <v>63.145651954394673</v>
      </c>
      <c r="D16" s="115">
        <v>66.489919798105674</v>
      </c>
      <c r="E16" s="115">
        <v>68.407257058658388</v>
      </c>
      <c r="F16" s="115">
        <v>70.661073430840844</v>
      </c>
      <c r="G16" s="115">
        <v>71.540660579156935</v>
      </c>
      <c r="H16" s="115">
        <v>74.718056725042516</v>
      </c>
      <c r="I16" s="115">
        <v>80.784143637951715</v>
      </c>
      <c r="J16" s="115">
        <v>82.719304077766878</v>
      </c>
      <c r="K16" s="115">
        <v>84.097460820799213</v>
      </c>
      <c r="L16" s="115">
        <v>86.235923354672778</v>
      </c>
      <c r="M16" s="115">
        <v>86.120063575099834</v>
      </c>
      <c r="N16" s="115">
        <v>79.009928198673421</v>
      </c>
      <c r="O16" s="115">
        <v>79.679202694472764</v>
      </c>
      <c r="P16" s="115">
        <v>79.99669962485055</v>
      </c>
      <c r="Q16" s="115">
        <v>81.574298452382862</v>
      </c>
      <c r="R16" s="115">
        <v>83.493989846328958</v>
      </c>
      <c r="S16" s="115">
        <v>87.151419233148729</v>
      </c>
      <c r="T16" s="115">
        <v>86.88523114491619</v>
      </c>
      <c r="U16" s="115">
        <v>90.757276612040641</v>
      </c>
      <c r="V16" s="115">
        <v>74.494090881828285</v>
      </c>
      <c r="W16" s="115">
        <v>90.295664476164347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245.54772225773758</v>
      </c>
      <c r="C17" s="116">
        <f t="shared" ref="C17:V17" si="16">SUM(C18:C19)</f>
        <v>232.15875459361405</v>
      </c>
      <c r="D17" s="116">
        <f t="shared" si="16"/>
        <v>239.20491498797688</v>
      </c>
      <c r="E17" s="116">
        <f t="shared" si="16"/>
        <v>252.58849534068099</v>
      </c>
      <c r="F17" s="116">
        <f t="shared" si="16"/>
        <v>236.72419344011595</v>
      </c>
      <c r="G17" s="116">
        <f t="shared" si="16"/>
        <v>238.05376248277457</v>
      </c>
      <c r="H17" s="116">
        <f t="shared" si="16"/>
        <v>234.21638307034974</v>
      </c>
      <c r="I17" s="116">
        <f t="shared" si="16"/>
        <v>235.86902440049812</v>
      </c>
      <c r="J17" s="116">
        <f t="shared" si="16"/>
        <v>232.52666851678794</v>
      </c>
      <c r="K17" s="116">
        <f t="shared" si="16"/>
        <v>229.22055566821615</v>
      </c>
      <c r="L17" s="116">
        <f t="shared" si="16"/>
        <v>240.7852203337315</v>
      </c>
      <c r="M17" s="116">
        <f t="shared" si="16"/>
        <v>237.22450137534054</v>
      </c>
      <c r="N17" s="116">
        <f t="shared" si="16"/>
        <v>256.96755774272367</v>
      </c>
      <c r="O17" s="116">
        <f t="shared" si="16"/>
        <v>270.6427131789593</v>
      </c>
      <c r="P17" s="116">
        <f t="shared" si="16"/>
        <v>261.33665153153191</v>
      </c>
      <c r="Q17" s="116">
        <f t="shared" si="16"/>
        <v>286.02955387755111</v>
      </c>
      <c r="R17" s="116">
        <f t="shared" si="16"/>
        <v>306.52336071364562</v>
      </c>
      <c r="S17" s="116">
        <f t="shared" si="16"/>
        <v>316.10853728817619</v>
      </c>
      <c r="T17" s="116">
        <f t="shared" si="16"/>
        <v>344.43596435560698</v>
      </c>
      <c r="U17" s="116">
        <f t="shared" si="16"/>
        <v>328.81213438164167</v>
      </c>
      <c r="V17" s="116">
        <f t="shared" si="16"/>
        <v>269.35488253504747</v>
      </c>
      <c r="W17" s="116">
        <f t="shared" ref="W17" si="17">SUM(W18:W19)</f>
        <v>296.98423082859978</v>
      </c>
      <c r="DA17" s="176" t="s">
        <v>1036</v>
      </c>
    </row>
    <row r="18" spans="1:105" ht="11.45" customHeight="1" x14ac:dyDescent="0.25">
      <c r="A18" s="111" t="s">
        <v>92</v>
      </c>
      <c r="B18" s="87">
        <v>48.493615713651394</v>
      </c>
      <c r="C18" s="87">
        <v>44.461518299214674</v>
      </c>
      <c r="D18" s="87">
        <v>47.144222683005609</v>
      </c>
      <c r="E18" s="87">
        <v>52.124561963325661</v>
      </c>
      <c r="F18" s="87">
        <v>46.456125723441382</v>
      </c>
      <c r="G18" s="87">
        <v>41.129304049039462</v>
      </c>
      <c r="H18" s="87">
        <v>42.801479282991444</v>
      </c>
      <c r="I18" s="87">
        <v>38.141601801250872</v>
      </c>
      <c r="J18" s="87">
        <v>22.597374174362315</v>
      </c>
      <c r="K18" s="87">
        <v>22.701043091231835</v>
      </c>
      <c r="L18" s="87">
        <v>24.865272550843788</v>
      </c>
      <c r="M18" s="87">
        <v>20.287702978579553</v>
      </c>
      <c r="N18" s="87">
        <v>26.452146157931672</v>
      </c>
      <c r="O18" s="87">
        <v>19.386119542088213</v>
      </c>
      <c r="P18" s="87">
        <v>9.4198833111488671</v>
      </c>
      <c r="Q18" s="87">
        <v>11.638537601992837</v>
      </c>
      <c r="R18" s="87">
        <v>8.2429210770823502</v>
      </c>
      <c r="S18" s="87">
        <v>18.565250081716556</v>
      </c>
      <c r="T18" s="87">
        <v>25.294029553353223</v>
      </c>
      <c r="U18" s="87">
        <v>25.039429028197251</v>
      </c>
      <c r="V18" s="87">
        <v>24.916970700437997</v>
      </c>
      <c r="W18" s="87">
        <v>21.720279400610266</v>
      </c>
      <c r="DA18" s="171" t="s">
        <v>1037</v>
      </c>
    </row>
    <row r="19" spans="1:105" ht="11.45" customHeight="1" x14ac:dyDescent="0.25">
      <c r="A19" s="111" t="s">
        <v>93</v>
      </c>
      <c r="B19" s="87">
        <v>197.05410654408618</v>
      </c>
      <c r="C19" s="87">
        <v>187.69723629439937</v>
      </c>
      <c r="D19" s="87">
        <v>192.06069230497127</v>
      </c>
      <c r="E19" s="87">
        <v>200.46393337735532</v>
      </c>
      <c r="F19" s="87">
        <v>190.26806771667458</v>
      </c>
      <c r="G19" s="87">
        <v>196.92445843373511</v>
      </c>
      <c r="H19" s="87">
        <v>191.4149037873583</v>
      </c>
      <c r="I19" s="87">
        <v>197.72742259924723</v>
      </c>
      <c r="J19" s="87">
        <v>209.92929434242564</v>
      </c>
      <c r="K19" s="87">
        <v>206.51951257698431</v>
      </c>
      <c r="L19" s="87">
        <v>215.9199477828877</v>
      </c>
      <c r="M19" s="87">
        <v>216.93679839676099</v>
      </c>
      <c r="N19" s="87">
        <v>230.51541158479202</v>
      </c>
      <c r="O19" s="87">
        <v>251.25659363687106</v>
      </c>
      <c r="P19" s="87">
        <v>251.91676822038303</v>
      </c>
      <c r="Q19" s="87">
        <v>274.39101627555829</v>
      </c>
      <c r="R19" s="87">
        <v>298.28043963656324</v>
      </c>
      <c r="S19" s="87">
        <v>297.54328720645964</v>
      </c>
      <c r="T19" s="87">
        <v>319.14193480225379</v>
      </c>
      <c r="U19" s="87">
        <v>303.77270535344439</v>
      </c>
      <c r="V19" s="87">
        <v>244.43791183460945</v>
      </c>
      <c r="W19" s="87">
        <v>275.26395142798953</v>
      </c>
      <c r="DA19" s="171" t="s">
        <v>1038</v>
      </c>
    </row>
    <row r="20" spans="1:105" ht="11.45" customHeight="1" x14ac:dyDescent="0.25">
      <c r="A20" s="112" t="s">
        <v>25</v>
      </c>
      <c r="B20" s="117">
        <v>14.704563589659505</v>
      </c>
      <c r="C20" s="117">
        <v>19.553079739848059</v>
      </c>
      <c r="D20" s="117">
        <v>20.463802809203692</v>
      </c>
      <c r="E20" s="117">
        <v>21.484390883751431</v>
      </c>
      <c r="F20" s="117">
        <v>22.912635951248834</v>
      </c>
      <c r="G20" s="117">
        <v>25.190476190476186</v>
      </c>
      <c r="H20" s="117">
        <v>24.180470504782694</v>
      </c>
      <c r="I20" s="117">
        <v>23.973610506065747</v>
      </c>
      <c r="J20" s="117">
        <v>26.506666666666664</v>
      </c>
      <c r="K20" s="117">
        <v>31.200388109646571</v>
      </c>
      <c r="L20" s="117">
        <v>33.640952380952378</v>
      </c>
      <c r="M20" s="117">
        <v>35.602857142857147</v>
      </c>
      <c r="N20" s="117">
        <v>37.083809523809528</v>
      </c>
      <c r="O20" s="117">
        <v>37.083809523809528</v>
      </c>
      <c r="P20" s="117">
        <v>37.083809523809528</v>
      </c>
      <c r="Q20" s="117">
        <v>37.083809523809528</v>
      </c>
      <c r="R20" s="117">
        <v>37.083809523809528</v>
      </c>
      <c r="S20" s="117">
        <v>37.072380952380954</v>
      </c>
      <c r="T20" s="117">
        <v>37.072380952380954</v>
      </c>
      <c r="U20" s="117">
        <v>40.049431332588249</v>
      </c>
      <c r="V20" s="117">
        <v>36.671460127539277</v>
      </c>
      <c r="W20" s="117">
        <v>39.901805856347565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34.070690693549004</v>
      </c>
      <c r="C21" s="29">
        <f t="shared" ref="C21:V21" si="19">SUM(C22:C23)</f>
        <v>32.107516679683172</v>
      </c>
      <c r="D21" s="29">
        <f t="shared" si="19"/>
        <v>30.874517303847202</v>
      </c>
      <c r="E21" s="29">
        <f t="shared" si="19"/>
        <v>32.597898595636927</v>
      </c>
      <c r="F21" s="29">
        <f t="shared" si="19"/>
        <v>37.333890792062647</v>
      </c>
      <c r="G21" s="29">
        <f t="shared" si="19"/>
        <v>38.309115085328799</v>
      </c>
      <c r="H21" s="29">
        <f t="shared" si="19"/>
        <v>39.875101370824787</v>
      </c>
      <c r="I21" s="29">
        <f t="shared" si="19"/>
        <v>41.440605072444669</v>
      </c>
      <c r="J21" s="29">
        <f t="shared" si="19"/>
        <v>39.021853159305515</v>
      </c>
      <c r="K21" s="29">
        <f t="shared" si="19"/>
        <v>28.917992827998194</v>
      </c>
      <c r="L21" s="29">
        <f t="shared" si="19"/>
        <v>29.986521443572531</v>
      </c>
      <c r="M21" s="29">
        <f t="shared" si="19"/>
        <v>32.338615255841063</v>
      </c>
      <c r="N21" s="29">
        <f t="shared" si="19"/>
        <v>33.395541103465135</v>
      </c>
      <c r="O21" s="29">
        <f t="shared" si="19"/>
        <v>31.657283995502883</v>
      </c>
      <c r="P21" s="29">
        <f t="shared" si="19"/>
        <v>33.59835014597305</v>
      </c>
      <c r="Q21" s="29">
        <f t="shared" si="19"/>
        <v>28.436973877705764</v>
      </c>
      <c r="R21" s="29">
        <f t="shared" si="19"/>
        <v>33.767615096977586</v>
      </c>
      <c r="S21" s="29">
        <f t="shared" si="19"/>
        <v>40.785408187514705</v>
      </c>
      <c r="T21" s="29">
        <f t="shared" si="19"/>
        <v>35.972294535315442</v>
      </c>
      <c r="U21" s="29">
        <f t="shared" si="19"/>
        <v>36.012665368737046</v>
      </c>
      <c r="V21" s="29">
        <f t="shared" si="19"/>
        <v>36.455668133874291</v>
      </c>
      <c r="W21" s="29">
        <f t="shared" ref="W21" si="20">SUM(W22:W23)</f>
        <v>38.575487759817207</v>
      </c>
      <c r="DA21" s="173" t="s">
        <v>1040</v>
      </c>
    </row>
    <row r="22" spans="1:105" ht="11.45" customHeight="1" x14ac:dyDescent="0.25">
      <c r="A22" s="83" t="s">
        <v>92</v>
      </c>
      <c r="B22" s="87">
        <v>1.3659112727848979</v>
      </c>
      <c r="C22" s="87">
        <v>1.0634531930302202</v>
      </c>
      <c r="D22" s="87">
        <v>1.0217897564137626</v>
      </c>
      <c r="E22" s="87">
        <v>1.1200614488362899</v>
      </c>
      <c r="F22" s="87">
        <v>1.4006724805341237</v>
      </c>
      <c r="G22" s="87">
        <v>0.90706390263180747</v>
      </c>
      <c r="H22" s="87">
        <v>3.9080731454674078</v>
      </c>
      <c r="I22" s="87">
        <v>4.9368291490283953</v>
      </c>
      <c r="J22" s="87">
        <v>5.1959626668840642</v>
      </c>
      <c r="K22" s="87">
        <v>2.8623492782893329</v>
      </c>
      <c r="L22" s="87">
        <v>2.6275837734764109</v>
      </c>
      <c r="M22" s="87">
        <v>1.2954327492312874</v>
      </c>
      <c r="N22" s="87">
        <v>1.2423250464077296</v>
      </c>
      <c r="O22" s="87">
        <v>0.81816437201326675</v>
      </c>
      <c r="P22" s="87">
        <v>0.42782492793406696</v>
      </c>
      <c r="Q22" s="87">
        <v>0.52785380892124478</v>
      </c>
      <c r="R22" s="87">
        <v>0.36645386545201791</v>
      </c>
      <c r="S22" s="87">
        <v>0.77795946887646117</v>
      </c>
      <c r="T22" s="87">
        <v>0.96462687944675141</v>
      </c>
      <c r="U22" s="87">
        <v>0.93166920367113637</v>
      </c>
      <c r="V22" s="87">
        <v>1.210663116506792</v>
      </c>
      <c r="W22" s="87">
        <v>1.0338711821168685</v>
      </c>
      <c r="DA22" s="171" t="s">
        <v>1041</v>
      </c>
    </row>
    <row r="23" spans="1:105" ht="11.45" customHeight="1" x14ac:dyDescent="0.25">
      <c r="A23" s="85" t="s">
        <v>93</v>
      </c>
      <c r="B23" s="88">
        <v>32.704779420764105</v>
      </c>
      <c r="C23" s="88">
        <v>31.044063486652956</v>
      </c>
      <c r="D23" s="88">
        <v>29.852727547433439</v>
      </c>
      <c r="E23" s="88">
        <v>31.477837146800638</v>
      </c>
      <c r="F23" s="88">
        <v>35.93321831152852</v>
      </c>
      <c r="G23" s="88">
        <v>37.402051182696994</v>
      </c>
      <c r="H23" s="88">
        <v>35.967028225357382</v>
      </c>
      <c r="I23" s="88">
        <v>36.503775923416271</v>
      </c>
      <c r="J23" s="88">
        <v>33.825890492421451</v>
      </c>
      <c r="K23" s="88">
        <v>26.055643549708861</v>
      </c>
      <c r="L23" s="88">
        <v>27.358937670096122</v>
      </c>
      <c r="M23" s="88">
        <v>31.043182506609778</v>
      </c>
      <c r="N23" s="88">
        <v>32.153216057057406</v>
      </c>
      <c r="O23" s="88">
        <v>30.839119623489616</v>
      </c>
      <c r="P23" s="88">
        <v>33.170525218038982</v>
      </c>
      <c r="Q23" s="88">
        <v>27.909120068784521</v>
      </c>
      <c r="R23" s="88">
        <v>33.40116123152557</v>
      </c>
      <c r="S23" s="88">
        <v>40.007448718638244</v>
      </c>
      <c r="T23" s="88">
        <v>35.007667655868687</v>
      </c>
      <c r="U23" s="88">
        <v>35.080996165065912</v>
      </c>
      <c r="V23" s="88">
        <v>35.245005017367497</v>
      </c>
      <c r="W23" s="88">
        <v>37.541616577700339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2414.1205160000004</v>
      </c>
      <c r="C25" s="62">
        <f t="shared" ref="C25:V25" si="22">C26+C32</f>
        <v>2326.5946220000001</v>
      </c>
      <c r="D25" s="62">
        <f t="shared" si="22"/>
        <v>2399.355654</v>
      </c>
      <c r="E25" s="62">
        <f t="shared" si="22"/>
        <v>2516.5400439999999</v>
      </c>
      <c r="F25" s="62">
        <f t="shared" si="22"/>
        <v>2463.5816070000001</v>
      </c>
      <c r="G25" s="62">
        <f t="shared" si="22"/>
        <v>2495.3477910000001</v>
      </c>
      <c r="H25" s="62">
        <f t="shared" si="22"/>
        <v>2493.8075039999999</v>
      </c>
      <c r="I25" s="62">
        <f t="shared" si="22"/>
        <v>2567.339187</v>
      </c>
      <c r="J25" s="62">
        <f t="shared" si="22"/>
        <v>2627.4835429999998</v>
      </c>
      <c r="K25" s="62">
        <f t="shared" si="22"/>
        <v>2578.3464339999996</v>
      </c>
      <c r="L25" s="62">
        <f t="shared" si="22"/>
        <v>2625.3640080000005</v>
      </c>
      <c r="M25" s="62">
        <f t="shared" si="22"/>
        <v>2622.6706690000001</v>
      </c>
      <c r="N25" s="62">
        <f t="shared" si="22"/>
        <v>2705.03872</v>
      </c>
      <c r="O25" s="62">
        <f t="shared" si="22"/>
        <v>2802.5880160000002</v>
      </c>
      <c r="P25" s="62">
        <f t="shared" si="22"/>
        <v>2788.5205109999997</v>
      </c>
      <c r="Q25" s="62">
        <f t="shared" si="22"/>
        <v>2903.3262180000002</v>
      </c>
      <c r="R25" s="62">
        <f t="shared" si="22"/>
        <v>3072.4557919999997</v>
      </c>
      <c r="S25" s="62">
        <f t="shared" si="22"/>
        <v>3201.9294110000001</v>
      </c>
      <c r="T25" s="62">
        <f t="shared" si="22"/>
        <v>3371.3236889999994</v>
      </c>
      <c r="U25" s="62">
        <f t="shared" si="22"/>
        <v>3300.0180759999994</v>
      </c>
      <c r="V25" s="62">
        <f t="shared" si="22"/>
        <v>3107.2911509999999</v>
      </c>
      <c r="W25" s="62">
        <f t="shared" ref="W25" si="23">W26+W32</f>
        <v>3094.2447130000005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2243.7670610000005</v>
      </c>
      <c r="C26" s="29">
        <f t="shared" ref="C26:V26" si="25">SUM(C27,C28,C31)</f>
        <v>2165.2277020000001</v>
      </c>
      <c r="D26" s="29">
        <f t="shared" si="25"/>
        <v>2244.628369</v>
      </c>
      <c r="E26" s="29">
        <f t="shared" si="25"/>
        <v>2353.5505499999999</v>
      </c>
      <c r="F26" s="29">
        <f t="shared" si="25"/>
        <v>2276.9121519999999</v>
      </c>
      <c r="G26" s="29">
        <f t="shared" si="25"/>
        <v>2302.0171270000001</v>
      </c>
      <c r="H26" s="29">
        <f t="shared" si="25"/>
        <v>2294.4319959999998</v>
      </c>
      <c r="I26" s="29">
        <f t="shared" si="25"/>
        <v>2360.1361609999999</v>
      </c>
      <c r="J26" s="29">
        <f t="shared" si="25"/>
        <v>2432.374276</v>
      </c>
      <c r="K26" s="29">
        <f t="shared" si="25"/>
        <v>2400.2725109999997</v>
      </c>
      <c r="L26" s="29">
        <f t="shared" si="25"/>
        <v>2463.9554150000004</v>
      </c>
      <c r="M26" s="29">
        <f t="shared" si="25"/>
        <v>2443.523807</v>
      </c>
      <c r="N26" s="29">
        <f t="shared" si="25"/>
        <v>2521.024645</v>
      </c>
      <c r="O26" s="29">
        <f t="shared" si="25"/>
        <v>2625.827378</v>
      </c>
      <c r="P26" s="29">
        <f t="shared" si="25"/>
        <v>2600.7857999999997</v>
      </c>
      <c r="Q26" s="29">
        <f t="shared" si="25"/>
        <v>2732.626851</v>
      </c>
      <c r="R26" s="29">
        <f t="shared" si="25"/>
        <v>2884.9338109999999</v>
      </c>
      <c r="S26" s="29">
        <f t="shared" si="25"/>
        <v>2982.0589479999999</v>
      </c>
      <c r="T26" s="29">
        <f t="shared" si="25"/>
        <v>3168.4885699999995</v>
      </c>
      <c r="U26" s="29">
        <f t="shared" si="25"/>
        <v>3106.1457859999996</v>
      </c>
      <c r="V26" s="29">
        <f t="shared" si="25"/>
        <v>2913.2817709999999</v>
      </c>
      <c r="W26" s="29">
        <f t="shared" ref="W26" si="26">SUM(W27,W28,W31)</f>
        <v>2889.4352310000004</v>
      </c>
      <c r="DA26" s="173" t="s">
        <v>1044</v>
      </c>
    </row>
    <row r="27" spans="1:105" ht="11.45" customHeight="1" x14ac:dyDescent="0.25">
      <c r="A27" s="107" t="s">
        <v>23</v>
      </c>
      <c r="B27" s="115">
        <v>574.10543700000005</v>
      </c>
      <c r="C27" s="115">
        <v>574.05138199999999</v>
      </c>
      <c r="D27" s="115">
        <v>604.45381699999996</v>
      </c>
      <c r="E27" s="115">
        <v>621.88415599999996</v>
      </c>
      <c r="F27" s="115">
        <v>642.37339499999996</v>
      </c>
      <c r="G27" s="115">
        <v>650.369642</v>
      </c>
      <c r="H27" s="115">
        <v>679.25506199999995</v>
      </c>
      <c r="I27" s="115">
        <v>734.40130599999998</v>
      </c>
      <c r="J27" s="115">
        <v>751.99367399999994</v>
      </c>
      <c r="K27" s="115">
        <v>764.52237200000002</v>
      </c>
      <c r="L27" s="115">
        <v>783.96294</v>
      </c>
      <c r="M27" s="115">
        <v>782.90966900000001</v>
      </c>
      <c r="N27" s="115">
        <v>725.49912600000005</v>
      </c>
      <c r="O27" s="115">
        <v>724.35638900000004</v>
      </c>
      <c r="P27" s="115">
        <v>727.24272399999995</v>
      </c>
      <c r="Q27" s="115">
        <v>741.58453199999997</v>
      </c>
      <c r="R27" s="115">
        <v>759.03627200000005</v>
      </c>
      <c r="S27" s="115">
        <v>792.28562999999997</v>
      </c>
      <c r="T27" s="115">
        <v>789.86573799999996</v>
      </c>
      <c r="U27" s="115">
        <v>825.06615199999999</v>
      </c>
      <c r="V27" s="115">
        <v>767.65560900000003</v>
      </c>
      <c r="W27" s="115">
        <v>820.86967800000002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1636.9848160000001</v>
      </c>
      <c r="C28" s="116">
        <f t="shared" ref="C28:V28" si="28">SUM(C29:C30)</f>
        <v>1547.7250310000002</v>
      </c>
      <c r="D28" s="116">
        <f t="shared" si="28"/>
        <v>1594.6994340000001</v>
      </c>
      <c r="E28" s="116">
        <f t="shared" si="28"/>
        <v>1683.923303</v>
      </c>
      <c r="F28" s="116">
        <f t="shared" si="28"/>
        <v>1583.6217880000002</v>
      </c>
      <c r="G28" s="116">
        <f t="shared" si="28"/>
        <v>1595.6686490000002</v>
      </c>
      <c r="H28" s="116">
        <f t="shared" si="28"/>
        <v>1561.4425550000001</v>
      </c>
      <c r="I28" s="116">
        <f t="shared" si="28"/>
        <v>1572.4601640000001</v>
      </c>
      <c r="J28" s="116">
        <f t="shared" si="28"/>
        <v>1621.4768980000001</v>
      </c>
      <c r="K28" s="116">
        <f t="shared" si="28"/>
        <v>1566.415943</v>
      </c>
      <c r="L28" s="116">
        <f t="shared" si="28"/>
        <v>1605.2348030000001</v>
      </c>
      <c r="M28" s="116">
        <f t="shared" si="28"/>
        <v>1581.4966770000001</v>
      </c>
      <c r="N28" s="116">
        <f t="shared" si="28"/>
        <v>1713.1170530000002</v>
      </c>
      <c r="O28" s="116">
        <f t="shared" si="28"/>
        <v>1819.0625230000003</v>
      </c>
      <c r="P28" s="116">
        <f t="shared" si="28"/>
        <v>1791.1346100000001</v>
      </c>
      <c r="Q28" s="116">
        <f t="shared" si="28"/>
        <v>1908.6338530000003</v>
      </c>
      <c r="R28" s="116">
        <f t="shared" si="28"/>
        <v>2043.4890730000002</v>
      </c>
      <c r="S28" s="116">
        <f t="shared" si="28"/>
        <v>2107.390249</v>
      </c>
      <c r="T28" s="116">
        <f t="shared" si="28"/>
        <v>2296.2397629999996</v>
      </c>
      <c r="U28" s="116">
        <f t="shared" si="28"/>
        <v>2192.0808969999998</v>
      </c>
      <c r="V28" s="116">
        <f t="shared" si="28"/>
        <v>2059.8951050000001</v>
      </c>
      <c r="W28" s="116">
        <f t="shared" ref="W28" si="29">SUM(W29:W30)</f>
        <v>1979.894873</v>
      </c>
      <c r="DA28" s="176" t="s">
        <v>1046</v>
      </c>
    </row>
    <row r="29" spans="1:105" ht="11.45" customHeight="1" x14ac:dyDescent="0.25">
      <c r="A29" s="111" t="s">
        <v>92</v>
      </c>
      <c r="B29" s="87">
        <v>323.290772</v>
      </c>
      <c r="C29" s="87">
        <v>296.410122</v>
      </c>
      <c r="D29" s="87">
        <v>314.29481800000002</v>
      </c>
      <c r="E29" s="87">
        <v>347.49707999999998</v>
      </c>
      <c r="F29" s="87">
        <v>315.168003</v>
      </c>
      <c r="G29" s="87">
        <v>282.83892600000001</v>
      </c>
      <c r="H29" s="87">
        <v>285.34319599999998</v>
      </c>
      <c r="I29" s="87">
        <v>254.27734599999999</v>
      </c>
      <c r="J29" s="87">
        <v>221.94826900000001</v>
      </c>
      <c r="K29" s="87">
        <v>189.619192</v>
      </c>
      <c r="L29" s="87">
        <v>165.768484</v>
      </c>
      <c r="M29" s="87">
        <v>135.25135399999999</v>
      </c>
      <c r="N29" s="87">
        <v>176.34764200000001</v>
      </c>
      <c r="O29" s="87">
        <v>144.018565</v>
      </c>
      <c r="P29" s="87">
        <v>111.689488</v>
      </c>
      <c r="Q29" s="87">
        <v>79.360410999999999</v>
      </c>
      <c r="R29" s="87">
        <v>54.952807999999997</v>
      </c>
      <c r="S29" s="87">
        <v>123.768334</v>
      </c>
      <c r="T29" s="87">
        <v>168.62686399999998</v>
      </c>
      <c r="U29" s="87">
        <v>166.92952700000001</v>
      </c>
      <c r="V29" s="87">
        <v>166.11313899999999</v>
      </c>
      <c r="W29" s="87">
        <v>144.801863</v>
      </c>
      <c r="DA29" s="171" t="s">
        <v>1047</v>
      </c>
    </row>
    <row r="30" spans="1:105" ht="11.45" customHeight="1" x14ac:dyDescent="0.25">
      <c r="A30" s="111" t="s">
        <v>93</v>
      </c>
      <c r="B30" s="87">
        <v>1313.6940440000001</v>
      </c>
      <c r="C30" s="87">
        <v>1251.3149090000002</v>
      </c>
      <c r="D30" s="87">
        <v>1280.404616</v>
      </c>
      <c r="E30" s="87">
        <v>1336.4262230000002</v>
      </c>
      <c r="F30" s="87">
        <v>1268.4537850000002</v>
      </c>
      <c r="G30" s="87">
        <v>1312.8297230000001</v>
      </c>
      <c r="H30" s="87">
        <v>1276.099359</v>
      </c>
      <c r="I30" s="87">
        <v>1318.182818</v>
      </c>
      <c r="J30" s="87">
        <v>1399.5286290000001</v>
      </c>
      <c r="K30" s="87">
        <v>1376.7967510000001</v>
      </c>
      <c r="L30" s="87">
        <v>1439.4663190000001</v>
      </c>
      <c r="M30" s="87">
        <v>1446.2453230000001</v>
      </c>
      <c r="N30" s="87">
        <v>1536.7694110000002</v>
      </c>
      <c r="O30" s="87">
        <v>1675.0439580000002</v>
      </c>
      <c r="P30" s="87">
        <v>1679.4451220000001</v>
      </c>
      <c r="Q30" s="87">
        <v>1829.2734420000002</v>
      </c>
      <c r="R30" s="87">
        <v>1988.5362650000002</v>
      </c>
      <c r="S30" s="87">
        <v>1983.6219150000002</v>
      </c>
      <c r="T30" s="87">
        <v>2127.6128989999997</v>
      </c>
      <c r="U30" s="87">
        <v>2025.15137</v>
      </c>
      <c r="V30" s="87">
        <v>1893.781966</v>
      </c>
      <c r="W30" s="87">
        <v>1835.09301</v>
      </c>
      <c r="DA30" s="171" t="s">
        <v>1048</v>
      </c>
    </row>
    <row r="31" spans="1:105" ht="11.45" customHeight="1" x14ac:dyDescent="0.25">
      <c r="A31" s="112" t="s">
        <v>25</v>
      </c>
      <c r="B31" s="117">
        <v>32.676807999999994</v>
      </c>
      <c r="C31" s="117">
        <v>43.451288999999996</v>
      </c>
      <c r="D31" s="117">
        <v>45.475117999999995</v>
      </c>
      <c r="E31" s="117">
        <v>47.743091</v>
      </c>
      <c r="F31" s="117">
        <v>50.916968999999995</v>
      </c>
      <c r="G31" s="117">
        <v>55.978835999999994</v>
      </c>
      <c r="H31" s="117">
        <v>53.734378999999997</v>
      </c>
      <c r="I31" s="117">
        <v>53.274690999999997</v>
      </c>
      <c r="J31" s="117">
        <v>58.903703999999998</v>
      </c>
      <c r="K31" s="117">
        <v>69.334195999999991</v>
      </c>
      <c r="L31" s="117">
        <v>74.757671999999999</v>
      </c>
      <c r="M31" s="117">
        <v>79.117460999999992</v>
      </c>
      <c r="N31" s="117">
        <v>82.408466000000004</v>
      </c>
      <c r="O31" s="117">
        <v>82.408466000000004</v>
      </c>
      <c r="P31" s="117">
        <v>82.408466000000004</v>
      </c>
      <c r="Q31" s="117">
        <v>82.408466000000004</v>
      </c>
      <c r="R31" s="117">
        <v>82.408466000000004</v>
      </c>
      <c r="S31" s="117">
        <v>82.383068999999992</v>
      </c>
      <c r="T31" s="117">
        <v>82.383068999999992</v>
      </c>
      <c r="U31" s="117">
        <v>88.998736999999991</v>
      </c>
      <c r="V31" s="117">
        <v>85.731056999999993</v>
      </c>
      <c r="W31" s="117">
        <v>88.670680000000004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170.353455</v>
      </c>
      <c r="C32" s="29">
        <f t="shared" ref="C32:V32" si="31">SUM(C33:C34)</f>
        <v>161.36691999999999</v>
      </c>
      <c r="D32" s="29">
        <f t="shared" si="31"/>
        <v>154.72728499999999</v>
      </c>
      <c r="E32" s="29">
        <f t="shared" si="31"/>
        <v>162.98949400000001</v>
      </c>
      <c r="F32" s="29">
        <f t="shared" si="31"/>
        <v>186.669455</v>
      </c>
      <c r="G32" s="29">
        <f t="shared" si="31"/>
        <v>193.33066400000001</v>
      </c>
      <c r="H32" s="29">
        <f t="shared" si="31"/>
        <v>199.375508</v>
      </c>
      <c r="I32" s="29">
        <f t="shared" si="31"/>
        <v>207.20302599999999</v>
      </c>
      <c r="J32" s="29">
        <f t="shared" si="31"/>
        <v>195.10926699999999</v>
      </c>
      <c r="K32" s="29">
        <f t="shared" si="31"/>
        <v>178.07392300000001</v>
      </c>
      <c r="L32" s="29">
        <f t="shared" si="31"/>
        <v>161.408593</v>
      </c>
      <c r="M32" s="29">
        <f t="shared" si="31"/>
        <v>179.146862</v>
      </c>
      <c r="N32" s="29">
        <f t="shared" si="31"/>
        <v>184.01407499999999</v>
      </c>
      <c r="O32" s="29">
        <f t="shared" si="31"/>
        <v>176.760638</v>
      </c>
      <c r="P32" s="29">
        <f t="shared" si="31"/>
        <v>187.73471099999998</v>
      </c>
      <c r="Q32" s="29">
        <f t="shared" si="31"/>
        <v>170.699367</v>
      </c>
      <c r="R32" s="29">
        <f t="shared" si="31"/>
        <v>187.52198100000001</v>
      </c>
      <c r="S32" s="29">
        <f t="shared" si="31"/>
        <v>219.87046299999997</v>
      </c>
      <c r="T32" s="29">
        <f t="shared" si="31"/>
        <v>202.83511899999999</v>
      </c>
      <c r="U32" s="29">
        <f t="shared" si="31"/>
        <v>193.87228999999999</v>
      </c>
      <c r="V32" s="29">
        <f t="shared" si="31"/>
        <v>194.00937999999999</v>
      </c>
      <c r="W32" s="29">
        <f t="shared" ref="W32" si="32">SUM(W33:W34)</f>
        <v>204.809482</v>
      </c>
      <c r="DA32" s="173" t="s">
        <v>1050</v>
      </c>
    </row>
    <row r="33" spans="1:105" ht="11.45" customHeight="1" x14ac:dyDescent="0.25">
      <c r="A33" s="83" t="s">
        <v>92</v>
      </c>
      <c r="B33" s="87">
        <v>6.8295570000000003</v>
      </c>
      <c r="C33" s="87">
        <v>6.1466020000000006</v>
      </c>
      <c r="D33" s="87">
        <v>5.4636469999999999</v>
      </c>
      <c r="E33" s="87">
        <v>5.6003080000000001</v>
      </c>
      <c r="F33" s="87">
        <v>7.0033630000000002</v>
      </c>
      <c r="G33" s="87">
        <v>6.3204080000000005</v>
      </c>
      <c r="H33" s="87">
        <v>19.540366000000002</v>
      </c>
      <c r="I33" s="87">
        <v>24.684146000000002</v>
      </c>
      <c r="J33" s="87">
        <v>25.979814000000001</v>
      </c>
      <c r="K33" s="87">
        <v>25.296859000000001</v>
      </c>
      <c r="L33" s="87">
        <v>24.613904000000002</v>
      </c>
      <c r="M33" s="87">
        <v>23.930949000000002</v>
      </c>
      <c r="N33" s="87">
        <v>23.247994000000002</v>
      </c>
      <c r="O33" s="87">
        <v>22.565039000000002</v>
      </c>
      <c r="P33" s="87">
        <v>21.882084000000003</v>
      </c>
      <c r="Q33" s="87">
        <v>21.199129000000003</v>
      </c>
      <c r="R33" s="87">
        <v>20.516173999999999</v>
      </c>
      <c r="S33" s="87">
        <v>19.833219</v>
      </c>
      <c r="T33" s="87">
        <v>19.150264</v>
      </c>
      <c r="U33" s="87">
        <v>18.467309</v>
      </c>
      <c r="V33" s="87">
        <v>17.784354</v>
      </c>
      <c r="W33" s="87">
        <v>17.101399000000001</v>
      </c>
      <c r="DA33" s="171" t="s">
        <v>1051</v>
      </c>
    </row>
    <row r="34" spans="1:105" ht="11.45" customHeight="1" x14ac:dyDescent="0.25">
      <c r="A34" s="85" t="s">
        <v>93</v>
      </c>
      <c r="B34" s="88">
        <v>163.523898</v>
      </c>
      <c r="C34" s="88">
        <v>155.22031799999999</v>
      </c>
      <c r="D34" s="88">
        <v>149.26363799999999</v>
      </c>
      <c r="E34" s="88">
        <v>157.389186</v>
      </c>
      <c r="F34" s="88">
        <v>179.66609199999999</v>
      </c>
      <c r="G34" s="88">
        <v>187.010256</v>
      </c>
      <c r="H34" s="88">
        <v>179.83514199999999</v>
      </c>
      <c r="I34" s="88">
        <v>182.51888</v>
      </c>
      <c r="J34" s="88">
        <v>169.12945299999998</v>
      </c>
      <c r="K34" s="88">
        <v>152.777064</v>
      </c>
      <c r="L34" s="88">
        <v>136.79468900000001</v>
      </c>
      <c r="M34" s="88">
        <v>155.215913</v>
      </c>
      <c r="N34" s="88">
        <v>160.76608099999999</v>
      </c>
      <c r="O34" s="88">
        <v>154.19559899999999</v>
      </c>
      <c r="P34" s="88">
        <v>165.85262699999998</v>
      </c>
      <c r="Q34" s="88">
        <v>149.500238</v>
      </c>
      <c r="R34" s="88">
        <v>167.005807</v>
      </c>
      <c r="S34" s="88">
        <v>200.03724399999999</v>
      </c>
      <c r="T34" s="88">
        <v>183.684855</v>
      </c>
      <c r="U34" s="88">
        <v>175.40498099999999</v>
      </c>
      <c r="V34" s="88">
        <v>176.22502599999999</v>
      </c>
      <c r="W34" s="88">
        <v>187.70808299999999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31.096938999999928</v>
      </c>
      <c r="D36" s="54">
        <f t="shared" ref="D36:V36" si="34">D37+D43</f>
        <v>145.40937299999982</v>
      </c>
      <c r="E36" s="54">
        <f t="shared" si="34"/>
        <v>188.6129720000001</v>
      </c>
      <c r="F36" s="54">
        <f t="shared" si="34"/>
        <v>73.139466999999982</v>
      </c>
      <c r="G36" s="54">
        <f t="shared" si="34"/>
        <v>126.08059499999993</v>
      </c>
      <c r="H36" s="54">
        <f t="shared" si="34"/>
        <v>73.870897999999897</v>
      </c>
      <c r="I36" s="54">
        <f t="shared" si="34"/>
        <v>166.14577699999995</v>
      </c>
      <c r="J36" s="54">
        <f t="shared" si="34"/>
        <v>162.23709300000004</v>
      </c>
      <c r="K36" s="54">
        <f t="shared" si="34"/>
        <v>56.355679999999985</v>
      </c>
      <c r="L36" s="54">
        <f t="shared" si="34"/>
        <v>143.66197999999997</v>
      </c>
      <c r="M36" s="54">
        <f t="shared" si="34"/>
        <v>89.809124999999952</v>
      </c>
      <c r="N36" s="54">
        <f t="shared" si="34"/>
        <v>192.50921900000012</v>
      </c>
      <c r="O36" s="54">
        <f t="shared" si="34"/>
        <v>193.26017799999994</v>
      </c>
      <c r="P36" s="54">
        <f t="shared" si="34"/>
        <v>80.246905999999768</v>
      </c>
      <c r="Q36" s="54">
        <f t="shared" si="34"/>
        <v>220.29849600000006</v>
      </c>
      <c r="R36" s="54">
        <f t="shared" si="34"/>
        <v>255.52251100000009</v>
      </c>
      <c r="S36" s="54">
        <f t="shared" si="34"/>
        <v>201.33929099999983</v>
      </c>
      <c r="T36" s="54">
        <f t="shared" si="34"/>
        <v>252.4383279999995</v>
      </c>
      <c r="U36" s="54">
        <f t="shared" si="34"/>
        <v>70.37559600000003</v>
      </c>
      <c r="V36" s="54">
        <f t="shared" si="34"/>
        <v>15.058005999999978</v>
      </c>
      <c r="W36" s="54">
        <f t="shared" ref="W36" si="35">W37+W43</f>
        <v>93.187273000000005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31.096938999999928</v>
      </c>
      <c r="D37" s="28">
        <f t="shared" ref="D37:V37" si="37">SUM(D38,D39,D42)</f>
        <v>145.40937299999982</v>
      </c>
      <c r="E37" s="28">
        <f t="shared" si="37"/>
        <v>174.93088700000007</v>
      </c>
      <c r="F37" s="28">
        <f t="shared" si="37"/>
        <v>44.039629999999981</v>
      </c>
      <c r="G37" s="28">
        <f t="shared" si="37"/>
        <v>113.56241999999992</v>
      </c>
      <c r="H37" s="28">
        <f t="shared" si="37"/>
        <v>60.405074999999897</v>
      </c>
      <c r="I37" s="28">
        <f t="shared" si="37"/>
        <v>152.89838299999994</v>
      </c>
      <c r="J37" s="28">
        <f t="shared" si="37"/>
        <v>160.69556000000006</v>
      </c>
      <c r="K37" s="28">
        <f t="shared" si="37"/>
        <v>56.355679999999985</v>
      </c>
      <c r="L37" s="28">
        <f t="shared" si="37"/>
        <v>143.66197999999997</v>
      </c>
      <c r="M37" s="28">
        <f t="shared" si="37"/>
        <v>66.21388999999995</v>
      </c>
      <c r="N37" s="28">
        <f t="shared" si="37"/>
        <v>181.78504000000012</v>
      </c>
      <c r="O37" s="28">
        <f t="shared" si="37"/>
        <v>193.26017799999994</v>
      </c>
      <c r="P37" s="28">
        <f t="shared" si="37"/>
        <v>63.415866999999764</v>
      </c>
      <c r="Q37" s="28">
        <f t="shared" si="37"/>
        <v>220.29849600000006</v>
      </c>
      <c r="R37" s="28">
        <f t="shared" si="37"/>
        <v>232.84293100000008</v>
      </c>
      <c r="S37" s="28">
        <f t="shared" si="37"/>
        <v>163.13384299999984</v>
      </c>
      <c r="T37" s="28">
        <f t="shared" si="37"/>
        <v>252.4383279999995</v>
      </c>
      <c r="U37" s="28">
        <f t="shared" si="37"/>
        <v>70.37559600000003</v>
      </c>
      <c r="V37" s="28">
        <f t="shared" si="37"/>
        <v>9.0639499999999771</v>
      </c>
      <c r="W37" s="28">
        <f t="shared" ref="W37" si="38">SUM(W38,W39,W42)</f>
        <v>76.530204999999995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19.080991999999924</v>
      </c>
      <c r="D38" s="108">
        <v>49.537481999999954</v>
      </c>
      <c r="E38" s="108">
        <v>36.56538599999999</v>
      </c>
      <c r="F38" s="108">
        <v>39.624285999999984</v>
      </c>
      <c r="G38" s="108">
        <v>27.131294000000025</v>
      </c>
      <c r="H38" s="108">
        <v>48.02046699999994</v>
      </c>
      <c r="I38" s="108">
        <v>74.28129100000001</v>
      </c>
      <c r="J38" s="108">
        <v>36.727414999999951</v>
      </c>
      <c r="K38" s="108">
        <v>31.663745000000063</v>
      </c>
      <c r="L38" s="108">
        <v>38.575614999999971</v>
      </c>
      <c r="M38" s="108">
        <v>18.081775999999991</v>
      </c>
      <c r="N38" s="108">
        <v>0</v>
      </c>
      <c r="O38" s="108">
        <v>17.992309999999975</v>
      </c>
      <c r="P38" s="108">
        <v>22.021381999999903</v>
      </c>
      <c r="Q38" s="108">
        <v>33.476855</v>
      </c>
      <c r="R38" s="108">
        <v>36.586787000000072</v>
      </c>
      <c r="S38" s="108">
        <v>52.384404999999902</v>
      </c>
      <c r="T38" s="108">
        <v>16.715154999999982</v>
      </c>
      <c r="U38" s="108">
        <v>54.335461000000009</v>
      </c>
      <c r="V38" s="108">
        <v>0</v>
      </c>
      <c r="W38" s="108">
        <v>72.349115999999981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92.606595999999854</v>
      </c>
      <c r="E39" s="110">
        <f t="shared" si="40"/>
        <v>134.85606200000007</v>
      </c>
      <c r="F39" s="110">
        <f t="shared" si="40"/>
        <v>0</v>
      </c>
      <c r="G39" s="110">
        <f t="shared" si="40"/>
        <v>80.127792999999883</v>
      </c>
      <c r="H39" s="110">
        <f t="shared" si="40"/>
        <v>12.384607999999957</v>
      </c>
      <c r="I39" s="110">
        <f t="shared" si="40"/>
        <v>77.835313999999926</v>
      </c>
      <c r="J39" s="110">
        <f t="shared" si="40"/>
        <v>117.09766600000012</v>
      </c>
      <c r="K39" s="110">
        <f t="shared" si="40"/>
        <v>13.019976999999926</v>
      </c>
      <c r="L39" s="110">
        <f t="shared" si="40"/>
        <v>98.421423000000004</v>
      </c>
      <c r="M39" s="110">
        <f t="shared" si="40"/>
        <v>42.530858999999964</v>
      </c>
      <c r="N39" s="110">
        <f t="shared" si="40"/>
        <v>177.25256900000011</v>
      </c>
      <c r="O39" s="110">
        <f t="shared" si="40"/>
        <v>174.02640199999996</v>
      </c>
      <c r="P39" s="110">
        <f t="shared" si="40"/>
        <v>40.153018999999858</v>
      </c>
      <c r="Q39" s="110">
        <f t="shared" si="40"/>
        <v>185.58017500000005</v>
      </c>
      <c r="R39" s="110">
        <f t="shared" si="40"/>
        <v>195.014678</v>
      </c>
      <c r="S39" s="110">
        <f t="shared" si="40"/>
        <v>109.53336899999996</v>
      </c>
      <c r="T39" s="110">
        <f t="shared" si="40"/>
        <v>234.48170699999952</v>
      </c>
      <c r="U39" s="110">
        <f t="shared" si="40"/>
        <v>8.1830010000000186</v>
      </c>
      <c r="V39" s="110">
        <f t="shared" si="40"/>
        <v>9.0639499999999771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27.765034000000014</v>
      </c>
      <c r="E40" s="84">
        <v>43.082599999999957</v>
      </c>
      <c r="F40" s="84">
        <v>0</v>
      </c>
      <c r="G40" s="84">
        <v>0</v>
      </c>
      <c r="H40" s="84">
        <v>12.384607999999957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50.97662600000001</v>
      </c>
      <c r="O40" s="84">
        <v>0</v>
      </c>
      <c r="P40" s="84">
        <v>0</v>
      </c>
      <c r="Q40" s="84">
        <v>0</v>
      </c>
      <c r="R40" s="84">
        <v>0</v>
      </c>
      <c r="S40" s="84">
        <v>78.695864</v>
      </c>
      <c r="T40" s="84">
        <v>54.738867999999982</v>
      </c>
      <c r="U40" s="84">
        <v>8.1830010000000186</v>
      </c>
      <c r="V40" s="84">
        <v>9.0639499999999771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64.84156199999984</v>
      </c>
      <c r="E41" s="84">
        <v>91.773462000000109</v>
      </c>
      <c r="F41" s="84">
        <v>0</v>
      </c>
      <c r="G41" s="84">
        <v>80.127792999999883</v>
      </c>
      <c r="H41" s="84">
        <v>0</v>
      </c>
      <c r="I41" s="84">
        <v>77.835313999999926</v>
      </c>
      <c r="J41" s="84">
        <v>117.09766600000012</v>
      </c>
      <c r="K41" s="84">
        <v>13.019976999999926</v>
      </c>
      <c r="L41" s="84">
        <v>98.421423000000004</v>
      </c>
      <c r="M41" s="84">
        <v>42.530858999999964</v>
      </c>
      <c r="N41" s="84">
        <v>126.2759430000001</v>
      </c>
      <c r="O41" s="84">
        <v>174.02640199999996</v>
      </c>
      <c r="P41" s="84">
        <v>40.153018999999858</v>
      </c>
      <c r="Q41" s="84">
        <v>185.58017500000005</v>
      </c>
      <c r="R41" s="84">
        <v>195.014678</v>
      </c>
      <c r="S41" s="84">
        <v>30.837504999999965</v>
      </c>
      <c r="T41" s="84">
        <v>179.74283899999955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12.015947000000004</v>
      </c>
      <c r="D42" s="113">
        <v>3.2652950000000018</v>
      </c>
      <c r="E42" s="113">
        <v>3.5094390000000075</v>
      </c>
      <c r="F42" s="113">
        <v>4.4153439999999975</v>
      </c>
      <c r="G42" s="113">
        <v>6.3033330000000021</v>
      </c>
      <c r="H42" s="113">
        <v>0</v>
      </c>
      <c r="I42" s="113">
        <v>0.78177800000000275</v>
      </c>
      <c r="J42" s="113">
        <v>6.8704790000000031</v>
      </c>
      <c r="K42" s="113">
        <v>11.671957999999997</v>
      </c>
      <c r="L42" s="113">
        <v>6.6649420000000106</v>
      </c>
      <c r="M42" s="113">
        <v>5.6012549999999948</v>
      </c>
      <c r="N42" s="113">
        <v>4.5324710000000152</v>
      </c>
      <c r="O42" s="113">
        <v>1.2414660000000026</v>
      </c>
      <c r="P42" s="113">
        <v>1.2414660000000026</v>
      </c>
      <c r="Q42" s="113">
        <v>1.2414660000000026</v>
      </c>
      <c r="R42" s="113">
        <v>1.2414660000000026</v>
      </c>
      <c r="S42" s="113">
        <v>1.2160689999999903</v>
      </c>
      <c r="T42" s="113">
        <v>1.2414660000000026</v>
      </c>
      <c r="U42" s="113">
        <v>7.8571340000000021</v>
      </c>
      <c r="V42" s="113">
        <v>0</v>
      </c>
      <c r="W42" s="113">
        <v>4.1810890000000143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13.682085000000017</v>
      </c>
      <c r="F43" s="28">
        <f t="shared" si="43"/>
        <v>29.099837000000004</v>
      </c>
      <c r="G43" s="28">
        <f t="shared" si="43"/>
        <v>12.518175000000014</v>
      </c>
      <c r="H43" s="28">
        <f t="shared" si="43"/>
        <v>13.465823</v>
      </c>
      <c r="I43" s="28">
        <f t="shared" si="43"/>
        <v>13.247394000000011</v>
      </c>
      <c r="J43" s="28">
        <f t="shared" si="43"/>
        <v>1.5415329999999976</v>
      </c>
      <c r="K43" s="28">
        <f t="shared" si="43"/>
        <v>0</v>
      </c>
      <c r="L43" s="28">
        <f t="shared" si="43"/>
        <v>0</v>
      </c>
      <c r="M43" s="28">
        <f t="shared" si="43"/>
        <v>23.595235000000002</v>
      </c>
      <c r="N43" s="28">
        <f t="shared" si="43"/>
        <v>10.724178999999992</v>
      </c>
      <c r="O43" s="28">
        <f t="shared" si="43"/>
        <v>0</v>
      </c>
      <c r="P43" s="28">
        <f t="shared" si="43"/>
        <v>16.831039000000004</v>
      </c>
      <c r="Q43" s="28">
        <f t="shared" si="43"/>
        <v>0</v>
      </c>
      <c r="R43" s="28">
        <f t="shared" si="43"/>
        <v>22.679580000000016</v>
      </c>
      <c r="S43" s="28">
        <f t="shared" si="43"/>
        <v>38.20544799999999</v>
      </c>
      <c r="T43" s="28">
        <f t="shared" si="43"/>
        <v>0</v>
      </c>
      <c r="U43" s="28">
        <f t="shared" si="43"/>
        <v>0</v>
      </c>
      <c r="V43" s="28">
        <f t="shared" si="43"/>
        <v>5.9940560000000005</v>
      </c>
      <c r="W43" s="28">
        <f t="shared" ref="W43" si="44">SUM(W44:W45)</f>
        <v>16.65706800000001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0.38252600000000037</v>
      </c>
      <c r="F44" s="84">
        <v>1.6489200000000004</v>
      </c>
      <c r="G44" s="84">
        <v>0</v>
      </c>
      <c r="H44" s="84">
        <v>13.465823</v>
      </c>
      <c r="I44" s="84">
        <v>5.389644999999998</v>
      </c>
      <c r="J44" s="84">
        <v>1.5415329999999976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13.299559000000016</v>
      </c>
      <c r="F45" s="86">
        <v>27.450917000000004</v>
      </c>
      <c r="G45" s="86">
        <v>12.518175000000014</v>
      </c>
      <c r="H45" s="86">
        <v>0</v>
      </c>
      <c r="I45" s="86">
        <v>7.8577490000000125</v>
      </c>
      <c r="J45" s="86">
        <v>0</v>
      </c>
      <c r="K45" s="86">
        <v>0</v>
      </c>
      <c r="L45" s="86">
        <v>0</v>
      </c>
      <c r="M45" s="86">
        <v>23.595235000000002</v>
      </c>
      <c r="N45" s="86">
        <v>10.724178999999992</v>
      </c>
      <c r="O45" s="86">
        <v>0</v>
      </c>
      <c r="P45" s="86">
        <v>16.831039000000004</v>
      </c>
      <c r="Q45" s="86">
        <v>0</v>
      </c>
      <c r="R45" s="86">
        <v>22.679580000000016</v>
      </c>
      <c r="S45" s="86">
        <v>38.20544799999999</v>
      </c>
      <c r="T45" s="86">
        <v>0</v>
      </c>
      <c r="U45" s="86">
        <v>0</v>
      </c>
      <c r="V45" s="86">
        <v>5.9940560000000005</v>
      </c>
      <c r="W45" s="86">
        <v>16.65706800000001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170.62472886820765</v>
      </c>
      <c r="C50" s="29">
        <f t="shared" si="45"/>
        <v>176.79427177128821</v>
      </c>
      <c r="D50" s="29">
        <f t="shared" si="45"/>
        <v>169.20907079726413</v>
      </c>
      <c r="E50" s="29">
        <f t="shared" si="45"/>
        <v>159.66473114559633</v>
      </c>
      <c r="F50" s="29">
        <f t="shared" si="45"/>
        <v>167.30048700837523</v>
      </c>
      <c r="G50" s="29">
        <f t="shared" si="45"/>
        <v>167.63898289715462</v>
      </c>
      <c r="H50" s="29">
        <f t="shared" si="45"/>
        <v>169.50307012411852</v>
      </c>
      <c r="I50" s="29">
        <f t="shared" si="45"/>
        <v>165.88537237572328</v>
      </c>
      <c r="J50" s="29">
        <f t="shared" si="45"/>
        <v>165.05505304052409</v>
      </c>
      <c r="K50" s="29">
        <f t="shared" ref="K50:V50" si="46">IF(K4=0,0,K4/K15)</f>
        <v>159.85212767995588</v>
      </c>
      <c r="L50" s="29">
        <f t="shared" si="46"/>
        <v>150.43166606996749</v>
      </c>
      <c r="M50" s="29">
        <f t="shared" si="46"/>
        <v>150.2727048029333</v>
      </c>
      <c r="N50" s="29">
        <f t="shared" si="46"/>
        <v>142.86392249171482</v>
      </c>
      <c r="O50" s="29">
        <f t="shared" si="46"/>
        <v>142.80377488812897</v>
      </c>
      <c r="P50" s="29">
        <f t="shared" si="46"/>
        <v>149.59945235634569</v>
      </c>
      <c r="Q50" s="29">
        <f t="shared" si="46"/>
        <v>145.87793393448106</v>
      </c>
      <c r="R50" s="29">
        <f t="shared" si="46"/>
        <v>138.43808101200446</v>
      </c>
      <c r="S50" s="29">
        <f t="shared" si="46"/>
        <v>137.41893304307524</v>
      </c>
      <c r="T50" s="29">
        <f t="shared" si="46"/>
        <v>134.01550139813153</v>
      </c>
      <c r="U50" s="29">
        <f t="shared" si="46"/>
        <v>139.68095754095785</v>
      </c>
      <c r="V50" s="29">
        <f t="shared" si="46"/>
        <v>70.06719652779951</v>
      </c>
      <c r="W50" s="29">
        <f t="shared" ref="W50" si="47">IF(W4=0,0,W4/W15)</f>
        <v>78.191551532312545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88.813271172007461</v>
      </c>
      <c r="C51" s="115">
        <f t="shared" si="48"/>
        <v>88.509657070870247</v>
      </c>
      <c r="D51" s="115">
        <f t="shared" si="48"/>
        <v>88.509657070870247</v>
      </c>
      <c r="E51" s="115">
        <f t="shared" si="48"/>
        <v>87.490717466831541</v>
      </c>
      <c r="F51" s="115">
        <f t="shared" si="48"/>
        <v>84.983141472898268</v>
      </c>
      <c r="G51" s="115">
        <f t="shared" si="48"/>
        <v>84.357621961325179</v>
      </c>
      <c r="H51" s="115">
        <f t="shared" si="48"/>
        <v>84.035911467910665</v>
      </c>
      <c r="I51" s="115">
        <f t="shared" si="48"/>
        <v>83.246534494928426</v>
      </c>
      <c r="J51" s="115">
        <f t="shared" si="48"/>
        <v>83.221203040201431</v>
      </c>
      <c r="K51" s="115">
        <f t="shared" ref="K51:V51" si="49">IF(K5=0,0,K5/K16)</f>
        <v>82.618427859615011</v>
      </c>
      <c r="L51" s="115">
        <f t="shared" si="49"/>
        <v>82.135144200507952</v>
      </c>
      <c r="M51" s="115">
        <f t="shared" si="49"/>
        <v>82.384983306624036</v>
      </c>
      <c r="N51" s="115">
        <f t="shared" si="49"/>
        <v>82.749094310780208</v>
      </c>
      <c r="O51" s="115">
        <f t="shared" si="49"/>
        <v>82.631348926094645</v>
      </c>
      <c r="P51" s="115">
        <f t="shared" si="49"/>
        <v>83.178431500353682</v>
      </c>
      <c r="Q51" s="115">
        <f t="shared" si="49"/>
        <v>83.702834465511089</v>
      </c>
      <c r="R51" s="115">
        <f t="shared" si="49"/>
        <v>83.227547429337889</v>
      </c>
      <c r="S51" s="115">
        <f t="shared" si="49"/>
        <v>83.521301936886587</v>
      </c>
      <c r="T51" s="115">
        <f t="shared" si="49"/>
        <v>83.77718404016592</v>
      </c>
      <c r="U51" s="115">
        <f t="shared" si="49"/>
        <v>83.894099561267154</v>
      </c>
      <c r="V51" s="115">
        <f t="shared" si="49"/>
        <v>58.971120366697519</v>
      </c>
      <c r="W51" s="115">
        <f t="shared" ref="W51" si="50">IF(W5=0,0,W5/W16)</f>
        <v>63.225626979100689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181.17048527660768</v>
      </c>
      <c r="C52" s="116">
        <f t="shared" si="51"/>
        <v>186.56630061536092</v>
      </c>
      <c r="D52" s="116">
        <f t="shared" si="51"/>
        <v>176.52647313757078</v>
      </c>
      <c r="E52" s="116">
        <f t="shared" si="51"/>
        <v>163.37244475185662</v>
      </c>
      <c r="F52" s="116">
        <f t="shared" si="51"/>
        <v>174.5871404160259</v>
      </c>
      <c r="G52" s="116">
        <f t="shared" si="51"/>
        <v>174.4899957336556</v>
      </c>
      <c r="H52" s="116">
        <f t="shared" si="51"/>
        <v>176.21739119591456</v>
      </c>
      <c r="I52" s="116">
        <f t="shared" si="51"/>
        <v>173.66417699022583</v>
      </c>
      <c r="J52" s="116">
        <f t="shared" si="51"/>
        <v>174.80145507294981</v>
      </c>
      <c r="K52" s="116">
        <f t="shared" ref="K52:V52" si="52">IF(K6=0,0,K6/K17)</f>
        <v>163.06565478404369</v>
      </c>
      <c r="L52" s="116">
        <f t="shared" si="52"/>
        <v>147.70757088290276</v>
      </c>
      <c r="M52" s="116">
        <f t="shared" si="52"/>
        <v>145.6932138106402</v>
      </c>
      <c r="N52" s="116">
        <f t="shared" si="52"/>
        <v>132.17621826801113</v>
      </c>
      <c r="O52" s="116">
        <f t="shared" si="52"/>
        <v>132.81347787934638</v>
      </c>
      <c r="P52" s="116">
        <f t="shared" si="52"/>
        <v>142.20355155777318</v>
      </c>
      <c r="Q52" s="116">
        <f t="shared" si="52"/>
        <v>137.79345338864059</v>
      </c>
      <c r="R52" s="116">
        <f t="shared" si="52"/>
        <v>128.4863408397529</v>
      </c>
      <c r="S52" s="116">
        <f t="shared" si="52"/>
        <v>127.93390633145884</v>
      </c>
      <c r="T52" s="116">
        <f t="shared" si="52"/>
        <v>123.97950394027966</v>
      </c>
      <c r="U52" s="116">
        <f t="shared" si="52"/>
        <v>133.19459782821576</v>
      </c>
      <c r="V52" s="116">
        <f t="shared" si="52"/>
        <v>63.988409406962163</v>
      </c>
      <c r="W52" s="116">
        <f t="shared" ref="W52" si="53">IF(W6=0,0,W6/W17)</f>
        <v>72.170891106933425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166.75365543100489</v>
      </c>
      <c r="C53" s="87">
        <f t="shared" si="54"/>
        <v>164.37701704366822</v>
      </c>
      <c r="D53" s="87">
        <f t="shared" si="54"/>
        <v>170.48733911514952</v>
      </c>
      <c r="E53" s="87">
        <f t="shared" si="54"/>
        <v>141.67537311424988</v>
      </c>
      <c r="F53" s="87">
        <f t="shared" si="54"/>
        <v>140.47133235602823</v>
      </c>
      <c r="G53" s="87">
        <f t="shared" si="54"/>
        <v>132.32798808262675</v>
      </c>
      <c r="H53" s="87">
        <f t="shared" si="54"/>
        <v>132.19945872633568</v>
      </c>
      <c r="I53" s="87">
        <f t="shared" si="54"/>
        <v>126.36208470990529</v>
      </c>
      <c r="J53" s="87">
        <f t="shared" si="54"/>
        <v>125.79432998757865</v>
      </c>
      <c r="K53" s="87">
        <f t="shared" ref="K53:V53" si="55">IF(K7=0,0,K7/K18)</f>
        <v>118.88804341769873</v>
      </c>
      <c r="L53" s="87">
        <f t="shared" si="55"/>
        <v>115.53122520875824</v>
      </c>
      <c r="M53" s="87">
        <f t="shared" si="55"/>
        <v>133.63630563079286</v>
      </c>
      <c r="N53" s="87">
        <f t="shared" si="55"/>
        <v>128.35845547350493</v>
      </c>
      <c r="O53" s="87">
        <f t="shared" si="55"/>
        <v>126.33108156244136</v>
      </c>
      <c r="P53" s="87">
        <f t="shared" si="55"/>
        <v>134.2512899708216</v>
      </c>
      <c r="Q53" s="87">
        <f t="shared" si="55"/>
        <v>135.96242017204838</v>
      </c>
      <c r="R53" s="87">
        <f t="shared" si="55"/>
        <v>124.25451986920417</v>
      </c>
      <c r="S53" s="87">
        <f t="shared" si="55"/>
        <v>137.19047332282139</v>
      </c>
      <c r="T53" s="87">
        <f t="shared" si="55"/>
        <v>133.35910577059573</v>
      </c>
      <c r="U53" s="87">
        <f t="shared" si="55"/>
        <v>141.02083451421024</v>
      </c>
      <c r="V53" s="87">
        <f t="shared" si="55"/>
        <v>60.639225118303877</v>
      </c>
      <c r="W53" s="87">
        <f t="shared" ref="W53" si="56">IF(W7=0,0,W7/W18)</f>
        <v>76.406717778213064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184.71836468192907</v>
      </c>
      <c r="C54" s="87">
        <f t="shared" si="57"/>
        <v>191.82247410542692</v>
      </c>
      <c r="D54" s="87">
        <f t="shared" si="57"/>
        <v>178.00887058052831</v>
      </c>
      <c r="E54" s="87">
        <f t="shared" si="57"/>
        <v>169.01410974337526</v>
      </c>
      <c r="F54" s="87">
        <f t="shared" si="57"/>
        <v>182.91690529676288</v>
      </c>
      <c r="G54" s="87">
        <f t="shared" si="57"/>
        <v>183.29588021235085</v>
      </c>
      <c r="H54" s="87">
        <f t="shared" si="57"/>
        <v>186.06005541588439</v>
      </c>
      <c r="I54" s="87">
        <f t="shared" si="57"/>
        <v>182.78874628064088</v>
      </c>
      <c r="J54" s="87">
        <f t="shared" si="57"/>
        <v>180.07671856694091</v>
      </c>
      <c r="K54" s="87">
        <f t="shared" ref="K54:V54" si="58">IF(K8=0,0,K8/K19)</f>
        <v>167.9217472993756</v>
      </c>
      <c r="L54" s="87">
        <f t="shared" si="58"/>
        <v>151.4129886226396</v>
      </c>
      <c r="M54" s="87">
        <f t="shared" si="58"/>
        <v>146.82076328034972</v>
      </c>
      <c r="N54" s="87">
        <f t="shared" si="58"/>
        <v>132.61431487397036</v>
      </c>
      <c r="O54" s="87">
        <f t="shared" si="58"/>
        <v>133.31363792728663</v>
      </c>
      <c r="P54" s="87">
        <f t="shared" si="58"/>
        <v>142.50090919989441</v>
      </c>
      <c r="Q54" s="87">
        <f t="shared" si="58"/>
        <v>137.87111828172297</v>
      </c>
      <c r="R54" s="87">
        <f t="shared" si="58"/>
        <v>128.60328637703009</v>
      </c>
      <c r="S54" s="87">
        <f t="shared" si="58"/>
        <v>127.3563416930284</v>
      </c>
      <c r="T54" s="87">
        <f t="shared" si="58"/>
        <v>123.23611079753361</v>
      </c>
      <c r="U54" s="87">
        <f t="shared" si="58"/>
        <v>132.54949543881963</v>
      </c>
      <c r="V54" s="87">
        <f t="shared" si="58"/>
        <v>64.32981114028793</v>
      </c>
      <c r="W54" s="87">
        <f t="shared" ref="W54" si="59">IF(W8=0,0,W8/W19)</f>
        <v>71.83665431960452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345.87901701323256</v>
      </c>
      <c r="C55" s="117">
        <f t="shared" si="60"/>
        <v>345.87901701323256</v>
      </c>
      <c r="D55" s="117">
        <f t="shared" si="60"/>
        <v>345.87901701323256</v>
      </c>
      <c r="E55" s="117">
        <f t="shared" si="60"/>
        <v>345.87901701323256</v>
      </c>
      <c r="F55" s="117">
        <f t="shared" si="60"/>
        <v>345.87901701323256</v>
      </c>
      <c r="G55" s="117">
        <f t="shared" si="60"/>
        <v>339.41398865784504</v>
      </c>
      <c r="H55" s="117">
        <f t="shared" si="60"/>
        <v>368.56189370828338</v>
      </c>
      <c r="I55" s="117">
        <f t="shared" si="60"/>
        <v>367.82110887172752</v>
      </c>
      <c r="J55" s="117">
        <f t="shared" si="60"/>
        <v>334.9346076458753</v>
      </c>
      <c r="K55" s="117">
        <f t="shared" ref="K55:V55" si="61">IF(K9=0,0,K9/K20)</f>
        <v>344.4187925559022</v>
      </c>
      <c r="L55" s="117">
        <f t="shared" si="61"/>
        <v>345.00212326246356</v>
      </c>
      <c r="M55" s="117">
        <f t="shared" si="61"/>
        <v>345.00040125190588</v>
      </c>
      <c r="N55" s="117">
        <f t="shared" si="61"/>
        <v>345.00231136678821</v>
      </c>
      <c r="O55" s="117">
        <f t="shared" si="61"/>
        <v>345.00231136678821</v>
      </c>
      <c r="P55" s="117">
        <f t="shared" si="61"/>
        <v>345.00231136678821</v>
      </c>
      <c r="Q55" s="117">
        <f t="shared" si="61"/>
        <v>345.00231136678821</v>
      </c>
      <c r="R55" s="117">
        <f t="shared" si="61"/>
        <v>345.00231136678821</v>
      </c>
      <c r="S55" s="117">
        <f t="shared" si="61"/>
        <v>345.00077069310998</v>
      </c>
      <c r="T55" s="117">
        <f t="shared" si="61"/>
        <v>345.00077069310998</v>
      </c>
      <c r="U55" s="117">
        <f t="shared" si="61"/>
        <v>319.35534599196092</v>
      </c>
      <c r="V55" s="117">
        <f t="shared" si="61"/>
        <v>137.25686086884843</v>
      </c>
      <c r="W55" s="117">
        <f t="shared" ref="W55" si="62">IF(W9=0,0,W9/W20)</f>
        <v>156.86967750099976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669.69584518344402</v>
      </c>
      <c r="C56" s="29">
        <f t="shared" si="63"/>
        <v>677.78521201455749</v>
      </c>
      <c r="D56" s="29">
        <f t="shared" si="63"/>
        <v>669.77565338076511</v>
      </c>
      <c r="E56" s="29">
        <f t="shared" si="63"/>
        <v>622.70885162876493</v>
      </c>
      <c r="F56" s="29">
        <f t="shared" si="63"/>
        <v>594.17862776617449</v>
      </c>
      <c r="G56" s="29">
        <f t="shared" si="63"/>
        <v>594.14058375670379</v>
      </c>
      <c r="H56" s="29">
        <f t="shared" si="63"/>
        <v>605.6661718650937</v>
      </c>
      <c r="I56" s="29">
        <f t="shared" si="63"/>
        <v>610.15035750076186</v>
      </c>
      <c r="J56" s="29">
        <f t="shared" si="63"/>
        <v>610.70907890280546</v>
      </c>
      <c r="K56" s="29">
        <f t="shared" ref="K56:V56" si="64">IF(K10=0,0,K10/K21)</f>
        <v>615.22250544217854</v>
      </c>
      <c r="L56" s="29">
        <f t="shared" si="64"/>
        <v>620.8122551003745</v>
      </c>
      <c r="M56" s="29">
        <f t="shared" si="64"/>
        <v>611.86911818761428</v>
      </c>
      <c r="N56" s="29">
        <f t="shared" si="64"/>
        <v>606.18871056110765</v>
      </c>
      <c r="O56" s="29">
        <f t="shared" si="64"/>
        <v>601.34659696973142</v>
      </c>
      <c r="P56" s="29">
        <f t="shared" si="64"/>
        <v>599.94017302709517</v>
      </c>
      <c r="Q56" s="29">
        <f t="shared" si="64"/>
        <v>730.77395961220918</v>
      </c>
      <c r="R56" s="29">
        <f t="shared" si="64"/>
        <v>672.59710035112505</v>
      </c>
      <c r="S56" s="29">
        <f t="shared" si="64"/>
        <v>547.6223235847674</v>
      </c>
      <c r="T56" s="29">
        <f t="shared" si="64"/>
        <v>613.5277241859842</v>
      </c>
      <c r="U56" s="29">
        <f t="shared" si="64"/>
        <v>591.70849427042288</v>
      </c>
      <c r="V56" s="29">
        <f t="shared" si="64"/>
        <v>569.18446601501944</v>
      </c>
      <c r="W56" s="29">
        <f t="shared" ref="W56" si="65">IF(W10=0,0,W10/W21)</f>
        <v>628.9486253825911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794.49075236150293</v>
      </c>
      <c r="C57" s="87">
        <f t="shared" si="66"/>
        <v>790.34481927590411</v>
      </c>
      <c r="D57" s="87">
        <f t="shared" si="66"/>
        <v>790.07596026447675</v>
      </c>
      <c r="E57" s="87">
        <f t="shared" si="66"/>
        <v>794.17274131718898</v>
      </c>
      <c r="F57" s="87">
        <f t="shared" si="66"/>
        <v>767.98415586286535</v>
      </c>
      <c r="G57" s="87">
        <f t="shared" si="66"/>
        <v>761.14722453785521</v>
      </c>
      <c r="H57" s="87">
        <f t="shared" si="66"/>
        <v>751.8083972602027</v>
      </c>
      <c r="I57" s="87">
        <f t="shared" si="66"/>
        <v>742.50125466655163</v>
      </c>
      <c r="J57" s="87">
        <f t="shared" si="66"/>
        <v>707.30634190870524</v>
      </c>
      <c r="K57" s="87">
        <f t="shared" ref="K57:V57" si="67">IF(K11=0,0,K11/K22)</f>
        <v>748.63022631889282</v>
      </c>
      <c r="L57" s="87">
        <f t="shared" si="67"/>
        <v>743.10453063124476</v>
      </c>
      <c r="M57" s="87">
        <f t="shared" si="67"/>
        <v>805.65679460405033</v>
      </c>
      <c r="N57" s="87">
        <f t="shared" si="67"/>
        <v>832.95064435388031</v>
      </c>
      <c r="O57" s="87">
        <f t="shared" si="67"/>
        <v>830.86111840490582</v>
      </c>
      <c r="P57" s="87">
        <f t="shared" si="67"/>
        <v>844.55822974387081</v>
      </c>
      <c r="Q57" s="87">
        <f t="shared" si="67"/>
        <v>832.7807349594957</v>
      </c>
      <c r="R57" s="87">
        <f t="shared" si="67"/>
        <v>853.66150780265946</v>
      </c>
      <c r="S57" s="87">
        <f t="shared" si="67"/>
        <v>892.95363004543503</v>
      </c>
      <c r="T57" s="87">
        <f t="shared" si="67"/>
        <v>899.81014476744383</v>
      </c>
      <c r="U57" s="87">
        <f t="shared" si="67"/>
        <v>902.75948612980426</v>
      </c>
      <c r="V57" s="87">
        <f t="shared" si="67"/>
        <v>800.97110192670937</v>
      </c>
      <c r="W57" s="87">
        <f t="shared" ref="W57" si="68">IF(W11=0,0,W11/W22)</f>
        <v>869.57210318834325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664.48380053676976</v>
      </c>
      <c r="C58" s="88">
        <f t="shared" si="69"/>
        <v>673.92934199290994</v>
      </c>
      <c r="D58" s="88">
        <f t="shared" si="69"/>
        <v>665.65805236518304</v>
      </c>
      <c r="E58" s="88">
        <f t="shared" si="69"/>
        <v>616.60773064602802</v>
      </c>
      <c r="F58" s="88">
        <f t="shared" si="69"/>
        <v>587.4037094146048</v>
      </c>
      <c r="G58" s="88">
        <f t="shared" si="69"/>
        <v>590.09038622576031</v>
      </c>
      <c r="H58" s="88">
        <f t="shared" si="69"/>
        <v>589.78678080428836</v>
      </c>
      <c r="I58" s="88">
        <f t="shared" si="69"/>
        <v>592.25101009081368</v>
      </c>
      <c r="J58" s="88">
        <f t="shared" si="69"/>
        <v>595.87086577684829</v>
      </c>
      <c r="K58" s="88">
        <f t="shared" ref="K58:V58" si="70">IF(K12=0,0,K12/K23)</f>
        <v>600.56696669713938</v>
      </c>
      <c r="L58" s="88">
        <f t="shared" si="70"/>
        <v>609.06716460449445</v>
      </c>
      <c r="M58" s="88">
        <f t="shared" si="70"/>
        <v>603.78235381112563</v>
      </c>
      <c r="N58" s="88">
        <f t="shared" si="70"/>
        <v>597.42715994599337</v>
      </c>
      <c r="O58" s="88">
        <f t="shared" si="70"/>
        <v>595.25755789888501</v>
      </c>
      <c r="P58" s="88">
        <f t="shared" si="70"/>
        <v>596.78515206199722</v>
      </c>
      <c r="Q58" s="88">
        <f t="shared" si="70"/>
        <v>728.84467396041737</v>
      </c>
      <c r="R58" s="88">
        <f t="shared" si="70"/>
        <v>670.61059001555725</v>
      </c>
      <c r="S58" s="88">
        <f t="shared" si="70"/>
        <v>540.90723006181054</v>
      </c>
      <c r="T58" s="88">
        <f t="shared" si="70"/>
        <v>605.63928898028553</v>
      </c>
      <c r="U58" s="88">
        <f t="shared" si="70"/>
        <v>583.44770747511143</v>
      </c>
      <c r="V58" s="88">
        <f t="shared" si="70"/>
        <v>561.22261352388796</v>
      </c>
      <c r="W58" s="88">
        <f t="shared" ref="W58" si="71">IF(W12=0,0,W12/W23)</f>
        <v>622.32201464703007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343.96455042709971</v>
      </c>
      <c r="C61" s="29">
        <f t="shared" ref="C61" si="73">IF(C26=0,0,(C62*C27+C64*C29+C65*C30+C66*C31)/(C27+C29+C30+C31))</f>
        <v>346.02609409991743</v>
      </c>
      <c r="D61" s="29">
        <f t="shared" ref="D61" si="74">IF(D26=0,0,(D62*D27+D64*D29+D65*D30+D66*D31)/(D27+D29+D30+D31))</f>
        <v>346.40541057868103</v>
      </c>
      <c r="E61" s="29">
        <f t="shared" ref="E61" si="75">IF(E26=0,0,(E62*E27+E64*E29+E65*E30+E66*E31)/(E27+E29+E30+E31))</f>
        <v>346.00712116423426</v>
      </c>
      <c r="F61" s="29">
        <f t="shared" ref="F61" si="76">IF(F26=0,0,(F62*F27+F64*F29+F65*F30+F66*F31)/(F27+F29+F30+F31))</f>
        <v>347.93693384442878</v>
      </c>
      <c r="G61" s="29">
        <f t="shared" ref="G61" si="77">IF(G26=0,0,(G62*G27+G64*G29+G65*G30+G66*G31)/(G27+G29+G30+G31))</f>
        <v>348.43788225212455</v>
      </c>
      <c r="H61" s="29">
        <f t="shared" ref="H61" si="78">IF(H26=0,0,(H62*H27+H64*H29+H65*H30+H66*H31)/(H27+H29+H30+H31))</f>
        <v>349.30427052848682</v>
      </c>
      <c r="I61" s="29">
        <f t="shared" ref="I61" si="79">IF(I26=0,0,(I62*I27+I64*I29+I65*I30+I66*I31)/(I27+I29+I30+I31))</f>
        <v>350.31097590983438</v>
      </c>
      <c r="J61" s="29">
        <f t="shared" ref="J61" si="80">IF(J26=0,0,(J62*J27+J64*J29+J65*J30+J66*J31)/(J27+J29+J30+J31))</f>
        <v>350.54479880546143</v>
      </c>
      <c r="K61" s="29">
        <f t="shared" ref="K61" si="81">IF(K26=0,0,(K62*K27+K64*K29+K65*K30+K66*K31)/(K27+K29+K30+K31))</f>
        <v>352.41381819916194</v>
      </c>
      <c r="L61" s="29">
        <f t="shared" ref="L61" si="82">IF(L26=0,0,(L62*L27+L64*L29+L65*L30+L66*L31)/(L27+L29+L30+L31))</f>
        <v>352.73552597135767</v>
      </c>
      <c r="M61" s="29">
        <f t="shared" ref="M61" si="83">IF(M26=0,0,(M62*M27+M64*M29+M65*M30+M66*M31)/(M27+M29+M30+M31))</f>
        <v>353.40297480473862</v>
      </c>
      <c r="N61" s="29">
        <f t="shared" ref="N61" si="84">IF(N26=0,0,(N62*N27+N64*N29+N65*N30+N66*N31)/(N27+N29+N30+N31))</f>
        <v>350.86759269661951</v>
      </c>
      <c r="O61" s="29">
        <f t="shared" ref="O61" si="85">IF(O26=0,0,(O62*O27+O64*O29+O65*O30+O66*O31)/(O27+O29+O30+O31))</f>
        <v>349.60078168550501</v>
      </c>
      <c r="P61" s="29">
        <f t="shared" ref="P61" si="86">IF(P26=0,0,(P62*P27+P64*P29+P65*P30+P66*P31)/(P27+P29+P30+P31))</f>
        <v>349.9745752841315</v>
      </c>
      <c r="Q61" s="29">
        <f t="shared" ref="Q61" si="87">IF(Q26=0,0,(Q62*Q27+Q64*Q29+Q65*Q30+Q66*Q31)/(Q27+Q29+Q30+Q31))</f>
        <v>348.94826067124814</v>
      </c>
      <c r="R61" s="29">
        <f t="shared" ref="R61" si="88">IF(R26=0,0,(R62*R27+R64*R29+R65*R30+R66*R31)/(R27+R29+R30+R31))</f>
        <v>347.9039100630514</v>
      </c>
      <c r="S61" s="29">
        <f t="shared" ref="S61" si="89">IF(S26=0,0,(S62*S27+S64*S29+S65*S30+S66*S31)/(S27+S29+S30+S31))</f>
        <v>347.88502454512843</v>
      </c>
      <c r="T61" s="29">
        <f t="shared" ref="T61" si="90">IF(T26=0,0,(T62*T27+T64*T29+T65*T30+T66*T31)/(T27+T29+T30+T31))</f>
        <v>346.18320810290942</v>
      </c>
      <c r="U61" s="29">
        <f t="shared" ref="U61" si="91">IF(U26=0,0,(U62*U27+U64*U29+U65*U30+U66*U31)/(U27+U29+U30+U31))</f>
        <v>348.12649342917865</v>
      </c>
      <c r="V61" s="29">
        <f t="shared" ref="V61" si="92">IF(V26=0,0,(V62*V27+V64*V29+V65*V30+V66*V31)/(V27+V29+V30+V31))</f>
        <v>348.14279868708246</v>
      </c>
      <c r="W61" s="29">
        <f t="shared" ref="W61" si="93">IF(W26=0,0,(W62*W27+W64*W29+W65*W30+W66*W31)/(W27+W29+W30+W31))</f>
        <v>350.09257190025585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2099.9999999999995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2099.9999999999995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0.49605323762679454</v>
      </c>
      <c r="C72" s="30">
        <f t="shared" ref="C72:J72" si="138">IF(C50=0,0,C50/C61)</f>
        <v>0.51092757102947739</v>
      </c>
      <c r="D72" s="30">
        <f t="shared" si="138"/>
        <v>0.48847121214011963</v>
      </c>
      <c r="E72" s="30">
        <f t="shared" si="138"/>
        <v>0.46144926326475966</v>
      </c>
      <c r="F72" s="30">
        <f t="shared" si="138"/>
        <v>0.48083566512998999</v>
      </c>
      <c r="G72" s="30">
        <f t="shared" si="138"/>
        <v>0.48111583566523203</v>
      </c>
      <c r="H72" s="30">
        <f t="shared" si="138"/>
        <v>0.48525908334205448</v>
      </c>
      <c r="I72" s="30">
        <f t="shared" si="138"/>
        <v>0.47353746751691866</v>
      </c>
      <c r="J72" s="30">
        <f t="shared" si="138"/>
        <v>0.47085295118619958</v>
      </c>
      <c r="K72" s="30">
        <f t="shared" ref="K72:V72" si="139">IF(K50=0,0,K50/K61)</f>
        <v>0.45359211082244683</v>
      </c>
      <c r="L72" s="30">
        <f t="shared" si="139"/>
        <v>0.42647154877783028</v>
      </c>
      <c r="M72" s="30">
        <f t="shared" si="139"/>
        <v>0.42521629843654152</v>
      </c>
      <c r="N72" s="30">
        <f t="shared" si="139"/>
        <v>0.4071733196951115</v>
      </c>
      <c r="O72" s="30">
        <f t="shared" si="139"/>
        <v>0.40847670362646055</v>
      </c>
      <c r="P72" s="30">
        <f t="shared" si="139"/>
        <v>0.42745805816005744</v>
      </c>
      <c r="Q72" s="30">
        <f t="shared" si="139"/>
        <v>0.41805032543754644</v>
      </c>
      <c r="R72" s="30">
        <f t="shared" si="139"/>
        <v>0.39792045161813505</v>
      </c>
      <c r="S72" s="30">
        <f t="shared" si="139"/>
        <v>0.39501249938181499</v>
      </c>
      <c r="T72" s="30">
        <f t="shared" si="139"/>
        <v>0.38712305583086781</v>
      </c>
      <c r="U72" s="30">
        <f t="shared" si="139"/>
        <v>0.40123621780418711</v>
      </c>
      <c r="V72" s="30">
        <f t="shared" si="139"/>
        <v>0.20125993354461791</v>
      </c>
      <c r="W72" s="30">
        <f t="shared" ref="W72" si="140">IF(W50=0,0,W50/W61)</f>
        <v>0.2233453600797618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0.22203317793001864</v>
      </c>
      <c r="C73" s="118">
        <f t="shared" si="141"/>
        <v>0.22127414267717563</v>
      </c>
      <c r="D73" s="118">
        <f t="shared" si="141"/>
        <v>0.22127414267717563</v>
      </c>
      <c r="E73" s="118">
        <f t="shared" si="141"/>
        <v>0.21872679366707884</v>
      </c>
      <c r="F73" s="118">
        <f t="shared" si="141"/>
        <v>0.21245785368224568</v>
      </c>
      <c r="G73" s="118">
        <f t="shared" si="141"/>
        <v>0.21089405490331295</v>
      </c>
      <c r="H73" s="118">
        <f t="shared" si="141"/>
        <v>0.21008977866977666</v>
      </c>
      <c r="I73" s="118">
        <f t="shared" si="141"/>
        <v>0.20811633623732106</v>
      </c>
      <c r="J73" s="118">
        <f t="shared" si="141"/>
        <v>0.20805300760050358</v>
      </c>
      <c r="K73" s="118">
        <f t="shared" ref="K73:V73" si="142">IF(K51=0,0,K51/K62)</f>
        <v>0.20654606964903752</v>
      </c>
      <c r="L73" s="118">
        <f t="shared" si="142"/>
        <v>0.20533786050126987</v>
      </c>
      <c r="M73" s="118">
        <f t="shared" si="142"/>
        <v>0.20596245826656009</v>
      </c>
      <c r="N73" s="118">
        <f t="shared" si="142"/>
        <v>0.20687273577695053</v>
      </c>
      <c r="O73" s="118">
        <f t="shared" si="142"/>
        <v>0.20657837231523662</v>
      </c>
      <c r="P73" s="118">
        <f t="shared" si="142"/>
        <v>0.20794607875088419</v>
      </c>
      <c r="Q73" s="118">
        <f t="shared" si="142"/>
        <v>0.20925708616377772</v>
      </c>
      <c r="R73" s="118">
        <f t="shared" si="142"/>
        <v>0.20806886857334472</v>
      </c>
      <c r="S73" s="118">
        <f t="shared" si="142"/>
        <v>0.20880325484221646</v>
      </c>
      <c r="T73" s="118">
        <f t="shared" si="142"/>
        <v>0.2094429601004148</v>
      </c>
      <c r="U73" s="118">
        <f t="shared" si="142"/>
        <v>0.20973524890316789</v>
      </c>
      <c r="V73" s="118">
        <f t="shared" si="142"/>
        <v>0.14742780091674379</v>
      </c>
      <c r="W73" s="118">
        <f t="shared" ref="W73" si="143">IF(W51=0,0,W51/W62)</f>
        <v>0.15806406744775173</v>
      </c>
      <c r="DA73" s="203"/>
    </row>
    <row r="74" spans="1:105" ht="11.45" customHeight="1" x14ac:dyDescent="0.25">
      <c r="A74" s="109" t="s">
        <v>24</v>
      </c>
      <c r="B74" s="119">
        <f t="shared" si="141"/>
        <v>0.56615776648939897</v>
      </c>
      <c r="C74" s="119">
        <f t="shared" si="141"/>
        <v>0.58301968942300286</v>
      </c>
      <c r="D74" s="119">
        <f t="shared" si="141"/>
        <v>0.55164522855490872</v>
      </c>
      <c r="E74" s="119">
        <f t="shared" si="141"/>
        <v>0.51053888984955187</v>
      </c>
      <c r="F74" s="119">
        <f t="shared" si="141"/>
        <v>0.54558481380008095</v>
      </c>
      <c r="G74" s="119">
        <f t="shared" si="141"/>
        <v>0.54528123666767381</v>
      </c>
      <c r="H74" s="119">
        <f t="shared" si="141"/>
        <v>0.55067934748723302</v>
      </c>
      <c r="I74" s="119">
        <f t="shared" si="141"/>
        <v>0.54270055309445575</v>
      </c>
      <c r="J74" s="119">
        <f t="shared" si="141"/>
        <v>0.54625454710296817</v>
      </c>
      <c r="K74" s="119">
        <f t="shared" ref="K74:V74" si="144">IF(K52=0,0,K52/K63)</f>
        <v>0.50958017120013654</v>
      </c>
      <c r="L74" s="119">
        <f t="shared" si="144"/>
        <v>0.46158615900907113</v>
      </c>
      <c r="M74" s="119">
        <f t="shared" si="144"/>
        <v>0.45529129315825062</v>
      </c>
      <c r="N74" s="119">
        <f t="shared" si="144"/>
        <v>0.41305068208753476</v>
      </c>
      <c r="O74" s="119">
        <f t="shared" si="144"/>
        <v>0.41504211837295746</v>
      </c>
      <c r="P74" s="119">
        <f t="shared" si="144"/>
        <v>0.44438609861804113</v>
      </c>
      <c r="Q74" s="119">
        <f t="shared" si="144"/>
        <v>0.43060454183950192</v>
      </c>
      <c r="R74" s="119">
        <f t="shared" si="144"/>
        <v>0.4015198151242278</v>
      </c>
      <c r="S74" s="119">
        <f t="shared" si="144"/>
        <v>0.3997934572858089</v>
      </c>
      <c r="T74" s="119">
        <f t="shared" si="144"/>
        <v>0.38743594981337393</v>
      </c>
      <c r="U74" s="119">
        <f t="shared" si="144"/>
        <v>0.41623311821317427</v>
      </c>
      <c r="V74" s="119">
        <f t="shared" si="144"/>
        <v>0.19996377939675675</v>
      </c>
      <c r="W74" s="119">
        <f t="shared" ref="W74" si="145">IF(W52=0,0,W52/W63)</f>
        <v>0.22553403470916694</v>
      </c>
      <c r="DA74" s="176"/>
    </row>
    <row r="75" spans="1:105" ht="11.45" customHeight="1" x14ac:dyDescent="0.25">
      <c r="A75" s="111" t="s">
        <v>92</v>
      </c>
      <c r="B75" s="120">
        <f t="shared" si="141"/>
        <v>0.52110517322189032</v>
      </c>
      <c r="C75" s="120">
        <f t="shared" si="141"/>
        <v>0.51367817826146323</v>
      </c>
      <c r="D75" s="120">
        <f t="shared" si="141"/>
        <v>0.53277293473484222</v>
      </c>
      <c r="E75" s="120">
        <f t="shared" si="141"/>
        <v>0.44273554098203088</v>
      </c>
      <c r="F75" s="120">
        <f t="shared" si="141"/>
        <v>0.43897291361258822</v>
      </c>
      <c r="G75" s="120">
        <f t="shared" si="141"/>
        <v>0.4135249627582086</v>
      </c>
      <c r="H75" s="120">
        <f t="shared" si="141"/>
        <v>0.413123308519799</v>
      </c>
      <c r="I75" s="120">
        <f t="shared" si="141"/>
        <v>0.39488151471845401</v>
      </c>
      <c r="J75" s="120">
        <f t="shared" si="141"/>
        <v>0.39310728121118327</v>
      </c>
      <c r="K75" s="120">
        <f t="shared" ref="K75:V75" si="146">IF(K53=0,0,K53/K64)</f>
        <v>0.37152513568030854</v>
      </c>
      <c r="L75" s="120">
        <f t="shared" si="146"/>
        <v>0.36103507877736951</v>
      </c>
      <c r="M75" s="120">
        <f t="shared" si="146"/>
        <v>0.41761345509622771</v>
      </c>
      <c r="N75" s="120">
        <f t="shared" si="146"/>
        <v>0.4011201733547029</v>
      </c>
      <c r="O75" s="120">
        <f t="shared" si="146"/>
        <v>0.39478462988262925</v>
      </c>
      <c r="P75" s="120">
        <f t="shared" si="146"/>
        <v>0.4195352811588175</v>
      </c>
      <c r="Q75" s="120">
        <f t="shared" si="146"/>
        <v>0.42488256303765121</v>
      </c>
      <c r="R75" s="120">
        <f t="shared" si="146"/>
        <v>0.38829537459126306</v>
      </c>
      <c r="S75" s="120">
        <f t="shared" si="146"/>
        <v>0.42872022913381685</v>
      </c>
      <c r="T75" s="120">
        <f t="shared" si="146"/>
        <v>0.41674720553311168</v>
      </c>
      <c r="U75" s="120">
        <f t="shared" si="146"/>
        <v>0.44069010785690699</v>
      </c>
      <c r="V75" s="120">
        <f t="shared" si="146"/>
        <v>0.18949757849469961</v>
      </c>
      <c r="W75" s="120">
        <f t="shared" ref="W75" si="147">IF(W53=0,0,W53/W64)</f>
        <v>0.23877099305691582</v>
      </c>
      <c r="DA75" s="171"/>
    </row>
    <row r="76" spans="1:105" ht="11.45" customHeight="1" x14ac:dyDescent="0.25">
      <c r="A76" s="111" t="s">
        <v>93</v>
      </c>
      <c r="B76" s="120">
        <f t="shared" si="141"/>
        <v>0.57724488963102838</v>
      </c>
      <c r="C76" s="120">
        <f t="shared" si="141"/>
        <v>0.59944523157945917</v>
      </c>
      <c r="D76" s="120">
        <f t="shared" si="141"/>
        <v>0.55627772056415092</v>
      </c>
      <c r="E76" s="120">
        <f t="shared" si="141"/>
        <v>0.5281690929480477</v>
      </c>
      <c r="F76" s="120">
        <f t="shared" si="141"/>
        <v>0.57161532905238399</v>
      </c>
      <c r="G76" s="120">
        <f t="shared" si="141"/>
        <v>0.57279962566359643</v>
      </c>
      <c r="H76" s="120">
        <f t="shared" si="141"/>
        <v>0.58143767317463868</v>
      </c>
      <c r="I76" s="120">
        <f t="shared" si="141"/>
        <v>0.57121483212700275</v>
      </c>
      <c r="J76" s="120">
        <f t="shared" si="141"/>
        <v>0.56273974552169037</v>
      </c>
      <c r="K76" s="120">
        <f t="shared" ref="K76:V76" si="148">IF(K54=0,0,K54/K65)</f>
        <v>0.52475546031054876</v>
      </c>
      <c r="L76" s="120">
        <f t="shared" si="148"/>
        <v>0.47316558944574877</v>
      </c>
      <c r="M76" s="120">
        <f t="shared" si="148"/>
        <v>0.45881488525109287</v>
      </c>
      <c r="N76" s="120">
        <f t="shared" si="148"/>
        <v>0.41441973398115739</v>
      </c>
      <c r="O76" s="120">
        <f t="shared" si="148"/>
        <v>0.41660511852277071</v>
      </c>
      <c r="P76" s="120">
        <f t="shared" si="148"/>
        <v>0.44531534124967004</v>
      </c>
      <c r="Q76" s="120">
        <f t="shared" si="148"/>
        <v>0.43084724463038426</v>
      </c>
      <c r="R76" s="120">
        <f t="shared" si="148"/>
        <v>0.40188526992821905</v>
      </c>
      <c r="S76" s="120">
        <f t="shared" si="148"/>
        <v>0.39798856779071373</v>
      </c>
      <c r="T76" s="120">
        <f t="shared" si="148"/>
        <v>0.38511284624229253</v>
      </c>
      <c r="U76" s="120">
        <f t="shared" si="148"/>
        <v>0.41421717324631135</v>
      </c>
      <c r="V76" s="120">
        <f t="shared" si="148"/>
        <v>0.20103065981339979</v>
      </c>
      <c r="W76" s="120">
        <f t="shared" ref="W76" si="149">IF(W54=0,0,W54/W65)</f>
        <v>0.22448954474876412</v>
      </c>
      <c r="DA76" s="171"/>
    </row>
    <row r="77" spans="1:105" ht="11.45" customHeight="1" x14ac:dyDescent="0.25">
      <c r="A77" s="112" t="s">
        <v>25</v>
      </c>
      <c r="B77" s="121">
        <f t="shared" si="141"/>
        <v>0.61764110180934384</v>
      </c>
      <c r="C77" s="121">
        <f t="shared" si="141"/>
        <v>0.61764110180934384</v>
      </c>
      <c r="D77" s="121">
        <f t="shared" si="141"/>
        <v>0.61764110180934384</v>
      </c>
      <c r="E77" s="121">
        <f t="shared" si="141"/>
        <v>0.61764110180934384</v>
      </c>
      <c r="F77" s="121">
        <f t="shared" si="141"/>
        <v>0.61764110180934384</v>
      </c>
      <c r="G77" s="121">
        <f t="shared" si="141"/>
        <v>0.60609640831758038</v>
      </c>
      <c r="H77" s="121">
        <f t="shared" si="141"/>
        <v>0.65814623876479172</v>
      </c>
      <c r="I77" s="121">
        <f t="shared" si="141"/>
        <v>0.65682340869951339</v>
      </c>
      <c r="J77" s="121">
        <f t="shared" si="141"/>
        <v>0.59809751365334873</v>
      </c>
      <c r="K77" s="121">
        <f t="shared" ref="K77:V77" si="150">IF(K55=0,0,K55/K66)</f>
        <v>0.61503355813553962</v>
      </c>
      <c r="L77" s="121">
        <f t="shared" si="150"/>
        <v>0.61607522011154203</v>
      </c>
      <c r="M77" s="121">
        <f t="shared" si="150"/>
        <v>0.61607214509268904</v>
      </c>
      <c r="N77" s="121">
        <f t="shared" si="150"/>
        <v>0.61607555601212183</v>
      </c>
      <c r="O77" s="121">
        <f t="shared" si="150"/>
        <v>0.61607555601212183</v>
      </c>
      <c r="P77" s="121">
        <f t="shared" si="150"/>
        <v>0.61607555601212183</v>
      </c>
      <c r="Q77" s="121">
        <f t="shared" si="150"/>
        <v>0.61607555601212183</v>
      </c>
      <c r="R77" s="121">
        <f t="shared" si="150"/>
        <v>0.61607555601212183</v>
      </c>
      <c r="S77" s="121">
        <f t="shared" si="150"/>
        <v>0.61607280480912496</v>
      </c>
      <c r="T77" s="121">
        <f t="shared" si="150"/>
        <v>0.61607280480912496</v>
      </c>
      <c r="U77" s="121">
        <f t="shared" si="150"/>
        <v>0.57027740355707301</v>
      </c>
      <c r="V77" s="121">
        <f t="shared" si="150"/>
        <v>0.24510153726580078</v>
      </c>
      <c r="W77" s="121">
        <f t="shared" ref="W77" si="151">IF(W55=0,0,W55/W66)</f>
        <v>0.28012442410892813</v>
      </c>
      <c r="DA77" s="204"/>
    </row>
    <row r="78" spans="1:105" ht="11.45" customHeight="1" x14ac:dyDescent="0.25">
      <c r="A78" s="27" t="s">
        <v>34</v>
      </c>
      <c r="B78" s="30">
        <f t="shared" si="141"/>
        <v>0.31890278342068762</v>
      </c>
      <c r="C78" s="30">
        <f t="shared" si="141"/>
        <v>0.32275486286407501</v>
      </c>
      <c r="D78" s="30">
        <f t="shared" si="141"/>
        <v>0.31894078732417391</v>
      </c>
      <c r="E78" s="30">
        <f t="shared" si="141"/>
        <v>0.29652802458512617</v>
      </c>
      <c r="F78" s="30">
        <f t="shared" si="141"/>
        <v>0.28294220369817841</v>
      </c>
      <c r="G78" s="30">
        <f t="shared" si="141"/>
        <v>0.28292408750319226</v>
      </c>
      <c r="H78" s="30">
        <f t="shared" si="141"/>
        <v>0.28841246279290178</v>
      </c>
      <c r="I78" s="30">
        <f t="shared" si="141"/>
        <v>0.29054778928607705</v>
      </c>
      <c r="J78" s="30">
        <f t="shared" si="141"/>
        <v>0.29081384709657404</v>
      </c>
      <c r="K78" s="30">
        <f t="shared" ref="K78:V78" si="152">IF(K56=0,0,K56/K67)</f>
        <v>0.29296309782960889</v>
      </c>
      <c r="L78" s="30">
        <f t="shared" si="152"/>
        <v>0.29562488338113069</v>
      </c>
      <c r="M78" s="30">
        <f t="shared" si="152"/>
        <v>0.29136624675600681</v>
      </c>
      <c r="N78" s="30">
        <f t="shared" si="152"/>
        <v>0.28866129074338459</v>
      </c>
      <c r="O78" s="30">
        <f t="shared" si="152"/>
        <v>0.28635552236653883</v>
      </c>
      <c r="P78" s="30">
        <f t="shared" si="152"/>
        <v>0.28568579667956912</v>
      </c>
      <c r="Q78" s="30">
        <f t="shared" si="152"/>
        <v>0.34798759981533772</v>
      </c>
      <c r="R78" s="30">
        <f t="shared" si="152"/>
        <v>0.32028433350053581</v>
      </c>
      <c r="S78" s="30">
        <f t="shared" si="152"/>
        <v>0.26077253504036541</v>
      </c>
      <c r="T78" s="30">
        <f t="shared" si="152"/>
        <v>0.29215605913618298</v>
      </c>
      <c r="U78" s="30">
        <f t="shared" si="152"/>
        <v>0.28176594965258234</v>
      </c>
      <c r="V78" s="30">
        <f t="shared" si="152"/>
        <v>0.27104022191191401</v>
      </c>
      <c r="W78" s="30">
        <f t="shared" ref="W78" si="153">IF(W56=0,0,W56/W67)</f>
        <v>0.2994993454202815</v>
      </c>
      <c r="DA78" s="173"/>
    </row>
    <row r="79" spans="1:105" ht="11.45" customHeight="1" x14ac:dyDescent="0.25">
      <c r="A79" s="83" t="s">
        <v>92</v>
      </c>
      <c r="B79" s="120">
        <f t="shared" si="141"/>
        <v>0.37832892969595378</v>
      </c>
      <c r="C79" s="120">
        <f t="shared" si="141"/>
        <v>0.37635467584566862</v>
      </c>
      <c r="D79" s="120">
        <f t="shared" si="141"/>
        <v>0.37622664774498893</v>
      </c>
      <c r="E79" s="120">
        <f t="shared" si="141"/>
        <v>0.37817749586532806</v>
      </c>
      <c r="F79" s="120">
        <f t="shared" si="141"/>
        <v>0.36570674088707872</v>
      </c>
      <c r="G79" s="120">
        <f t="shared" si="141"/>
        <v>0.36245105930374055</v>
      </c>
      <c r="H79" s="120">
        <f t="shared" si="141"/>
        <v>0.35800399869533461</v>
      </c>
      <c r="I79" s="120">
        <f t="shared" si="141"/>
        <v>0.35357202603169124</v>
      </c>
      <c r="J79" s="120">
        <f t="shared" si="141"/>
        <v>0.33681254376605013</v>
      </c>
      <c r="K79" s="120">
        <f t="shared" ref="K79:V79" si="154">IF(K57=0,0,K57/K68)</f>
        <v>0.35649058396137756</v>
      </c>
      <c r="L79" s="120">
        <f t="shared" si="154"/>
        <v>0.35385930030059276</v>
      </c>
      <c r="M79" s="120">
        <f t="shared" si="154"/>
        <v>0.3836460926685954</v>
      </c>
      <c r="N79" s="120">
        <f t="shared" si="154"/>
        <v>0.39664316397803823</v>
      </c>
      <c r="O79" s="120">
        <f t="shared" si="154"/>
        <v>0.39564815162138373</v>
      </c>
      <c r="P79" s="120">
        <f t="shared" si="154"/>
        <v>0.40217058559231944</v>
      </c>
      <c r="Q79" s="120">
        <f t="shared" si="154"/>
        <v>0.39656225474261703</v>
      </c>
      <c r="R79" s="120">
        <f t="shared" si="154"/>
        <v>0.40650547990602831</v>
      </c>
      <c r="S79" s="120">
        <f t="shared" si="154"/>
        <v>0.42521601430735001</v>
      </c>
      <c r="T79" s="120">
        <f t="shared" si="154"/>
        <v>0.42848102131783039</v>
      </c>
      <c r="U79" s="120">
        <f t="shared" si="154"/>
        <v>0.42988546958562107</v>
      </c>
      <c r="V79" s="120">
        <f t="shared" si="154"/>
        <v>0.38141481044129016</v>
      </c>
      <c r="W79" s="120">
        <f t="shared" ref="W79" si="155">IF(W57=0,0,W57/W68)</f>
        <v>0.4140819538992111</v>
      </c>
      <c r="DA79" s="171"/>
    </row>
    <row r="80" spans="1:105" ht="11.45" customHeight="1" x14ac:dyDescent="0.25">
      <c r="A80" s="85" t="s">
        <v>93</v>
      </c>
      <c r="B80" s="122">
        <f t="shared" si="141"/>
        <v>0.31642085739846182</v>
      </c>
      <c r="C80" s="122">
        <f t="shared" si="141"/>
        <v>0.32091873428233808</v>
      </c>
      <c r="D80" s="122">
        <f t="shared" si="141"/>
        <v>0.31698002493580146</v>
      </c>
      <c r="E80" s="122">
        <f t="shared" si="141"/>
        <v>0.29362272887906093</v>
      </c>
      <c r="F80" s="122">
        <f t="shared" si="141"/>
        <v>0.27971605210219275</v>
      </c>
      <c r="G80" s="122">
        <f t="shared" si="141"/>
        <v>0.28099542201226679</v>
      </c>
      <c r="H80" s="122">
        <f t="shared" si="141"/>
        <v>0.28085084800204208</v>
      </c>
      <c r="I80" s="122">
        <f t="shared" si="141"/>
        <v>0.28202429051943506</v>
      </c>
      <c r="J80" s="122">
        <f t="shared" si="141"/>
        <v>0.28374803132230869</v>
      </c>
      <c r="K80" s="122">
        <f t="shared" ref="K80:V80" si="156">IF(K58=0,0,K58/K69)</f>
        <v>0.28598426985578068</v>
      </c>
      <c r="L80" s="122">
        <f t="shared" si="156"/>
        <v>0.29003198314499734</v>
      </c>
      <c r="M80" s="122">
        <f t="shared" si="156"/>
        <v>0.28751540657672647</v>
      </c>
      <c r="N80" s="122">
        <f t="shared" si="156"/>
        <v>0.28448912378380636</v>
      </c>
      <c r="O80" s="122">
        <f t="shared" si="156"/>
        <v>0.28345597995185001</v>
      </c>
      <c r="P80" s="122">
        <f t="shared" si="156"/>
        <v>0.28418340574380818</v>
      </c>
      <c r="Q80" s="122">
        <f t="shared" si="156"/>
        <v>0.34706889236210353</v>
      </c>
      <c r="R80" s="122">
        <f t="shared" si="156"/>
        <v>0.31933837619788441</v>
      </c>
      <c r="S80" s="122">
        <f t="shared" si="156"/>
        <v>0.25757487145800501</v>
      </c>
      <c r="T80" s="122">
        <f t="shared" si="156"/>
        <v>0.28839966141918361</v>
      </c>
      <c r="U80" s="122">
        <f t="shared" si="156"/>
        <v>0.27783224165481496</v>
      </c>
      <c r="V80" s="122">
        <f t="shared" si="156"/>
        <v>0.26724886358280381</v>
      </c>
      <c r="W80" s="122">
        <f t="shared" ref="W80" si="157">IF(W58=0,0,W58/W69)</f>
        <v>0.29634381649858577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148076.52401480958</v>
      </c>
      <c r="C82" s="54">
        <f t="shared" si="158"/>
        <v>149129.97721505948</v>
      </c>
      <c r="D82" s="54">
        <f t="shared" si="158"/>
        <v>148803.76500412449</v>
      </c>
      <c r="E82" s="54">
        <f t="shared" si="158"/>
        <v>149045.13153804111</v>
      </c>
      <c r="F82" s="54">
        <f t="shared" si="158"/>
        <v>149226.55396098204</v>
      </c>
      <c r="G82" s="54">
        <f t="shared" si="158"/>
        <v>149515.83730467514</v>
      </c>
      <c r="H82" s="54">
        <f t="shared" si="158"/>
        <v>149566.48060154353</v>
      </c>
      <c r="I82" s="54">
        <f t="shared" si="158"/>
        <v>148818.42864846211</v>
      </c>
      <c r="J82" s="54">
        <f t="shared" si="158"/>
        <v>144919.83914988389</v>
      </c>
      <c r="K82" s="54">
        <f t="shared" ref="K82:V82" si="159">IF(K14=0,0,K14/K25*1000000)</f>
        <v>144835.61731745943</v>
      </c>
      <c r="L82" s="54">
        <f t="shared" si="159"/>
        <v>148797.88719680245</v>
      </c>
      <c r="M82" s="54">
        <f t="shared" si="159"/>
        <v>149193.73674100393</v>
      </c>
      <c r="N82" s="54">
        <f t="shared" si="159"/>
        <v>150259.15657453946</v>
      </c>
      <c r="O82" s="54">
        <f t="shared" si="159"/>
        <v>149527.15383078426</v>
      </c>
      <c r="P82" s="54">
        <f t="shared" si="159"/>
        <v>147754.16182196591</v>
      </c>
      <c r="Q82" s="54">
        <f t="shared" si="159"/>
        <v>149182.21488380097</v>
      </c>
      <c r="R82" s="54">
        <f t="shared" si="159"/>
        <v>150000.13226577998</v>
      </c>
      <c r="S82" s="54">
        <f t="shared" si="159"/>
        <v>150258.69839865141</v>
      </c>
      <c r="T82" s="54">
        <f t="shared" si="159"/>
        <v>149604.70056134666</v>
      </c>
      <c r="U82" s="54">
        <f t="shared" si="159"/>
        <v>150190.54328810523</v>
      </c>
      <c r="V82" s="54">
        <f t="shared" si="159"/>
        <v>134192.80055043972</v>
      </c>
      <c r="W82" s="54">
        <f t="shared" ref="W82" si="160">IF(W14=0,0,W14/W25*1000000)</f>
        <v>150523.70840745742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144134.33974043417</v>
      </c>
      <c r="C83" s="28">
        <f t="shared" si="161"/>
        <v>145415.41566137638</v>
      </c>
      <c r="D83" s="28">
        <f t="shared" si="161"/>
        <v>145306.2975144489</v>
      </c>
      <c r="E83" s="28">
        <f t="shared" si="161"/>
        <v>145516.37451895428</v>
      </c>
      <c r="F83" s="28">
        <f t="shared" si="161"/>
        <v>145063.96416395676</v>
      </c>
      <c r="G83" s="28">
        <f t="shared" si="161"/>
        <v>145431.10706074588</v>
      </c>
      <c r="H83" s="28">
        <f t="shared" si="161"/>
        <v>145184.04157582839</v>
      </c>
      <c r="I83" s="28">
        <f t="shared" si="161"/>
        <v>144325.05385629553</v>
      </c>
      <c r="J83" s="28">
        <f t="shared" si="161"/>
        <v>140501.66647183432</v>
      </c>
      <c r="K83" s="28">
        <f t="shared" ref="K83:V83" si="162">IF(K15=0,0,K15/K26*1000000)</f>
        <v>143533.03761127061</v>
      </c>
      <c r="L83" s="28">
        <f t="shared" si="162"/>
        <v>146375.25252028825</v>
      </c>
      <c r="M83" s="28">
        <f t="shared" si="162"/>
        <v>146897.45238618727</v>
      </c>
      <c r="N83" s="28">
        <f t="shared" si="162"/>
        <v>147980.02717074056</v>
      </c>
      <c r="O83" s="28">
        <f t="shared" si="162"/>
        <v>147536.6311750146</v>
      </c>
      <c r="P83" s="28">
        <f t="shared" si="162"/>
        <v>145501.08689465778</v>
      </c>
      <c r="Q83" s="28">
        <f t="shared" si="162"/>
        <v>148094.73957472414</v>
      </c>
      <c r="R83" s="28">
        <f t="shared" si="162"/>
        <v>148045.39308849475</v>
      </c>
      <c r="S83" s="28">
        <f t="shared" si="162"/>
        <v>147660.50743866983</v>
      </c>
      <c r="T83" s="28">
        <f t="shared" si="162"/>
        <v>147828.70952660695</v>
      </c>
      <c r="U83" s="28">
        <f t="shared" si="162"/>
        <v>147970.78887857153</v>
      </c>
      <c r="V83" s="28">
        <f t="shared" si="162"/>
        <v>130615.73285916637</v>
      </c>
      <c r="W83" s="28">
        <f t="shared" ref="W83" si="163">IF(W15=0,0,W15/W26*1000000)</f>
        <v>147842.62909858304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109999.99991495021</v>
      </c>
      <c r="C84" s="108">
        <f t="shared" si="161"/>
        <v>109999.99988571524</v>
      </c>
      <c r="D84" s="108">
        <f t="shared" si="161"/>
        <v>109999.99988105903</v>
      </c>
      <c r="E84" s="108">
        <f t="shared" si="161"/>
        <v>109999.99983704102</v>
      </c>
      <c r="F84" s="108">
        <f t="shared" si="161"/>
        <v>109999.99997017442</v>
      </c>
      <c r="G84" s="108">
        <f t="shared" si="161"/>
        <v>109999.99993720022</v>
      </c>
      <c r="H84" s="108">
        <f t="shared" si="161"/>
        <v>109999.9998602035</v>
      </c>
      <c r="I84" s="108">
        <f t="shared" si="161"/>
        <v>109999.99996997787</v>
      </c>
      <c r="J84" s="108">
        <f t="shared" si="161"/>
        <v>109999.9999172425</v>
      </c>
      <c r="K84" s="108">
        <f t="shared" ref="K84:V84" si="164">IF(K16=0,0,K16/K27*1000000)</f>
        <v>109999.99987024475</v>
      </c>
      <c r="L84" s="108">
        <f t="shared" si="164"/>
        <v>109999.99994218194</v>
      </c>
      <c r="M84" s="108">
        <f t="shared" si="164"/>
        <v>109999.99998096822</v>
      </c>
      <c r="N84" s="108">
        <f t="shared" si="164"/>
        <v>108904.23622463939</v>
      </c>
      <c r="O84" s="108">
        <f t="shared" si="164"/>
        <v>109999.99986812122</v>
      </c>
      <c r="P84" s="108">
        <f t="shared" si="164"/>
        <v>109999.99997916866</v>
      </c>
      <c r="Q84" s="108">
        <f t="shared" si="164"/>
        <v>109999.99990882073</v>
      </c>
      <c r="R84" s="108">
        <f t="shared" si="164"/>
        <v>109999.99990294133</v>
      </c>
      <c r="S84" s="108">
        <f t="shared" si="164"/>
        <v>109999.99991562226</v>
      </c>
      <c r="T84" s="108">
        <f t="shared" si="164"/>
        <v>109999.99995558258</v>
      </c>
      <c r="U84" s="108">
        <f t="shared" si="164"/>
        <v>109999.99986915066</v>
      </c>
      <c r="V84" s="108">
        <f t="shared" si="164"/>
        <v>97041.029868679412</v>
      </c>
      <c r="W84" s="108">
        <f t="shared" ref="W84" si="165">IF(W16=0,0,W16/W27*1000000)</f>
        <v>109999.99987350531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149999.99991309483</v>
      </c>
      <c r="C85" s="110">
        <f t="shared" si="161"/>
        <v>149999.99996356847</v>
      </c>
      <c r="D85" s="110">
        <f t="shared" si="161"/>
        <v>149999.99992975281</v>
      </c>
      <c r="E85" s="110">
        <f t="shared" si="161"/>
        <v>149999.99993508076</v>
      </c>
      <c r="F85" s="110">
        <f t="shared" si="161"/>
        <v>149482.78385275407</v>
      </c>
      <c r="G85" s="110">
        <f t="shared" si="161"/>
        <v>149187.46610203941</v>
      </c>
      <c r="H85" s="110">
        <f t="shared" si="161"/>
        <v>149999.99988494595</v>
      </c>
      <c r="I85" s="110">
        <f t="shared" si="161"/>
        <v>149999.99987312753</v>
      </c>
      <c r="J85" s="110">
        <f t="shared" si="161"/>
        <v>143404.24387396232</v>
      </c>
      <c r="K85" s="110">
        <f t="shared" ref="K85:V85" si="166">IF(K17=0,0,K17/K28*1000000)</f>
        <v>146334.41180968378</v>
      </c>
      <c r="L85" s="110">
        <f t="shared" si="166"/>
        <v>149999.99992756915</v>
      </c>
      <c r="M85" s="110">
        <f t="shared" si="166"/>
        <v>149999.99988956065</v>
      </c>
      <c r="N85" s="110">
        <f t="shared" si="166"/>
        <v>149999.9998790063</v>
      </c>
      <c r="O85" s="110">
        <f t="shared" si="166"/>
        <v>148781.4243639163</v>
      </c>
      <c r="P85" s="110">
        <f t="shared" si="166"/>
        <v>145905.64554583194</v>
      </c>
      <c r="Q85" s="110">
        <f t="shared" si="166"/>
        <v>149860.88265592084</v>
      </c>
      <c r="R85" s="110">
        <f t="shared" si="166"/>
        <v>149999.99988433783</v>
      </c>
      <c r="S85" s="110">
        <f t="shared" si="166"/>
        <v>149999.99997066331</v>
      </c>
      <c r="T85" s="110">
        <f t="shared" si="166"/>
        <v>149999.99995889238</v>
      </c>
      <c r="U85" s="110">
        <f t="shared" si="166"/>
        <v>149999.99992319703</v>
      </c>
      <c r="V85" s="110">
        <f t="shared" si="166"/>
        <v>130761.45570773975</v>
      </c>
      <c r="W85" s="110">
        <f t="shared" ref="W85" si="167">IF(W17=0,0,W17/W28*1000000)</f>
        <v>149999.99993868353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149999.99973290728</v>
      </c>
      <c r="C86" s="84">
        <f t="shared" si="161"/>
        <v>149999.99999735053</v>
      </c>
      <c r="D86" s="84">
        <f t="shared" si="161"/>
        <v>149999.99994592849</v>
      </c>
      <c r="E86" s="84">
        <f t="shared" si="161"/>
        <v>149999.99989446145</v>
      </c>
      <c r="F86" s="84">
        <f t="shared" si="161"/>
        <v>147401.14885152661</v>
      </c>
      <c r="G86" s="84">
        <f t="shared" si="161"/>
        <v>145415.99570718021</v>
      </c>
      <c r="H86" s="84">
        <f t="shared" si="161"/>
        <v>149999.99958993748</v>
      </c>
      <c r="I86" s="84">
        <f t="shared" si="161"/>
        <v>149999.99961164795</v>
      </c>
      <c r="J86" s="84">
        <f t="shared" si="161"/>
        <v>101813.69864327401</v>
      </c>
      <c r="K86" s="84">
        <f t="shared" ref="K86:V86" si="168">IF(K18=0,0,K18/K29*1000000)</f>
        <v>119719.1215287524</v>
      </c>
      <c r="L86" s="84">
        <f t="shared" si="168"/>
        <v>149999.99970346468</v>
      </c>
      <c r="M86" s="84">
        <f t="shared" si="168"/>
        <v>149999.99910226077</v>
      </c>
      <c r="N86" s="84">
        <f t="shared" si="168"/>
        <v>149999.99919438487</v>
      </c>
      <c r="O86" s="84">
        <f t="shared" si="168"/>
        <v>134608.47594258568</v>
      </c>
      <c r="P86" s="84">
        <f t="shared" si="168"/>
        <v>84339.92741688338</v>
      </c>
      <c r="Q86" s="84">
        <f t="shared" si="168"/>
        <v>146654.20019048083</v>
      </c>
      <c r="R86" s="84">
        <f t="shared" si="168"/>
        <v>149999.9977632144</v>
      </c>
      <c r="S86" s="84">
        <f t="shared" si="168"/>
        <v>149999.99985227687</v>
      </c>
      <c r="T86" s="84">
        <f t="shared" si="168"/>
        <v>149999.99972337284</v>
      </c>
      <c r="U86" s="84">
        <f t="shared" si="168"/>
        <v>149999.99986938949</v>
      </c>
      <c r="V86" s="84">
        <f t="shared" si="168"/>
        <v>149999.99909963773</v>
      </c>
      <c r="W86" s="84">
        <f t="shared" ref="W86" si="169">IF(W18=0,0,W18/W29*1000000)</f>
        <v>149999.9996589151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149999.99995743771</v>
      </c>
      <c r="C87" s="84">
        <f t="shared" si="161"/>
        <v>149999.99995556622</v>
      </c>
      <c r="D87" s="84">
        <f t="shared" si="161"/>
        <v>149999.99992578226</v>
      </c>
      <c r="E87" s="84">
        <f t="shared" si="161"/>
        <v>149999.99994564257</v>
      </c>
      <c r="F87" s="84">
        <f t="shared" si="161"/>
        <v>149999.99997372751</v>
      </c>
      <c r="G87" s="84">
        <f t="shared" si="161"/>
        <v>149999.99998761082</v>
      </c>
      <c r="H87" s="84">
        <f t="shared" si="161"/>
        <v>149999.99995091156</v>
      </c>
      <c r="I87" s="84">
        <f t="shared" si="161"/>
        <v>149999.99992356691</v>
      </c>
      <c r="J87" s="84">
        <f t="shared" si="161"/>
        <v>149999.99999458791</v>
      </c>
      <c r="K87" s="84">
        <f t="shared" ref="K87:V87" si="170">IF(K19=0,0,K19/K30*1000000)</f>
        <v>149999.99994696697</v>
      </c>
      <c r="L87" s="84">
        <f t="shared" si="170"/>
        <v>149999.99995337694</v>
      </c>
      <c r="M87" s="84">
        <f t="shared" si="170"/>
        <v>149999.99996318811</v>
      </c>
      <c r="N87" s="84">
        <f t="shared" si="170"/>
        <v>149999.99995756813</v>
      </c>
      <c r="O87" s="84">
        <f t="shared" si="170"/>
        <v>149999.99996231205</v>
      </c>
      <c r="P87" s="84">
        <f t="shared" si="170"/>
        <v>149999.99995259327</v>
      </c>
      <c r="Q87" s="84">
        <f t="shared" si="170"/>
        <v>149999.99998663855</v>
      </c>
      <c r="R87" s="84">
        <f t="shared" si="170"/>
        <v>149999.99994295463</v>
      </c>
      <c r="S87" s="84">
        <f t="shared" si="170"/>
        <v>149999.99997805007</v>
      </c>
      <c r="T87" s="84">
        <f t="shared" si="170"/>
        <v>149999.99997755879</v>
      </c>
      <c r="U87" s="84">
        <f t="shared" si="170"/>
        <v>149999.99992763228</v>
      </c>
      <c r="V87" s="84">
        <f t="shared" si="170"/>
        <v>129073.94632704483</v>
      </c>
      <c r="W87" s="84">
        <f t="shared" ref="W87" si="171">IF(W19=0,0,W19/W30*1000000)</f>
        <v>149999.99996075922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449999.9996835526</v>
      </c>
      <c r="C88" s="113">
        <f t="shared" si="161"/>
        <v>449999.99286207737</v>
      </c>
      <c r="D88" s="113">
        <f t="shared" si="161"/>
        <v>449999.99360537546</v>
      </c>
      <c r="E88" s="113">
        <f t="shared" si="161"/>
        <v>449999.99861239467</v>
      </c>
      <c r="F88" s="113">
        <f t="shared" si="161"/>
        <v>449999.99806054513</v>
      </c>
      <c r="G88" s="113">
        <f t="shared" si="161"/>
        <v>449999.99982986768</v>
      </c>
      <c r="H88" s="113">
        <f t="shared" si="161"/>
        <v>449999.99915850325</v>
      </c>
      <c r="I88" s="113">
        <f t="shared" si="161"/>
        <v>449999.99166707031</v>
      </c>
      <c r="J88" s="113">
        <f t="shared" si="161"/>
        <v>449999.9977364185</v>
      </c>
      <c r="K88" s="113">
        <f t="shared" ref="K88:V88" si="172">IF(K20=0,0,K20/K31*1000000)</f>
        <v>449999.99869684182</v>
      </c>
      <c r="L88" s="113">
        <f t="shared" si="172"/>
        <v>449999.99974520848</v>
      </c>
      <c r="M88" s="113">
        <f t="shared" si="172"/>
        <v>449999.99611788796</v>
      </c>
      <c r="N88" s="113">
        <f t="shared" si="172"/>
        <v>449999.99786198576</v>
      </c>
      <c r="O88" s="113">
        <f t="shared" si="172"/>
        <v>449999.99786198576</v>
      </c>
      <c r="P88" s="113">
        <f t="shared" si="172"/>
        <v>449999.99786198576</v>
      </c>
      <c r="Q88" s="113">
        <f t="shared" si="172"/>
        <v>449999.99786198576</v>
      </c>
      <c r="R88" s="113">
        <f t="shared" si="172"/>
        <v>449999.99786198576</v>
      </c>
      <c r="S88" s="113">
        <f t="shared" si="172"/>
        <v>449999.99881505943</v>
      </c>
      <c r="T88" s="113">
        <f t="shared" si="172"/>
        <v>449999.99881505943</v>
      </c>
      <c r="U88" s="113">
        <f t="shared" si="172"/>
        <v>449999.99643352529</v>
      </c>
      <c r="V88" s="113">
        <f t="shared" si="172"/>
        <v>427750.00578307669</v>
      </c>
      <c r="W88" s="113">
        <f t="shared" ref="W88" si="173">IF(W20=0,0,W20/W31*1000000)</f>
        <v>449999.99837993307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199999.99820108729</v>
      </c>
      <c r="C89" s="28">
        <f t="shared" si="161"/>
        <v>198972.11076274602</v>
      </c>
      <c r="D89" s="28">
        <f t="shared" si="161"/>
        <v>199541.51786381571</v>
      </c>
      <c r="E89" s="28">
        <f t="shared" si="161"/>
        <v>199999.99874615797</v>
      </c>
      <c r="F89" s="28">
        <f t="shared" si="161"/>
        <v>199999.99888606655</v>
      </c>
      <c r="G89" s="28">
        <f t="shared" si="161"/>
        <v>198153.33115148664</v>
      </c>
      <c r="H89" s="28">
        <f t="shared" si="161"/>
        <v>199999.99885053476</v>
      </c>
      <c r="I89" s="28">
        <f t="shared" si="161"/>
        <v>199999.99938439447</v>
      </c>
      <c r="J89" s="28">
        <f t="shared" si="161"/>
        <v>199999.99876636057</v>
      </c>
      <c r="K89" s="28">
        <f t="shared" ref="K89:V89" si="174">IF(K21=0,0,K21/K32*1000000)</f>
        <v>162393.19233730921</v>
      </c>
      <c r="L89" s="28">
        <f t="shared" si="174"/>
        <v>185780.20467331953</v>
      </c>
      <c r="M89" s="28">
        <f t="shared" si="174"/>
        <v>180514.55043539117</v>
      </c>
      <c r="N89" s="28">
        <f t="shared" si="174"/>
        <v>181483.62348622049</v>
      </c>
      <c r="O89" s="28">
        <f t="shared" si="174"/>
        <v>179096.90954783093</v>
      </c>
      <c r="P89" s="28">
        <f t="shared" si="174"/>
        <v>178967.17110547051</v>
      </c>
      <c r="Q89" s="28">
        <f t="shared" si="174"/>
        <v>166590.97439831612</v>
      </c>
      <c r="R89" s="28">
        <f t="shared" si="174"/>
        <v>180072.83688506673</v>
      </c>
      <c r="S89" s="28">
        <f t="shared" si="174"/>
        <v>185497.4407704536</v>
      </c>
      <c r="T89" s="28">
        <f t="shared" si="174"/>
        <v>177347.46681276354</v>
      </c>
      <c r="U89" s="28">
        <f t="shared" si="174"/>
        <v>185754.57776218071</v>
      </c>
      <c r="V89" s="28">
        <f t="shared" si="174"/>
        <v>187906.72973582149</v>
      </c>
      <c r="W89" s="28">
        <f t="shared" ref="W89" si="175">IF(W21=0,0,W21/W32*1000000)</f>
        <v>188348.15352844459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199999.9813728618</v>
      </c>
      <c r="C90" s="84">
        <f t="shared" si="161"/>
        <v>173014.81257940893</v>
      </c>
      <c r="D90" s="84">
        <f t="shared" si="161"/>
        <v>187016.06388805181</v>
      </c>
      <c r="E90" s="84">
        <f t="shared" si="161"/>
        <v>199999.9730079649</v>
      </c>
      <c r="F90" s="84">
        <f t="shared" si="161"/>
        <v>199999.98294164156</v>
      </c>
      <c r="G90" s="84">
        <f t="shared" si="161"/>
        <v>143513.5046078999</v>
      </c>
      <c r="H90" s="84">
        <f t="shared" si="161"/>
        <v>199999.99720923381</v>
      </c>
      <c r="I90" s="84">
        <f t="shared" si="161"/>
        <v>199999.99793504685</v>
      </c>
      <c r="J90" s="84">
        <f t="shared" si="161"/>
        <v>199999.99487617824</v>
      </c>
      <c r="K90" s="84">
        <f t="shared" ref="K90:V90" si="176">IF(K22=0,0,K22/K33*1000000)</f>
        <v>113150.38275263079</v>
      </c>
      <c r="L90" s="84">
        <f t="shared" si="176"/>
        <v>106752.01193099684</v>
      </c>
      <c r="M90" s="84">
        <f t="shared" si="176"/>
        <v>54132.109396551183</v>
      </c>
      <c r="N90" s="84">
        <f t="shared" si="176"/>
        <v>53437.945932355688</v>
      </c>
      <c r="O90" s="84">
        <f t="shared" si="176"/>
        <v>36258.052645655378</v>
      </c>
      <c r="P90" s="84">
        <f t="shared" si="176"/>
        <v>19551.379472543242</v>
      </c>
      <c r="Q90" s="84">
        <f t="shared" si="176"/>
        <v>24899.787577180396</v>
      </c>
      <c r="R90" s="84">
        <f t="shared" si="176"/>
        <v>17861.705864456886</v>
      </c>
      <c r="S90" s="84">
        <f t="shared" si="176"/>
        <v>39225.073291252476</v>
      </c>
      <c r="T90" s="84">
        <f t="shared" si="176"/>
        <v>50371.466390580907</v>
      </c>
      <c r="U90" s="84">
        <f t="shared" si="176"/>
        <v>50449.646110926958</v>
      </c>
      <c r="V90" s="84">
        <f t="shared" si="176"/>
        <v>68074.618651135257</v>
      </c>
      <c r="W90" s="84">
        <f t="shared" ref="W90" si="177">IF(W22=0,0,W22/W33*1000000)</f>
        <v>60455.357021777483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199999.99890391622</v>
      </c>
      <c r="C91" s="86">
        <f t="shared" si="161"/>
        <v>199999.99926976673</v>
      </c>
      <c r="D91" s="86">
        <f t="shared" si="161"/>
        <v>199999.99964782744</v>
      </c>
      <c r="E91" s="86">
        <f t="shared" si="161"/>
        <v>199999.99966198846</v>
      </c>
      <c r="F91" s="86">
        <f t="shared" si="161"/>
        <v>199999.99950757832</v>
      </c>
      <c r="G91" s="86">
        <f t="shared" si="161"/>
        <v>199999.99990747563</v>
      </c>
      <c r="H91" s="86">
        <f t="shared" si="161"/>
        <v>199999.9990288738</v>
      </c>
      <c r="I91" s="86">
        <f t="shared" si="161"/>
        <v>199999.99958040653</v>
      </c>
      <c r="J91" s="86">
        <f t="shared" si="161"/>
        <v>199999.99936392778</v>
      </c>
      <c r="K91" s="86">
        <f t="shared" ref="K91:V91" si="178">IF(K23=0,0,K23/K34*1000000)</f>
        <v>170546.82730196245</v>
      </c>
      <c r="L91" s="86">
        <f t="shared" si="178"/>
        <v>199999.99905037339</v>
      </c>
      <c r="M91" s="86">
        <f t="shared" si="178"/>
        <v>199999.99939832059</v>
      </c>
      <c r="N91" s="86">
        <f t="shared" si="178"/>
        <v>199999.99911086599</v>
      </c>
      <c r="O91" s="86">
        <f t="shared" si="178"/>
        <v>199999.99885528264</v>
      </c>
      <c r="P91" s="86">
        <f t="shared" si="178"/>
        <v>199999.99890287529</v>
      </c>
      <c r="Q91" s="86">
        <f t="shared" si="178"/>
        <v>186682.78018918284</v>
      </c>
      <c r="R91" s="86">
        <f t="shared" si="178"/>
        <v>199999.99899120614</v>
      </c>
      <c r="S91" s="86">
        <f t="shared" si="178"/>
        <v>199999.99959326698</v>
      </c>
      <c r="T91" s="86">
        <f t="shared" si="178"/>
        <v>190585.48760521758</v>
      </c>
      <c r="U91" s="86">
        <f t="shared" si="178"/>
        <v>199999.99980083754</v>
      </c>
      <c r="V91" s="86">
        <f t="shared" si="178"/>
        <v>199999.99896364036</v>
      </c>
      <c r="W91" s="86">
        <f t="shared" ref="W91" si="179">IF(W23=0,0,W23/W34*1000000)</f>
        <v>199999.99988120032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24592882.638809707</v>
      </c>
      <c r="C94" s="28">
        <f t="shared" si="180"/>
        <v>25708612.516172212</v>
      </c>
      <c r="D94" s="28">
        <f t="shared" si="180"/>
        <v>24587143.58341071</v>
      </c>
      <c r="E94" s="28">
        <f t="shared" si="180"/>
        <v>23233832.814850736</v>
      </c>
      <c r="F94" s="28">
        <f t="shared" si="180"/>
        <v>24269271.851995461</v>
      </c>
      <c r="G94" s="28">
        <f t="shared" si="180"/>
        <v>24379922.869270641</v>
      </c>
      <c r="H94" s="28">
        <f t="shared" si="180"/>
        <v>24609140.78013058</v>
      </c>
      <c r="I94" s="28">
        <f t="shared" si="180"/>
        <v>23941415.302097905</v>
      </c>
      <c r="J94" s="28">
        <f t="shared" si="180"/>
        <v>23190510.011790637</v>
      </c>
      <c r="K94" s="28">
        <f t="shared" ref="K94:V94" si="181">IF(K4=0,0,K4/K26*1000000)</f>
        <v>22944061.454528738</v>
      </c>
      <c r="L94" s="28">
        <f t="shared" si="181"/>
        <v>22019473.108039167</v>
      </c>
      <c r="M94" s="28">
        <f t="shared" si="181"/>
        <v>22074677.49873247</v>
      </c>
      <c r="N94" s="28">
        <f t="shared" si="181"/>
        <v>21141007.132042535</v>
      </c>
      <c r="O94" s="28">
        <f t="shared" si="181"/>
        <v>21068787.866069693</v>
      </c>
      <c r="P94" s="28">
        <f t="shared" si="181"/>
        <v>21766882.916693874</v>
      </c>
      <c r="Q94" s="28">
        <f t="shared" si="181"/>
        <v>21603754.635725785</v>
      </c>
      <c r="R94" s="28">
        <f t="shared" si="181"/>
        <v>20495120.12183908</v>
      </c>
      <c r="S94" s="28">
        <f t="shared" si="181"/>
        <v>20291349.384821083</v>
      </c>
      <c r="T94" s="28">
        <f t="shared" si="181"/>
        <v>19811338.62824697</v>
      </c>
      <c r="U94" s="28">
        <f t="shared" si="181"/>
        <v>20668701.478649788</v>
      </c>
      <c r="V94" s="28">
        <f t="shared" si="181"/>
        <v>9151878.2238657679</v>
      </c>
      <c r="W94" s="28">
        <f t="shared" ref="W94" si="182">IF(W4=0,0,W4/W26*1000000)</f>
        <v>11560044.551834427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9769459.8213672731</v>
      </c>
      <c r="C95" s="108">
        <f t="shared" si="180"/>
        <v>9736062.2676804215</v>
      </c>
      <c r="D95" s="108">
        <f t="shared" si="180"/>
        <v>9736062.2672683038</v>
      </c>
      <c r="E95" s="108">
        <f t="shared" si="180"/>
        <v>9623978.9070940726</v>
      </c>
      <c r="F95" s="108">
        <f t="shared" si="180"/>
        <v>9348145.5594841372</v>
      </c>
      <c r="G95" s="108">
        <f t="shared" si="180"/>
        <v>9279338.4104481321</v>
      </c>
      <c r="H95" s="108">
        <f t="shared" si="180"/>
        <v>9243950.2497222461</v>
      </c>
      <c r="I95" s="108">
        <f t="shared" si="180"/>
        <v>9157118.7919428889</v>
      </c>
      <c r="J95" s="108">
        <f t="shared" si="180"/>
        <v>9154332.3275349792</v>
      </c>
      <c r="K95" s="108">
        <f t="shared" ref="K95:V95" si="183">IF(K5=0,0,K5/K27*1000000)</f>
        <v>9088027.0538374763</v>
      </c>
      <c r="L95" s="108">
        <f t="shared" si="183"/>
        <v>9034865.8573069796</v>
      </c>
      <c r="M95" s="108">
        <f t="shared" si="183"/>
        <v>9062348.1621607114</v>
      </c>
      <c r="N95" s="108">
        <f t="shared" si="183"/>
        <v>9011726.9141961727</v>
      </c>
      <c r="O95" s="108">
        <f t="shared" si="183"/>
        <v>9089448.3709730897</v>
      </c>
      <c r="P95" s="108">
        <f t="shared" si="183"/>
        <v>9149627.4633061849</v>
      </c>
      <c r="Q95" s="108">
        <f t="shared" si="183"/>
        <v>9207311.783574257</v>
      </c>
      <c r="R95" s="108">
        <f t="shared" si="183"/>
        <v>9155030.2091492135</v>
      </c>
      <c r="S95" s="108">
        <f t="shared" si="183"/>
        <v>9187343.206010187</v>
      </c>
      <c r="T95" s="108">
        <f t="shared" si="183"/>
        <v>9215490.240697084</v>
      </c>
      <c r="U95" s="108">
        <f t="shared" si="183"/>
        <v>9228350.9407618996</v>
      </c>
      <c r="V95" s="108">
        <f t="shared" si="183"/>
        <v>5722618.2528941827</v>
      </c>
      <c r="W95" s="108">
        <f t="shared" ref="W95" si="184">IF(W5=0,0,W5/W27*1000000)</f>
        <v>6954818.95970337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27175572.775746502</v>
      </c>
      <c r="C96" s="110">
        <f t="shared" si="180"/>
        <v>27984945.08550724</v>
      </c>
      <c r="D96" s="110">
        <f t="shared" si="180"/>
        <v>26478970.958235126</v>
      </c>
      <c r="E96" s="110">
        <f t="shared" si="180"/>
        <v>24505866.702172481</v>
      </c>
      <c r="F96" s="110">
        <f t="shared" si="180"/>
        <v>26097771.774279222</v>
      </c>
      <c r="G96" s="110">
        <f t="shared" si="180"/>
        <v>26031720.323659748</v>
      </c>
      <c r="H96" s="110">
        <f t="shared" si="180"/>
        <v>26432608.659112658</v>
      </c>
      <c r="I96" s="110">
        <f t="shared" si="180"/>
        <v>26049626.526500676</v>
      </c>
      <c r="J96" s="110">
        <f t="shared" si="180"/>
        <v>25067270.492804762</v>
      </c>
      <c r="K96" s="110">
        <f t="shared" ref="K96:V96" si="185">IF(K6=0,0,K6/K28*1000000)</f>
        <v>23862116.679183982</v>
      </c>
      <c r="L96" s="110">
        <f t="shared" si="185"/>
        <v>22156135.621736828</v>
      </c>
      <c r="M96" s="110">
        <f t="shared" si="185"/>
        <v>21853982.055505767</v>
      </c>
      <c r="N96" s="110">
        <f t="shared" si="185"/>
        <v>19826432.724209182</v>
      </c>
      <c r="O96" s="110">
        <f t="shared" si="185"/>
        <v>19760178.413614646</v>
      </c>
      <c r="P96" s="110">
        <f t="shared" si="185"/>
        <v>20748300.988946889</v>
      </c>
      <c r="Q96" s="110">
        <f t="shared" si="185"/>
        <v>20649848.549029164</v>
      </c>
      <c r="R96" s="110">
        <f t="shared" si="185"/>
        <v>19272951.111101925</v>
      </c>
      <c r="S96" s="110">
        <f t="shared" si="185"/>
        <v>19190085.945965674</v>
      </c>
      <c r="T96" s="110">
        <f t="shared" si="185"/>
        <v>18596925.585945446</v>
      </c>
      <c r="U96" s="110">
        <f t="shared" si="185"/>
        <v>19979189.664002623</v>
      </c>
      <c r="V96" s="110">
        <f t="shared" si="185"/>
        <v>8367217.5624772012</v>
      </c>
      <c r="W96" s="110">
        <f t="shared" ref="W96" si="186">IF(W6=0,0,W6/W28*1000000)</f>
        <v>10825633.661614748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25013048.270112049</v>
      </c>
      <c r="C97" s="84">
        <f t="shared" si="180"/>
        <v>24656552.556114722</v>
      </c>
      <c r="D97" s="84">
        <f t="shared" si="180"/>
        <v>25573100.858053919</v>
      </c>
      <c r="E97" s="84">
        <f t="shared" si="180"/>
        <v>21251305.952185269</v>
      </c>
      <c r="F97" s="84">
        <f t="shared" si="180"/>
        <v>20705635.769983184</v>
      </c>
      <c r="G97" s="84">
        <f t="shared" si="180"/>
        <v>19242606.146963045</v>
      </c>
      <c r="H97" s="84">
        <f t="shared" si="180"/>
        <v>19829918.754740309</v>
      </c>
      <c r="I97" s="84">
        <f t="shared" si="180"/>
        <v>18954312.657412816</v>
      </c>
      <c r="J97" s="84">
        <f t="shared" si="180"/>
        <v>12807586.004387898</v>
      </c>
      <c r="K97" s="84">
        <f t="shared" ref="K97:V97" si="187">IF(K7=0,0,K7/K29*1000000)</f>
        <v>14233172.118239064</v>
      </c>
      <c r="L97" s="84">
        <f t="shared" si="187"/>
        <v>17329683.747054648</v>
      </c>
      <c r="M97" s="84">
        <f t="shared" si="187"/>
        <v>20045445.724648379</v>
      </c>
      <c r="N97" s="84">
        <f t="shared" si="187"/>
        <v>19253768.217618223</v>
      </c>
      <c r="O97" s="84">
        <f t="shared" si="187"/>
        <v>17005234.353298716</v>
      </c>
      <c r="P97" s="84">
        <f t="shared" si="187"/>
        <v>11322744.051762057</v>
      </c>
      <c r="Q97" s="84">
        <f t="shared" si="187"/>
        <v>19939459.986293852</v>
      </c>
      <c r="R97" s="84">
        <f t="shared" si="187"/>
        <v>18638177.702449907</v>
      </c>
      <c r="S97" s="84">
        <f t="shared" si="187"/>
        <v>20578570.978157006</v>
      </c>
      <c r="T97" s="84">
        <f t="shared" si="187"/>
        <v>20003865.828698609</v>
      </c>
      <c r="U97" s="84">
        <f t="shared" si="187"/>
        <v>21153125.158712734</v>
      </c>
      <c r="V97" s="84">
        <f t="shared" si="187"/>
        <v>9095883.7131483126</v>
      </c>
      <c r="W97" s="84">
        <f t="shared" ref="W97" si="188">IF(W7=0,0,W7/W29*1000000)</f>
        <v>11461007.64067078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27707754.694427323</v>
      </c>
      <c r="C98" s="84">
        <f t="shared" si="180"/>
        <v>28773371.10729064</v>
      </c>
      <c r="D98" s="84">
        <f t="shared" si="180"/>
        <v>26701330.573867831</v>
      </c>
      <c r="E98" s="84">
        <f t="shared" si="180"/>
        <v>25352116.452319112</v>
      </c>
      <c r="F98" s="84">
        <f t="shared" si="180"/>
        <v>27437535.789708752</v>
      </c>
      <c r="G98" s="84">
        <f t="shared" si="180"/>
        <v>27494382.029581744</v>
      </c>
      <c r="H98" s="84">
        <f t="shared" si="180"/>
        <v>27909008.303249262</v>
      </c>
      <c r="I98" s="84">
        <f t="shared" si="180"/>
        <v>27418311.928125024</v>
      </c>
      <c r="J98" s="84">
        <f t="shared" si="180"/>
        <v>27011507.784066543</v>
      </c>
      <c r="K98" s="84">
        <f t="shared" ref="K98:V98" si="189">IF(K8=0,0,K8/K30*1000000)</f>
        <v>25188262.086000938</v>
      </c>
      <c r="L98" s="84">
        <f t="shared" si="189"/>
        <v>22711948.286336608</v>
      </c>
      <c r="M98" s="84">
        <f t="shared" si="189"/>
        <v>22023114.486647706</v>
      </c>
      <c r="N98" s="84">
        <f t="shared" si="189"/>
        <v>19892147.225468479</v>
      </c>
      <c r="O98" s="84">
        <f t="shared" si="189"/>
        <v>19997045.684068676</v>
      </c>
      <c r="P98" s="84">
        <f t="shared" si="189"/>
        <v>21375136.373228662</v>
      </c>
      <c r="Q98" s="84">
        <f t="shared" si="189"/>
        <v>20680667.740416285</v>
      </c>
      <c r="R98" s="84">
        <f t="shared" si="189"/>
        <v>19290492.949218296</v>
      </c>
      <c r="S98" s="84">
        <f t="shared" si="189"/>
        <v>19103451.251158796</v>
      </c>
      <c r="T98" s="84">
        <f t="shared" si="189"/>
        <v>18485416.616864476</v>
      </c>
      <c r="U98" s="84">
        <f t="shared" si="189"/>
        <v>19882424.306230638</v>
      </c>
      <c r="V98" s="84">
        <f t="shared" si="189"/>
        <v>8303302.5903504556</v>
      </c>
      <c r="W98" s="84">
        <f t="shared" ref="W98" si="190">IF(W8=0,0,W8/W30*1000000)</f>
        <v>10775498.145121749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155645557.54650211</v>
      </c>
      <c r="C99" s="113">
        <f t="shared" si="180"/>
        <v>155645555.18709698</v>
      </c>
      <c r="D99" s="113">
        <f t="shared" si="180"/>
        <v>155645555.44418821</v>
      </c>
      <c r="E99" s="113">
        <f t="shared" si="180"/>
        <v>155645557.17601106</v>
      </c>
      <c r="F99" s="113">
        <f t="shared" si="180"/>
        <v>155645556.98513791</v>
      </c>
      <c r="G99" s="113">
        <f t="shared" si="180"/>
        <v>152736294.83828497</v>
      </c>
      <c r="H99" s="113">
        <f t="shared" si="180"/>
        <v>165852851.85858387</v>
      </c>
      <c r="I99" s="113">
        <f t="shared" si="180"/>
        <v>165519495.92724997</v>
      </c>
      <c r="J99" s="113">
        <f t="shared" si="180"/>
        <v>150720572.68249211</v>
      </c>
      <c r="K99" s="113">
        <f t="shared" ref="K99:V99" si="191">IF(K9=0,0,K9/K31*1000000)</f>
        <v>154988456.20132384</v>
      </c>
      <c r="L99" s="113">
        <f t="shared" si="191"/>
        <v>155250955.38020498</v>
      </c>
      <c r="M99" s="113">
        <f t="shared" si="191"/>
        <v>155250179.22402745</v>
      </c>
      <c r="N99" s="113">
        <f t="shared" si="191"/>
        <v>155251039.37743485</v>
      </c>
      <c r="O99" s="113">
        <f t="shared" si="191"/>
        <v>155251039.37743485</v>
      </c>
      <c r="P99" s="113">
        <f t="shared" si="191"/>
        <v>155251039.37743485</v>
      </c>
      <c r="Q99" s="113">
        <f t="shared" si="191"/>
        <v>155251039.37743485</v>
      </c>
      <c r="R99" s="113">
        <f t="shared" si="191"/>
        <v>155251039.37743485</v>
      </c>
      <c r="S99" s="113">
        <f t="shared" si="191"/>
        <v>155250346.40309408</v>
      </c>
      <c r="T99" s="113">
        <f t="shared" si="191"/>
        <v>155250346.40309408</v>
      </c>
      <c r="U99" s="113">
        <f t="shared" si="191"/>
        <v>143709904.55740964</v>
      </c>
      <c r="V99" s="113">
        <f t="shared" si="191"/>
        <v>58711623.030416876</v>
      </c>
      <c r="W99" s="113">
        <f t="shared" ref="W99" si="192">IF(W9=0,0,W9/W31*1000000)</f>
        <v>70591354.621310517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133939167.83196442</v>
      </c>
      <c r="C100" s="28">
        <f t="shared" si="180"/>
        <v>134860354.27831182</v>
      </c>
      <c r="D100" s="28">
        <f t="shared" si="180"/>
        <v>133648050.5038268</v>
      </c>
      <c r="E100" s="28">
        <f t="shared" si="180"/>
        <v>124541769.54497448</v>
      </c>
      <c r="F100" s="28">
        <f t="shared" si="180"/>
        <v>118835724.89135943</v>
      </c>
      <c r="G100" s="28">
        <f t="shared" si="180"/>
        <v>117730935.8436797</v>
      </c>
      <c r="H100" s="28">
        <f t="shared" si="180"/>
        <v>121133233.67682655</v>
      </c>
      <c r="I100" s="28">
        <f t="shared" si="180"/>
        <v>122030071.12454043</v>
      </c>
      <c r="J100" s="28">
        <f t="shared" si="180"/>
        <v>122141815.02716631</v>
      </c>
      <c r="K100" s="28">
        <f t="shared" ref="K100:V100" si="193">IF(K10=0,0,K10/K32*1000000)</f>
        <v>99907946.656512976</v>
      </c>
      <c r="L100" s="28">
        <f t="shared" si="193"/>
        <v>115334627.81625263</v>
      </c>
      <c r="M100" s="28">
        <f t="shared" si="193"/>
        <v>110451278.79493642</v>
      </c>
      <c r="N100" s="28">
        <f t="shared" si="193"/>
        <v>110013323.70906954</v>
      </c>
      <c r="O100" s="28">
        <f t="shared" si="193"/>
        <v>107699317.0843839</v>
      </c>
      <c r="P100" s="28">
        <f t="shared" si="193"/>
        <v>107369595.59918572</v>
      </c>
      <c r="Q100" s="28">
        <f t="shared" si="193"/>
        <v>121740345.99671362</v>
      </c>
      <c r="R100" s="28">
        <f t="shared" si="193"/>
        <v>121116467.940897</v>
      </c>
      <c r="S100" s="28">
        <f t="shared" si="193"/>
        <v>101582539.53374358</v>
      </c>
      <c r="T100" s="28">
        <f t="shared" si="193"/>
        <v>108807587.70378418</v>
      </c>
      <c r="U100" s="28">
        <f t="shared" si="193"/>
        <v>109912561.51149811</v>
      </c>
      <c r="V100" s="28">
        <f t="shared" si="193"/>
        <v>106953591.62531215</v>
      </c>
      <c r="W100" s="28">
        <f t="shared" ref="W100" si="194">IF(W10=0,0,W10/W32*1000000)</f>
        <v>118461312.25506444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158898135.67321151</v>
      </c>
      <c r="C101" s="84">
        <f t="shared" si="180"/>
        <v>136741360.78012741</v>
      </c>
      <c r="D101" s="84">
        <f t="shared" si="180"/>
        <v>147756896.26123527</v>
      </c>
      <c r="E101" s="84">
        <f t="shared" si="180"/>
        <v>158834526.82709926</v>
      </c>
      <c r="F101" s="84">
        <f t="shared" si="180"/>
        <v>153596818.07202408</v>
      </c>
      <c r="G101" s="84">
        <f t="shared" si="180"/>
        <v>109234905.7160037</v>
      </c>
      <c r="H101" s="84">
        <f t="shared" si="180"/>
        <v>150361677.35391909</v>
      </c>
      <c r="I101" s="84">
        <f t="shared" si="180"/>
        <v>148500249.40008</v>
      </c>
      <c r="J101" s="84">
        <f t="shared" si="180"/>
        <v>141461264.75762942</v>
      </c>
      <c r="K101" s="84">
        <f t="shared" ref="K101:V101" si="195">IF(K11=0,0,K11/K33*1000000)</f>
        <v>84707796.648171321</v>
      </c>
      <c r="L101" s="84">
        <f t="shared" si="195"/>
        <v>79327903.71992445</v>
      </c>
      <c r="M101" s="84">
        <f t="shared" si="195"/>
        <v>43611901.741581231</v>
      </c>
      <c r="N101" s="84">
        <f t="shared" si="195"/>
        <v>44511171.497303486</v>
      </c>
      <c r="O101" s="84">
        <f t="shared" si="195"/>
        <v>30125406.172353182</v>
      </c>
      <c r="P101" s="84">
        <f t="shared" si="195"/>
        <v>16512278.436381774</v>
      </c>
      <c r="Q101" s="84">
        <f t="shared" si="195"/>
        <v>20736063.398859613</v>
      </c>
      <c r="R101" s="84">
        <f t="shared" si="195"/>
        <v>15247850.760179872</v>
      </c>
      <c r="S101" s="84">
        <f t="shared" si="195"/>
        <v>35026171.584222138</v>
      </c>
      <c r="T101" s="84">
        <f t="shared" si="195"/>
        <v>45324756.465057038</v>
      </c>
      <c r="U101" s="84">
        <f t="shared" si="195"/>
        <v>45543896.598530896</v>
      </c>
      <c r="V101" s="84">
        <f t="shared" si="195"/>
        <v>54525802.314240336</v>
      </c>
      <c r="W101" s="84">
        <f t="shared" ref="W101" si="196">IF(W11=0,0,W11/W33*1000000)</f>
        <v>52570291.954429217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132896759.37902401</v>
      </c>
      <c r="C102" s="86">
        <f t="shared" si="180"/>
        <v>134785867.90645632</v>
      </c>
      <c r="D102" s="86">
        <f t="shared" si="180"/>
        <v>133131610.2386101</v>
      </c>
      <c r="E102" s="86">
        <f t="shared" si="180"/>
        <v>123321545.92078507</v>
      </c>
      <c r="F102" s="86">
        <f t="shared" si="180"/>
        <v>117480741.59367064</v>
      </c>
      <c r="G102" s="86">
        <f t="shared" si="180"/>
        <v>118018077.19055432</v>
      </c>
      <c r="H102" s="86">
        <f t="shared" si="180"/>
        <v>117957355.58810028</v>
      </c>
      <c r="I102" s="86">
        <f t="shared" si="180"/>
        <v>118450201.76965809</v>
      </c>
      <c r="J102" s="86">
        <f t="shared" si="180"/>
        <v>119174172.77635276</v>
      </c>
      <c r="K102" s="86">
        <f t="shared" ref="K102:V102" si="197">IF(K12=0,0,K12/K34*1000000)</f>
        <v>102424790.75256045</v>
      </c>
      <c r="L102" s="86">
        <f t="shared" si="197"/>
        <v>121813432.34251249</v>
      </c>
      <c r="M102" s="86">
        <f t="shared" si="197"/>
        <v>120756470.3989417</v>
      </c>
      <c r="N102" s="86">
        <f t="shared" si="197"/>
        <v>119485431.45800588</v>
      </c>
      <c r="O102" s="86">
        <f t="shared" si="197"/>
        <v>119051510.89837533</v>
      </c>
      <c r="P102" s="86">
        <f t="shared" si="197"/>
        <v>119357029.7576517</v>
      </c>
      <c r="Q102" s="86">
        <f t="shared" si="197"/>
        <v>136062750.06100923</v>
      </c>
      <c r="R102" s="86">
        <f t="shared" si="197"/>
        <v>134122117.32660362</v>
      </c>
      <c r="S102" s="86">
        <f t="shared" si="197"/>
        <v>108181445.79235728</v>
      </c>
      <c r="T102" s="86">
        <f t="shared" si="197"/>
        <v>115426059.20318499</v>
      </c>
      <c r="U102" s="86">
        <f t="shared" si="197"/>
        <v>116689541.3788214</v>
      </c>
      <c r="V102" s="86">
        <f t="shared" si="197"/>
        <v>112244522.12314914</v>
      </c>
      <c r="W102" s="86">
        <f t="shared" ref="W102" si="198">IF(W12=0,0,W12/W34*1000000)</f>
        <v>124464402.85547437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0.10164242207873406</v>
      </c>
      <c r="C106" s="123">
        <f t="shared" si="199"/>
        <v>0.10040420371867421</v>
      </c>
      <c r="D106" s="123">
        <f t="shared" si="199"/>
        <v>0.10663356828353476</v>
      </c>
      <c r="E106" s="123">
        <f t="shared" si="199"/>
        <v>0.10945100764419734</v>
      </c>
      <c r="F106" s="123">
        <f t="shared" si="199"/>
        <v>0.10867008089180043</v>
      </c>
      <c r="G106" s="123">
        <f t="shared" si="199"/>
        <v>0.1075316715072252</v>
      </c>
      <c r="H106" s="123">
        <f t="shared" si="199"/>
        <v>0.11120359875318787</v>
      </c>
      <c r="I106" s="123">
        <f t="shared" si="199"/>
        <v>0.11901601628174498</v>
      </c>
      <c r="J106" s="123">
        <f t="shared" si="199"/>
        <v>0.12203942703162672</v>
      </c>
      <c r="K106" s="123">
        <f t="shared" ref="K106:V106" si="202">IF(K5=0,0,K5/K$4)</f>
        <v>0.1261621150493899</v>
      </c>
      <c r="L106" s="123">
        <f t="shared" si="202"/>
        <v>0.13055017970693944</v>
      </c>
      <c r="M106" s="123">
        <f t="shared" si="202"/>
        <v>0.13153503893214685</v>
      </c>
      <c r="N106" s="123">
        <f t="shared" si="202"/>
        <v>0.12267106966621011</v>
      </c>
      <c r="O106" s="123">
        <f t="shared" si="202"/>
        <v>0.11901017659924444</v>
      </c>
      <c r="P106" s="123">
        <f t="shared" si="202"/>
        <v>0.11753899418840862</v>
      </c>
      <c r="Q106" s="123">
        <f t="shared" si="202"/>
        <v>0.11566020157533667</v>
      </c>
      <c r="R106" s="123">
        <f t="shared" si="202"/>
        <v>0.11752655065831528</v>
      </c>
      <c r="S106" s="123">
        <f t="shared" si="202"/>
        <v>0.12029416625351182</v>
      </c>
      <c r="T106" s="123">
        <f t="shared" si="202"/>
        <v>0.11595934493086089</v>
      </c>
      <c r="U106" s="123">
        <f t="shared" si="202"/>
        <v>0.1185981308411215</v>
      </c>
      <c r="V106" s="123">
        <f t="shared" si="202"/>
        <v>0.16476633410846897</v>
      </c>
      <c r="W106" s="123">
        <f t="shared" ref="W106" si="203">IF(W5=0,0,W5/W$4)</f>
        <v>0.17091790910723909</v>
      </c>
      <c r="DA106" s="203"/>
    </row>
    <row r="107" spans="1:105" ht="11.45" customHeight="1" x14ac:dyDescent="0.25">
      <c r="A107" s="109" t="s">
        <v>24</v>
      </c>
      <c r="B107" s="124">
        <f t="shared" si="199"/>
        <v>0.80618767068920838</v>
      </c>
      <c r="C107" s="124">
        <f t="shared" si="199"/>
        <v>0.77810114075271719</v>
      </c>
      <c r="D107" s="124">
        <f t="shared" si="199"/>
        <v>0.76511623693127251</v>
      </c>
      <c r="E107" s="124">
        <f t="shared" si="199"/>
        <v>0.75465418236348336</v>
      </c>
      <c r="F107" s="124">
        <f t="shared" si="199"/>
        <v>0.74791436689046131</v>
      </c>
      <c r="G107" s="124">
        <f t="shared" si="199"/>
        <v>0.74012436968800666</v>
      </c>
      <c r="H107" s="124">
        <f t="shared" si="199"/>
        <v>0.73096132048739015</v>
      </c>
      <c r="I107" s="124">
        <f t="shared" si="199"/>
        <v>0.7249269976108309</v>
      </c>
      <c r="J107" s="124">
        <f t="shared" si="199"/>
        <v>0.72057155013473262</v>
      </c>
      <c r="K107" s="124">
        <f t="shared" ref="K107:V107" si="204">IF(K6=0,0,K6/K$4)</f>
        <v>0.67871150493898891</v>
      </c>
      <c r="L107" s="124">
        <f t="shared" si="204"/>
        <v>0.65553036586489732</v>
      </c>
      <c r="M107" s="124">
        <f t="shared" si="204"/>
        <v>0.64074898034853545</v>
      </c>
      <c r="N107" s="124">
        <f t="shared" si="204"/>
        <v>0.63727789556635461</v>
      </c>
      <c r="O107" s="124">
        <f t="shared" si="204"/>
        <v>0.64972976881224809</v>
      </c>
      <c r="P107" s="124">
        <f t="shared" si="204"/>
        <v>0.65646252495098123</v>
      </c>
      <c r="Q107" s="124">
        <f t="shared" si="204"/>
        <v>0.66762090285423903</v>
      </c>
      <c r="R107" s="124">
        <f t="shared" si="204"/>
        <v>0.66609200033859284</v>
      </c>
      <c r="S107" s="124">
        <f t="shared" si="204"/>
        <v>0.66833581226243599</v>
      </c>
      <c r="T107" s="124">
        <f t="shared" si="204"/>
        <v>0.6802873892818454</v>
      </c>
      <c r="U107" s="124">
        <f t="shared" si="204"/>
        <v>0.68218068535825549</v>
      </c>
      <c r="V107" s="124">
        <f t="shared" si="204"/>
        <v>0.64644777208824622</v>
      </c>
      <c r="W107" s="124">
        <f t="shared" ref="W107" si="205">IF(W6=0,0,W6/W$4)</f>
        <v>0.64168662306470436</v>
      </c>
      <c r="DA107" s="176"/>
    </row>
    <row r="108" spans="1:105" ht="11.45" customHeight="1" x14ac:dyDescent="0.25">
      <c r="A108" s="111" t="s">
        <v>92</v>
      </c>
      <c r="B108" s="125">
        <f t="shared" si="199"/>
        <v>0.14654557998209136</v>
      </c>
      <c r="C108" s="125">
        <f t="shared" si="199"/>
        <v>0.13129348336041277</v>
      </c>
      <c r="D108" s="125">
        <f t="shared" si="199"/>
        <v>0.14563578031632574</v>
      </c>
      <c r="E108" s="125">
        <f t="shared" si="199"/>
        <v>0.13504931722634506</v>
      </c>
      <c r="F108" s="125">
        <f t="shared" si="199"/>
        <v>0.11809395530992177</v>
      </c>
      <c r="G108" s="125">
        <f t="shared" si="199"/>
        <v>9.6975536875220952E-2</v>
      </c>
      <c r="H108" s="125">
        <f t="shared" si="199"/>
        <v>0.10021132746348008</v>
      </c>
      <c r="I108" s="125">
        <f t="shared" si="199"/>
        <v>8.5296032524221549E-2</v>
      </c>
      <c r="J108" s="125">
        <f t="shared" si="199"/>
        <v>5.0393943124069647E-2</v>
      </c>
      <c r="K108" s="125">
        <f t="shared" ref="K108:V108" si="206">IF(K7=0,0,K7/K$4)</f>
        <v>4.9006438783000796E-2</v>
      </c>
      <c r="L108" s="125">
        <f t="shared" si="206"/>
        <v>5.2948399280226488E-2</v>
      </c>
      <c r="M108" s="125">
        <f t="shared" si="206"/>
        <v>5.0262767441457246E-2</v>
      </c>
      <c r="N108" s="125">
        <f t="shared" si="206"/>
        <v>6.3706336656688317E-2</v>
      </c>
      <c r="O108" s="125">
        <f t="shared" si="206"/>
        <v>4.4268558267823228E-2</v>
      </c>
      <c r="P108" s="125">
        <f t="shared" si="206"/>
        <v>2.2338970975540967E-2</v>
      </c>
      <c r="Q108" s="125">
        <f t="shared" si="206"/>
        <v>2.6804501391214271E-2</v>
      </c>
      <c r="R108" s="125">
        <f t="shared" si="206"/>
        <v>1.7322358225503175E-2</v>
      </c>
      <c r="S108" s="125">
        <f t="shared" si="206"/>
        <v>4.2091810379561112E-2</v>
      </c>
      <c r="T108" s="125">
        <f t="shared" si="206"/>
        <v>5.373716247005364E-2</v>
      </c>
      <c r="U108" s="125">
        <f t="shared" si="206"/>
        <v>5.5001264444170042E-2</v>
      </c>
      <c r="V108" s="125">
        <f t="shared" si="206"/>
        <v>5.6670384651190515E-2</v>
      </c>
      <c r="W108" s="125">
        <f t="shared" ref="W108" si="207">IF(W7=0,0,W7/W$4)</f>
        <v>4.9684906838703177E-2</v>
      </c>
      <c r="DA108" s="171"/>
    </row>
    <row r="109" spans="1:105" ht="11.45" customHeight="1" x14ac:dyDescent="0.25">
      <c r="A109" s="111" t="s">
        <v>93</v>
      </c>
      <c r="B109" s="125">
        <f t="shared" si="199"/>
        <v>0.6596420907071171</v>
      </c>
      <c r="C109" s="125">
        <f t="shared" si="199"/>
        <v>0.64680765739230428</v>
      </c>
      <c r="D109" s="125">
        <f t="shared" si="199"/>
        <v>0.61948045661494688</v>
      </c>
      <c r="E109" s="125">
        <f t="shared" si="199"/>
        <v>0.61960486513713831</v>
      </c>
      <c r="F109" s="125">
        <f t="shared" si="199"/>
        <v>0.62982041158053947</v>
      </c>
      <c r="G109" s="125">
        <f t="shared" si="199"/>
        <v>0.64314883281278579</v>
      </c>
      <c r="H109" s="125">
        <f t="shared" si="199"/>
        <v>0.6307499930239101</v>
      </c>
      <c r="I109" s="125">
        <f t="shared" si="199"/>
        <v>0.63963096508660933</v>
      </c>
      <c r="J109" s="125">
        <f t="shared" si="199"/>
        <v>0.67017760701066298</v>
      </c>
      <c r="K109" s="125">
        <f t="shared" ref="K109:V109" si="208">IF(K8=0,0,K8/K$4)</f>
        <v>0.62970506615598809</v>
      </c>
      <c r="L109" s="125">
        <f t="shared" si="208"/>
        <v>0.60258196658467078</v>
      </c>
      <c r="M109" s="125">
        <f t="shared" si="208"/>
        <v>0.59048621290707815</v>
      </c>
      <c r="N109" s="125">
        <f t="shared" si="208"/>
        <v>0.57357155890966627</v>
      </c>
      <c r="O109" s="125">
        <f t="shared" si="208"/>
        <v>0.60546121054442492</v>
      </c>
      <c r="P109" s="125">
        <f t="shared" si="208"/>
        <v>0.63412355397544029</v>
      </c>
      <c r="Q109" s="125">
        <f t="shared" si="208"/>
        <v>0.64081640146302477</v>
      </c>
      <c r="R109" s="125">
        <f t="shared" si="208"/>
        <v>0.64876964211308952</v>
      </c>
      <c r="S109" s="125">
        <f t="shared" si="208"/>
        <v>0.62624400188287488</v>
      </c>
      <c r="T109" s="125">
        <f t="shared" si="208"/>
        <v>0.62655022681179184</v>
      </c>
      <c r="U109" s="125">
        <f t="shared" si="208"/>
        <v>0.62717942091408541</v>
      </c>
      <c r="V109" s="125">
        <f t="shared" si="208"/>
        <v>0.58977738743705566</v>
      </c>
      <c r="W109" s="125">
        <f t="shared" ref="W109" si="209">IF(W8=0,0,W8/W$4)</f>
        <v>0.59200171622600117</v>
      </c>
      <c r="DA109" s="171"/>
    </row>
    <row r="110" spans="1:105" ht="11.45" customHeight="1" x14ac:dyDescent="0.25">
      <c r="A110" s="112" t="s">
        <v>25</v>
      </c>
      <c r="B110" s="126">
        <f t="shared" si="199"/>
        <v>9.2169907232057591E-2</v>
      </c>
      <c r="C110" s="126">
        <f t="shared" si="199"/>
        <v>0.12149465552860864</v>
      </c>
      <c r="D110" s="126">
        <f t="shared" si="199"/>
        <v>0.1282501947851927</v>
      </c>
      <c r="E110" s="126">
        <f t="shared" si="199"/>
        <v>0.13589480999231923</v>
      </c>
      <c r="F110" s="126">
        <f t="shared" si="199"/>
        <v>0.14341555221773827</v>
      </c>
      <c r="G110" s="126">
        <f t="shared" si="199"/>
        <v>0.15234395880476809</v>
      </c>
      <c r="H110" s="126">
        <f t="shared" si="199"/>
        <v>0.15783508075942193</v>
      </c>
      <c r="I110" s="126">
        <f t="shared" si="199"/>
        <v>0.15605698610742413</v>
      </c>
      <c r="J110" s="126">
        <f t="shared" si="199"/>
        <v>0.15738902283364062</v>
      </c>
      <c r="K110" s="126">
        <f t="shared" ref="K110:V110" si="210">IF(K9=0,0,K9/K$4)</f>
        <v>0.19512638001162114</v>
      </c>
      <c r="L110" s="126">
        <f t="shared" si="210"/>
        <v>0.21391945442816329</v>
      </c>
      <c r="M110" s="126">
        <f t="shared" si="210"/>
        <v>0.22771598071931776</v>
      </c>
      <c r="N110" s="126">
        <f t="shared" si="210"/>
        <v>0.24005103476743531</v>
      </c>
      <c r="O110" s="126">
        <f t="shared" si="210"/>
        <v>0.23126005458850749</v>
      </c>
      <c r="P110" s="126">
        <f t="shared" si="210"/>
        <v>0.22599848086061014</v>
      </c>
      <c r="Q110" s="126">
        <f t="shared" si="210"/>
        <v>0.21671889557042431</v>
      </c>
      <c r="R110" s="126">
        <f t="shared" si="210"/>
        <v>0.21638144900309192</v>
      </c>
      <c r="S110" s="126">
        <f t="shared" si="210"/>
        <v>0.21137002148405223</v>
      </c>
      <c r="T110" s="126">
        <f t="shared" si="210"/>
        <v>0.20375326578729369</v>
      </c>
      <c r="U110" s="126">
        <f t="shared" si="210"/>
        <v>0.19922118380062306</v>
      </c>
      <c r="V110" s="126">
        <f t="shared" si="210"/>
        <v>0.18878589380328487</v>
      </c>
      <c r="W110" s="126">
        <f t="shared" ref="W110" si="211">IF(W9=0,0,W9/W$4)</f>
        <v>0.18739546782805658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4.7561198876887041E-2</v>
      </c>
      <c r="C112" s="125">
        <f t="shared" si="212"/>
        <v>3.8622126718769072E-2</v>
      </c>
      <c r="D112" s="125">
        <f t="shared" si="212"/>
        <v>3.9039195463369078E-2</v>
      </c>
      <c r="E112" s="125">
        <f t="shared" si="212"/>
        <v>4.3820989766294831E-2</v>
      </c>
      <c r="F112" s="125">
        <f t="shared" si="212"/>
        <v>4.8491830347714225E-2</v>
      </c>
      <c r="G112" s="125">
        <f t="shared" si="212"/>
        <v>3.0332989410248916E-2</v>
      </c>
      <c r="H112" s="125">
        <f t="shared" si="212"/>
        <v>0.121656337537555</v>
      </c>
      <c r="I112" s="125">
        <f t="shared" si="212"/>
        <v>0.14497139953442703</v>
      </c>
      <c r="J112" s="125">
        <f t="shared" si="212"/>
        <v>0.15421666512559135</v>
      </c>
      <c r="K112" s="125">
        <f t="shared" ref="K112:V112" si="215">IF(K11=0,0,K11/K$10)</f>
        <v>0.12044523568149416</v>
      </c>
      <c r="L112" s="125">
        <f t="shared" si="215"/>
        <v>0.10488662476812759</v>
      </c>
      <c r="M112" s="125">
        <f t="shared" si="215"/>
        <v>5.2745448848779075E-2</v>
      </c>
      <c r="N112" s="125">
        <f t="shared" si="215"/>
        <v>5.1116155300448655E-2</v>
      </c>
      <c r="O112" s="125">
        <f t="shared" si="215"/>
        <v>3.5708408108945225E-2</v>
      </c>
      <c r="P112" s="125">
        <f t="shared" si="215"/>
        <v>1.7925438496616299E-2</v>
      </c>
      <c r="Q112" s="125">
        <f t="shared" si="215"/>
        <v>2.1153288241403372E-2</v>
      </c>
      <c r="R112" s="125">
        <f t="shared" si="215"/>
        <v>1.3773668515405183E-2</v>
      </c>
      <c r="S112" s="125">
        <f t="shared" si="215"/>
        <v>3.11028310616277E-2</v>
      </c>
      <c r="T112" s="125">
        <f t="shared" si="215"/>
        <v>3.9328547894950112E-2</v>
      </c>
      <c r="U112" s="125">
        <f t="shared" si="215"/>
        <v>3.9470327633822286E-2</v>
      </c>
      <c r="V112" s="125">
        <f t="shared" si="215"/>
        <v>4.67328274935166E-2</v>
      </c>
      <c r="W112" s="125">
        <f t="shared" ref="W112" si="216">IF(W11=0,0,W11/W$10)</f>
        <v>3.7054881636270048E-2</v>
      </c>
      <c r="DA112" s="171"/>
    </row>
    <row r="113" spans="1:105" ht="11.45" customHeight="1" x14ac:dyDescent="0.25">
      <c r="A113" s="85" t="s">
        <v>93</v>
      </c>
      <c r="B113" s="127">
        <f t="shared" si="212"/>
        <v>0.95243880112311297</v>
      </c>
      <c r="C113" s="127">
        <f t="shared" si="212"/>
        <v>0.96137787328123092</v>
      </c>
      <c r="D113" s="127">
        <f t="shared" si="212"/>
        <v>0.96096080453663091</v>
      </c>
      <c r="E113" s="127">
        <f t="shared" si="212"/>
        <v>0.95617901023370522</v>
      </c>
      <c r="F113" s="127">
        <f t="shared" si="212"/>
        <v>0.9515081696522858</v>
      </c>
      <c r="G113" s="127">
        <f t="shared" si="212"/>
        <v>0.96966701058975102</v>
      </c>
      <c r="H113" s="127">
        <f t="shared" si="212"/>
        <v>0.878343662462445</v>
      </c>
      <c r="I113" s="127">
        <f t="shared" si="212"/>
        <v>0.85502860046557294</v>
      </c>
      <c r="J113" s="127">
        <f t="shared" si="212"/>
        <v>0.8457833348744086</v>
      </c>
      <c r="K113" s="127">
        <f t="shared" ref="K113:V113" si="217">IF(K12=0,0,K12/K$10)</f>
        <v>0.87955476431850588</v>
      </c>
      <c r="L113" s="127">
        <f t="shared" si="217"/>
        <v>0.89511337523187251</v>
      </c>
      <c r="M113" s="127">
        <f t="shared" si="217"/>
        <v>0.94725455115122104</v>
      </c>
      <c r="N113" s="127">
        <f t="shared" si="217"/>
        <v>0.94888384469955145</v>
      </c>
      <c r="O113" s="127">
        <f t="shared" si="217"/>
        <v>0.96429159189105484</v>
      </c>
      <c r="P113" s="127">
        <f t="shared" si="217"/>
        <v>0.98207456150338379</v>
      </c>
      <c r="Q113" s="127">
        <f t="shared" si="217"/>
        <v>0.97884671175859661</v>
      </c>
      <c r="R113" s="127">
        <f t="shared" si="217"/>
        <v>0.98622633148459482</v>
      </c>
      <c r="S113" s="127">
        <f t="shared" si="217"/>
        <v>0.9688971689383723</v>
      </c>
      <c r="T113" s="127">
        <f t="shared" si="217"/>
        <v>0.96067145210504989</v>
      </c>
      <c r="U113" s="127">
        <f t="shared" si="217"/>
        <v>0.9605296723661777</v>
      </c>
      <c r="V113" s="127">
        <f t="shared" si="217"/>
        <v>0.95326717250648341</v>
      </c>
      <c r="W113" s="127">
        <f t="shared" ref="W113" si="218">IF(W12=0,0,W12/W$10)</f>
        <v>0.96294511836372998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0.19527161290010078</v>
      </c>
      <c r="C117" s="123">
        <f t="shared" si="219"/>
        <v>0.20055312229947772</v>
      </c>
      <c r="D117" s="123">
        <f t="shared" si="219"/>
        <v>0.20385760833539432</v>
      </c>
      <c r="E117" s="123">
        <f t="shared" si="219"/>
        <v>0.19974079782521467</v>
      </c>
      <c r="F117" s="123">
        <f t="shared" si="219"/>
        <v>0.21393134145594814</v>
      </c>
      <c r="G117" s="123">
        <f t="shared" si="219"/>
        <v>0.21369142018923493</v>
      </c>
      <c r="H117" s="123">
        <f t="shared" si="219"/>
        <v>0.22430114778624871</v>
      </c>
      <c r="I117" s="123">
        <f t="shared" si="219"/>
        <v>0.23716322005903082</v>
      </c>
      <c r="J117" s="123">
        <f t="shared" si="219"/>
        <v>0.24204437530192616</v>
      </c>
      <c r="K117" s="123">
        <f t="shared" ref="K117:V117" si="222">IF(K16=0,0,K16/K$15)</f>
        <v>0.24410150429776442</v>
      </c>
      <c r="L117" s="123">
        <f t="shared" si="222"/>
        <v>0.23910448115980917</v>
      </c>
      <c r="M117" s="123">
        <f t="shared" si="222"/>
        <v>0.23992389490602201</v>
      </c>
      <c r="N117" s="123">
        <f t="shared" si="222"/>
        <v>0.2117880604583979</v>
      </c>
      <c r="O117" s="123">
        <f t="shared" si="222"/>
        <v>0.20567378712013246</v>
      </c>
      <c r="P117" s="123">
        <f t="shared" si="222"/>
        <v>0.21139818152289711</v>
      </c>
      <c r="Q117" s="123">
        <f t="shared" si="222"/>
        <v>0.20157347540252982</v>
      </c>
      <c r="R117" s="123">
        <f t="shared" si="222"/>
        <v>0.1954899626822601</v>
      </c>
      <c r="S117" s="123">
        <f t="shared" si="222"/>
        <v>0.1979219144638745</v>
      </c>
      <c r="T117" s="123">
        <f t="shared" si="222"/>
        <v>0.18549620556901958</v>
      </c>
      <c r="U117" s="123">
        <f t="shared" si="222"/>
        <v>0.19746204518659527</v>
      </c>
      <c r="V117" s="123">
        <f t="shared" si="222"/>
        <v>0.19576896354275072</v>
      </c>
      <c r="W117" s="123">
        <f t="shared" ref="W117" si="223">IF(W16=0,0,W16/W$15)</f>
        <v>0.21137530992253181</v>
      </c>
      <c r="DA117" s="203"/>
    </row>
    <row r="118" spans="1:105" ht="11.45" customHeight="1" x14ac:dyDescent="0.25">
      <c r="A118" s="109" t="s">
        <v>24</v>
      </c>
      <c r="B118" s="124">
        <f t="shared" si="219"/>
        <v>0.75926027640882476</v>
      </c>
      <c r="C118" s="124">
        <f t="shared" si="219"/>
        <v>0.73734551250709079</v>
      </c>
      <c r="D118" s="124">
        <f t="shared" si="219"/>
        <v>0.73340052175712778</v>
      </c>
      <c r="E118" s="124">
        <f t="shared" si="219"/>
        <v>0.73752741668264765</v>
      </c>
      <c r="F118" s="124">
        <f t="shared" si="219"/>
        <v>0.71669905081880281</v>
      </c>
      <c r="G118" s="124">
        <f t="shared" si="219"/>
        <v>0.71106481509279884</v>
      </c>
      <c r="H118" s="124">
        <f t="shared" si="219"/>
        <v>0.70310987538592551</v>
      </c>
      <c r="I118" s="124">
        <f t="shared" si="219"/>
        <v>0.69245590557605852</v>
      </c>
      <c r="J118" s="124">
        <f t="shared" si="219"/>
        <v>0.68039465333595928</v>
      </c>
      <c r="K118" s="124">
        <f t="shared" ref="K118:V118" si="224">IF(K17=0,0,K17/K$15)</f>
        <v>0.66533616958792352</v>
      </c>
      <c r="L118" s="124">
        <f t="shared" si="224"/>
        <v>0.66761997714178312</v>
      </c>
      <c r="M118" s="124">
        <f t="shared" si="224"/>
        <v>0.66088927451241375</v>
      </c>
      <c r="N118" s="124">
        <f t="shared" si="224"/>
        <v>0.68880787384358833</v>
      </c>
      <c r="O118" s="124">
        <f t="shared" si="224"/>
        <v>0.69860277078105959</v>
      </c>
      <c r="P118" s="124">
        <f t="shared" si="224"/>
        <v>0.69060465191850218</v>
      </c>
      <c r="Q118" s="124">
        <f t="shared" si="224"/>
        <v>0.7067908929255271</v>
      </c>
      <c r="R118" s="124">
        <f t="shared" si="224"/>
        <v>0.71768327825078992</v>
      </c>
      <c r="S118" s="124">
        <f t="shared" si="224"/>
        <v>0.71788626540982214</v>
      </c>
      <c r="T118" s="124">
        <f t="shared" si="224"/>
        <v>0.73535586667089825</v>
      </c>
      <c r="U118" s="124">
        <f t="shared" si="224"/>
        <v>0.71540177229772306</v>
      </c>
      <c r="V118" s="124">
        <f t="shared" si="224"/>
        <v>0.7078591812431746</v>
      </c>
      <c r="W118" s="124">
        <f t="shared" ref="W118" si="225">IF(W17=0,0,W17/W$15)</f>
        <v>0.69521758544753798</v>
      </c>
      <c r="DA118" s="176"/>
    </row>
    <row r="119" spans="1:105" ht="11.45" customHeight="1" x14ac:dyDescent="0.25">
      <c r="A119" s="111" t="s">
        <v>92</v>
      </c>
      <c r="B119" s="125">
        <f t="shared" si="219"/>
        <v>0.14994753660212401</v>
      </c>
      <c r="C119" s="125">
        <f t="shared" si="219"/>
        <v>0.14121156470952057</v>
      </c>
      <c r="D119" s="125">
        <f t="shared" si="219"/>
        <v>0.14454384231732195</v>
      </c>
      <c r="E119" s="125">
        <f t="shared" si="219"/>
        <v>0.15219732584683018</v>
      </c>
      <c r="F119" s="125">
        <f t="shared" si="219"/>
        <v>0.14064916951182707</v>
      </c>
      <c r="G119" s="125">
        <f t="shared" si="219"/>
        <v>0.12285292479106245</v>
      </c>
      <c r="H119" s="125">
        <f t="shared" si="219"/>
        <v>0.12848863247947195</v>
      </c>
      <c r="I119" s="125">
        <f t="shared" si="219"/>
        <v>0.11197476007091511</v>
      </c>
      <c r="J119" s="125">
        <f t="shared" si="219"/>
        <v>6.6122018028044613E-2</v>
      </c>
      <c r="K119" s="125">
        <f t="shared" ref="K119:V119" si="226">IF(K18=0,0,K18/K$15)</f>
        <v>6.5892105583377603E-2</v>
      </c>
      <c r="L119" s="125">
        <f t="shared" si="226"/>
        <v>6.8943403872587988E-2</v>
      </c>
      <c r="M119" s="125">
        <f t="shared" si="226"/>
        <v>5.6519985184087428E-2</v>
      </c>
      <c r="N119" s="125">
        <f t="shared" si="226"/>
        <v>7.0905629931258082E-2</v>
      </c>
      <c r="O119" s="125">
        <f t="shared" si="226"/>
        <v>5.0040870000591493E-2</v>
      </c>
      <c r="P119" s="125">
        <f t="shared" si="226"/>
        <v>2.489285447366326E-2</v>
      </c>
      <c r="Q119" s="125">
        <f t="shared" si="226"/>
        <v>2.8759309213136016E-2</v>
      </c>
      <c r="R119" s="125">
        <f t="shared" si="226"/>
        <v>1.9299692549337357E-2</v>
      </c>
      <c r="S119" s="125">
        <f t="shared" si="226"/>
        <v>4.2161904774538995E-2</v>
      </c>
      <c r="T119" s="125">
        <f t="shared" si="226"/>
        <v>5.400165763352751E-2</v>
      </c>
      <c r="U119" s="125">
        <f t="shared" si="226"/>
        <v>5.447868260027177E-2</v>
      </c>
      <c r="V119" s="125">
        <f t="shared" si="226"/>
        <v>6.5481294837034409E-2</v>
      </c>
      <c r="W119" s="125">
        <f t="shared" ref="W119" si="227">IF(W18=0,0,W18/W$15)</f>
        <v>5.0845528592570632E-2</v>
      </c>
      <c r="DA119" s="171"/>
    </row>
    <row r="120" spans="1:105" ht="11.45" customHeight="1" x14ac:dyDescent="0.25">
      <c r="A120" s="111" t="s">
        <v>93</v>
      </c>
      <c r="B120" s="125">
        <f t="shared" si="219"/>
        <v>0.60931273980670075</v>
      </c>
      <c r="C120" s="125">
        <f t="shared" si="219"/>
        <v>0.59613394779757012</v>
      </c>
      <c r="D120" s="125">
        <f t="shared" si="219"/>
        <v>0.58885667943980591</v>
      </c>
      <c r="E120" s="125">
        <f t="shared" si="219"/>
        <v>0.58533009083581744</v>
      </c>
      <c r="F120" s="125">
        <f t="shared" si="219"/>
        <v>0.57604988130697576</v>
      </c>
      <c r="G120" s="125">
        <f t="shared" si="219"/>
        <v>0.58821189030173648</v>
      </c>
      <c r="H120" s="125">
        <f t="shared" si="219"/>
        <v>0.57462124290645356</v>
      </c>
      <c r="I120" s="125">
        <f t="shared" si="219"/>
        <v>0.5804811455051434</v>
      </c>
      <c r="J120" s="125">
        <f t="shared" si="219"/>
        <v>0.61427263530791476</v>
      </c>
      <c r="K120" s="125">
        <f t="shared" ref="K120:V120" si="228">IF(K19=0,0,K19/K$15)</f>
        <v>0.59944406400454586</v>
      </c>
      <c r="L120" s="125">
        <f t="shared" si="228"/>
        <v>0.5986765732691951</v>
      </c>
      <c r="M120" s="125">
        <f t="shared" si="228"/>
        <v>0.60436928932832634</v>
      </c>
      <c r="N120" s="125">
        <f t="shared" si="228"/>
        <v>0.61790224391233028</v>
      </c>
      <c r="O120" s="125">
        <f t="shared" si="228"/>
        <v>0.64856190078046805</v>
      </c>
      <c r="P120" s="125">
        <f t="shared" si="228"/>
        <v>0.66571179744483888</v>
      </c>
      <c r="Q120" s="125">
        <f t="shared" si="228"/>
        <v>0.67803158371239114</v>
      </c>
      <c r="R120" s="125">
        <f t="shared" si="228"/>
        <v>0.69838358570145254</v>
      </c>
      <c r="S120" s="125">
        <f t="shared" si="228"/>
        <v>0.67572436063528318</v>
      </c>
      <c r="T120" s="125">
        <f t="shared" si="228"/>
        <v>0.68135420903737087</v>
      </c>
      <c r="U120" s="125">
        <f t="shared" si="228"/>
        <v>0.66092308969745117</v>
      </c>
      <c r="V120" s="125">
        <f t="shared" si="228"/>
        <v>0.64237788640614013</v>
      </c>
      <c r="W120" s="125">
        <f t="shared" ref="W120" si="229">IF(W19=0,0,W19/W$15)</f>
        <v>0.64437205685496735</v>
      </c>
      <c r="DA120" s="171"/>
    </row>
    <row r="121" spans="1:105" ht="11.45" customHeight="1" x14ac:dyDescent="0.25">
      <c r="A121" s="112" t="s">
        <v>25</v>
      </c>
      <c r="B121" s="126">
        <f t="shared" si="219"/>
        <v>4.5468110691074447E-2</v>
      </c>
      <c r="C121" s="126">
        <f t="shared" si="219"/>
        <v>6.2101365193431547E-2</v>
      </c>
      <c r="D121" s="126">
        <f t="shared" si="219"/>
        <v>6.2741869907477946E-2</v>
      </c>
      <c r="E121" s="126">
        <f t="shared" si="219"/>
        <v>6.273178549213769E-2</v>
      </c>
      <c r="F121" s="126">
        <f t="shared" si="219"/>
        <v>6.9369607725249041E-2</v>
      </c>
      <c r="G121" s="126">
        <f t="shared" si="219"/>
        <v>7.5243764717966219E-2</v>
      </c>
      <c r="H121" s="126">
        <f t="shared" si="219"/>
        <v>7.2588976827825877E-2</v>
      </c>
      <c r="I121" s="126">
        <f t="shared" si="219"/>
        <v>7.0380874364910501E-2</v>
      </c>
      <c r="J121" s="126">
        <f t="shared" si="219"/>
        <v>7.7560971362114553E-2</v>
      </c>
      <c r="K121" s="126">
        <f t="shared" ref="K121:V121" si="230">IF(K20=0,0,K20/K$15)</f>
        <v>9.0562326114312183E-2</v>
      </c>
      <c r="L121" s="126">
        <f t="shared" si="230"/>
        <v>9.3275541698407641E-2</v>
      </c>
      <c r="M121" s="126">
        <f t="shared" si="230"/>
        <v>9.9186830581564286E-2</v>
      </c>
      <c r="N121" s="126">
        <f t="shared" si="230"/>
        <v>9.9404065698013772E-2</v>
      </c>
      <c r="O121" s="126">
        <f t="shared" si="230"/>
        <v>9.5723442098807898E-2</v>
      </c>
      <c r="P121" s="126">
        <f t="shared" si="230"/>
        <v>9.7997166558600662E-2</v>
      </c>
      <c r="Q121" s="126">
        <f t="shared" si="230"/>
        <v>9.1635631671943177E-2</v>
      </c>
      <c r="R121" s="126">
        <f t="shared" si="230"/>
        <v>8.6826759066949907E-2</v>
      </c>
      <c r="S121" s="126">
        <f t="shared" si="230"/>
        <v>8.4191820126303357E-2</v>
      </c>
      <c r="T121" s="126">
        <f t="shared" si="230"/>
        <v>7.9147927760082115E-2</v>
      </c>
      <c r="U121" s="126">
        <f t="shared" si="230"/>
        <v>8.7136182515681712E-2</v>
      </c>
      <c r="V121" s="126">
        <f t="shared" si="230"/>
        <v>9.6371855214074639E-2</v>
      </c>
      <c r="W121" s="126">
        <f t="shared" ref="W121" si="231">IF(W20=0,0,W20/W$15)</f>
        <v>9.3407104629930279E-2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4.0090507265340573E-2</v>
      </c>
      <c r="C123" s="125">
        <f t="shared" si="232"/>
        <v>3.3121627051996415E-2</v>
      </c>
      <c r="D123" s="125">
        <f t="shared" si="232"/>
        <v>3.3094922468194822E-2</v>
      </c>
      <c r="E123" s="125">
        <f t="shared" si="232"/>
        <v>3.4359928004261131E-2</v>
      </c>
      <c r="F123" s="125">
        <f t="shared" si="232"/>
        <v>3.7517452663463437E-2</v>
      </c>
      <c r="G123" s="125">
        <f t="shared" si="232"/>
        <v>2.3677495567606698E-2</v>
      </c>
      <c r="H123" s="125">
        <f t="shared" si="232"/>
        <v>9.8007854804522399E-2</v>
      </c>
      <c r="I123" s="125">
        <f t="shared" si="232"/>
        <v>0.11913023809372582</v>
      </c>
      <c r="J123" s="125">
        <f t="shared" si="232"/>
        <v>0.13315520013033996</v>
      </c>
      <c r="K123" s="125">
        <f t="shared" ref="K123:V123" si="235">IF(K22=0,0,K22/K$21)</f>
        <v>9.8981602745195602E-2</v>
      </c>
      <c r="L123" s="125">
        <f t="shared" si="235"/>
        <v>8.7625494621671796E-2</v>
      </c>
      <c r="M123" s="125">
        <f t="shared" si="235"/>
        <v>4.0058386513544479E-2</v>
      </c>
      <c r="N123" s="125">
        <f t="shared" si="235"/>
        <v>3.7200326910673279E-2</v>
      </c>
      <c r="O123" s="125">
        <f t="shared" si="235"/>
        <v>2.5844427213954684E-2</v>
      </c>
      <c r="P123" s="125">
        <f t="shared" si="235"/>
        <v>1.2733510010917728E-2</v>
      </c>
      <c r="Q123" s="125">
        <f t="shared" si="235"/>
        <v>1.8562235601836511E-2</v>
      </c>
      <c r="R123" s="125">
        <f t="shared" si="235"/>
        <v>1.0852228219244831E-2</v>
      </c>
      <c r="S123" s="125">
        <f t="shared" si="235"/>
        <v>1.9074455876467392E-2</v>
      </c>
      <c r="T123" s="125">
        <f t="shared" si="235"/>
        <v>2.6815828456528915E-2</v>
      </c>
      <c r="U123" s="125">
        <f t="shared" si="235"/>
        <v>2.5870598416742784E-2</v>
      </c>
      <c r="V123" s="125">
        <f t="shared" si="235"/>
        <v>3.3209187445445675E-2</v>
      </c>
      <c r="W123" s="125">
        <f t="shared" ref="W123" si="236">IF(W22=0,0,W22/W$21)</f>
        <v>2.680124716903301E-2</v>
      </c>
      <c r="DA123" s="171"/>
    </row>
    <row r="124" spans="1:105" ht="11.45" customHeight="1" x14ac:dyDescent="0.25">
      <c r="A124" s="85" t="s">
        <v>93</v>
      </c>
      <c r="B124" s="127">
        <f t="shared" si="232"/>
        <v>0.95990949273465942</v>
      </c>
      <c r="C124" s="127">
        <f t="shared" si="232"/>
        <v>0.96687837294800372</v>
      </c>
      <c r="D124" s="127">
        <f t="shared" si="232"/>
        <v>0.9669050775318051</v>
      </c>
      <c r="E124" s="127">
        <f t="shared" si="232"/>
        <v>0.96564007199573887</v>
      </c>
      <c r="F124" s="127">
        <f t="shared" si="232"/>
        <v>0.96248254733653649</v>
      </c>
      <c r="G124" s="127">
        <f t="shared" si="232"/>
        <v>0.97632250443239332</v>
      </c>
      <c r="H124" s="127">
        <f t="shared" si="232"/>
        <v>0.90199214519547766</v>
      </c>
      <c r="I124" s="127">
        <f t="shared" si="232"/>
        <v>0.88086976190627408</v>
      </c>
      <c r="J124" s="127">
        <f t="shared" si="232"/>
        <v>0.86684479986966001</v>
      </c>
      <c r="K124" s="127">
        <f t="shared" ref="K124:V124" si="237">IF(K23=0,0,K23/K$21)</f>
        <v>0.90101839725480437</v>
      </c>
      <c r="L124" s="127">
        <f t="shared" si="237"/>
        <v>0.9123745053783282</v>
      </c>
      <c r="M124" s="127">
        <f t="shared" si="237"/>
        <v>0.95994161348645557</v>
      </c>
      <c r="N124" s="127">
        <f t="shared" si="237"/>
        <v>0.96279967308932679</v>
      </c>
      <c r="O124" s="127">
        <f t="shared" si="237"/>
        <v>0.97415557278604525</v>
      </c>
      <c r="P124" s="127">
        <f t="shared" si="237"/>
        <v>0.98726648998908217</v>
      </c>
      <c r="Q124" s="127">
        <f t="shared" si="237"/>
        <v>0.98143776439816355</v>
      </c>
      <c r="R124" s="127">
        <f t="shared" si="237"/>
        <v>0.98914777178075519</v>
      </c>
      <c r="S124" s="127">
        <f t="shared" si="237"/>
        <v>0.98092554412353261</v>
      </c>
      <c r="T124" s="127">
        <f t="shared" si="237"/>
        <v>0.97318417154347103</v>
      </c>
      <c r="U124" s="127">
        <f t="shared" si="237"/>
        <v>0.97412940158325723</v>
      </c>
      <c r="V124" s="127">
        <f t="shared" si="237"/>
        <v>0.96679081255455424</v>
      </c>
      <c r="W124" s="127">
        <f t="shared" ref="W124" si="238">IF(W23=0,0,W23/W$21)</f>
        <v>0.97319875283096702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526.15365434221826</v>
      </c>
      <c r="C4" s="146">
        <f t="shared" ref="C4:V4" si="0">SUM(C5,C8)</f>
        <v>498.89656061908846</v>
      </c>
      <c r="D4" s="146">
        <f t="shared" si="0"/>
        <v>505.99028374892521</v>
      </c>
      <c r="E4" s="146">
        <f t="shared" si="0"/>
        <v>523.98968185726562</v>
      </c>
      <c r="F4" s="146">
        <f t="shared" si="0"/>
        <v>501.27540842648324</v>
      </c>
      <c r="G4" s="146">
        <f t="shared" si="0"/>
        <v>492.24703353396387</v>
      </c>
      <c r="H4" s="146">
        <f t="shared" si="0"/>
        <v>490.22639724849529</v>
      </c>
      <c r="I4" s="146">
        <f t="shared" si="0"/>
        <v>485.85554600171963</v>
      </c>
      <c r="J4" s="146">
        <f t="shared" si="0"/>
        <v>462.02347377472051</v>
      </c>
      <c r="K4" s="146">
        <f t="shared" si="0"/>
        <v>444.45399828030958</v>
      </c>
      <c r="L4" s="146">
        <f t="shared" si="0"/>
        <v>457.99656061908854</v>
      </c>
      <c r="M4" s="146">
        <f t="shared" si="0"/>
        <v>449.74204643164228</v>
      </c>
      <c r="N4" s="146">
        <f t="shared" si="0"/>
        <v>467.23989681857267</v>
      </c>
      <c r="O4" s="146">
        <f t="shared" si="0"/>
        <v>471.42450558899395</v>
      </c>
      <c r="P4" s="146">
        <f t="shared" si="0"/>
        <v>445.6577815993121</v>
      </c>
      <c r="Q4" s="146">
        <f t="shared" si="0"/>
        <v>461.42158211521922</v>
      </c>
      <c r="R4" s="146">
        <f t="shared" si="0"/>
        <v>483.53396388650037</v>
      </c>
      <c r="S4" s="146">
        <f t="shared" si="0"/>
        <v>507.76663800515911</v>
      </c>
      <c r="T4" s="146">
        <f t="shared" si="0"/>
        <v>534.99802235597576</v>
      </c>
      <c r="U4" s="146">
        <f t="shared" si="0"/>
        <v>520.95313843508166</v>
      </c>
      <c r="V4" s="146">
        <f t="shared" si="0"/>
        <v>443.35924333619943</v>
      </c>
      <c r="W4" s="146">
        <f t="shared" ref="W4" si="1">SUM(W5,W8)</f>
        <v>483.9055030094583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139.39527085124669</v>
      </c>
      <c r="C5" s="101">
        <f t="shared" ref="C5:V5" si="2">SUM(C6:C7)</f>
        <v>121.0805674978504</v>
      </c>
      <c r="D5" s="101">
        <f t="shared" si="2"/>
        <v>124.1330180567498</v>
      </c>
      <c r="E5" s="101">
        <f t="shared" si="2"/>
        <v>134.30782459157351</v>
      </c>
      <c r="F5" s="101">
        <f t="shared" si="2"/>
        <v>117.0105760963027</v>
      </c>
      <c r="G5" s="101">
        <f t="shared" si="2"/>
        <v>98.695872742906275</v>
      </c>
      <c r="H5" s="101">
        <f t="shared" si="2"/>
        <v>113.9581255374033</v>
      </c>
      <c r="I5" s="101">
        <f t="shared" si="2"/>
        <v>106.8357695614789</v>
      </c>
      <c r="J5" s="101">
        <f t="shared" si="2"/>
        <v>71.22381771281168</v>
      </c>
      <c r="K5" s="101">
        <f t="shared" si="2"/>
        <v>61.049011177987957</v>
      </c>
      <c r="L5" s="101">
        <f t="shared" si="2"/>
        <v>64.101461736887359</v>
      </c>
      <c r="M5" s="101">
        <f t="shared" si="2"/>
        <v>45.786758383490969</v>
      </c>
      <c r="N5" s="101">
        <f t="shared" si="2"/>
        <v>54.944110060189161</v>
      </c>
      <c r="O5" s="101">
        <f t="shared" si="2"/>
        <v>38.664402407566627</v>
      </c>
      <c r="P5" s="101">
        <f t="shared" si="2"/>
        <v>18.314703353396389</v>
      </c>
      <c r="Q5" s="101">
        <f t="shared" si="2"/>
        <v>22.38460877042132</v>
      </c>
      <c r="R5" s="101">
        <f t="shared" si="2"/>
        <v>15.262252794496989</v>
      </c>
      <c r="S5" s="101">
        <f t="shared" si="2"/>
        <v>33.576956147893377</v>
      </c>
      <c r="T5" s="101">
        <f t="shared" si="2"/>
        <v>44.769303525365437</v>
      </c>
      <c r="U5" s="101">
        <f t="shared" si="2"/>
        <v>43.751762682717107</v>
      </c>
      <c r="V5" s="101">
        <f t="shared" si="2"/>
        <v>44.117110920034392</v>
      </c>
      <c r="W5" s="101">
        <f t="shared" ref="W5" si="3">SUM(W6:W7)</f>
        <v>38.144453998280312</v>
      </c>
      <c r="DA5" s="175"/>
    </row>
    <row r="6" spans="1:105" ht="11.45" customHeight="1" x14ac:dyDescent="0.25">
      <c r="A6" s="164" t="s">
        <v>182</v>
      </c>
      <c r="B6" s="165">
        <v>139.39527085124669</v>
      </c>
      <c r="C6" s="165">
        <v>121.0805674978504</v>
      </c>
      <c r="D6" s="165">
        <v>124.1330180567498</v>
      </c>
      <c r="E6" s="165">
        <v>134.30782459157351</v>
      </c>
      <c r="F6" s="165">
        <v>117.0105760963027</v>
      </c>
      <c r="G6" s="165">
        <v>98.695872742906275</v>
      </c>
      <c r="H6" s="165">
        <v>113.9581255374033</v>
      </c>
      <c r="I6" s="165">
        <v>106.8357695614789</v>
      </c>
      <c r="J6" s="165">
        <v>71.22381771281168</v>
      </c>
      <c r="K6" s="165">
        <v>61.049011177987957</v>
      </c>
      <c r="L6" s="165">
        <v>64.101461736887359</v>
      </c>
      <c r="M6" s="165">
        <v>45.786758383490969</v>
      </c>
      <c r="N6" s="165">
        <v>54.944110060189161</v>
      </c>
      <c r="O6" s="165">
        <v>38.664402407566627</v>
      </c>
      <c r="P6" s="165">
        <v>18.314703353396389</v>
      </c>
      <c r="Q6" s="165">
        <v>22.38460877042132</v>
      </c>
      <c r="R6" s="165">
        <v>15.262252794496989</v>
      </c>
      <c r="S6" s="165">
        <v>33.576956147893377</v>
      </c>
      <c r="T6" s="165">
        <v>44.769303525365437</v>
      </c>
      <c r="U6" s="165">
        <v>43.751762682717107</v>
      </c>
      <c r="V6" s="165">
        <v>44.117110920034392</v>
      </c>
      <c r="W6" s="165">
        <v>38.144453998280312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386.7583834909716</v>
      </c>
      <c r="C8" s="88">
        <v>377.81599312123808</v>
      </c>
      <c r="D8" s="88">
        <v>381.85726569217542</v>
      </c>
      <c r="E8" s="88">
        <v>389.68185726569209</v>
      </c>
      <c r="F8" s="88">
        <v>384.26483233018052</v>
      </c>
      <c r="G8" s="88">
        <v>393.55116079105761</v>
      </c>
      <c r="H8" s="88">
        <v>376.26827171109198</v>
      </c>
      <c r="I8" s="88">
        <v>379.01977644024072</v>
      </c>
      <c r="J8" s="88">
        <v>390.79965606190882</v>
      </c>
      <c r="K8" s="88">
        <v>383.40498710232163</v>
      </c>
      <c r="L8" s="88">
        <v>393.89509888220118</v>
      </c>
      <c r="M8" s="88">
        <v>403.95528804815132</v>
      </c>
      <c r="N8" s="88">
        <v>412.29578675838349</v>
      </c>
      <c r="O8" s="88">
        <v>432.76010318142733</v>
      </c>
      <c r="P8" s="88">
        <v>427.34307824591571</v>
      </c>
      <c r="Q8" s="88">
        <v>439.0369733447979</v>
      </c>
      <c r="R8" s="88">
        <v>468.27171109200339</v>
      </c>
      <c r="S8" s="88">
        <v>474.18968185726573</v>
      </c>
      <c r="T8" s="88">
        <v>490.22871883061038</v>
      </c>
      <c r="U8" s="88">
        <v>477.20137575236453</v>
      </c>
      <c r="V8" s="88">
        <v>399.24213241616502</v>
      </c>
      <c r="W8" s="88">
        <v>445.76104901117799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526.15365434221826</v>
      </c>
      <c r="C10" s="62">
        <f t="shared" ref="C10:V10" si="5">SUM(C11,C17)</f>
        <v>498.8965606190884</v>
      </c>
      <c r="D10" s="62">
        <f t="shared" si="5"/>
        <v>505.99028374892521</v>
      </c>
      <c r="E10" s="62">
        <f t="shared" si="5"/>
        <v>523.98968185726562</v>
      </c>
      <c r="F10" s="62">
        <f t="shared" si="5"/>
        <v>501.27540842648318</v>
      </c>
      <c r="G10" s="62">
        <f t="shared" si="5"/>
        <v>492.24703353396387</v>
      </c>
      <c r="H10" s="62">
        <f t="shared" si="5"/>
        <v>490.22639724849523</v>
      </c>
      <c r="I10" s="62">
        <f t="shared" si="5"/>
        <v>485.85554600171963</v>
      </c>
      <c r="J10" s="62">
        <f t="shared" si="5"/>
        <v>462.02347377472046</v>
      </c>
      <c r="K10" s="62">
        <f t="shared" si="5"/>
        <v>444.45399828030958</v>
      </c>
      <c r="L10" s="62">
        <f t="shared" si="5"/>
        <v>457.99656061908848</v>
      </c>
      <c r="M10" s="62">
        <f t="shared" si="5"/>
        <v>449.74204643164234</v>
      </c>
      <c r="N10" s="62">
        <f t="shared" si="5"/>
        <v>467.23989681857267</v>
      </c>
      <c r="O10" s="62">
        <f t="shared" si="5"/>
        <v>471.4245055889939</v>
      </c>
      <c r="P10" s="62">
        <f t="shared" si="5"/>
        <v>445.65778159931205</v>
      </c>
      <c r="Q10" s="62">
        <f t="shared" si="5"/>
        <v>461.42158211521928</v>
      </c>
      <c r="R10" s="62">
        <f t="shared" si="5"/>
        <v>483.53396388650049</v>
      </c>
      <c r="S10" s="62">
        <f t="shared" si="5"/>
        <v>507.76663800515917</v>
      </c>
      <c r="T10" s="62">
        <f t="shared" si="5"/>
        <v>534.99802235597588</v>
      </c>
      <c r="U10" s="62">
        <f t="shared" si="5"/>
        <v>520.95313843508166</v>
      </c>
      <c r="V10" s="62">
        <f t="shared" si="5"/>
        <v>443.35924333619943</v>
      </c>
      <c r="W10" s="62">
        <f t="shared" ref="W10" si="6">SUM(W11,W17)</f>
        <v>483.9055030094583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455.29152163947532</v>
      </c>
      <c r="C11" s="29">
        <f t="shared" ref="C11:V11" si="8">SUM(C12,C13,C16)</f>
        <v>434.37300297149011</v>
      </c>
      <c r="D11" s="29">
        <f t="shared" si="8"/>
        <v>444.74543202600461</v>
      </c>
      <c r="E11" s="29">
        <f t="shared" si="8"/>
        <v>461.14145343097181</v>
      </c>
      <c r="F11" s="29">
        <f t="shared" si="8"/>
        <v>432.35181021863798</v>
      </c>
      <c r="G11" s="29">
        <f t="shared" si="8"/>
        <v>425.53272068077308</v>
      </c>
      <c r="H11" s="29">
        <f t="shared" si="8"/>
        <v>415.55665022315043</v>
      </c>
      <c r="I11" s="29">
        <f t="shared" si="8"/>
        <v>407.99855440143403</v>
      </c>
      <c r="J11" s="29">
        <f t="shared" si="8"/>
        <v>388.7435201699401</v>
      </c>
      <c r="K11" s="29">
        <f t="shared" si="8"/>
        <v>394.04417270453706</v>
      </c>
      <c r="L11" s="29">
        <f t="shared" si="8"/>
        <v>406.71796618792638</v>
      </c>
      <c r="M11" s="29">
        <f t="shared" si="8"/>
        <v>399.74592545299879</v>
      </c>
      <c r="N11" s="29">
        <f t="shared" si="8"/>
        <v>416.78437414336946</v>
      </c>
      <c r="O11" s="29">
        <f t="shared" si="8"/>
        <v>425.55004685518094</v>
      </c>
      <c r="P11" s="29">
        <f t="shared" si="8"/>
        <v>399.22927814408183</v>
      </c>
      <c r="Q11" s="29">
        <f t="shared" si="8"/>
        <v>423.16778018120317</v>
      </c>
      <c r="R11" s="29">
        <f t="shared" si="8"/>
        <v>439.52448597536284</v>
      </c>
      <c r="S11" s="29">
        <f t="shared" si="8"/>
        <v>454.34313605619036</v>
      </c>
      <c r="T11" s="29">
        <f t="shared" si="8"/>
        <v>487.61265952831883</v>
      </c>
      <c r="U11" s="29">
        <f t="shared" si="8"/>
        <v>473.86528671655174</v>
      </c>
      <c r="V11" s="29">
        <f t="shared" si="8"/>
        <v>395.34866546389884</v>
      </c>
      <c r="W11" s="29">
        <f t="shared" ref="W11" si="9">SUM(W12,W13,W16)</f>
        <v>433.77950951591401</v>
      </c>
      <c r="DA11" s="173" t="s">
        <v>394</v>
      </c>
    </row>
    <row r="12" spans="1:105" ht="11.45" customHeight="1" x14ac:dyDescent="0.25">
      <c r="A12" s="107" t="s">
        <v>23</v>
      </c>
      <c r="B12" s="115">
        <v>24.334201197155874</v>
      </c>
      <c r="C12" s="115">
        <v>24.163754337655149</v>
      </c>
      <c r="D12" s="115">
        <v>25.010221327443144</v>
      </c>
      <c r="E12" s="115">
        <v>25.507100548594988</v>
      </c>
      <c r="F12" s="115">
        <v>26.236306887391059</v>
      </c>
      <c r="G12" s="115">
        <v>26.021846325315664</v>
      </c>
      <c r="H12" s="115">
        <v>26.465690674075489</v>
      </c>
      <c r="I12" s="115">
        <v>28.350551429916209</v>
      </c>
      <c r="J12" s="115">
        <v>28.627288648571302</v>
      </c>
      <c r="K12" s="115">
        <v>28.772838752020292</v>
      </c>
      <c r="L12" s="115">
        <v>28.786484547643145</v>
      </c>
      <c r="M12" s="115">
        <v>28.426384269889901</v>
      </c>
      <c r="N12" s="115">
        <v>25.780755563318984</v>
      </c>
      <c r="O12" s="115">
        <v>25.660396057327887</v>
      </c>
      <c r="P12" s="115">
        <v>25.176443812412668</v>
      </c>
      <c r="Q12" s="115">
        <v>25.107921764066877</v>
      </c>
      <c r="R12" s="115">
        <v>25.273416910371061</v>
      </c>
      <c r="S12" s="115">
        <v>26.05233813718149</v>
      </c>
      <c r="T12" s="115">
        <v>25.730061546210507</v>
      </c>
      <c r="U12" s="115">
        <v>26.688138692484671</v>
      </c>
      <c r="V12" s="115">
        <v>21.790396345589983</v>
      </c>
      <c r="W12" s="115">
        <v>26.308134867806615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397.70900689650585</v>
      </c>
      <c r="C13" s="116">
        <f t="shared" ref="C13:V13" si="11">SUM(C14:C15)</f>
        <v>366.45892482040409</v>
      </c>
      <c r="D13" s="116">
        <f t="shared" si="11"/>
        <v>374.44647920952139</v>
      </c>
      <c r="E13" s="116">
        <f t="shared" si="11"/>
        <v>389.3643583482019</v>
      </c>
      <c r="F13" s="116">
        <f t="shared" si="11"/>
        <v>358.49731681117106</v>
      </c>
      <c r="G13" s="116">
        <f t="shared" si="11"/>
        <v>350.53475624310386</v>
      </c>
      <c r="H13" s="116">
        <f t="shared" si="11"/>
        <v>343.29934866282161</v>
      </c>
      <c r="I13" s="116">
        <f t="shared" si="11"/>
        <v>336.8956997270364</v>
      </c>
      <c r="J13" s="116">
        <f t="shared" si="11"/>
        <v>313.31146647155958</v>
      </c>
      <c r="K13" s="116">
        <f t="shared" si="11"/>
        <v>309.86171892182864</v>
      </c>
      <c r="L13" s="116">
        <f t="shared" si="11"/>
        <v>318.01351653826043</v>
      </c>
      <c r="M13" s="116">
        <f t="shared" si="11"/>
        <v>308.68579481430618</v>
      </c>
      <c r="N13" s="116">
        <f t="shared" si="11"/>
        <v>328.58683366673114</v>
      </c>
      <c r="O13" s="116">
        <f t="shared" si="11"/>
        <v>338.19320759327968</v>
      </c>
      <c r="P13" s="116">
        <f t="shared" si="11"/>
        <v>313.96358073552932</v>
      </c>
      <c r="Q13" s="116">
        <f t="shared" si="11"/>
        <v>338.49092050574211</v>
      </c>
      <c r="R13" s="116">
        <f t="shared" si="11"/>
        <v>355.06940908409661</v>
      </c>
      <c r="S13" s="116">
        <f t="shared" si="11"/>
        <v>369.41609289771088</v>
      </c>
      <c r="T13" s="116">
        <f t="shared" si="11"/>
        <v>403.22350514198149</v>
      </c>
      <c r="U13" s="116">
        <f t="shared" si="11"/>
        <v>383.98164638431615</v>
      </c>
      <c r="V13" s="116">
        <f t="shared" si="11"/>
        <v>315.81229317993257</v>
      </c>
      <c r="W13" s="116">
        <f t="shared" ref="W13" si="12">SUM(W14:W15)</f>
        <v>344.73580323857726</v>
      </c>
      <c r="DA13" s="176" t="s">
        <v>396</v>
      </c>
    </row>
    <row r="14" spans="1:105" ht="11.45" customHeight="1" x14ac:dyDescent="0.25">
      <c r="A14" s="111" t="s">
        <v>95</v>
      </c>
      <c r="B14" s="87">
        <v>132.74330569954947</v>
      </c>
      <c r="C14" s="87">
        <v>116.01337938221108</v>
      </c>
      <c r="D14" s="87">
        <v>119.31799355469667</v>
      </c>
      <c r="E14" s="87">
        <v>129.10734266687868</v>
      </c>
      <c r="F14" s="87">
        <v>110.64158859367474</v>
      </c>
      <c r="G14" s="87">
        <v>94.632663650247167</v>
      </c>
      <c r="H14" s="87">
        <v>96.750882484929377</v>
      </c>
      <c r="I14" s="87">
        <v>85.433137481773215</v>
      </c>
      <c r="J14" s="87">
        <v>49.116820117738754</v>
      </c>
      <c r="K14" s="87">
        <v>48.980320308417561</v>
      </c>
      <c r="L14" s="87">
        <v>53.035810248991879</v>
      </c>
      <c r="M14" s="87">
        <v>40.644811794013087</v>
      </c>
      <c r="N14" s="87">
        <v>50.195065810088359</v>
      </c>
      <c r="O14" s="87">
        <v>35.600748934650341</v>
      </c>
      <c r="P14" s="87">
        <v>16.740594066598476</v>
      </c>
      <c r="Q14" s="87">
        <v>20.475009177779707</v>
      </c>
      <c r="R14" s="87">
        <v>13.959788173703476</v>
      </c>
      <c r="S14" s="87">
        <v>30.861985360899663</v>
      </c>
      <c r="T14" s="87">
        <v>41.465328154944601</v>
      </c>
      <c r="U14" s="87">
        <v>40.620898692146994</v>
      </c>
      <c r="V14" s="87">
        <v>40.106416831426948</v>
      </c>
      <c r="W14" s="87">
        <v>34.755950175232968</v>
      </c>
      <c r="DA14" s="171" t="s">
        <v>1106</v>
      </c>
    </row>
    <row r="15" spans="1:105" ht="11.45" customHeight="1" x14ac:dyDescent="0.25">
      <c r="A15" s="111" t="s">
        <v>93</v>
      </c>
      <c r="B15" s="87">
        <v>264.96570119695639</v>
      </c>
      <c r="C15" s="87">
        <v>250.44554543819299</v>
      </c>
      <c r="D15" s="87">
        <v>255.12848565482474</v>
      </c>
      <c r="E15" s="87">
        <v>260.2570156813232</v>
      </c>
      <c r="F15" s="87">
        <v>247.85572821749633</v>
      </c>
      <c r="G15" s="87">
        <v>255.90209259285669</v>
      </c>
      <c r="H15" s="87">
        <v>246.54846617789224</v>
      </c>
      <c r="I15" s="87">
        <v>251.4625622452632</v>
      </c>
      <c r="J15" s="87">
        <v>264.19464635382081</v>
      </c>
      <c r="K15" s="87">
        <v>260.88139861341108</v>
      </c>
      <c r="L15" s="87">
        <v>264.97770628926855</v>
      </c>
      <c r="M15" s="87">
        <v>268.04098302029308</v>
      </c>
      <c r="N15" s="87">
        <v>278.39176785664279</v>
      </c>
      <c r="O15" s="87">
        <v>302.59245865862937</v>
      </c>
      <c r="P15" s="87">
        <v>297.22298666893084</v>
      </c>
      <c r="Q15" s="87">
        <v>318.01591132796239</v>
      </c>
      <c r="R15" s="87">
        <v>341.10962091039312</v>
      </c>
      <c r="S15" s="87">
        <v>338.55410753681122</v>
      </c>
      <c r="T15" s="87">
        <v>361.7581769870369</v>
      </c>
      <c r="U15" s="87">
        <v>343.36074769216913</v>
      </c>
      <c r="V15" s="87">
        <v>275.70587634850563</v>
      </c>
      <c r="W15" s="87">
        <v>309.97985306334431</v>
      </c>
      <c r="DA15" s="171" t="s">
        <v>1107</v>
      </c>
    </row>
    <row r="16" spans="1:105" ht="11.45" customHeight="1" x14ac:dyDescent="0.25">
      <c r="A16" s="112" t="s">
        <v>25</v>
      </c>
      <c r="B16" s="117">
        <v>33.248313545813552</v>
      </c>
      <c r="C16" s="117">
        <v>43.750323813430924</v>
      </c>
      <c r="D16" s="117">
        <v>45.288731489040053</v>
      </c>
      <c r="E16" s="117">
        <v>46.269994534174955</v>
      </c>
      <c r="F16" s="117">
        <v>47.618186520075902</v>
      </c>
      <c r="G16" s="117">
        <v>48.976118112353582</v>
      </c>
      <c r="H16" s="117">
        <v>45.791610886253366</v>
      </c>
      <c r="I16" s="117">
        <v>42.752303244481396</v>
      </c>
      <c r="J16" s="117">
        <v>46.80476504980922</v>
      </c>
      <c r="K16" s="117">
        <v>55.409615030688151</v>
      </c>
      <c r="L16" s="117">
        <v>59.917965102022798</v>
      </c>
      <c r="M16" s="117">
        <v>62.633746368802683</v>
      </c>
      <c r="N16" s="117">
        <v>62.41678491331934</v>
      </c>
      <c r="O16" s="117">
        <v>61.696443204573391</v>
      </c>
      <c r="P16" s="117">
        <v>60.089253596139827</v>
      </c>
      <c r="Q16" s="117">
        <v>59.568937911394173</v>
      </c>
      <c r="R16" s="117">
        <v>59.181659980895155</v>
      </c>
      <c r="S16" s="117">
        <v>58.874705021297956</v>
      </c>
      <c r="T16" s="117">
        <v>58.659092840126839</v>
      </c>
      <c r="U16" s="117">
        <v>63.195501639750894</v>
      </c>
      <c r="V16" s="117">
        <v>57.745975938376283</v>
      </c>
      <c r="W16" s="117">
        <v>62.735571409530159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70.862132702742969</v>
      </c>
      <c r="C17" s="29">
        <f t="shared" si="13"/>
        <v>64.523557647598295</v>
      </c>
      <c r="D17" s="29">
        <f t="shared" si="13"/>
        <v>61.244851722920622</v>
      </c>
      <c r="E17" s="29">
        <f t="shared" si="13"/>
        <v>62.848228426293844</v>
      </c>
      <c r="F17" s="29">
        <f t="shared" si="13"/>
        <v>68.923598207845203</v>
      </c>
      <c r="G17" s="29">
        <f t="shared" si="13"/>
        <v>66.714312853190762</v>
      </c>
      <c r="H17" s="29">
        <f t="shared" si="13"/>
        <v>74.669747025344776</v>
      </c>
      <c r="I17" s="29">
        <f t="shared" si="13"/>
        <v>77.856991600285568</v>
      </c>
      <c r="J17" s="29">
        <f t="shared" si="13"/>
        <v>73.279953604780374</v>
      </c>
      <c r="K17" s="29">
        <f t="shared" si="13"/>
        <v>50.409825575772537</v>
      </c>
      <c r="L17" s="29">
        <f t="shared" si="13"/>
        <v>51.278594431162091</v>
      </c>
      <c r="M17" s="29">
        <f t="shared" si="13"/>
        <v>49.996120978643525</v>
      </c>
      <c r="N17" s="29">
        <f t="shared" si="13"/>
        <v>50.455522675203184</v>
      </c>
      <c r="O17" s="29">
        <f t="shared" si="13"/>
        <v>45.874458733812972</v>
      </c>
      <c r="P17" s="29">
        <f t="shared" si="13"/>
        <v>46.428503455230235</v>
      </c>
      <c r="Q17" s="29">
        <f t="shared" si="13"/>
        <v>38.253801934016124</v>
      </c>
      <c r="R17" s="29">
        <f t="shared" si="13"/>
        <v>44.009477911137623</v>
      </c>
      <c r="S17" s="29">
        <f t="shared" si="13"/>
        <v>53.423501948968834</v>
      </c>
      <c r="T17" s="29">
        <f t="shared" si="13"/>
        <v>47.385362827657012</v>
      </c>
      <c r="U17" s="29">
        <f t="shared" si="13"/>
        <v>47.087851718529933</v>
      </c>
      <c r="V17" s="29">
        <f t="shared" si="13"/>
        <v>48.010577872300587</v>
      </c>
      <c r="W17" s="29">
        <f t="shared" si="13"/>
        <v>50.125993493544271</v>
      </c>
      <c r="DA17" s="173" t="s">
        <v>401</v>
      </c>
    </row>
    <row r="18" spans="1:105" ht="11.45" customHeight="1" x14ac:dyDescent="0.25">
      <c r="A18" s="83" t="s">
        <v>95</v>
      </c>
      <c r="B18" s="87">
        <v>6.6519651516972136</v>
      </c>
      <c r="C18" s="87">
        <v>5.0671881156393139</v>
      </c>
      <c r="D18" s="87">
        <v>4.8150245020531299</v>
      </c>
      <c r="E18" s="87">
        <v>5.2004819246948237</v>
      </c>
      <c r="F18" s="87">
        <v>6.3689875026279585</v>
      </c>
      <c r="G18" s="87">
        <v>4.0632090926591076</v>
      </c>
      <c r="H18" s="87">
        <v>17.207243052473927</v>
      </c>
      <c r="I18" s="87">
        <v>21.40263207970569</v>
      </c>
      <c r="J18" s="87">
        <v>22.106997595072926</v>
      </c>
      <c r="K18" s="87">
        <v>12.068690869570394</v>
      </c>
      <c r="L18" s="87">
        <v>11.065651487895479</v>
      </c>
      <c r="M18" s="87">
        <v>5.1419465894778824</v>
      </c>
      <c r="N18" s="87">
        <v>4.7490442501007983</v>
      </c>
      <c r="O18" s="87">
        <v>3.0636534729162879</v>
      </c>
      <c r="P18" s="87">
        <v>1.5741092867979116</v>
      </c>
      <c r="Q18" s="87">
        <v>1.9095995926416109</v>
      </c>
      <c r="R18" s="87">
        <v>1.3024646207935136</v>
      </c>
      <c r="S18" s="87">
        <v>2.7149707869937152</v>
      </c>
      <c r="T18" s="87">
        <v>3.3039753704208366</v>
      </c>
      <c r="U18" s="87">
        <v>3.1308639905701159</v>
      </c>
      <c r="V18" s="87">
        <v>4.010694088607444</v>
      </c>
      <c r="W18" s="87">
        <v>3.3885038230473405</v>
      </c>
      <c r="DA18" s="171" t="s">
        <v>1108</v>
      </c>
    </row>
    <row r="19" spans="1:105" ht="11.45" customHeight="1" x14ac:dyDescent="0.25">
      <c r="A19" s="85" t="s">
        <v>93</v>
      </c>
      <c r="B19" s="88">
        <v>64.210167551045757</v>
      </c>
      <c r="C19" s="88">
        <v>59.456369531958984</v>
      </c>
      <c r="D19" s="88">
        <v>56.429827220867494</v>
      </c>
      <c r="E19" s="88">
        <v>57.647746501599016</v>
      </c>
      <c r="F19" s="88">
        <v>62.55461070521725</v>
      </c>
      <c r="G19" s="88">
        <v>62.651103760531655</v>
      </c>
      <c r="H19" s="88">
        <v>57.462503972870856</v>
      </c>
      <c r="I19" s="88">
        <v>56.454359520579871</v>
      </c>
      <c r="J19" s="88">
        <v>51.172956009707448</v>
      </c>
      <c r="K19" s="88">
        <v>38.341134706202141</v>
      </c>
      <c r="L19" s="88">
        <v>40.212942943266611</v>
      </c>
      <c r="M19" s="88">
        <v>44.854174389165642</v>
      </c>
      <c r="N19" s="88">
        <v>45.706478425102389</v>
      </c>
      <c r="O19" s="88">
        <v>42.810805260896686</v>
      </c>
      <c r="P19" s="88">
        <v>44.854394168432322</v>
      </c>
      <c r="Q19" s="88">
        <v>36.344202341374512</v>
      </c>
      <c r="R19" s="88">
        <v>42.707013290344108</v>
      </c>
      <c r="S19" s="88">
        <v>50.708531161975117</v>
      </c>
      <c r="T19" s="88">
        <v>44.081387457236175</v>
      </c>
      <c r="U19" s="88">
        <v>43.95698772795982</v>
      </c>
      <c r="V19" s="88">
        <v>43.999883783693143</v>
      </c>
      <c r="W19" s="88">
        <v>46.737489670496927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147.18631527479118</v>
      </c>
      <c r="C23" s="62">
        <f>IF(C10=0,0,C10/TrRail_act!C14*100)</f>
        <v>143.78872691830603</v>
      </c>
      <c r="D23" s="62">
        <f>IF(D10=0,0,D10/TrRail_act!D14*100)</f>
        <v>141.72081130444991</v>
      </c>
      <c r="E23" s="62">
        <f>IF(E10=0,0,E10/TrRail_act!E14*100)</f>
        <v>139.70150831348448</v>
      </c>
      <c r="F23" s="62">
        <f>IF(F10=0,0,F10/TrRail_act!F14*100)</f>
        <v>136.35257263751194</v>
      </c>
      <c r="G23" s="62">
        <f>IF(G10=0,0,G10/TrRail_act!G14*100)</f>
        <v>131.93645960998086</v>
      </c>
      <c r="H23" s="62">
        <f>IF(H10=0,0,H10/TrRail_act!H14*100)</f>
        <v>131.43150805896252</v>
      </c>
      <c r="I23" s="62">
        <f>IF(I10=0,0,I10/TrRail_act!I14*100)</f>
        <v>127.16488421550571</v>
      </c>
      <c r="J23" s="62">
        <f>IF(J10=0,0,J10/TrRail_act!J14*100)</f>
        <v>121.3378214590231</v>
      </c>
      <c r="K23" s="62">
        <f>IF(K10=0,0,K10/TrRail_act!K14*100)</f>
        <v>119.01732164915626</v>
      </c>
      <c r="L23" s="62">
        <f>IF(L10=0,0,L10/TrRail_act!L14*100)</f>
        <v>117.24003108853451</v>
      </c>
      <c r="M23" s="62">
        <f>IF(M10=0,0,M10/TrRail_act!M14*100)</f>
        <v>114.93945694523833</v>
      </c>
      <c r="N23" s="62">
        <f>IF(N10=0,0,N10/TrRail_act!N14*100)</f>
        <v>114.95437025073423</v>
      </c>
      <c r="O23" s="62">
        <f>IF(O10=0,0,O10/TrRail_act!O14*100)</f>
        <v>112.4948981472083</v>
      </c>
      <c r="P23" s="62">
        <f>IF(P10=0,0,P10/TrRail_act!P14*100)</f>
        <v>108.16529229826524</v>
      </c>
      <c r="Q23" s="62">
        <f>IF(Q10=0,0,Q10/TrRail_act!Q14*100)</f>
        <v>106.53321100887807</v>
      </c>
      <c r="R23" s="62">
        <f>IF(R10=0,0,R10/TrRail_act!R14*100)</f>
        <v>104.91792673453502</v>
      </c>
      <c r="S23" s="62">
        <f>IF(S10=0,0,S10/TrRail_act!S14*100)</f>
        <v>105.53895435873268</v>
      </c>
      <c r="T23" s="62">
        <f>IF(T10=0,0,T10/TrRail_act!T14*100)</f>
        <v>106.07339892125091</v>
      </c>
      <c r="U23" s="62">
        <f>IF(U10=0,0,U10/TrRail_act!U14*100)</f>
        <v>105.10896307981614</v>
      </c>
      <c r="V23" s="62">
        <f>IF(V10=0,0,V10/TrRail_act!V14*100)</f>
        <v>106.32725509968569</v>
      </c>
      <c r="W23" s="62">
        <f>IF(W10=0,0,W10/TrRail_act!W14*100)</f>
        <v>103.89651829756521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140.78109272939486</v>
      </c>
      <c r="C24" s="29">
        <f>IF(C11=0,0,C11/TrRail_act!C15*100)</f>
        <v>137.9586072710899</v>
      </c>
      <c r="D24" s="29">
        <f>IF(D11=0,0,D11/TrRail_act!D15*100)</f>
        <v>136.35862453468633</v>
      </c>
      <c r="E24" s="29">
        <f>IF(E11=0,0,E11/TrRail_act!E15*100)</f>
        <v>134.64764672496551</v>
      </c>
      <c r="F24" s="29">
        <f>IF(F11=0,0,F11/TrRail_act!F15*100)</f>
        <v>130.89753417276961</v>
      </c>
      <c r="G24" s="29">
        <f>IF(G11=0,0,G11/TrRail_act!G15*100)</f>
        <v>127.10630665570942</v>
      </c>
      <c r="H24" s="29">
        <f>IF(H11=0,0,H11/TrRail_act!H15*100)</f>
        <v>124.7487390608502</v>
      </c>
      <c r="I24" s="29">
        <f>IF(I11=0,0,I11/TrRail_act!I15*100)</f>
        <v>119.77876670319205</v>
      </c>
      <c r="J24" s="29">
        <f>IF(J11=0,0,J11/TrRail_act!J15*100)</f>
        <v>113.74996869381914</v>
      </c>
      <c r="K24" s="29">
        <f>IF(K11=0,0,K11/TrRail_act!K15*100)</f>
        <v>114.37536208365093</v>
      </c>
      <c r="L24" s="29">
        <f>IF(L11=0,0,L11/TrRail_act!L15*100)</f>
        <v>112.76981158278218</v>
      </c>
      <c r="M24" s="29">
        <f>IF(M11=0,0,M11/TrRail_act!M15*100)</f>
        <v>111.36615026283624</v>
      </c>
      <c r="N24" s="29">
        <f>IF(N11=0,0,N11/TrRail_act!N15*100)</f>
        <v>111.72007903517309</v>
      </c>
      <c r="O24" s="29">
        <f>IF(O11=0,0,O11/TrRail_act!O15*100)</f>
        <v>109.84609130875043</v>
      </c>
      <c r="P24" s="29">
        <f>IF(P11=0,0,P11/TrRail_act!P15*100)</f>
        <v>105.49978162366654</v>
      </c>
      <c r="Q24" s="29">
        <f>IF(Q11=0,0,Q11/TrRail_act!Q15*100)</f>
        <v>104.56651389933862</v>
      </c>
      <c r="R24" s="29">
        <f>IF(R11=0,0,R11/TrRail_act!R15*100)</f>
        <v>102.9087548929021</v>
      </c>
      <c r="S24" s="29">
        <f>IF(S11=0,0,S11/TrRail_act!S15*100)</f>
        <v>103.1818690997958</v>
      </c>
      <c r="T24" s="29">
        <f>IF(T11=0,0,T11/TrRail_act!T15*100)</f>
        <v>104.10319100038879</v>
      </c>
      <c r="U24" s="29">
        <f>IF(U11=0,0,U11/TrRail_act!U15*100)</f>
        <v>103.09962148596337</v>
      </c>
      <c r="V24" s="29">
        <f>IF(V11=0,0,V11/TrRail_act!V15*100)</f>
        <v>103.89682934536893</v>
      </c>
      <c r="W24" s="29">
        <f>IF(W11=0,0,W11/TrRail_act!W15*100)</f>
        <v>101.544496952203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38.532993557815423</v>
      </c>
      <c r="C25" s="115">
        <f>IF(C12=0,0,C12/TrRail_act!C16*100)</f>
        <v>38.266695472725189</v>
      </c>
      <c r="D25" s="115">
        <f>IF(D12=0,0,D12/TrRail_act!D16*100)</f>
        <v>37.615057144580426</v>
      </c>
      <c r="E25" s="115">
        <f>IF(E12=0,0,E12/TrRail_act!E16*100)</f>
        <v>37.287126608106739</v>
      </c>
      <c r="F25" s="115">
        <f>IF(F12=0,0,F12/TrRail_act!F16*100)</f>
        <v>37.129788175479256</v>
      </c>
      <c r="G25" s="115">
        <f>IF(G12=0,0,G12/TrRail_act!G16*100)</f>
        <v>36.373505800276348</v>
      </c>
      <c r="H25" s="115">
        <f>IF(H12=0,0,H12/TrRail_act!H16*100)</f>
        <v>35.420742768334392</v>
      </c>
      <c r="I25" s="115">
        <f>IF(I12=0,0,I12/TrRail_act!I16*100)</f>
        <v>35.094203086405386</v>
      </c>
      <c r="J25" s="115">
        <f>IF(J12=0,0,J12/TrRail_act!J16*100)</f>
        <v>34.607748418262723</v>
      </c>
      <c r="K25" s="115">
        <f>IF(K12=0,0,K12/TrRail_act!K16*100)</f>
        <v>34.213683113847495</v>
      </c>
      <c r="L25" s="115">
        <f>IF(L12=0,0,L12/TrRail_act!L16*100)</f>
        <v>33.38108230052751</v>
      </c>
      <c r="M25" s="115">
        <f>IF(M12=0,0,M12/TrRail_act!M16*100)</f>
        <v>33.007853326885964</v>
      </c>
      <c r="N25" s="115">
        <f>IF(N12=0,0,N12/TrRail_act!N16*100)</f>
        <v>32.629767107865618</v>
      </c>
      <c r="O25" s="115">
        <f>IF(O12=0,0,O12/TrRail_act!O16*100)</f>
        <v>32.204634571610633</v>
      </c>
      <c r="P25" s="115">
        <f>IF(P12=0,0,P12/TrRail_act!P16*100)</f>
        <v>31.471853127040429</v>
      </c>
      <c r="Q25" s="115">
        <f>IF(Q12=0,0,Q12/TrRail_act!Q16*100)</f>
        <v>30.779206490783434</v>
      </c>
      <c r="R25" s="115">
        <f>IF(R12=0,0,R12/TrRail_act!R16*100)</f>
        <v>30.269743914366643</v>
      </c>
      <c r="S25" s="115">
        <f>IF(S12=0,0,S12/TrRail_act!S16*100)</f>
        <v>29.893188620928708</v>
      </c>
      <c r="T25" s="115">
        <f>IF(T12=0,0,T12/TrRail_act!T16*100)</f>
        <v>29.613849450771724</v>
      </c>
      <c r="U25" s="115">
        <f>IF(U12=0,0,U12/TrRail_act!U16*100)</f>
        <v>29.406059424378974</v>
      </c>
      <c r="V25" s="115">
        <f>IF(V12=0,0,V12/TrRail_act!V16*100)</f>
        <v>29.25117427120038</v>
      </c>
      <c r="W25" s="115">
        <f>IF(W12=0,0,W12/TrRail_act!W16*100)</f>
        <v>29.135546009245282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161.96811081760032</v>
      </c>
      <c r="C26" s="116">
        <f>IF(C13=0,0,C13/TrRail_act!C17*100)</f>
        <v>157.84841948427828</v>
      </c>
      <c r="D26" s="116">
        <f>IF(D13=0,0,D13/TrRail_act!D17*100)</f>
        <v>156.53795375748953</v>
      </c>
      <c r="E26" s="116">
        <f>IF(E13=0,0,E13/TrRail_act!E17*100)</f>
        <v>154.14968042113054</v>
      </c>
      <c r="F26" s="116">
        <f>IF(F13=0,0,F13/TrRail_act!F17*100)</f>
        <v>151.44092861884013</v>
      </c>
      <c r="G26" s="116">
        <f>IF(G13=0,0,G13/TrRail_act!G17*100)</f>
        <v>147.25024825787762</v>
      </c>
      <c r="H26" s="116">
        <f>IF(H13=0,0,H13/TrRail_act!H17*100)</f>
        <v>146.57358471790059</v>
      </c>
      <c r="I26" s="116">
        <f>IF(I13=0,0,I13/TrRail_act!I17*100)</f>
        <v>142.83168405996295</v>
      </c>
      <c r="J26" s="116">
        <f>IF(J13=0,0,J13/TrRail_act!J17*100)</f>
        <v>134.74216461710461</v>
      </c>
      <c r="K26" s="116">
        <f>IF(K13=0,0,K13/TrRail_act!K17*100)</f>
        <v>135.1805984496155</v>
      </c>
      <c r="L26" s="116">
        <f>IF(L13=0,0,L13/TrRail_act!L17*100)</f>
        <v>132.07352016767868</v>
      </c>
      <c r="M26" s="116">
        <f>IF(M13=0,0,M13/TrRail_act!M17*100)</f>
        <v>130.12390921876084</v>
      </c>
      <c r="N26" s="116">
        <f>IF(N13=0,0,N13/TrRail_act!N17*100)</f>
        <v>127.87094081180193</v>
      </c>
      <c r="O26" s="116">
        <f>IF(O13=0,0,O13/TrRail_act!O17*100)</f>
        <v>124.95928806686673</v>
      </c>
      <c r="P26" s="116">
        <f>IF(P13=0,0,P13/TrRail_act!P17*100)</f>
        <v>120.13759987188313</v>
      </c>
      <c r="Q26" s="116">
        <f>IF(Q13=0,0,Q13/TrRail_act!Q17*100)</f>
        <v>118.34123988832623</v>
      </c>
      <c r="R26" s="116">
        <f>IF(R13=0,0,R13/TrRail_act!R17*100)</f>
        <v>115.83763412270646</v>
      </c>
      <c r="S26" s="116">
        <f>IF(S13=0,0,S13/TrRail_act!S17*100)</f>
        <v>116.86368741156066</v>
      </c>
      <c r="T26" s="116">
        <f>IF(T13=0,0,T13/TrRail_act!T17*100)</f>
        <v>117.06777075278943</v>
      </c>
      <c r="U26" s="116">
        <f>IF(U13=0,0,U13/TrRail_act!U17*100)</f>
        <v>116.77842945377466</v>
      </c>
      <c r="V26" s="116">
        <f>IF(V13=0,0,V13/TrRail_act!V17*100)</f>
        <v>117.24765863074349</v>
      </c>
      <c r="W26" s="116">
        <f>IF(W13=0,0,W13/TrRail_act!W17*100)</f>
        <v>116.07882421122105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273.73357038044293</v>
      </c>
      <c r="C27" s="87">
        <f>IF(C14=0,0,C14/TrRail_act!C18*100)</f>
        <v>260.92986434127295</v>
      </c>
      <c r="D27" s="87">
        <f>IF(D14=0,0,D14/TrRail_act!D18*100)</f>
        <v>253.09144315939272</v>
      </c>
      <c r="E27" s="87">
        <f>IF(E14=0,0,E14/TrRail_act!E18*100)</f>
        <v>247.69002904564908</v>
      </c>
      <c r="F27" s="87">
        <f>IF(F14=0,0,F14/TrRail_act!F18*100)</f>
        <v>238.16361539129792</v>
      </c>
      <c r="G27" s="87">
        <f>IF(G14=0,0,G14/TrRail_act!G18*100)</f>
        <v>230.08574017545826</v>
      </c>
      <c r="H27" s="87">
        <f>IF(H14=0,0,H14/TrRail_act!H18*100)</f>
        <v>226.0456510048158</v>
      </c>
      <c r="I27" s="87">
        <f>IF(I14=0,0,I14/TrRail_act!I18*100)</f>
        <v>223.98938022307021</v>
      </c>
      <c r="J27" s="87">
        <f>IF(J14=0,0,J14/TrRail_act!J18*100)</f>
        <v>217.35631644080081</v>
      </c>
      <c r="K27" s="87">
        <f>IF(K14=0,0,K14/TrRail_act!K18*100)</f>
        <v>215.76242162782364</v>
      </c>
      <c r="L27" s="87">
        <f>IF(L14=0,0,L14/TrRail_act!L18*100)</f>
        <v>213.29269623144404</v>
      </c>
      <c r="M27" s="87">
        <f>IF(M14=0,0,M14/TrRail_act!M18*100)</f>
        <v>200.34210791102009</v>
      </c>
      <c r="N27" s="87">
        <f>IF(N14=0,0,N14/TrRail_act!N18*100)</f>
        <v>189.75800870901122</v>
      </c>
      <c r="O27" s="87">
        <f>IF(O14=0,0,O14/TrRail_act!O18*100)</f>
        <v>183.64040754705641</v>
      </c>
      <c r="P27" s="87">
        <f>IF(P14=0,0,P14/TrRail_act!P18*100)</f>
        <v>177.71551423344289</v>
      </c>
      <c r="Q27" s="87">
        <f>IF(Q14=0,0,Q14/TrRail_act!Q18*100)</f>
        <v>175.92424304470885</v>
      </c>
      <c r="R27" s="87">
        <f>IF(R14=0,0,R14/TrRail_act!R18*100)</f>
        <v>169.35486877965667</v>
      </c>
      <c r="S27" s="87">
        <f>IF(S14=0,0,S14/TrRail_act!S18*100)</f>
        <v>166.23522562345221</v>
      </c>
      <c r="T27" s="87">
        <f>IF(T14=0,0,T14/TrRail_act!T18*100)</f>
        <v>163.93326364817008</v>
      </c>
      <c r="U27" s="87">
        <f>IF(U14=0,0,U14/TrRail_act!U18*100)</f>
        <v>162.22773549030705</v>
      </c>
      <c r="V27" s="87">
        <f>IF(V14=0,0,V14/TrRail_act!V18*100)</f>
        <v>160.96024397830169</v>
      </c>
      <c r="W27" s="87">
        <f>IF(W14=0,0,W14/TrRail_act!W18*100)</f>
        <v>160.01612840328585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134.46342522056327</v>
      </c>
      <c r="C28" s="87">
        <f>IF(C15=0,0,C15/TrRail_act!C19*100)</f>
        <v>133.43059833090678</v>
      </c>
      <c r="D28" s="87">
        <f>IF(D15=0,0,D15/TrRail_act!D19*100)</f>
        <v>132.83742893611398</v>
      </c>
      <c r="E28" s="87">
        <f>IF(E15=0,0,E15/TrRail_act!E19*100)</f>
        <v>129.82735163208275</v>
      </c>
      <c r="F28" s="87">
        <f>IF(F15=0,0,F15/TrRail_act!F19*100)</f>
        <v>130.2665923882586</v>
      </c>
      <c r="G28" s="87">
        <f>IF(G15=0,0,G15/TrRail_act!G19*100)</f>
        <v>129.94936973711037</v>
      </c>
      <c r="H28" s="87">
        <f>IF(H15=0,0,H15/TrRail_act!H19*100)</f>
        <v>128.80317117405943</v>
      </c>
      <c r="I28" s="87">
        <f>IF(I15=0,0,I15/TrRail_act!I19*100)</f>
        <v>127.17637186569009</v>
      </c>
      <c r="J28" s="87">
        <f>IF(J15=0,0,J15/TrRail_act!J19*100)</f>
        <v>125.849347124885</v>
      </c>
      <c r="K28" s="87">
        <f>IF(K15=0,0,K15/TrRail_act!K19*100)</f>
        <v>126.32288124162712</v>
      </c>
      <c r="L28" s="87">
        <f>IF(L15=0,0,L15/TrRail_act!L19*100)</f>
        <v>122.72034566982643</v>
      </c>
      <c r="M28" s="87">
        <f>IF(M15=0,0,M15/TrRail_act!M19*100)</f>
        <v>123.55717656073564</v>
      </c>
      <c r="N28" s="87">
        <f>IF(N15=0,0,N15/TrRail_act!N19*100)</f>
        <v>120.76926481518137</v>
      </c>
      <c r="O28" s="87">
        <f>IF(O15=0,0,O15/TrRail_act!O19*100)</f>
        <v>120.43164888876569</v>
      </c>
      <c r="P28" s="87">
        <f>IF(P15=0,0,P15/TrRail_act!P19*100)</f>
        <v>117.98459815462256</v>
      </c>
      <c r="Q28" s="87">
        <f>IF(Q15=0,0,Q15/TrRail_act!Q19*100)</f>
        <v>115.89880588823421</v>
      </c>
      <c r="R28" s="87">
        <f>IF(R15=0,0,R15/TrRail_act!R19*100)</f>
        <v>114.35869590577734</v>
      </c>
      <c r="S28" s="87">
        <f>IF(S15=0,0,S15/TrRail_act!S19*100)</f>
        <v>113.78314419908084</v>
      </c>
      <c r="T28" s="87">
        <f>IF(T15=0,0,T15/TrRail_act!T19*100)</f>
        <v>113.35338215931696</v>
      </c>
      <c r="U28" s="87">
        <f>IF(U15=0,0,U15/TrRail_act!U19*100)</f>
        <v>113.03212620523738</v>
      </c>
      <c r="V28" s="87">
        <f>IF(V15=0,0,V15/TrRail_act!V19*100)</f>
        <v>112.79178187999437</v>
      </c>
      <c r="W28" s="87">
        <f>IF(W15=0,0,W15/TrRail_act!W19*100)</f>
        <v>112.61185907390299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226.10880862315642</v>
      </c>
      <c r="C29" s="117">
        <f>IF(C16=0,0,C16/TrRail_act!C20*100)</f>
        <v>223.75157466509106</v>
      </c>
      <c r="D29" s="117">
        <f>IF(D16=0,0,D16/TrRail_act!D20*100)</f>
        <v>221.31141465393341</v>
      </c>
      <c r="E29" s="117">
        <f>IF(E16=0,0,E16/TrRail_act!E20*100)</f>
        <v>215.36563351753571</v>
      </c>
      <c r="F29" s="117">
        <f>IF(F16=0,0,F16/TrRail_act!F20*100)</f>
        <v>207.8250037289163</v>
      </c>
      <c r="G29" s="117">
        <f>IF(G16=0,0,G16/TrRail_act!G20*100)</f>
        <v>194.42315318703695</v>
      </c>
      <c r="H29" s="117">
        <f>IF(H16=0,0,H16/TrRail_act!H20*100)</f>
        <v>189.37435844019731</v>
      </c>
      <c r="I29" s="117">
        <f>IF(I16=0,0,I16/TrRail_act!I20*100)</f>
        <v>178.33068253805286</v>
      </c>
      <c r="J29" s="117">
        <f>IF(J16=0,0,J16/TrRail_act!J20*100)</f>
        <v>176.57733293439094</v>
      </c>
      <c r="K29" s="117">
        <f>IF(K16=0,0,K16/TrRail_act!K20*100)</f>
        <v>177.59271082130078</v>
      </c>
      <c r="L29" s="117">
        <f>IF(L16=0,0,L16/TrRail_act!L20*100)</f>
        <v>178.11019267084887</v>
      </c>
      <c r="M29" s="117">
        <f>IF(M16=0,0,M16/TrRail_act!M20*100)</f>
        <v>175.92337074938558</v>
      </c>
      <c r="N29" s="117">
        <f>IF(N16=0,0,N16/TrRail_act!N20*100)</f>
        <v>168.31276428934535</v>
      </c>
      <c r="O29" s="117">
        <f>IF(O16=0,0,O16/TrRail_act!O20*100)</f>
        <v>166.37029473727992</v>
      </c>
      <c r="P29" s="117">
        <f>IF(P16=0,0,P16/TrRail_act!P20*100)</f>
        <v>162.03635594007605</v>
      </c>
      <c r="Q29" s="117">
        <f>IF(Q16=0,0,Q16/TrRail_act!Q20*100)</f>
        <v>160.63327548144198</v>
      </c>
      <c r="R29" s="117">
        <f>IF(R16=0,0,R16/TrRail_act!R20*100)</f>
        <v>159.5889439106783</v>
      </c>
      <c r="S29" s="117">
        <f>IF(S16=0,0,S16/TrRail_act!S20*100)</f>
        <v>158.81015329692968</v>
      </c>
      <c r="T29" s="117">
        <f>IF(T16=0,0,T16/TrRail_act!T20*100)</f>
        <v>158.2285554183147</v>
      </c>
      <c r="U29" s="117">
        <f>IF(U16=0,0,U16/TrRail_act!U20*100)</f>
        <v>157.79375520952448</v>
      </c>
      <c r="V29" s="117">
        <f>IF(V16=0,0,V16/TrRail_act!V20*100)</f>
        <v>157.46843931913855</v>
      </c>
      <c r="W29" s="117">
        <f>IF(W16=0,0,W16/TrRail_act!W20*100)</f>
        <v>157.22489261610752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207.9856065734532</v>
      </c>
      <c r="C30" s="29">
        <f>IF(C17=0,0,C17/TrRail_act!C21*100)</f>
        <v>200.9609098433551</v>
      </c>
      <c r="D30" s="29">
        <f>IF(D17=0,0,D17/TrRail_act!D21*100)</f>
        <v>198.36699346645023</v>
      </c>
      <c r="E30" s="29">
        <f>IF(E17=0,0,E17/TrRail_act!E21*100)</f>
        <v>192.79840460239294</v>
      </c>
      <c r="F30" s="29">
        <f>IF(F17=0,0,F17/TrRail_act!F21*100)</f>
        <v>184.61402427013761</v>
      </c>
      <c r="G30" s="29">
        <f>IF(G17=0,0,G17/TrRail_act!G21*100)</f>
        <v>174.14736076412339</v>
      </c>
      <c r="H30" s="29">
        <f>IF(H17=0,0,H17/TrRail_act!H21*100)</f>
        <v>187.25907761573245</v>
      </c>
      <c r="I30" s="29">
        <f>IF(I17=0,0,I17/TrRail_act!I21*100)</f>
        <v>187.87609752362292</v>
      </c>
      <c r="J30" s="29">
        <f>IF(J17=0,0,J17/TrRail_act!J21*100)</f>
        <v>187.79209000048567</v>
      </c>
      <c r="K30" s="29">
        <f>IF(K17=0,0,K17/TrRail_act!K21*100)</f>
        <v>174.31993249187786</v>
      </c>
      <c r="L30" s="29">
        <f>IF(L17=0,0,L17/TrRail_act!L21*100)</f>
        <v>171.00547833684595</v>
      </c>
      <c r="M30" s="29">
        <f>IF(M17=0,0,M17/TrRail_act!M21*100)</f>
        <v>154.60192275738564</v>
      </c>
      <c r="N30" s="29">
        <f>IF(N17=0,0,N17/TrRail_act!N21*100)</f>
        <v>151.08460892693216</v>
      </c>
      <c r="O30" s="29">
        <f>IF(O17=0,0,O17/TrRail_act!O21*100)</f>
        <v>144.90964777752168</v>
      </c>
      <c r="P30" s="29">
        <f>IF(P17=0,0,P17/TrRail_act!P21*100)</f>
        <v>138.18685516852662</v>
      </c>
      <c r="Q30" s="29">
        <f>IF(Q17=0,0,Q17/TrRail_act!Q21*100)</f>
        <v>134.52135272384461</v>
      </c>
      <c r="R30" s="29">
        <f>IF(R17=0,0,R17/TrRail_act!R21*100)</f>
        <v>130.3304298652609</v>
      </c>
      <c r="S30" s="29">
        <f>IF(S17=0,0,S17/TrRail_act!S21*100)</f>
        <v>130.98680219981941</v>
      </c>
      <c r="T30" s="29">
        <f>IF(T17=0,0,T17/TrRail_act!T21*100)</f>
        <v>131.72738475477817</v>
      </c>
      <c r="U30" s="29">
        <f>IF(U17=0,0,U17/TrRail_act!U21*100)</f>
        <v>130.75358692946779</v>
      </c>
      <c r="V30" s="29">
        <f>IF(V17=0,0,V17/TrRail_act!V21*100)</f>
        <v>131.69578375574901</v>
      </c>
      <c r="W30" s="29">
        <f>IF(W17=0,0,W17/TrRail_act!W21*100)</f>
        <v>129.94260449963471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486.99833468207692</v>
      </c>
      <c r="C31" s="87">
        <f>IF(C18=0,0,C18/TrRail_act!C22*100)</f>
        <v>476.48435764255765</v>
      </c>
      <c r="D31" s="87">
        <f>IF(D18=0,0,D18/TrRail_act!D22*100)</f>
        <v>471.2343681103942</v>
      </c>
      <c r="E31" s="87">
        <f>IF(E18=0,0,E18/TrRail_act!E22*100)</f>
        <v>464.30326926241128</v>
      </c>
      <c r="F31" s="87">
        <f>IF(F18=0,0,F18/TrRail_act!F22*100)</f>
        <v>454.70926223946719</v>
      </c>
      <c r="G31" s="87">
        <f>IF(G18=0,0,G18/TrRail_act!G22*100)</f>
        <v>447.95180150702487</v>
      </c>
      <c r="H31" s="87">
        <f>IF(H18=0,0,H18/TrRail_act!H22*100)</f>
        <v>440.29992305622346</v>
      </c>
      <c r="I31" s="87">
        <f>IF(I18=0,0,I18/TrRail_act!I22*100)</f>
        <v>433.52993254623539</v>
      </c>
      <c r="J31" s="87">
        <f>IF(J18=0,0,J18/TrRail_act!J22*100)</f>
        <v>425.46490443377525</v>
      </c>
      <c r="K31" s="87">
        <f>IF(K18=0,0,K18/TrRail_act!K22*100)</f>
        <v>421.63585559282899</v>
      </c>
      <c r="L31" s="87">
        <f>IF(L18=0,0,L18/TrRail_act!L22*100)</f>
        <v>421.13410805757593</v>
      </c>
      <c r="M31" s="87">
        <f>IF(M18=0,0,M18/TrRail_act!M22*100)</f>
        <v>396.92887126167875</v>
      </c>
      <c r="N31" s="87">
        <f>IF(N18=0,0,N18/TrRail_act!N22*100)</f>
        <v>382.27066771558657</v>
      </c>
      <c r="O31" s="87">
        <f>IF(O18=0,0,O18/TrRail_act!O22*100)</f>
        <v>374.454520107924</v>
      </c>
      <c r="P31" s="87">
        <f>IF(P18=0,0,P18/TrRail_act!P22*100)</f>
        <v>367.93304550979815</v>
      </c>
      <c r="Q31" s="87">
        <f>IF(Q18=0,0,Q18/TrRail_act!Q22*100)</f>
        <v>361.76675442471253</v>
      </c>
      <c r="R31" s="87">
        <f>IF(R18=0,0,R18/TrRail_act!R22*100)</f>
        <v>355.42390013731574</v>
      </c>
      <c r="S31" s="87">
        <f>IF(S18=0,0,S18/TrRail_act!S22*100)</f>
        <v>348.98614845767094</v>
      </c>
      <c r="T31" s="87">
        <f>IF(T18=0,0,T18/TrRail_act!T22*100)</f>
        <v>342.51330134152875</v>
      </c>
      <c r="U31" s="87">
        <f>IF(U18=0,0,U18/TrRail_act!U22*100)</f>
        <v>336.04888711930187</v>
      </c>
      <c r="V31" s="87">
        <f>IF(V18=0,0,V18/TrRail_act!V22*100)</f>
        <v>331.28076951578163</v>
      </c>
      <c r="W31" s="87">
        <f>IF(W18=0,0,W18/TrRail_act!W22*100)</f>
        <v>327.74913177377891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196.33267274164533</v>
      </c>
      <c r="C32" s="88">
        <f>IF(C19=0,0,C19/TrRail_act!C23*100)</f>
        <v>191.5225097948971</v>
      </c>
      <c r="D32" s="88">
        <f>IF(D19=0,0,D19/TrRail_act!D23*100)</f>
        <v>189.02737490638103</v>
      </c>
      <c r="E32" s="88">
        <f>IF(E19=0,0,E19/TrRail_act!E23*100)</f>
        <v>183.13757146894145</v>
      </c>
      <c r="F32" s="88">
        <f>IF(F19=0,0,F19/TrRail_act!F23*100)</f>
        <v>174.08574473594462</v>
      </c>
      <c r="G32" s="88">
        <f>IF(G19=0,0,G19/TrRail_act!G23*100)</f>
        <v>167.50713337752831</v>
      </c>
      <c r="H32" s="88">
        <f>IF(H19=0,0,H19/TrRail_act!H23*100)</f>
        <v>159.76439202268813</v>
      </c>
      <c r="I32" s="88">
        <f>IF(I19=0,0,I19/TrRail_act!I23*100)</f>
        <v>154.65347924285771</v>
      </c>
      <c r="J32" s="88">
        <f>IF(J19=0,0,J19/TrRail_act!J23*100)</f>
        <v>151.283396430236</v>
      </c>
      <c r="K32" s="88">
        <f>IF(K19=0,0,K19/TrRail_act!K23*100)</f>
        <v>147.1509795298476</v>
      </c>
      <c r="L32" s="88">
        <f>IF(L19=0,0,L19/TrRail_act!L23*100)</f>
        <v>146.98283766778042</v>
      </c>
      <c r="M32" s="88">
        <f>IF(M19=0,0,M19/TrRail_act!M23*100)</f>
        <v>144.48961339455192</v>
      </c>
      <c r="N32" s="88">
        <f>IF(N19=0,0,N19/TrRail_act!N23*100)</f>
        <v>142.15212047216079</v>
      </c>
      <c r="O32" s="88">
        <f>IF(O19=0,0,O19/TrRail_act!O23*100)</f>
        <v>138.81980349493651</v>
      </c>
      <c r="P32" s="88">
        <f>IF(P19=0,0,P19/TrRail_act!P23*100)</f>
        <v>135.22364772216315</v>
      </c>
      <c r="Q32" s="88">
        <f>IF(Q19=0,0,Q19/TrRail_act!Q23*100)</f>
        <v>130.22339024591594</v>
      </c>
      <c r="R32" s="88">
        <f>IF(R19=0,0,R19/TrRail_act!R23*100)</f>
        <v>127.86086386132961</v>
      </c>
      <c r="S32" s="88">
        <f>IF(S19=0,0,S19/TrRail_act!S23*100)</f>
        <v>126.74772520136123</v>
      </c>
      <c r="T32" s="88">
        <f>IF(T19=0,0,T19/TrRail_act!T23*100)</f>
        <v>125.91923543882928</v>
      </c>
      <c r="U32" s="88">
        <f>IF(U19=0,0,U19/TrRail_act!U23*100)</f>
        <v>125.30142394226745</v>
      </c>
      <c r="V32" s="88">
        <f>IF(V19=0,0,V19/TrRail_act!V23*100)</f>
        <v>124.84005538376728</v>
      </c>
      <c r="W32" s="88">
        <f>IF(W19=0,0,W19/TrRail_act!W23*100)</f>
        <v>124.49514413894185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8.2509196447213498</v>
      </c>
      <c r="C35" s="29">
        <f>IF(C11=0,0,C11/TrRail_act!C4*1000)</f>
        <v>7.8033414707893671</v>
      </c>
      <c r="D35" s="29">
        <f>IF(D11=0,0,D11/TrRail_act!D4*1000)</f>
        <v>8.0585883423509141</v>
      </c>
      <c r="E35" s="29">
        <f>IF(E11=0,0,E11/TrRail_act!E4*1000)</f>
        <v>8.4331489965797122</v>
      </c>
      <c r="F35" s="29">
        <f>IF(F11=0,0,F11/TrRail_act!F4*1000)</f>
        <v>7.8240976170151093</v>
      </c>
      <c r="G35" s="29">
        <f>IF(G11=0,0,G11/TrRail_act!G4*1000)</f>
        <v>7.5821449437979629</v>
      </c>
      <c r="H35" s="29">
        <f>IF(H11=0,0,H11/TrRail_act!H4*1000)</f>
        <v>7.3596743097044213</v>
      </c>
      <c r="I35" s="29">
        <f>IF(I11=0,0,I11/TrRail_act!I4*1000)</f>
        <v>7.2205743633560573</v>
      </c>
      <c r="J35" s="29">
        <f>IF(J11=0,0,J11/TrRail_act!J4*1000)</f>
        <v>6.8916380685353156</v>
      </c>
      <c r="K35" s="29">
        <f>IF(K11=0,0,K11/TrRail_act!K4*1000)</f>
        <v>7.1550728628801767</v>
      </c>
      <c r="L35" s="29">
        <f>IF(L11=0,0,L11/TrRail_act!L4*1000)</f>
        <v>7.4964144537448423</v>
      </c>
      <c r="M35" s="29">
        <f>IF(M11=0,0,M11/TrRail_act!M4*1000)</f>
        <v>7.4109366973118052</v>
      </c>
      <c r="N35" s="29">
        <f>IF(N11=0,0,N11/TrRail_act!N4*1000)</f>
        <v>7.8200344136324649</v>
      </c>
      <c r="O35" s="29">
        <f>IF(O11=0,0,O11/TrRail_act!O4*1000)</f>
        <v>7.6920999738839351</v>
      </c>
      <c r="P35" s="29">
        <f>IF(P11=0,0,P11/TrRail_act!P4*1000)</f>
        <v>7.0521502560294262</v>
      </c>
      <c r="Q35" s="29">
        <f>IF(Q11=0,0,Q11/TrRail_act!Q4*1000)</f>
        <v>7.1680830046786337</v>
      </c>
      <c r="R35" s="29">
        <f>IF(R11=0,0,R11/TrRail_act!R4*1000)</f>
        <v>7.4335583201256963</v>
      </c>
      <c r="S35" s="29">
        <f>IF(S11=0,0,S11/TrRail_act!S4*1000)</f>
        <v>7.5085628169920735</v>
      </c>
      <c r="T35" s="29">
        <f>IF(T11=0,0,T11/TrRail_act!T4*1000)</f>
        <v>7.7679962328477483</v>
      </c>
      <c r="U35" s="29">
        <f>IF(U11=0,0,U11/TrRail_act!U4*1000)</f>
        <v>7.3810792323450434</v>
      </c>
      <c r="V35" s="29">
        <f>IF(V11=0,0,V11/TrRail_act!V4*1000)</f>
        <v>14.828169884626016</v>
      </c>
      <c r="W35" s="29">
        <f>IF(W11=0,0,W11/TrRail_act!W4*1000)</f>
        <v>12.986632821864379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4.3386526641032459</v>
      </c>
      <c r="C36" s="115">
        <f>IF(C12=0,0,C12/TrRail_act!C5*1000)</f>
        <v>4.3234486200850153</v>
      </c>
      <c r="D36" s="115">
        <f>IF(D12=0,0,D12/TrRail_act!D5*1000)</f>
        <v>4.2498252043233897</v>
      </c>
      <c r="E36" s="115">
        <f>IF(E12=0,0,E12/TrRail_act!E5*1000)</f>
        <v>4.2618380198153707</v>
      </c>
      <c r="F36" s="115">
        <f>IF(F12=0,0,F12/TrRail_act!F5*1000)</f>
        <v>4.3690769171342305</v>
      </c>
      <c r="G36" s="115">
        <f>IF(G12=0,0,G12/TrRail_act!G5*1000)</f>
        <v>4.3118220920158512</v>
      </c>
      <c r="H36" s="115">
        <f>IF(H12=0,0,H12/TrRail_act!H5*1000)</f>
        <v>4.2149531253504522</v>
      </c>
      <c r="I36" s="115">
        <f>IF(I12=0,0,I12/TrRail_act!I5*1000)</f>
        <v>4.2156953799131909</v>
      </c>
      <c r="J36" s="115">
        <f>IF(J12=0,0,J12/TrRail_act!J5*1000)</f>
        <v>4.1585253702166334</v>
      </c>
      <c r="K36" s="115">
        <f>IF(K12=0,0,K12/TrRail_act!K5*1000)</f>
        <v>4.141168502017889</v>
      </c>
      <c r="L36" s="115">
        <f>IF(L12=0,0,L12/TrRail_act!L5*1000)</f>
        <v>4.0641655439281585</v>
      </c>
      <c r="M36" s="115">
        <f>IF(M12=0,0,M12/TrRail_act!M5*1000)</f>
        <v>4.0065375997025932</v>
      </c>
      <c r="N36" s="115">
        <f>IF(N12=0,0,N12/TrRail_act!N5*1000)</f>
        <v>3.9432174309144976</v>
      </c>
      <c r="O36" s="115">
        <f>IF(O12=0,0,O12/TrRail_act!O5*1000)</f>
        <v>3.8973870074920849</v>
      </c>
      <c r="P36" s="115">
        <f>IF(P12=0,0,P12/TrRail_act!P5*1000)</f>
        <v>3.7836555173448554</v>
      </c>
      <c r="Q36" s="115">
        <f>IF(Q12=0,0,Q12/TrRail_act!Q5*1000)</f>
        <v>3.6772000240285405</v>
      </c>
      <c r="R36" s="115">
        <f>IF(R12=0,0,R12/TrRail_act!R5*1000)</f>
        <v>3.6369861721644927</v>
      </c>
      <c r="S36" s="115">
        <f>IF(S12=0,0,S12/TrRail_act!S5*1000)</f>
        <v>3.5791095119084337</v>
      </c>
      <c r="T36" s="115">
        <f>IF(T12=0,0,T12/TrRail_act!T5*1000)</f>
        <v>3.5348346677030511</v>
      </c>
      <c r="U36" s="115">
        <f>IF(U12=0,0,U12/TrRail_act!U5*1000)</f>
        <v>3.5051403588763685</v>
      </c>
      <c r="V36" s="115">
        <f>IF(V12=0,0,V12/TrRail_act!V5*1000)</f>
        <v>4.9602541191873399</v>
      </c>
      <c r="W36" s="115">
        <f>IF(W12=0,0,W12/TrRail_act!W5*1000)</f>
        <v>4.6081861740771792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8.9400936675921834</v>
      </c>
      <c r="C37" s="116">
        <f>IF(C13=0,0,C13/TrRail_act!C6*1000)</f>
        <v>8.4607144464803667</v>
      </c>
      <c r="D37" s="116">
        <f>IF(D13=0,0,D13/TrRail_act!D6*1000)</f>
        <v>8.8676758208099606</v>
      </c>
      <c r="E37" s="116">
        <f>IF(E13=0,0,E13/TrRail_act!E6*1000)</f>
        <v>9.4354761389085908</v>
      </c>
      <c r="F37" s="116">
        <f>IF(F13=0,0,F13/TrRail_act!F6*1000)</f>
        <v>8.6742315761613185</v>
      </c>
      <c r="G37" s="116">
        <f>IF(G13=0,0,G13/TrRail_act!G6*1000)</f>
        <v>8.4388934528167905</v>
      </c>
      <c r="H37" s="116">
        <f>IF(H13=0,0,H13/TrRail_act!H6*1000)</f>
        <v>8.3177706651520769</v>
      </c>
      <c r="I37" s="116">
        <f>IF(I13=0,0,I13/TrRail_act!I6*1000)</f>
        <v>8.2245910777558819</v>
      </c>
      <c r="J37" s="116">
        <f>IF(J13=0,0,J13/TrRail_act!J6*1000)</f>
        <v>7.708297654666131</v>
      </c>
      <c r="K37" s="116">
        <f>IF(K13=0,0,K13/TrRail_act!K6*1000)</f>
        <v>8.2899491391146825</v>
      </c>
      <c r="L37" s="116">
        <f>IF(L13=0,0,L13/TrRail_act!L6*1000)</f>
        <v>8.9415538674305211</v>
      </c>
      <c r="M37" s="116">
        <f>IF(M13=0,0,M13/TrRail_act!M6*1000)</f>
        <v>8.931363775658415</v>
      </c>
      <c r="N37" s="116">
        <f>IF(N13=0,0,N13/TrRail_act!N6*1000)</f>
        <v>9.6742774522812063</v>
      </c>
      <c r="O37" s="116">
        <f>IF(O13=0,0,O13/TrRail_act!O6*1000)</f>
        <v>9.4086300624086707</v>
      </c>
      <c r="P37" s="116">
        <f>IF(P13=0,0,P13/TrRail_act!P6*1000)</f>
        <v>8.44828406575167</v>
      </c>
      <c r="Q37" s="116">
        <f>IF(Q13=0,0,Q13/TrRail_act!Q6*1000)</f>
        <v>8.588306409198541</v>
      </c>
      <c r="R37" s="116">
        <f>IF(R13=0,0,R13/TrRail_act!R6*1000)</f>
        <v>9.0155602039580387</v>
      </c>
      <c r="S37" s="116">
        <f>IF(S13=0,0,S13/TrRail_act!S6*1000)</f>
        <v>9.1346923394008765</v>
      </c>
      <c r="T37" s="116">
        <f>IF(T13=0,0,T13/TrRail_act!T6*1000)</f>
        <v>9.4425100143311127</v>
      </c>
      <c r="U37" s="116">
        <f>IF(U13=0,0,U13/TrRail_act!U6*1000)</f>
        <v>8.7675049407323993</v>
      </c>
      <c r="V37" s="116">
        <f>IF(V13=0,0,V13/TrRail_act!V6*1000)</f>
        <v>18.323265059622898</v>
      </c>
      <c r="W37" s="116">
        <f>IF(W13=0,0,W13/TrRail_act!W6*1000)</f>
        <v>16.083884019005747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16.415446466401544</v>
      </c>
      <c r="C38" s="87">
        <f>IF(C14=0,0,C14/TrRail_act!C7*1000)</f>
        <v>15.873865400048876</v>
      </c>
      <c r="D38" s="87">
        <f>IF(D14=0,0,D14/TrRail_act!D7*1000)</f>
        <v>14.845175276531899</v>
      </c>
      <c r="E38" s="87">
        <f>IF(E14=0,0,E14/TrRail_act!E7*1000)</f>
        <v>17.482927597155985</v>
      </c>
      <c r="F38" s="87">
        <f>IF(F14=0,0,F14/TrRail_act!F7*1000)</f>
        <v>16.954606423726801</v>
      </c>
      <c r="G38" s="87">
        <f>IF(G14=0,0,G14/TrRail_act!G7*1000)</f>
        <v>17.387534074181701</v>
      </c>
      <c r="H38" s="87">
        <f>IF(H14=0,0,H14/TrRail_act!H7*1000)</f>
        <v>17.098833322211242</v>
      </c>
      <c r="I38" s="87">
        <f>IF(I14=0,0,I14/TrRail_act!I7*1000)</f>
        <v>17.725995953397888</v>
      </c>
      <c r="J38" s="87">
        <f>IF(J14=0,0,J14/TrRail_act!J7*1000)</f>
        <v>17.278705364722185</v>
      </c>
      <c r="K38" s="87">
        <f>IF(K14=0,0,K14/TrRail_act!K7*1000)</f>
        <v>18.148370132542979</v>
      </c>
      <c r="L38" s="87">
        <f>IF(L14=0,0,L14/TrRail_act!L7*1000)</f>
        <v>18.461908964094899</v>
      </c>
      <c r="M38" s="87">
        <f>IF(M14=0,0,M14/TrRail_act!M7*1000)</f>
        <v>14.991592813446999</v>
      </c>
      <c r="N38" s="87">
        <f>IF(N14=0,0,N14/TrRail_act!N7*1000)</f>
        <v>14.783444379180775</v>
      </c>
      <c r="O38" s="87">
        <f>IF(O14=0,0,O14/TrRail_act!O7*1000)</f>
        <v>14.536439115047781</v>
      </c>
      <c r="P38" s="87">
        <f>IF(P14=0,0,P14/TrRail_act!P7*1000)</f>
        <v>13.237527495792992</v>
      </c>
      <c r="Q38" s="87">
        <f>IF(Q14=0,0,Q14/TrRail_act!Q7*1000)</f>
        <v>12.939181490156789</v>
      </c>
      <c r="R38" s="87">
        <f>IF(R14=0,0,R14/TrRail_act!R7*1000)</f>
        <v>13.629674715891795</v>
      </c>
      <c r="S38" s="87">
        <f>IF(S14=0,0,S14/TrRail_act!S7*1000)</f>
        <v>12.117111458044608</v>
      </c>
      <c r="T38" s="87">
        <f>IF(T14=0,0,T14/TrRail_act!T7*1000)</f>
        <v>12.292618693032331</v>
      </c>
      <c r="U38" s="87">
        <f>IF(U14=0,0,U14/TrRail_act!U7*1000)</f>
        <v>11.503813322985254</v>
      </c>
      <c r="V38" s="87">
        <f>IF(V14=0,0,V14/TrRail_act!V7*1000)</f>
        <v>26.543915042495495</v>
      </c>
      <c r="W38" s="87">
        <f>IF(W14=0,0,W14/TrRail_act!W7*1000)</f>
        <v>20.942677955067651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7.2793750341011858</v>
      </c>
      <c r="C39" s="87">
        <f>IF(C15=0,0,C15/TrRail_act!C8*1000)</f>
        <v>6.9559418912286795</v>
      </c>
      <c r="D39" s="87">
        <f>IF(D15=0,0,D15/TrRail_act!D8*1000)</f>
        <v>7.4624050196431355</v>
      </c>
      <c r="E39" s="87">
        <f>IF(E15=0,0,E15/TrRail_act!E8*1000)</f>
        <v>7.6814504912760118</v>
      </c>
      <c r="F39" s="87">
        <f>IF(F15=0,0,F15/TrRail_act!F8*1000)</f>
        <v>7.1216267395796553</v>
      </c>
      <c r="G39" s="87">
        <f>IF(G15=0,0,G15/TrRail_act!G8*1000)</f>
        <v>7.089595771959643</v>
      </c>
      <c r="H39" s="87">
        <f>IF(H15=0,0,H15/TrRail_act!H8*1000)</f>
        <v>6.9226664952967214</v>
      </c>
      <c r="I39" s="87">
        <f>IF(I15=0,0,I15/TrRail_act!I8*1000)</f>
        <v>6.9575602685316573</v>
      </c>
      <c r="J39" s="87">
        <f>IF(J15=0,0,J15/TrRail_act!J8*1000)</f>
        <v>6.988651732794783</v>
      </c>
      <c r="K39" s="87">
        <f>IF(K15=0,0,K15/TrRail_act!K8*1000)</f>
        <v>7.522723129864481</v>
      </c>
      <c r="L39" s="87">
        <f>IF(L15=0,0,L15/TrRail_act!L8*1000)</f>
        <v>8.1050078190899022</v>
      </c>
      <c r="M39" s="87">
        <f>IF(M15=0,0,M15/TrRail_act!M8*1000)</f>
        <v>8.4155111171031738</v>
      </c>
      <c r="N39" s="87">
        <f>IF(N15=0,0,N15/TrRail_act!N8*1000)</f>
        <v>9.1068045655519239</v>
      </c>
      <c r="O39" s="87">
        <f>IF(O15=0,0,O15/TrRail_act!O8*1000)</f>
        <v>9.0337080857738528</v>
      </c>
      <c r="P39" s="87">
        <f>IF(P15=0,0,P15/TrRail_act!P8*1000)</f>
        <v>8.2795680965879743</v>
      </c>
      <c r="Q39" s="87">
        <f>IF(Q15=0,0,Q15/TrRail_act!Q8*1000)</f>
        <v>8.4063150667574185</v>
      </c>
      <c r="R39" s="87">
        <f>IF(R15=0,0,R15/TrRail_act!R8*1000)</f>
        <v>8.8923618616174824</v>
      </c>
      <c r="S39" s="87">
        <f>IF(S15=0,0,S15/TrRail_act!S8*1000)</f>
        <v>8.9342346589490198</v>
      </c>
      <c r="T39" s="87">
        <f>IF(T15=0,0,T15/TrRail_act!T8*1000)</f>
        <v>9.1980655203852439</v>
      </c>
      <c r="U39" s="87">
        <f>IF(U15=0,0,U15/TrRail_act!U8*1000)</f>
        <v>8.5275410389931796</v>
      </c>
      <c r="V39" s="87">
        <f>IF(V15=0,0,V15/TrRail_act!V8*1000)</f>
        <v>17.533361264503398</v>
      </c>
      <c r="W39" s="87">
        <f>IF(W15=0,0,W15/TrRail_act!W8*1000)</f>
        <v>15.676100194322487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6.5372224824643244</v>
      </c>
      <c r="C40" s="117">
        <f>IF(C16=0,0,C16/TrRail_act!C9*1000)</f>
        <v>6.4690705032427802</v>
      </c>
      <c r="D40" s="117">
        <f>IF(D16=0,0,D16/TrRail_act!D9*1000)</f>
        <v>6.3985209789545143</v>
      </c>
      <c r="E40" s="117">
        <f>IF(E16=0,0,E16/TrRail_act!E9*1000)</f>
        <v>6.2266174854225476</v>
      </c>
      <c r="F40" s="117">
        <f>IF(F16=0,0,F16/TrRail_act!F9*1000)</f>
        <v>6.0086039772966444</v>
      </c>
      <c r="G40" s="117">
        <f>IF(G16=0,0,G16/TrRail_act!G9*1000)</f>
        <v>5.7282009488132841</v>
      </c>
      <c r="H40" s="117">
        <f>IF(H16=0,0,H16/TrRail_act!H9*1000)</f>
        <v>5.1381969127304048</v>
      </c>
      <c r="I40" s="117">
        <f>IF(I16=0,0,I16/TrRail_act!I9*1000)</f>
        <v>4.8482993019371055</v>
      </c>
      <c r="J40" s="117">
        <f>IF(J16=0,0,J16/TrRail_act!J9*1000)</f>
        <v>5.2719942610733517</v>
      </c>
      <c r="K40" s="117">
        <f>IF(K16=0,0,K16/TrRail_act!K9*1000)</f>
        <v>5.1563014173355803</v>
      </c>
      <c r="L40" s="117">
        <f>IF(L16=0,0,L16/TrRail_act!L9*1000)</f>
        <v>5.1625825077995211</v>
      </c>
      <c r="M40" s="117">
        <f>IF(M16=0,0,M16/TrRail_act!M9*1000)</f>
        <v>5.0992222070180482</v>
      </c>
      <c r="N40" s="117">
        <f>IF(N16=0,0,N16/TrRail_act!N9*1000)</f>
        <v>4.878598164242562</v>
      </c>
      <c r="O40" s="117">
        <f>IF(O16=0,0,O16/TrRail_act!O9*1000)</f>
        <v>4.8222950761742522</v>
      </c>
      <c r="P40" s="117">
        <f>IF(P16=0,0,P16/TrRail_act!P9*1000)</f>
        <v>4.6966745033718791</v>
      </c>
      <c r="Q40" s="117">
        <f>IF(Q16=0,0,Q16/TrRail_act!Q9*1000)</f>
        <v>4.6560057770356549</v>
      </c>
      <c r="R40" s="117">
        <f>IF(R16=0,0,R16/TrRail_act!R9*1000)</f>
        <v>4.6257354995228352</v>
      </c>
      <c r="S40" s="117">
        <f>IF(S16=0,0,S16/TrRail_act!S9*1000)</f>
        <v>4.603182566168722</v>
      </c>
      <c r="T40" s="117">
        <f>IF(T16=0,0,T16/TrRail_act!T9*1000)</f>
        <v>4.5863246943023324</v>
      </c>
      <c r="U40" s="117">
        <f>IF(U16=0,0,U16/TrRail_act!U9*1000)</f>
        <v>4.9410087286748157</v>
      </c>
      <c r="V40" s="117">
        <f>IF(V16=0,0,V16/TrRail_act!V9*1000)</f>
        <v>11.472536842409843</v>
      </c>
      <c r="W40" s="117">
        <f>IF(W16=0,0,W16/TrRail_act!W9*1000)</f>
        <v>10.022643962859267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3.1056726433248443</v>
      </c>
      <c r="C41" s="29">
        <f>IF(C17=0,0,C17/TrRail_act!C10*1000)</f>
        <v>2.9649645091259211</v>
      </c>
      <c r="D41" s="29">
        <f>IF(D17=0,0,D17/TrRail_act!D10*1000)</f>
        <v>2.961693105223687</v>
      </c>
      <c r="E41" s="29">
        <f>IF(E17=0,0,E17/TrRail_act!E10*1000)</f>
        <v>3.0961243621012784</v>
      </c>
      <c r="F41" s="29">
        <f>IF(F17=0,0,F17/TrRail_act!F10*1000)</f>
        <v>3.107045855287617</v>
      </c>
      <c r="G41" s="29">
        <f>IF(G17=0,0,G17/TrRail_act!G10*1000)</f>
        <v>2.9310800427569421</v>
      </c>
      <c r="H41" s="29">
        <f>IF(H17=0,0,H17/TrRail_act!H10*1000)</f>
        <v>3.0917869663924793</v>
      </c>
      <c r="I41" s="29">
        <f>IF(I17=0,0,I17/TrRail_act!I10*1000)</f>
        <v>3.0791770456905505</v>
      </c>
      <c r="J41" s="29">
        <f>IF(J17=0,0,J17/TrRail_act!J10*1000)</f>
        <v>3.0749844154580326</v>
      </c>
      <c r="K41" s="29">
        <f>IF(K17=0,0,K17/TrRail_act!K10*1000)</f>
        <v>2.8334453136851518</v>
      </c>
      <c r="L41" s="29">
        <f>IF(L17=0,0,L17/TrRail_act!L10*1000)</f>
        <v>2.7545441787259395</v>
      </c>
      <c r="M41" s="29">
        <f>IF(M17=0,0,M17/TrRail_act!M10*1000)</f>
        <v>2.5267155697500137</v>
      </c>
      <c r="N41" s="29">
        <f>IF(N17=0,0,N17/TrRail_act!N10*1000)</f>
        <v>2.4923692291643542</v>
      </c>
      <c r="O41" s="29">
        <f>IF(O17=0,0,O17/TrRail_act!O10*1000)</f>
        <v>2.4097525205553909</v>
      </c>
      <c r="P41" s="29">
        <f>IF(P17=0,0,P17/TrRail_act!P10*1000)</f>
        <v>2.3033439229662265</v>
      </c>
      <c r="Q41" s="29">
        <f>IF(Q17=0,0,Q17/TrRail_act!Q10*1000)</f>
        <v>1.840806599009486</v>
      </c>
      <c r="R41" s="29">
        <f>IF(R17=0,0,R17/TrRail_act!R10*1000)</f>
        <v>1.937719175375908</v>
      </c>
      <c r="S41" s="29">
        <f>IF(S17=0,0,S17/TrRail_act!S10*1000)</f>
        <v>2.3919186008045146</v>
      </c>
      <c r="T41" s="29">
        <f>IF(T17=0,0,T17/TrRail_act!T10*1000)</f>
        <v>2.1470486102246045</v>
      </c>
      <c r="U41" s="29">
        <f>IF(U17=0,0,U17/TrRail_act!U10*1000)</f>
        <v>2.2097635608677053</v>
      </c>
      <c r="V41" s="29">
        <f>IF(V17=0,0,V17/TrRail_act!V10*1000)</f>
        <v>2.3137627890265344</v>
      </c>
      <c r="W41" s="29">
        <f>IF(W17=0,0,W17/TrRail_act!W10*1000)</f>
        <v>2.0660289132612428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6.1296916702245863</v>
      </c>
      <c r="C42" s="87">
        <f>IF(C18=0,0,C18/TrRail_act!C11*1000)</f>
        <v>6.028816106862088</v>
      </c>
      <c r="D42" s="87">
        <f>IF(D18=0,0,D18/TrRail_act!D11*1000)</f>
        <v>5.9644185092361139</v>
      </c>
      <c r="E42" s="87">
        <f>IF(E18=0,0,E18/TrRail_act!E11*1000)</f>
        <v>5.8463762995986626</v>
      </c>
      <c r="F42" s="87">
        <f>IF(F18=0,0,F18/TrRail_act!F11*1000)</f>
        <v>5.9208156674610111</v>
      </c>
      <c r="G42" s="87">
        <f>IF(G18=0,0,G18/TrRail_act!G11*1000)</f>
        <v>5.8852188783714903</v>
      </c>
      <c r="H42" s="87">
        <f>IF(H18=0,0,H18/TrRail_act!H11*1000)</f>
        <v>5.8565443623774076</v>
      </c>
      <c r="I42" s="87">
        <f>IF(I18=0,0,I18/TrRail_act!I11*1000)</f>
        <v>5.8387771040323493</v>
      </c>
      <c r="J42" s="87">
        <f>IF(J18=0,0,J18/TrRail_act!J11*1000)</f>
        <v>6.0152847390797426</v>
      </c>
      <c r="K42" s="87">
        <f>IF(K18=0,0,K18/TrRail_act!K11*1000)</f>
        <v>5.6320976734544175</v>
      </c>
      <c r="L42" s="87">
        <f>IF(L18=0,0,L18/TrRail_act!L11*1000)</f>
        <v>5.6672256822312104</v>
      </c>
      <c r="M42" s="87">
        <f>IF(M18=0,0,M18/TrRail_act!M11*1000)</f>
        <v>4.9267737071187261</v>
      </c>
      <c r="N42" s="87">
        <f>IF(N18=0,0,N18/TrRail_act!N11*1000)</f>
        <v>4.589355567545228</v>
      </c>
      <c r="O42" s="87">
        <f>IF(O18=0,0,O18/TrRail_act!O11*1000)</f>
        <v>4.5068244477104056</v>
      </c>
      <c r="P42" s="87">
        <f>IF(P18=0,0,P18/TrRail_act!P11*1000)</f>
        <v>4.3565148328657131</v>
      </c>
      <c r="Q42" s="87">
        <f>IF(Q18=0,0,Q18/TrRail_act!Q11*1000)</f>
        <v>4.3440816920711782</v>
      </c>
      <c r="R42" s="87">
        <f>IF(R18=0,0,R18/TrRail_act!R11*1000)</f>
        <v>4.1635226244672019</v>
      </c>
      <c r="S42" s="87">
        <f>IF(S18=0,0,S18/TrRail_act!S11*1000)</f>
        <v>3.9082225181156818</v>
      </c>
      <c r="T42" s="87">
        <f>IF(T18=0,0,T18/TrRail_act!T11*1000)</f>
        <v>3.806506331733472</v>
      </c>
      <c r="U42" s="87">
        <f>IF(U18=0,0,U18/TrRail_act!U11*1000)</f>
        <v>3.7224630954582154</v>
      </c>
      <c r="V42" s="87">
        <f>IF(V18=0,0,V18/TrRail_act!V11*1000)</f>
        <v>4.1359890352959887</v>
      </c>
      <c r="W42" s="87">
        <f>IF(W18=0,0,W18/TrRail_act!W11*1000)</f>
        <v>3.7690851692696343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2.9546645468715393</v>
      </c>
      <c r="C43" s="88">
        <f>IF(C19=0,0,C19/TrRail_act!C12*1000)</f>
        <v>2.8418781890181006</v>
      </c>
      <c r="D43" s="88">
        <f>IF(D19=0,0,D19/TrRail_act!D12*1000)</f>
        <v>2.8397068770480334</v>
      </c>
      <c r="E43" s="88">
        <f>IF(E19=0,0,E19/TrRail_act!E12*1000)</f>
        <v>2.9700823127382106</v>
      </c>
      <c r="F43" s="88">
        <f>IF(F19=0,0,F19/TrRail_act!F12*1000)</f>
        <v>2.9636473509749388</v>
      </c>
      <c r="G43" s="88">
        <f>IF(G19=0,0,G19/TrRail_act!G12*1000)</f>
        <v>2.8386690799846792</v>
      </c>
      <c r="H43" s="88">
        <f>IF(H19=0,0,H19/TrRail_act!H12*1000)</f>
        <v>2.7088499983810839</v>
      </c>
      <c r="I43" s="88">
        <f>IF(I19=0,0,I19/TrRail_act!I12*1000)</f>
        <v>2.611282659005405</v>
      </c>
      <c r="J43" s="88">
        <f>IF(J19=0,0,J19/TrRail_act!J12*1000)</f>
        <v>2.5388621112227883</v>
      </c>
      <c r="K43" s="88">
        <f>IF(K19=0,0,K19/TrRail_act!K12*1000)</f>
        <v>2.4502010215299523</v>
      </c>
      <c r="L43" s="88">
        <f>IF(L19=0,0,L19/TrRail_act!L12*1000)</f>
        <v>2.4132451428936514</v>
      </c>
      <c r="M43" s="88">
        <f>IF(M19=0,0,M19/TrRail_act!M12*1000)</f>
        <v>2.3930744660310328</v>
      </c>
      <c r="N43" s="88">
        <f>IF(N19=0,0,N19/TrRail_act!N12*1000)</f>
        <v>2.3794050555888879</v>
      </c>
      <c r="O43" s="88">
        <f>IF(O19=0,0,O19/TrRail_act!O12*1000)</f>
        <v>2.3320964455274922</v>
      </c>
      <c r="P43" s="88">
        <f>IF(P19=0,0,P19/TrRail_act!P12*1000)</f>
        <v>2.2658681646978271</v>
      </c>
      <c r="Q43" s="88">
        <f>IF(Q19=0,0,Q19/TrRail_act!Q12*1000)</f>
        <v>1.786709773679271</v>
      </c>
      <c r="R43" s="88">
        <f>IF(R19=0,0,R19/TrRail_act!R12*1000)</f>
        <v>1.9066335331561555</v>
      </c>
      <c r="S43" s="88">
        <f>IF(S19=0,0,S19/TrRail_act!S12*1000)</f>
        <v>2.3432433171003741</v>
      </c>
      <c r="T43" s="88">
        <f>IF(T19=0,0,T19/TrRail_act!T12*1000)</f>
        <v>2.0791127281527491</v>
      </c>
      <c r="U43" s="88">
        <f>IF(U19=0,0,U19/TrRail_act!U12*1000)</f>
        <v>2.1476033299455977</v>
      </c>
      <c r="V43" s="88">
        <f>IF(V19=0,0,V19/TrRail_act!V12*1000)</f>
        <v>2.2244302416808011</v>
      </c>
      <c r="W43" s="88">
        <f>IF(W19=0,0,W19/TrRail_act!W12*1000)</f>
        <v>2.0004939759290581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217948.3794843895</v>
      </c>
      <c r="C45" s="54">
        <f>IF(C10=0,0,1000000*C10/TrRail_act!C25)</f>
        <v>214432.09569109388</v>
      </c>
      <c r="D45" s="54">
        <f>IF(D10=0,0,1000000*D10/TrRail_act!D25)</f>
        <v>210885.90301541233</v>
      </c>
      <c r="E45" s="54">
        <f>IF(E10=0,0,1000000*E10/TrRail_act!E25)</f>
        <v>208218.2968264604</v>
      </c>
      <c r="F45" s="54">
        <f>IF(F10=0,0,1000000*F10/TrRail_act!F25)</f>
        <v>203474.24538410394</v>
      </c>
      <c r="G45" s="54">
        <f>IF(G10=0,0,1000000*G10/TrRail_act!G25)</f>
        <v>197265.90229600738</v>
      </c>
      <c r="H45" s="54">
        <f>IF(H10=0,0,1000000*H10/TrRail_act!H25)</f>
        <v>196577.48100532431</v>
      </c>
      <c r="I45" s="54">
        <f>IF(I10=0,0,1000000*I10/TrRail_act!I25)</f>
        <v>189244.78248215187</v>
      </c>
      <c r="J45" s="54">
        <f>IF(J10=0,0,1000000*J10/TrRail_act!J25)</f>
        <v>175842.57568638955</v>
      </c>
      <c r="K45" s="54">
        <f>IF(K10=0,0,1000000*K10/TrRail_act!K25)</f>
        <v>172379.47252526175</v>
      </c>
      <c r="L45" s="54">
        <f>IF(L10=0,0,1000000*L10/TrRail_act!L25)</f>
        <v>174450.68920861368</v>
      </c>
      <c r="M45" s="54">
        <f>IF(M10=0,0,1000000*M10/TrRail_act!M25)</f>
        <v>171482.47080641842</v>
      </c>
      <c r="N45" s="54">
        <f>IF(N10=0,0,1000000*N10/TrRail_act!N25)</f>
        <v>172729.46718432655</v>
      </c>
      <c r="O45" s="54">
        <f>IF(O10=0,0,1000000*O10/TrRail_act!O25)</f>
        <v>168210.41940436023</v>
      </c>
      <c r="P45" s="54">
        <f>IF(P10=0,0,1000000*P10/TrRail_act!P25)</f>
        <v>159818.72101758127</v>
      </c>
      <c r="Q45" s="54">
        <f>IF(Q10=0,0,1000000*Q10/TrRail_act!Q25)</f>
        <v>158928.60376987761</v>
      </c>
      <c r="R45" s="54">
        <f>IF(R10=0,0,1000000*R10/TrRail_act!R25)</f>
        <v>157377.02887231664</v>
      </c>
      <c r="S45" s="54">
        <f>IF(S10=0,0,1000000*S10/TrRail_act!S25)</f>
        <v>158581.4591229785</v>
      </c>
      <c r="T45" s="54">
        <f>IF(T10=0,0,1000000*T10/TrRail_act!T25)</f>
        <v>158690.79083138017</v>
      </c>
      <c r="U45" s="54">
        <f>IF(U10=0,0,1000000*U10/TrRail_act!U25)</f>
        <v>157863.72269406979</v>
      </c>
      <c r="V45" s="54">
        <f>IF(V10=0,0,1000000*V10/TrRail_act!V25)</f>
        <v>142683.52136667847</v>
      </c>
      <c r="W45" s="54">
        <f>IF(W10=0,0,1000000*W10/TrRail_act!W25)</f>
        <v>156388.89224772772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202913.89848488165</v>
      </c>
      <c r="C46" s="28">
        <f>IF(C11=0,0,1000000*C11/TrRail_act!C26)</f>
        <v>200613.0822039012</v>
      </c>
      <c r="D46" s="28">
        <f>IF(D11=0,0,1000000*D11/TrRail_act!D26)</f>
        <v>198137.66865298164</v>
      </c>
      <c r="E46" s="28">
        <f>IF(E11=0,0,1000000*E11/TrRail_act!E26)</f>
        <v>195934.37388925927</v>
      </c>
      <c r="F46" s="28">
        <f>IF(F11=0,0,1000000*F11/TrRail_act!F26)</f>
        <v>189885.15206388957</v>
      </c>
      <c r="G46" s="28">
        <f>IF(G11=0,0,1000000*G11/TrRail_act!G26)</f>
        <v>184852.10891342472</v>
      </c>
      <c r="H46" s="28">
        <f>IF(H11=0,0,1000000*H11/TrRail_act!H26)</f>
        <v>181115.26118342645</v>
      </c>
      <c r="I46" s="28">
        <f>IF(I11=0,0,1000000*I11/TrRail_act!I26)</f>
        <v>172870.76955278855</v>
      </c>
      <c r="J46" s="28">
        <f>IF(J11=0,0,1000000*J11/TrRail_act!J26)</f>
        <v>159820.60162600572</v>
      </c>
      <c r="K46" s="28">
        <f>IF(K11=0,0,1000000*K11/TrRail_act!K26)</f>
        <v>164166.43147755362</v>
      </c>
      <c r="L46" s="28">
        <f>IF(L11=0,0,1000000*L11/TrRail_act!L26)</f>
        <v>165067.09647095067</v>
      </c>
      <c r="M46" s="28">
        <f>IF(M11=0,0,1000000*M11/TrRail_act!M26)</f>
        <v>163594.03755667963</v>
      </c>
      <c r="N46" s="28">
        <f>IF(N11=0,0,1000000*N11/TrRail_act!N26)</f>
        <v>165323.40331142198</v>
      </c>
      <c r="O46" s="28">
        <f>IF(O11=0,0,1000000*O11/TrRail_act!O26)</f>
        <v>162063.22259436085</v>
      </c>
      <c r="P46" s="28">
        <f>IF(P11=0,0,1000000*P11/TrRail_act!P26)</f>
        <v>153503.32893392522</v>
      </c>
      <c r="Q46" s="28">
        <f>IF(Q11=0,0,1000000*Q11/TrRail_act!Q26)</f>
        <v>154857.50644159326</v>
      </c>
      <c r="R46" s="28">
        <f>IF(R11=0,0,1000000*R11/TrRail_act!R26)</f>
        <v>152351.67070367245</v>
      </c>
      <c r="S46" s="28">
        <f>IF(S11=0,0,1000000*S11/TrRail_act!S26)</f>
        <v>152358.87149746256</v>
      </c>
      <c r="T46" s="28">
        <f>IF(T11=0,0,1000000*T11/TrRail_act!T26)</f>
        <v>153894.40383189355</v>
      </c>
      <c r="U46" s="28">
        <f>IF(U11=0,0,1000000*U11/TrRail_act!U26)</f>
        <v>152557.32324360122</v>
      </c>
      <c r="V46" s="28">
        <f>IF(V11=0,0,1000000*V11/TrRail_act!V26)</f>
        <v>135705.60506689103</v>
      </c>
      <c r="W46" s="28">
        <f>IF(W11=0,0,1000000*W11/TrRail_act!W26)</f>
        <v>150126.05399906746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42386.292880824731</v>
      </c>
      <c r="C47" s="108">
        <f>IF(C12=0,0,1000000*C12/TrRail_act!C27)</f>
        <v>42093.364976264704</v>
      </c>
      <c r="D47" s="108">
        <f>IF(D12=0,0,1000000*D12/TrRail_act!D27)</f>
        <v>41376.562814298755</v>
      </c>
      <c r="E47" s="108">
        <f>IF(E12=0,0,1000000*E12/TrRail_act!E27)</f>
        <v>41015.839208154692</v>
      </c>
      <c r="F47" s="108">
        <f>IF(F12=0,0,1000000*F12/TrRail_act!F27)</f>
        <v>40842.766981953013</v>
      </c>
      <c r="G47" s="108">
        <f>IF(G12=0,0,1000000*G12/TrRail_act!G27)</f>
        <v>40010.856357461511</v>
      </c>
      <c r="H47" s="108">
        <f>IF(H12=0,0,1000000*H12/TrRail_act!H27)</f>
        <v>38962.816995650879</v>
      </c>
      <c r="I47" s="108">
        <f>IF(I12=0,0,1000000*I12/TrRail_act!I27)</f>
        <v>38603.623384509898</v>
      </c>
      <c r="J47" s="108">
        <f>IF(J12=0,0,1000000*J12/TrRail_act!J27)</f>
        <v>38068.523231448489</v>
      </c>
      <c r="K47" s="108">
        <f>IF(K12=0,0,1000000*K12/TrRail_act!K27)</f>
        <v>37635.051380838195</v>
      </c>
      <c r="L47" s="108">
        <f>IF(L12=0,0,1000000*L12/TrRail_act!L27)</f>
        <v>36719.190511279965</v>
      </c>
      <c r="M47" s="108">
        <f>IF(M12=0,0,1000000*M12/TrRail_act!M27)</f>
        <v>36308.638653292583</v>
      </c>
      <c r="N47" s="108">
        <f>IF(N12=0,0,1000000*N12/TrRail_act!N27)</f>
        <v>35535.198650699655</v>
      </c>
      <c r="O47" s="108">
        <f>IF(O12=0,0,1000000*O12/TrRail_act!O27)</f>
        <v>35425.097986300614</v>
      </c>
      <c r="P47" s="108">
        <f>IF(P12=0,0,1000000*P12/TrRail_act!P27)</f>
        <v>34619.038433188463</v>
      </c>
      <c r="Q47" s="108">
        <f>IF(Q12=0,0,1000000*Q12/TrRail_act!Q27)</f>
        <v>33857.127111797519</v>
      </c>
      <c r="R47" s="108">
        <f>IF(R12=0,0,1000000*R12/TrRail_act!R27)</f>
        <v>33296.718276423897</v>
      </c>
      <c r="S47" s="108">
        <f>IF(S12=0,0,1000000*S12/TrRail_act!S27)</f>
        <v>32882.507457798383</v>
      </c>
      <c r="T47" s="108">
        <f>IF(T12=0,0,1000000*T12/TrRail_act!T27)</f>
        <v>32575.234382695187</v>
      </c>
      <c r="U47" s="108">
        <f>IF(U12=0,0,1000000*U12/TrRail_act!U27)</f>
        <v>32346.665328339237</v>
      </c>
      <c r="V47" s="108">
        <f>IF(V12=0,0,1000000*V12/TrRail_act!V27)</f>
        <v>28385.64076145503</v>
      </c>
      <c r="W47" s="108">
        <f>IF(W12=0,0,1000000*W12/TrRail_act!W27)</f>
        <v>32049.100573314896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242952.1660856418</v>
      </c>
      <c r="C48" s="110">
        <f>IF(C13=0,0,1000000*C13/TrRail_act!C28)</f>
        <v>236772.62916891088</v>
      </c>
      <c r="D48" s="110">
        <f>IF(D13=0,0,1000000*D13/TrRail_act!D28)</f>
        <v>234806.93052627082</v>
      </c>
      <c r="E48" s="110">
        <f>IF(E13=0,0,1000000*E13/TrRail_act!E28)</f>
        <v>231224.52053162301</v>
      </c>
      <c r="F48" s="110">
        <f>IF(F13=0,0,1000000*F13/TrRail_act!F28)</f>
        <v>226378.1159919044</v>
      </c>
      <c r="G48" s="110">
        <f>IF(G13=0,0,1000000*G13/TrRail_act!G28)</f>
        <v>219678.91420489005</v>
      </c>
      <c r="H48" s="110">
        <f>IF(H13=0,0,1000000*H13/TrRail_act!H28)</f>
        <v>219860.37690821203</v>
      </c>
      <c r="I48" s="110">
        <f>IF(I13=0,0,1000000*I13/TrRail_act!I28)</f>
        <v>214247.52590873037</v>
      </c>
      <c r="J48" s="110">
        <f>IF(J13=0,0,1000000*J13/TrRail_act!J28)</f>
        <v>193225.98234856848</v>
      </c>
      <c r="K48" s="110">
        <f>IF(K13=0,0,1000000*K13/TrRail_act!K28)</f>
        <v>197815.73362205536</v>
      </c>
      <c r="L48" s="110">
        <f>IF(L13=0,0,1000000*L13/TrRail_act!L28)</f>
        <v>198110.28015585607</v>
      </c>
      <c r="M48" s="110">
        <f>IF(M13=0,0,1000000*M13/TrRail_act!M28)</f>
        <v>195185.86368443325</v>
      </c>
      <c r="N48" s="110">
        <f>IF(N13=0,0,1000000*N13/TrRail_act!N28)</f>
        <v>191806.41106298711</v>
      </c>
      <c r="O48" s="110">
        <f>IF(O13=0,0,1000000*O13/TrRail_act!O28)</f>
        <v>185916.20866089364</v>
      </c>
      <c r="P48" s="110">
        <f>IF(P13=0,0,1000000*P13/TrRail_act!P28)</f>
        <v>175287.5406363396</v>
      </c>
      <c r="Q48" s="110">
        <f>IF(Q13=0,0,1000000*Q13/TrRail_act!Q28)</f>
        <v>177347.2266426064</v>
      </c>
      <c r="R48" s="110">
        <f>IF(R13=0,0,1000000*R13/TrRail_act!R28)</f>
        <v>173756.45105007937</v>
      </c>
      <c r="S48" s="110">
        <f>IF(S13=0,0,1000000*S13/TrRail_act!S28)</f>
        <v>175295.53108305705</v>
      </c>
      <c r="T48" s="110">
        <f>IF(T13=0,0,1000000*T13/TrRail_act!T28)</f>
        <v>175601.65608106036</v>
      </c>
      <c r="U48" s="110">
        <f>IF(U13=0,0,1000000*U13/TrRail_act!U28)</f>
        <v>175167.6440909727</v>
      </c>
      <c r="V48" s="110">
        <f>IF(V13=0,0,1000000*V13/TrRail_act!V28)</f>
        <v>153314.74520880159</v>
      </c>
      <c r="W48" s="110">
        <f>IF(W13=0,0,1000000*W13/TrRail_act!W28)</f>
        <v>174118.23624565609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410600.35483954201</v>
      </c>
      <c r="C49" s="84">
        <f>IF(C14=0,0,1000000*C14/TrRail_act!C29)</f>
        <v>391394.79650499619</v>
      </c>
      <c r="D49" s="84">
        <f>IF(D14=0,0,1000000*D14/TrRail_act!D29)</f>
        <v>379637.16460223868</v>
      </c>
      <c r="E49" s="84">
        <f>IF(E14=0,0,1000000*E14/TrRail_act!E29)</f>
        <v>371535.04330706515</v>
      </c>
      <c r="F49" s="84">
        <f>IF(F14=0,0,1000000*F14/TrRail_act!F29)</f>
        <v>351055.90523310431</v>
      </c>
      <c r="G49" s="84">
        <f>IF(G14=0,0,1000000*G14/TrRail_act!G29)</f>
        <v>334581.47005637817</v>
      </c>
      <c r="H49" s="84">
        <f>IF(H14=0,0,1000000*H14/TrRail_act!H29)</f>
        <v>339068.4755802952</v>
      </c>
      <c r="I49" s="84">
        <f>IF(I14=0,0,1000000*I14/TrRail_act!I29)</f>
        <v>335984.06946473796</v>
      </c>
      <c r="J49" s="84">
        <f>IF(J14=0,0,1000000*J14/TrRail_act!J29)</f>
        <v>221298.50500315797</v>
      </c>
      <c r="K49" s="84">
        <f>IF(K14=0,0,1000000*K14/TrRail_act!K29)</f>
        <v>258308.87576199332</v>
      </c>
      <c r="L49" s="84">
        <f>IF(L14=0,0,1000000*L14/TrRail_act!L29)</f>
        <v>319939.04371467786</v>
      </c>
      <c r="M49" s="84">
        <f>IF(M14=0,0,1000000*M14/TrRail_act!M29)</f>
        <v>300513.16006798047</v>
      </c>
      <c r="N49" s="84">
        <f>IF(N14=0,0,1000000*N14/TrRail_act!N29)</f>
        <v>284637.01153479761</v>
      </c>
      <c r="O49" s="84">
        <f>IF(O14=0,0,1000000*O14/TrRail_act!O29)</f>
        <v>247195.55381384573</v>
      </c>
      <c r="P49" s="84">
        <f>IF(P14=0,0,1000000*P14/TrRail_act!P29)</f>
        <v>149885.13571302677</v>
      </c>
      <c r="Q49" s="84">
        <f>IF(Q14=0,0,1000000*Q14/TrRail_act!Q29)</f>
        <v>258000.29157837539</v>
      </c>
      <c r="R49" s="84">
        <f>IF(R14=0,0,1000000*R14/TrRail_act!R29)</f>
        <v>254032.29938137971</v>
      </c>
      <c r="S49" s="84">
        <f>IF(S14=0,0,1000000*S14/TrRail_act!S29)</f>
        <v>249352.83818961048</v>
      </c>
      <c r="T49" s="84">
        <f>IF(T14=0,0,1000000*T14/TrRail_act!T29)</f>
        <v>245899.89501877117</v>
      </c>
      <c r="U49" s="84">
        <f>IF(U14=0,0,1000000*U14/TrRail_act!U29)</f>
        <v>243341.60302357408</v>
      </c>
      <c r="V49" s="84">
        <f>IF(V14=0,0,1000000*V14/TrRail_act!V29)</f>
        <v>241440.36451822726</v>
      </c>
      <c r="W49" s="84">
        <f>IF(W14=0,0,1000000*W14/TrRail_act!W29)</f>
        <v>240024.19205913786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201695.1377736142</v>
      </c>
      <c r="C50" s="84">
        <f>IF(C15=0,0,1000000*C15/TrRail_act!C30)</f>
        <v>200145.89743707189</v>
      </c>
      <c r="D50" s="84">
        <f>IF(D15=0,0,1000000*D15/TrRail_act!D30)</f>
        <v>199256.14330558202</v>
      </c>
      <c r="E50" s="84">
        <f>IF(E15=0,0,1000000*E15/TrRail_act!E30)</f>
        <v>194741.02737755331</v>
      </c>
      <c r="F50" s="84">
        <f>IF(F15=0,0,1000000*F15/TrRail_act!F30)</f>
        <v>195399.88854816364</v>
      </c>
      <c r="G50" s="84">
        <f>IF(G15=0,0,1000000*G15/TrRail_act!G30)</f>
        <v>194924.0545895659</v>
      </c>
      <c r="H50" s="84">
        <f>IF(H15=0,0,1000000*H15/TrRail_act!H30)</f>
        <v>193204.75669786165</v>
      </c>
      <c r="I50" s="84">
        <f>IF(I15=0,0,1000000*I15/TrRail_act!I30)</f>
        <v>190764.55770133031</v>
      </c>
      <c r="J50" s="84">
        <f>IF(J15=0,0,1000000*J15/TrRail_act!J30)</f>
        <v>188774.02068051641</v>
      </c>
      <c r="K50" s="84">
        <f>IF(K15=0,0,1000000*K15/TrRail_act!K30)</f>
        <v>189484.32179544782</v>
      </c>
      <c r="L50" s="84">
        <f>IF(L15=0,0,1000000*L15/TrRail_act!L30)</f>
        <v>184080.5184475237</v>
      </c>
      <c r="M50" s="84">
        <f>IF(M15=0,0,1000000*M15/TrRail_act!M30)</f>
        <v>185335.76479561973</v>
      </c>
      <c r="N50" s="84">
        <f>IF(N15=0,0,1000000*N15/TrRail_act!N30)</f>
        <v>181153.89717152741</v>
      </c>
      <c r="O50" s="84">
        <f>IF(O15=0,0,1000000*O15/TrRail_act!O30)</f>
        <v>180647.47328776031</v>
      </c>
      <c r="P50" s="84">
        <f>IF(P15=0,0,1000000*P15/TrRail_act!P30)</f>
        <v>176976.89717600122</v>
      </c>
      <c r="Q50" s="84">
        <f>IF(Q15=0,0,1000000*Q15/TrRail_act!Q30)</f>
        <v>173848.20881686555</v>
      </c>
      <c r="R50" s="84">
        <f>IF(R15=0,0,1000000*R15/TrRail_act!R30)</f>
        <v>171538.04379342968</v>
      </c>
      <c r="S50" s="84">
        <f>IF(S15=0,0,1000000*S15/TrRail_act!S30)</f>
        <v>170674.71627364593</v>
      </c>
      <c r="T50" s="84">
        <f>IF(T15=0,0,1000000*T15/TrRail_act!T30)</f>
        <v>170030.07321353757</v>
      </c>
      <c r="U50" s="84">
        <f>IF(U15=0,0,1000000*U15/TrRail_act!U30)</f>
        <v>169548.18922605726</v>
      </c>
      <c r="V50" s="84">
        <f>IF(V15=0,0,1000000*V15/TrRail_act!V30)</f>
        <v>145584.80400510141</v>
      </c>
      <c r="W50" s="84">
        <f>IF(W15=0,0,1000000*W15/TrRail_act!W30)</f>
        <v>168917.78856666468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1017489.6380886885</v>
      </c>
      <c r="C51" s="113">
        <f>IF(C16=0,0,1000000*C16/TrRail_act!C31)</f>
        <v>1006882.0700216956</v>
      </c>
      <c r="D51" s="113">
        <f>IF(D16=0,0,1000000*D16/TrRail_act!D31)</f>
        <v>995901.35179066623</v>
      </c>
      <c r="E51" s="113">
        <f>IF(E16=0,0,1000000*E16/TrRail_act!E31)</f>
        <v>969145.34784048563</v>
      </c>
      <c r="F51" s="113">
        <f>IF(F16=0,0,1000000*F16/TrRail_act!F31)</f>
        <v>935212.5127494511</v>
      </c>
      <c r="G51" s="113">
        <f>IF(G16=0,0,1000000*G16/TrRail_act!G31)</f>
        <v>874904.18901088962</v>
      </c>
      <c r="H51" s="113">
        <f>IF(H16=0,0,1000000*H16/TrRail_act!H31)</f>
        <v>852184.6113873088</v>
      </c>
      <c r="I51" s="113">
        <f>IF(I16=0,0,1000000*I16/TrRail_act!I31)</f>
        <v>802488.0565610677</v>
      </c>
      <c r="J51" s="113">
        <f>IF(J16=0,0,1000000*J16/TrRail_act!J31)</f>
        <v>794597.99420778733</v>
      </c>
      <c r="K51" s="113">
        <f>IF(K16=0,0,1000000*K16/TrRail_act!K31)</f>
        <v>799167.19638153957</v>
      </c>
      <c r="L51" s="113">
        <f>IF(L16=0,0,1000000*L16/TrRail_act!L31)</f>
        <v>801495.86656501016</v>
      </c>
      <c r="M51" s="113">
        <f>IF(M16=0,0,1000000*M16/TrRail_act!M31)</f>
        <v>791655.16154269269</v>
      </c>
      <c r="N51" s="113">
        <f>IF(N16=0,0,1000000*N16/TrRail_act!N31)</f>
        <v>757407.43570350332</v>
      </c>
      <c r="O51" s="113">
        <f>IF(O16=0,0,1000000*O16/TrRail_act!O31)</f>
        <v>748666.32276073901</v>
      </c>
      <c r="P51" s="113">
        <f>IF(P16=0,0,1000000*P16/TrRail_act!P31)</f>
        <v>729163.59826598188</v>
      </c>
      <c r="Q51" s="113">
        <f>IF(Q16=0,0,1000000*Q16/TrRail_act!Q31)</f>
        <v>722849.7362321266</v>
      </c>
      <c r="R51" s="113">
        <f>IF(R16=0,0,1000000*R16/TrRail_act!R31)</f>
        <v>718150.2441860179</v>
      </c>
      <c r="S51" s="113">
        <f>IF(S16=0,0,1000000*S16/TrRail_act!S31)</f>
        <v>714645.68795437762</v>
      </c>
      <c r="T51" s="113">
        <f>IF(T16=0,0,1000000*T16/TrRail_act!T31)</f>
        <v>712028.49750750174</v>
      </c>
      <c r="U51" s="113">
        <f>IF(U16=0,0,1000000*U16/TrRail_act!U31)</f>
        <v>710071.89281518571</v>
      </c>
      <c r="V51" s="113">
        <f>IF(V16=0,0,1000000*V16/TrRail_act!V31)</f>
        <v>673571.25829413591</v>
      </c>
      <c r="W51" s="113">
        <f>IF(W16=0,0,1000000*W16/TrRail_act!W31)</f>
        <v>707512.01422533533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415971.20940542687</v>
      </c>
      <c r="C52" s="28">
        <f>IF(C17=0,0,1000000*C17/TrRail_act!C32)</f>
        <v>399856.16412334261</v>
      </c>
      <c r="D52" s="28">
        <f>IF(D17=0,0,1000000*D17/TrRail_act!D32)</f>
        <v>395824.50970377086</v>
      </c>
      <c r="E52" s="28">
        <f>IF(E17=0,0,1000000*E17/TrRail_act!E32)</f>
        <v>385596.80678739847</v>
      </c>
      <c r="F52" s="28">
        <f>IF(F17=0,0,1000000*F17/TrRail_act!F32)</f>
        <v>369228.04648379778</v>
      </c>
      <c r="G52" s="28">
        <f>IF(G17=0,0,1000000*G17/TrRail_act!G32)</f>
        <v>345078.79646650754</v>
      </c>
      <c r="H52" s="28">
        <f>IF(H17=0,0,1000000*H17/TrRail_act!H32)</f>
        <v>374518.15307898691</v>
      </c>
      <c r="I52" s="28">
        <f>IF(I17=0,0,1000000*I17/TrRail_act!I32)</f>
        <v>375752.1938906702</v>
      </c>
      <c r="J52" s="28">
        <f>IF(J17=0,0,1000000*J17/TrRail_act!J32)</f>
        <v>375584.17768429412</v>
      </c>
      <c r="K52" s="28">
        <f>IF(K17=0,0,1000000*K17/TrRail_act!K32)</f>
        <v>283083.70325380284</v>
      </c>
      <c r="L52" s="28">
        <f>IF(L17=0,0,1000000*L17/TrRail_act!L32)</f>
        <v>317694.32765678153</v>
      </c>
      <c r="M52" s="28">
        <f>IF(M17=0,0,1000000*M17/TrRail_act!M32)</f>
        <v>279078.96582996537</v>
      </c>
      <c r="N52" s="28">
        <f>IF(N17=0,0,1000000*N17/TrRail_act!N32)</f>
        <v>274193.82281058218</v>
      </c>
      <c r="O52" s="28">
        <f>IF(O17=0,0,1000000*O17/TrRail_act!O32)</f>
        <v>259528.7008061884</v>
      </c>
      <c r="P52" s="28">
        <f>IF(P17=0,0,1000000*P17/TrRail_act!P32)</f>
        <v>247309.10553472576</v>
      </c>
      <c r="Q52" s="28">
        <f>IF(Q17=0,0,1000000*Q17/TrRail_act!Q32)</f>
        <v>224100.43227644847</v>
      </c>
      <c r="R52" s="28">
        <f>IF(R17=0,0,1000000*R17/TrRail_act!R32)</f>
        <v>234689.70238287759</v>
      </c>
      <c r="S52" s="28">
        <f>IF(S17=0,0,1000000*S17/TrRail_act!S32)</f>
        <v>242977.16582772121</v>
      </c>
      <c r="T52" s="28">
        <f>IF(T17=0,0,1000000*T17/TrRail_act!T32)</f>
        <v>233615.17996130156</v>
      </c>
      <c r="U52" s="28">
        <f>IF(U17=0,0,1000000*U17/TrRail_act!U32)</f>
        <v>242880.77330973875</v>
      </c>
      <c r="V52" s="28">
        <f>IF(V17=0,0,1000000*V17/TrRail_act!V32)</f>
        <v>247465.24045538722</v>
      </c>
      <c r="W52" s="28">
        <f>IF(W17=0,0,1000000*W17/TrRail_act!W32)</f>
        <v>244744.49622183153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973996.57865030097</v>
      </c>
      <c r="C53" s="84">
        <f>IF(C18=0,0,1000000*C18/TrRail_act!C33)</f>
        <v>824388.51834547182</v>
      </c>
      <c r="D53" s="84">
        <f>IF(D18=0,0,1000000*D18/TrRail_act!D33)</f>
        <v>881283.96692779195</v>
      </c>
      <c r="E53" s="84">
        <f>IF(E18=0,0,1000000*E18/TrRail_act!E33)</f>
        <v>928606.41319992114</v>
      </c>
      <c r="F53" s="84">
        <f>IF(F18=0,0,1000000*F18/TrRail_act!F33)</f>
        <v>909418.44691299857</v>
      </c>
      <c r="G53" s="84">
        <f>IF(G18=0,0,1000000*G18/TrRail_act!G33)</f>
        <v>642871.32929695479</v>
      </c>
      <c r="H53" s="84">
        <f>IF(H18=0,0,1000000*H18/TrRail_act!H33)</f>
        <v>880599.83382470557</v>
      </c>
      <c r="I53" s="84">
        <f>IF(I18=0,0,1000000*I18/TrRail_act!I33)</f>
        <v>867059.85614028084</v>
      </c>
      <c r="J53" s="84">
        <f>IF(J18=0,0,1000000*J18/TrRail_act!J33)</f>
        <v>850929.78706748725</v>
      </c>
      <c r="K53" s="84">
        <f>IF(K18=0,0,1000000*K18/TrRail_act!K33)</f>
        <v>477082.58442561561</v>
      </c>
      <c r="L53" s="84">
        <f>IF(L18=0,0,1000000*L18/TrRail_act!L33)</f>
        <v>449569.13327912055</v>
      </c>
      <c r="M53" s="84">
        <f>IF(M18=0,0,1000000*M18/TrRail_act!M33)</f>
        <v>214865.97081786778</v>
      </c>
      <c r="N53" s="84">
        <f>IF(N18=0,0,1000000*N18/TrRail_act!N33)</f>
        <v>204277.59272911021</v>
      </c>
      <c r="O53" s="84">
        <f>IF(O18=0,0,1000000*O18/TrRail_act!O33)</f>
        <v>135769.91703476725</v>
      </c>
      <c r="P53" s="84">
        <f>IF(P18=0,0,1000000*P18/TrRail_act!P33)</f>
        <v>71935.98593250585</v>
      </c>
      <c r="Q53" s="84">
        <f>IF(Q18=0,0,1000000*Q18/TrRail_act!Q33)</f>
        <v>90079.153376613292</v>
      </c>
      <c r="R53" s="84">
        <f>IF(R18=0,0,1000000*R18/TrRail_act!R33)</f>
        <v>63484.771614508318</v>
      </c>
      <c r="S53" s="84">
        <f>IF(S18=0,0,1000000*S18/TrRail_act!S33)</f>
        <v>136890.07250884059</v>
      </c>
      <c r="T53" s="84">
        <f>IF(T18=0,0,1000000*T18/TrRail_act!T33)</f>
        <v>172528.97246851723</v>
      </c>
      <c r="U53" s="84">
        <f>IF(U18=0,0,1000000*U18/TrRail_act!U33)</f>
        <v>169535.47431139619</v>
      </c>
      <c r="V53" s="84">
        <f>IF(V18=0,0,1000000*V18/TrRail_act!V33)</f>
        <v>225518.12051241467</v>
      </c>
      <c r="W53" s="84">
        <f>IF(W18=0,0,1000000*W18/TrRail_act!W33)</f>
        <v>198141.90774961395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392665.34333132004</v>
      </c>
      <c r="C54" s="86">
        <f>IF(C19=0,0,1000000*C19/TrRail_act!C34)</f>
        <v>383045.0181912331</v>
      </c>
      <c r="D54" s="86">
        <f>IF(D19=0,0,1000000*D19/TrRail_act!D34)</f>
        <v>378054.74914705951</v>
      </c>
      <c r="E54" s="86">
        <f>IF(E19=0,0,1000000*E19/TrRail_act!E34)</f>
        <v>366275.14231885673</v>
      </c>
      <c r="F54" s="86">
        <f>IF(F19=0,0,1000000*F19/TrRail_act!F34)</f>
        <v>348171.4886146533</v>
      </c>
      <c r="G54" s="86">
        <f>IF(G19=0,0,1000000*G19/TrRail_act!G34)</f>
        <v>335014.26660007169</v>
      </c>
      <c r="H54" s="86">
        <f>IF(H19=0,0,1000000*H19/TrRail_act!H34)</f>
        <v>319528.78249386238</v>
      </c>
      <c r="I54" s="86">
        <f>IF(I19=0,0,1000000*I19/TrRail_act!I34)</f>
        <v>309306.95783679956</v>
      </c>
      <c r="J54" s="86">
        <f>IF(J19=0,0,1000000*J19/TrRail_act!J34)</f>
        <v>302566.79189820035</v>
      </c>
      <c r="K54" s="86">
        <f>IF(K19=0,0,1000000*K19/TrRail_act!K34)</f>
        <v>250961.32693191528</v>
      </c>
      <c r="L54" s="86">
        <f>IF(L19=0,0,1000000*L19/TrRail_act!L34)</f>
        <v>293965.67393977265</v>
      </c>
      <c r="M54" s="86">
        <f>IF(M19=0,0,1000000*M19/TrRail_act!M34)</f>
        <v>288979.22591973958</v>
      </c>
      <c r="N54" s="86">
        <f>IF(N19=0,0,1000000*N19/TrRail_act!N34)</f>
        <v>284304.23968039872</v>
      </c>
      <c r="O54" s="86">
        <f>IF(O19=0,0,1000000*O19/TrRail_act!O34)</f>
        <v>277639.60540077859</v>
      </c>
      <c r="P54" s="86">
        <f>IF(P19=0,0,1000000*P19/TrRail_act!P34)</f>
        <v>270447.29396075424</v>
      </c>
      <c r="Q54" s="86">
        <f>IF(Q19=0,0,1000000*Q19/TrRail_act!Q34)</f>
        <v>243104.64536768504</v>
      </c>
      <c r="R54" s="86">
        <f>IF(R19=0,0,1000000*R19/TrRail_act!R34)</f>
        <v>255721.72643280664</v>
      </c>
      <c r="S54" s="86">
        <f>IF(S19=0,0,1000000*S19/TrRail_act!S34)</f>
        <v>253495.44988719761</v>
      </c>
      <c r="T54" s="86">
        <f>IF(T19=0,0,1000000*T19/TrRail_act!T34)</f>
        <v>239983.7888498547</v>
      </c>
      <c r="U54" s="86">
        <f>IF(U19=0,0,1000000*U19/TrRail_act!U34)</f>
        <v>250602.84763498147</v>
      </c>
      <c r="V54" s="86">
        <f>IF(V19=0,0,1000000*V19/TrRail_act!V34)</f>
        <v>249680.10947374266</v>
      </c>
      <c r="W54" s="86">
        <f>IF(W19=0,0,1000000*W19/TrRail_act!W34)</f>
        <v>248990.28812998388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0.86532045892310172</v>
      </c>
      <c r="C57" s="31">
        <f t="shared" ref="C57:V57" si="17">IF(C11=0,0,C11/C$10)</f>
        <v>0.87066746347673751</v>
      </c>
      <c r="D57" s="31">
        <f t="shared" si="17"/>
        <v>0.87896041941921832</v>
      </c>
      <c r="E57" s="31">
        <f t="shared" si="17"/>
        <v>0.88005827098821843</v>
      </c>
      <c r="F57" s="31">
        <f t="shared" si="17"/>
        <v>0.86250353189238183</v>
      </c>
      <c r="G57" s="31">
        <f t="shared" si="17"/>
        <v>0.8644698529227649</v>
      </c>
      <c r="H57" s="31">
        <f t="shared" si="17"/>
        <v>0.8476831369252138</v>
      </c>
      <c r="I57" s="31">
        <f t="shared" si="17"/>
        <v>0.83975279845830963</v>
      </c>
      <c r="J57" s="31">
        <f t="shared" si="17"/>
        <v>0.8413934404542589</v>
      </c>
      <c r="K57" s="31">
        <f t="shared" si="17"/>
        <v>0.88658033053855012</v>
      </c>
      <c r="L57" s="31">
        <f t="shared" si="17"/>
        <v>0.8880371626331709</v>
      </c>
      <c r="M57" s="31">
        <f t="shared" si="17"/>
        <v>0.88883378511009958</v>
      </c>
      <c r="N57" s="31">
        <f t="shared" si="17"/>
        <v>0.89201366788505454</v>
      </c>
      <c r="O57" s="31">
        <f t="shared" si="17"/>
        <v>0.90268970282633532</v>
      </c>
      <c r="P57" s="31">
        <f t="shared" si="17"/>
        <v>0.89582027876050019</v>
      </c>
      <c r="Q57" s="31">
        <f t="shared" si="17"/>
        <v>0.91709576791216507</v>
      </c>
      <c r="R57" s="31">
        <f t="shared" si="17"/>
        <v>0.9089836884313095</v>
      </c>
      <c r="S57" s="31">
        <f t="shared" si="17"/>
        <v>0.89478729410255975</v>
      </c>
      <c r="T57" s="31">
        <f t="shared" si="17"/>
        <v>0.91142890095371631</v>
      </c>
      <c r="U57" s="31">
        <f t="shared" si="17"/>
        <v>0.90961211624527383</v>
      </c>
      <c r="V57" s="31">
        <f t="shared" si="17"/>
        <v>0.89171179220031704</v>
      </c>
      <c r="W57" s="31">
        <f t="shared" ref="W57" si="18">IF(W11=0,0,W11/W$10)</f>
        <v>0.8964136733684458</v>
      </c>
      <c r="DA57" s="173"/>
    </row>
    <row r="58" spans="1:105" ht="11.45" customHeight="1" x14ac:dyDescent="0.25">
      <c r="A58" s="107" t="s">
        <v>23</v>
      </c>
      <c r="B58" s="123">
        <f t="shared" si="14"/>
        <v>4.6249229661965902E-2</v>
      </c>
      <c r="C58" s="123">
        <f t="shared" ref="C58:V58" si="19">IF(C12=0,0,C12/C$10)</f>
        <v>4.8434397518535656E-2</v>
      </c>
      <c r="D58" s="123">
        <f t="shared" si="19"/>
        <v>4.9428264001712206E-2</v>
      </c>
      <c r="E58" s="123">
        <f t="shared" si="19"/>
        <v>4.8678631339048199E-2</v>
      </c>
      <c r="F58" s="123">
        <f t="shared" si="19"/>
        <v>5.2339106300361954E-2</v>
      </c>
      <c r="G58" s="123">
        <f t="shared" si="19"/>
        <v>5.2863388812114026E-2</v>
      </c>
      <c r="H58" s="123">
        <f t="shared" si="19"/>
        <v>5.3986669878692925E-2</v>
      </c>
      <c r="I58" s="123">
        <f t="shared" si="19"/>
        <v>5.8351811898048944E-2</v>
      </c>
      <c r="J58" s="123">
        <f t="shared" si="19"/>
        <v>6.1960680081224129E-2</v>
      </c>
      <c r="K58" s="123">
        <f t="shared" si="19"/>
        <v>6.4737495586379562E-2</v>
      </c>
      <c r="L58" s="123">
        <f t="shared" si="19"/>
        <v>6.2853058347712348E-2</v>
      </c>
      <c r="M58" s="123">
        <f t="shared" si="19"/>
        <v>6.3205974392279804E-2</v>
      </c>
      <c r="N58" s="123">
        <f t="shared" si="19"/>
        <v>5.5176699889841696E-2</v>
      </c>
      <c r="O58" s="123">
        <f t="shared" si="19"/>
        <v>5.4431612597796546E-2</v>
      </c>
      <c r="P58" s="123">
        <f t="shared" si="19"/>
        <v>5.6492772822373021E-2</v>
      </c>
      <c r="Q58" s="123">
        <f t="shared" si="19"/>
        <v>5.4414276958976972E-2</v>
      </c>
      <c r="R58" s="123">
        <f t="shared" si="19"/>
        <v>5.2268131709365236E-2</v>
      </c>
      <c r="S58" s="123">
        <f t="shared" si="19"/>
        <v>5.130769961479191E-2</v>
      </c>
      <c r="T58" s="123">
        <f t="shared" si="19"/>
        <v>4.8093750763606176E-2</v>
      </c>
      <c r="U58" s="123">
        <f t="shared" si="19"/>
        <v>5.1229442196383659E-2</v>
      </c>
      <c r="V58" s="123">
        <f t="shared" si="19"/>
        <v>4.9148397542410814E-2</v>
      </c>
      <c r="W58" s="123">
        <f t="shared" ref="W58" si="20">IF(W12=0,0,W12/W$10)</f>
        <v>5.4366265116212995E-2</v>
      </c>
      <c r="DA58" s="203"/>
    </row>
    <row r="59" spans="1:105" ht="11.45" customHeight="1" x14ac:dyDescent="0.25">
      <c r="A59" s="109" t="s">
        <v>24</v>
      </c>
      <c r="B59" s="124">
        <f t="shared" si="14"/>
        <v>0.75587996702923199</v>
      </c>
      <c r="C59" s="124">
        <f t="shared" ref="C59:V59" si="21">IF(C13=0,0,C13/C$10)</f>
        <v>0.73453888791227506</v>
      </c>
      <c r="D59" s="124">
        <f t="shared" si="21"/>
        <v>0.74002701481778554</v>
      </c>
      <c r="E59" s="124">
        <f t="shared" si="21"/>
        <v>0.7430763845732834</v>
      </c>
      <c r="F59" s="124">
        <f t="shared" si="21"/>
        <v>0.71517036500255149</v>
      </c>
      <c r="G59" s="124">
        <f t="shared" si="21"/>
        <v>0.71211146510427425</v>
      </c>
      <c r="H59" s="124">
        <f t="shared" si="21"/>
        <v>0.7002873582280873</v>
      </c>
      <c r="I59" s="124">
        <f t="shared" si="21"/>
        <v>0.69340712995760267</v>
      </c>
      <c r="J59" s="124">
        <f t="shared" si="21"/>
        <v>0.67812889226560846</v>
      </c>
      <c r="K59" s="124">
        <f t="shared" si="21"/>
        <v>0.69717388103324951</v>
      </c>
      <c r="L59" s="124">
        <f t="shared" si="21"/>
        <v>0.69435787052285169</v>
      </c>
      <c r="M59" s="124">
        <f t="shared" si="21"/>
        <v>0.68636187624326173</v>
      </c>
      <c r="N59" s="124">
        <f t="shared" si="21"/>
        <v>0.70325080521606242</v>
      </c>
      <c r="O59" s="124">
        <f t="shared" si="21"/>
        <v>0.71738571835747889</v>
      </c>
      <c r="P59" s="124">
        <f t="shared" si="21"/>
        <v>0.70449477984839026</v>
      </c>
      <c r="Q59" s="124">
        <f t="shared" si="21"/>
        <v>0.73358276601205719</v>
      </c>
      <c r="R59" s="124">
        <f t="shared" si="21"/>
        <v>0.73432154843923592</v>
      </c>
      <c r="S59" s="124">
        <f t="shared" si="21"/>
        <v>0.72753124220413523</v>
      </c>
      <c r="T59" s="124">
        <f t="shared" si="21"/>
        <v>0.75369158070211606</v>
      </c>
      <c r="U59" s="124">
        <f t="shared" si="21"/>
        <v>0.73707521474537741</v>
      </c>
      <c r="V59" s="124">
        <f t="shared" si="21"/>
        <v>0.71231692566845173</v>
      </c>
      <c r="W59" s="124">
        <f t="shared" ref="W59" si="22">IF(W13=0,0,W13/W$10)</f>
        <v>0.71240314709097063</v>
      </c>
      <c r="DA59" s="176"/>
    </row>
    <row r="60" spans="1:105" ht="11.45" customHeight="1" x14ac:dyDescent="0.25">
      <c r="A60" s="111" t="s">
        <v>92</v>
      </c>
      <c r="B60" s="125">
        <f t="shared" si="14"/>
        <v>0.25229000046669109</v>
      </c>
      <c r="C60" s="125">
        <f t="shared" ref="C60:V60" si="23">IF(C14=0,0,C14/C$10)</f>
        <v>0.23253994623303936</v>
      </c>
      <c r="D60" s="125">
        <f t="shared" si="23"/>
        <v>0.23581083943086706</v>
      </c>
      <c r="E60" s="125">
        <f t="shared" si="23"/>
        <v>0.24639291027499166</v>
      </c>
      <c r="F60" s="125">
        <f t="shared" si="23"/>
        <v>0.22072016048220203</v>
      </c>
      <c r="G60" s="125">
        <f t="shared" si="23"/>
        <v>0.19224628530690321</v>
      </c>
      <c r="H60" s="125">
        <f t="shared" si="23"/>
        <v>0.19735959350203341</v>
      </c>
      <c r="I60" s="125">
        <f t="shared" si="23"/>
        <v>0.1758406139125781</v>
      </c>
      <c r="J60" s="125">
        <f t="shared" si="23"/>
        <v>0.10630806204813695</v>
      </c>
      <c r="K60" s="125">
        <f t="shared" si="23"/>
        <v>0.11020335174828713</v>
      </c>
      <c r="L60" s="125">
        <f t="shared" si="23"/>
        <v>0.11579958193856672</v>
      </c>
      <c r="M60" s="125">
        <f t="shared" si="23"/>
        <v>9.0373608864233276E-2</v>
      </c>
      <c r="N60" s="125">
        <f t="shared" si="23"/>
        <v>0.10742889498920272</v>
      </c>
      <c r="O60" s="125">
        <f t="shared" si="23"/>
        <v>7.551739146477135E-2</v>
      </c>
      <c r="P60" s="125">
        <f t="shared" si="23"/>
        <v>3.7563787187833361E-2</v>
      </c>
      <c r="Q60" s="125">
        <f t="shared" si="23"/>
        <v>4.4373757039970867E-2</v>
      </c>
      <c r="R60" s="125">
        <f t="shared" si="23"/>
        <v>2.8870336349279168E-2</v>
      </c>
      <c r="S60" s="125">
        <f t="shared" si="23"/>
        <v>6.0779860374730037E-2</v>
      </c>
      <c r="T60" s="125">
        <f t="shared" si="23"/>
        <v>7.7505572772668091E-2</v>
      </c>
      <c r="U60" s="125">
        <f t="shared" si="23"/>
        <v>7.7974189413984971E-2</v>
      </c>
      <c r="V60" s="125">
        <f t="shared" si="23"/>
        <v>9.0460315047529619E-2</v>
      </c>
      <c r="W60" s="125">
        <f t="shared" ref="W60" si="24">IF(W14=0,0,W14/W$10)</f>
        <v>7.1823837420905784E-2</v>
      </c>
      <c r="DA60" s="171"/>
    </row>
    <row r="61" spans="1:105" ht="11.45" customHeight="1" x14ac:dyDescent="0.25">
      <c r="A61" s="111" t="s">
        <v>93</v>
      </c>
      <c r="B61" s="125">
        <f t="shared" si="14"/>
        <v>0.50358996656254085</v>
      </c>
      <c r="C61" s="125">
        <f t="shared" ref="C61:V61" si="25">IF(C15=0,0,C15/C$10)</f>
        <v>0.50199894167923564</v>
      </c>
      <c r="D61" s="125">
        <f t="shared" si="25"/>
        <v>0.50421617538691854</v>
      </c>
      <c r="E61" s="125">
        <f t="shared" si="25"/>
        <v>0.49668347429829163</v>
      </c>
      <c r="F61" s="125">
        <f t="shared" si="25"/>
        <v>0.49445020452034949</v>
      </c>
      <c r="G61" s="125">
        <f t="shared" si="25"/>
        <v>0.51986517979737112</v>
      </c>
      <c r="H61" s="125">
        <f t="shared" si="25"/>
        <v>0.50292776472605383</v>
      </c>
      <c r="I61" s="125">
        <f t="shared" si="25"/>
        <v>0.51756651604502457</v>
      </c>
      <c r="J61" s="125">
        <f t="shared" si="25"/>
        <v>0.57182083021747143</v>
      </c>
      <c r="K61" s="125">
        <f t="shared" si="25"/>
        <v>0.58697052928496241</v>
      </c>
      <c r="L61" s="125">
        <f t="shared" si="25"/>
        <v>0.57855828858428493</v>
      </c>
      <c r="M61" s="125">
        <f t="shared" si="25"/>
        <v>0.59598826737902844</v>
      </c>
      <c r="N61" s="125">
        <f t="shared" si="25"/>
        <v>0.59582191022685971</v>
      </c>
      <c r="O61" s="125">
        <f t="shared" si="25"/>
        <v>0.64186832689270756</v>
      </c>
      <c r="P61" s="125">
        <f t="shared" si="25"/>
        <v>0.66693099266055689</v>
      </c>
      <c r="Q61" s="125">
        <f t="shared" si="25"/>
        <v>0.68920900897208626</v>
      </c>
      <c r="R61" s="125">
        <f t="shared" si="25"/>
        <v>0.70545121208995665</v>
      </c>
      <c r="S61" s="125">
        <f t="shared" si="25"/>
        <v>0.66675138182940519</v>
      </c>
      <c r="T61" s="125">
        <f t="shared" si="25"/>
        <v>0.67618600792944805</v>
      </c>
      <c r="U61" s="125">
        <f t="shared" si="25"/>
        <v>0.65910102533139237</v>
      </c>
      <c r="V61" s="125">
        <f t="shared" si="25"/>
        <v>0.62185661062092212</v>
      </c>
      <c r="W61" s="125">
        <f t="shared" ref="W61" si="26">IF(W15=0,0,W15/W$10)</f>
        <v>0.64057930967006493</v>
      </c>
      <c r="DA61" s="171"/>
    </row>
    <row r="62" spans="1:105" ht="11.45" customHeight="1" x14ac:dyDescent="0.25">
      <c r="A62" s="112" t="s">
        <v>25</v>
      </c>
      <c r="B62" s="126">
        <f t="shared" si="14"/>
        <v>6.3191262231903744E-2</v>
      </c>
      <c r="C62" s="126">
        <f t="shared" ref="C62:V62" si="27">IF(C16=0,0,C16/C$10)</f>
        <v>8.769417804592694E-2</v>
      </c>
      <c r="D62" s="126">
        <f t="shared" si="27"/>
        <v>8.9505140599720562E-2</v>
      </c>
      <c r="E62" s="126">
        <f t="shared" si="27"/>
        <v>8.8303255075886905E-2</v>
      </c>
      <c r="F62" s="126">
        <f t="shared" si="27"/>
        <v>9.4994060589468479E-2</v>
      </c>
      <c r="G62" s="126">
        <f t="shared" si="27"/>
        <v>9.9494999006376636E-2</v>
      </c>
      <c r="H62" s="126">
        <f t="shared" si="27"/>
        <v>9.3409108818433631E-2</v>
      </c>
      <c r="I62" s="126">
        <f t="shared" si="27"/>
        <v>8.7993856602657947E-2</v>
      </c>
      <c r="J62" s="126">
        <f t="shared" si="27"/>
        <v>0.10130386810742631</v>
      </c>
      <c r="K62" s="126">
        <f t="shared" si="27"/>
        <v>0.12466895391892109</v>
      </c>
      <c r="L62" s="126">
        <f t="shared" si="27"/>
        <v>0.13082623376260683</v>
      </c>
      <c r="M62" s="126">
        <f t="shared" si="27"/>
        <v>0.1392659344745579</v>
      </c>
      <c r="N62" s="126">
        <f t="shared" si="27"/>
        <v>0.1335861627791505</v>
      </c>
      <c r="O62" s="126">
        <f t="shared" si="27"/>
        <v>0.13087237187105996</v>
      </c>
      <c r="P62" s="126">
        <f t="shared" si="27"/>
        <v>0.1348327260897369</v>
      </c>
      <c r="Q62" s="126">
        <f t="shared" si="27"/>
        <v>0.12909872494113098</v>
      </c>
      <c r="R62" s="126">
        <f t="shared" si="27"/>
        <v>0.12239400828270838</v>
      </c>
      <c r="S62" s="126">
        <f t="shared" si="27"/>
        <v>0.11594835228363262</v>
      </c>
      <c r="T62" s="126">
        <f t="shared" si="27"/>
        <v>0.10964356948799406</v>
      </c>
      <c r="U62" s="126">
        <f t="shared" si="27"/>
        <v>0.12130745930351272</v>
      </c>
      <c r="V62" s="126">
        <f t="shared" si="27"/>
        <v>0.13024646898945444</v>
      </c>
      <c r="W62" s="126">
        <f t="shared" ref="W62" si="28">IF(W16=0,0,W16/W$10)</f>
        <v>0.12964426116126218</v>
      </c>
      <c r="DA62" s="204"/>
    </row>
    <row r="63" spans="1:105" ht="11.45" customHeight="1" x14ac:dyDescent="0.25">
      <c r="A63" s="27" t="s">
        <v>34</v>
      </c>
      <c r="B63" s="31">
        <f t="shared" si="14"/>
        <v>0.13467954107689836</v>
      </c>
      <c r="C63" s="31">
        <f t="shared" ref="C63:V63" si="29">IF(C17=0,0,C17/C$10)</f>
        <v>0.12933253652326249</v>
      </c>
      <c r="D63" s="31">
        <f t="shared" si="29"/>
        <v>0.12103958058078168</v>
      </c>
      <c r="E63" s="31">
        <f t="shared" si="29"/>
        <v>0.11994172901178167</v>
      </c>
      <c r="F63" s="31">
        <f t="shared" si="29"/>
        <v>0.13749646810761815</v>
      </c>
      <c r="G63" s="31">
        <f t="shared" si="29"/>
        <v>0.13553014707723501</v>
      </c>
      <c r="H63" s="31">
        <f t="shared" si="29"/>
        <v>0.15231686307478617</v>
      </c>
      <c r="I63" s="31">
        <f t="shared" si="29"/>
        <v>0.16024720154169034</v>
      </c>
      <c r="J63" s="31">
        <f t="shared" si="29"/>
        <v>0.15860655954574115</v>
      </c>
      <c r="K63" s="31">
        <f t="shared" si="29"/>
        <v>0.11341966946144991</v>
      </c>
      <c r="L63" s="31">
        <f t="shared" si="29"/>
        <v>0.1119628373668291</v>
      </c>
      <c r="M63" s="31">
        <f t="shared" si="29"/>
        <v>0.11116621488990042</v>
      </c>
      <c r="N63" s="31">
        <f t="shared" si="29"/>
        <v>0.10798633211494535</v>
      </c>
      <c r="O63" s="31">
        <f t="shared" si="29"/>
        <v>9.7310297173664739E-2</v>
      </c>
      <c r="P63" s="31">
        <f t="shared" si="29"/>
        <v>0.10417972123949985</v>
      </c>
      <c r="Q63" s="31">
        <f t="shared" si="29"/>
        <v>8.2904232087834928E-2</v>
      </c>
      <c r="R63" s="31">
        <f t="shared" si="29"/>
        <v>9.1016311568690403E-2</v>
      </c>
      <c r="S63" s="31">
        <f t="shared" si="29"/>
        <v>0.10521270589744028</v>
      </c>
      <c r="T63" s="31">
        <f t="shared" si="29"/>
        <v>8.8571099046283644E-2</v>
      </c>
      <c r="U63" s="31">
        <f t="shared" si="29"/>
        <v>9.0387883754726173E-2</v>
      </c>
      <c r="V63" s="31">
        <f t="shared" si="29"/>
        <v>0.10828820779968301</v>
      </c>
      <c r="W63" s="31">
        <f t="shared" ref="W63" si="30">IF(W17=0,0,W17/W$10)</f>
        <v>0.10358632663155418</v>
      </c>
      <c r="DA63" s="173"/>
    </row>
    <row r="64" spans="1:105" ht="11.45" customHeight="1" x14ac:dyDescent="0.25">
      <c r="A64" s="83" t="s">
        <v>92</v>
      </c>
      <c r="B64" s="125">
        <f t="shared" si="14"/>
        <v>1.2642628435249211E-2</v>
      </c>
      <c r="C64" s="125">
        <f t="shared" ref="C64:V64" si="31">IF(C18=0,0,C18/C$10)</f>
        <v>1.0156791037708023E-2</v>
      </c>
      <c r="D64" s="125">
        <f t="shared" si="31"/>
        <v>9.5160414274720901E-3</v>
      </c>
      <c r="E64" s="125">
        <f t="shared" si="31"/>
        <v>9.9247792556942573E-3</v>
      </c>
      <c r="F64" s="125">
        <f t="shared" si="31"/>
        <v>1.2705565434818315E-2</v>
      </c>
      <c r="G64" s="125">
        <f t="shared" si="31"/>
        <v>8.2544105212545796E-3</v>
      </c>
      <c r="H64" s="125">
        <f t="shared" si="31"/>
        <v>3.5100604841055906E-2</v>
      </c>
      <c r="I64" s="125">
        <f t="shared" si="31"/>
        <v>4.4051431039196037E-2</v>
      </c>
      <c r="J64" s="125">
        <f t="shared" si="31"/>
        <v>4.7848213023592281E-2</v>
      </c>
      <c r="K64" s="125">
        <f t="shared" si="31"/>
        <v>2.7153970751229189E-2</v>
      </c>
      <c r="L64" s="125">
        <f t="shared" si="31"/>
        <v>2.416099254749356E-2</v>
      </c>
      <c r="M64" s="125">
        <f t="shared" si="31"/>
        <v>1.1433101775284919E-2</v>
      </c>
      <c r="N64" s="125">
        <f t="shared" si="31"/>
        <v>1.0164038393204322E-2</v>
      </c>
      <c r="O64" s="125">
        <f t="shared" si="31"/>
        <v>6.4987149301638115E-3</v>
      </c>
      <c r="P64" s="125">
        <f t="shared" si="31"/>
        <v>3.532103223125548E-3</v>
      </c>
      <c r="Q64" s="125">
        <f t="shared" si="31"/>
        <v>4.1385138161239591E-3</v>
      </c>
      <c r="R64" s="125">
        <f t="shared" si="31"/>
        <v>2.6936362656403592E-3</v>
      </c>
      <c r="S64" s="125">
        <f t="shared" si="31"/>
        <v>5.3468869039129934E-3</v>
      </c>
      <c r="T64" s="125">
        <f t="shared" si="31"/>
        <v>6.1756777265663315E-3</v>
      </c>
      <c r="U64" s="125">
        <f t="shared" si="31"/>
        <v>6.0098764352875993E-3</v>
      </c>
      <c r="V64" s="125">
        <f t="shared" si="31"/>
        <v>9.0461497056600979E-3</v>
      </c>
      <c r="W64" s="125">
        <f t="shared" ref="W64" si="32">IF(W18=0,0,W18/W$10)</f>
        <v>7.0024081188866114E-3</v>
      </c>
      <c r="DA64" s="171"/>
    </row>
    <row r="65" spans="1:105" ht="11.45" customHeight="1" x14ac:dyDescent="0.25">
      <c r="A65" s="85" t="s">
        <v>93</v>
      </c>
      <c r="B65" s="127">
        <f t="shared" si="14"/>
        <v>0.12203691264164916</v>
      </c>
      <c r="C65" s="127">
        <f t="shared" ref="C65:V65" si="33">IF(C19=0,0,C19/C$10)</f>
        <v>0.11917574548555449</v>
      </c>
      <c r="D65" s="127">
        <f t="shared" si="33"/>
        <v>0.11152353915330961</v>
      </c>
      <c r="E65" s="127">
        <f t="shared" si="33"/>
        <v>0.1100169497560874</v>
      </c>
      <c r="F65" s="127">
        <f t="shared" si="33"/>
        <v>0.12479090267279984</v>
      </c>
      <c r="G65" s="127">
        <f t="shared" si="33"/>
        <v>0.12727573655598043</v>
      </c>
      <c r="H65" s="127">
        <f t="shared" si="33"/>
        <v>0.11721625823373027</v>
      </c>
      <c r="I65" s="127">
        <f t="shared" si="33"/>
        <v>0.11619577050249429</v>
      </c>
      <c r="J65" s="127">
        <f t="shared" si="33"/>
        <v>0.11075834652214887</v>
      </c>
      <c r="K65" s="127">
        <f t="shared" si="33"/>
        <v>8.6265698710220717E-2</v>
      </c>
      <c r="L65" s="127">
        <f t="shared" si="33"/>
        <v>8.7801844819335548E-2</v>
      </c>
      <c r="M65" s="127">
        <f t="shared" si="33"/>
        <v>9.9733113114615496E-2</v>
      </c>
      <c r="N65" s="127">
        <f t="shared" si="33"/>
        <v>9.7822293721741033E-2</v>
      </c>
      <c r="O65" s="127">
        <f t="shared" si="33"/>
        <v>9.081158224350093E-2</v>
      </c>
      <c r="P65" s="127">
        <f t="shared" si="33"/>
        <v>0.1006476180163743</v>
      </c>
      <c r="Q65" s="127">
        <f t="shared" si="33"/>
        <v>7.8765718271710972E-2</v>
      </c>
      <c r="R65" s="127">
        <f t="shared" si="33"/>
        <v>8.8322675303050047E-2</v>
      </c>
      <c r="S65" s="127">
        <f t="shared" si="33"/>
        <v>9.9865818993527283E-2</v>
      </c>
      <c r="T65" s="127">
        <f t="shared" si="33"/>
        <v>8.2395421319717319E-2</v>
      </c>
      <c r="U65" s="127">
        <f t="shared" si="33"/>
        <v>8.4378007319438578E-2</v>
      </c>
      <c r="V65" s="127">
        <f t="shared" si="33"/>
        <v>9.9242058094022909E-2</v>
      </c>
      <c r="W65" s="127">
        <f t="shared" ref="W65" si="34">IF(W19=0,0,W19/W$10)</f>
        <v>9.6583918512667566E-2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432.46250891999978</v>
      </c>
      <c r="C4" s="26">
        <f t="shared" ref="C4:W4" si="0">SUM(C5:C6)</f>
        <v>375.64262892000005</v>
      </c>
      <c r="D4" s="26">
        <f t="shared" si="0"/>
        <v>385.11260892000007</v>
      </c>
      <c r="E4" s="26">
        <f t="shared" si="0"/>
        <v>416.67912000000001</v>
      </c>
      <c r="F4" s="26">
        <f t="shared" si="0"/>
        <v>363.01581108000011</v>
      </c>
      <c r="G4" s="26">
        <f t="shared" si="0"/>
        <v>306.19593107999998</v>
      </c>
      <c r="H4" s="26">
        <f t="shared" si="0"/>
        <v>353.54583108000014</v>
      </c>
      <c r="I4" s="26">
        <f t="shared" si="0"/>
        <v>331.44929999999988</v>
      </c>
      <c r="J4" s="26">
        <f t="shared" si="0"/>
        <v>220.96611107999996</v>
      </c>
      <c r="K4" s="26">
        <f t="shared" si="0"/>
        <v>189.39959999999999</v>
      </c>
      <c r="L4" s="26">
        <f t="shared" si="0"/>
        <v>198.86958000000001</v>
      </c>
      <c r="M4" s="26">
        <f t="shared" si="0"/>
        <v>142.0497</v>
      </c>
      <c r="N4" s="26">
        <f t="shared" si="0"/>
        <v>170.45963999999998</v>
      </c>
      <c r="O4" s="26">
        <f t="shared" si="0"/>
        <v>119.95316891999997</v>
      </c>
      <c r="P4" s="26">
        <f t="shared" si="0"/>
        <v>56.819880000000005</v>
      </c>
      <c r="Q4" s="26">
        <f t="shared" si="0"/>
        <v>69.446431079999996</v>
      </c>
      <c r="R4" s="26">
        <f t="shared" si="0"/>
        <v>47.349899999999998</v>
      </c>
      <c r="S4" s="26">
        <f t="shared" si="0"/>
        <v>104.16978</v>
      </c>
      <c r="T4" s="26">
        <f t="shared" si="0"/>
        <v>138.89312892000001</v>
      </c>
      <c r="U4" s="26">
        <f t="shared" si="0"/>
        <v>135.73629108</v>
      </c>
      <c r="V4" s="26">
        <f t="shared" si="0"/>
        <v>136.86975432</v>
      </c>
      <c r="W4" s="26">
        <f t="shared" si="0"/>
        <v>118.34007120000001</v>
      </c>
      <c r="DA4" s="202" t="s">
        <v>1135</v>
      </c>
    </row>
    <row r="5" spans="1:105" ht="11.45" customHeight="1" x14ac:dyDescent="0.25">
      <c r="A5" s="107" t="s">
        <v>92</v>
      </c>
      <c r="B5" s="129">
        <v>432.46250891999978</v>
      </c>
      <c r="C5" s="129">
        <v>375.64262892000005</v>
      </c>
      <c r="D5" s="129">
        <v>385.11260892000007</v>
      </c>
      <c r="E5" s="129">
        <v>416.67912000000001</v>
      </c>
      <c r="F5" s="129">
        <v>363.01581108000011</v>
      </c>
      <c r="G5" s="129">
        <v>306.19593107999998</v>
      </c>
      <c r="H5" s="129">
        <v>353.54583108000014</v>
      </c>
      <c r="I5" s="129">
        <v>331.44929999999988</v>
      </c>
      <c r="J5" s="129">
        <v>220.96611107999996</v>
      </c>
      <c r="K5" s="129">
        <v>189.39959999999999</v>
      </c>
      <c r="L5" s="129">
        <v>198.86958000000001</v>
      </c>
      <c r="M5" s="129">
        <v>142.0497</v>
      </c>
      <c r="N5" s="129">
        <v>170.45963999999998</v>
      </c>
      <c r="O5" s="129">
        <v>119.95316891999997</v>
      </c>
      <c r="P5" s="129">
        <v>56.819880000000005</v>
      </c>
      <c r="Q5" s="129">
        <v>69.446431079999996</v>
      </c>
      <c r="R5" s="129">
        <v>47.349899999999998</v>
      </c>
      <c r="S5" s="129">
        <v>104.16978</v>
      </c>
      <c r="T5" s="129">
        <v>138.89312892000001</v>
      </c>
      <c r="U5" s="129">
        <v>135.73629108</v>
      </c>
      <c r="V5" s="129">
        <v>136.86975432</v>
      </c>
      <c r="W5" s="129">
        <v>118.34007120000001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432.46250891999972</v>
      </c>
      <c r="C8" s="79">
        <f t="shared" si="1"/>
        <v>375.64262892000005</v>
      </c>
      <c r="D8" s="79">
        <f t="shared" si="1"/>
        <v>385.11260892000007</v>
      </c>
      <c r="E8" s="79">
        <f t="shared" si="1"/>
        <v>416.67911999999995</v>
      </c>
      <c r="F8" s="79">
        <f t="shared" si="1"/>
        <v>363.01581108000011</v>
      </c>
      <c r="G8" s="79">
        <f t="shared" si="1"/>
        <v>306.19593107999998</v>
      </c>
      <c r="H8" s="79">
        <f t="shared" si="1"/>
        <v>353.54583108000014</v>
      </c>
      <c r="I8" s="79">
        <f t="shared" si="1"/>
        <v>331.44929999999988</v>
      </c>
      <c r="J8" s="79">
        <f t="shared" si="1"/>
        <v>220.96611107999996</v>
      </c>
      <c r="K8" s="79">
        <f t="shared" si="1"/>
        <v>189.39959999999996</v>
      </c>
      <c r="L8" s="79">
        <f t="shared" si="1"/>
        <v>198.86957999999998</v>
      </c>
      <c r="M8" s="79">
        <f t="shared" si="1"/>
        <v>142.0497</v>
      </c>
      <c r="N8" s="79">
        <f t="shared" si="1"/>
        <v>170.45963999999998</v>
      </c>
      <c r="O8" s="79">
        <f t="shared" si="1"/>
        <v>119.95316891999997</v>
      </c>
      <c r="P8" s="79">
        <f t="shared" si="1"/>
        <v>56.819879999999998</v>
      </c>
      <c r="Q8" s="79">
        <f t="shared" si="1"/>
        <v>69.446431079999996</v>
      </c>
      <c r="R8" s="79">
        <f t="shared" si="1"/>
        <v>47.349899999999998</v>
      </c>
      <c r="S8" s="79">
        <f t="shared" si="1"/>
        <v>104.16978</v>
      </c>
      <c r="T8" s="79">
        <f t="shared" si="1"/>
        <v>138.89312892000001</v>
      </c>
      <c r="U8" s="79">
        <f t="shared" si="1"/>
        <v>135.73629108</v>
      </c>
      <c r="V8" s="79">
        <f t="shared" si="1"/>
        <v>136.86975432</v>
      </c>
      <c r="W8" s="79">
        <f t="shared" si="1"/>
        <v>118.34007120000001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411.82532717642943</v>
      </c>
      <c r="C9" s="32">
        <f t="shared" si="2"/>
        <v>359.92208924690408</v>
      </c>
      <c r="D9" s="32">
        <f t="shared" si="2"/>
        <v>370.17438638236979</v>
      </c>
      <c r="E9" s="32">
        <f t="shared" si="2"/>
        <v>400.54504710776655</v>
      </c>
      <c r="F9" s="32">
        <f t="shared" si="2"/>
        <v>343.25654451488208</v>
      </c>
      <c r="G9" s="32">
        <f t="shared" si="2"/>
        <v>293.59015480260342</v>
      </c>
      <c r="H9" s="32">
        <f t="shared" si="2"/>
        <v>300.16175673783562</v>
      </c>
      <c r="I9" s="32">
        <f t="shared" si="2"/>
        <v>265.04937186643787</v>
      </c>
      <c r="J9" s="32">
        <f t="shared" si="2"/>
        <v>152.38094612949092</v>
      </c>
      <c r="K9" s="32">
        <f t="shared" si="2"/>
        <v>151.95746655485644</v>
      </c>
      <c r="L9" s="32">
        <f t="shared" si="2"/>
        <v>164.53929478970508</v>
      </c>
      <c r="M9" s="32">
        <f t="shared" si="2"/>
        <v>126.09722823220794</v>
      </c>
      <c r="N9" s="32">
        <f t="shared" si="2"/>
        <v>155.72611583645536</v>
      </c>
      <c r="O9" s="32">
        <f t="shared" si="2"/>
        <v>110.44843278893919</v>
      </c>
      <c r="P9" s="32">
        <f t="shared" si="2"/>
        <v>51.936333755383565</v>
      </c>
      <c r="Q9" s="32">
        <f t="shared" si="2"/>
        <v>63.52205340331632</v>
      </c>
      <c r="R9" s="32">
        <f t="shared" si="2"/>
        <v>43.309109274115329</v>
      </c>
      <c r="S9" s="32">
        <f t="shared" si="2"/>
        <v>95.746803588979901</v>
      </c>
      <c r="T9" s="32">
        <f t="shared" si="2"/>
        <v>128.64281361606945</v>
      </c>
      <c r="U9" s="32">
        <f t="shared" si="2"/>
        <v>126.02303977541226</v>
      </c>
      <c r="V9" s="32">
        <f t="shared" si="2"/>
        <v>124.4269015784554</v>
      </c>
      <c r="W9" s="32">
        <f t="shared" si="2"/>
        <v>107.82751323550606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411.82532717642943</v>
      </c>
      <c r="C11" s="130">
        <f t="shared" si="3"/>
        <v>359.92208924690408</v>
      </c>
      <c r="D11" s="130">
        <f t="shared" si="3"/>
        <v>370.17438638236979</v>
      </c>
      <c r="E11" s="130">
        <f t="shared" si="3"/>
        <v>400.54504710776655</v>
      </c>
      <c r="F11" s="130">
        <f t="shared" si="3"/>
        <v>343.25654451488208</v>
      </c>
      <c r="G11" s="130">
        <f t="shared" si="3"/>
        <v>293.59015480260342</v>
      </c>
      <c r="H11" s="130">
        <f t="shared" si="3"/>
        <v>300.16175673783562</v>
      </c>
      <c r="I11" s="130">
        <f t="shared" si="3"/>
        <v>265.04937186643787</v>
      </c>
      <c r="J11" s="130">
        <f t="shared" si="3"/>
        <v>152.38094612949092</v>
      </c>
      <c r="K11" s="130">
        <f t="shared" si="3"/>
        <v>151.95746655485644</v>
      </c>
      <c r="L11" s="130">
        <f t="shared" si="3"/>
        <v>164.53929478970508</v>
      </c>
      <c r="M11" s="130">
        <f t="shared" si="3"/>
        <v>126.09722823220794</v>
      </c>
      <c r="N11" s="130">
        <f t="shared" si="3"/>
        <v>155.72611583645536</v>
      </c>
      <c r="O11" s="130">
        <f t="shared" si="3"/>
        <v>110.44843278893919</v>
      </c>
      <c r="P11" s="130">
        <f t="shared" si="3"/>
        <v>51.936333755383565</v>
      </c>
      <c r="Q11" s="130">
        <f t="shared" si="3"/>
        <v>63.52205340331632</v>
      </c>
      <c r="R11" s="130">
        <f t="shared" si="3"/>
        <v>43.309109274115329</v>
      </c>
      <c r="S11" s="130">
        <f t="shared" si="3"/>
        <v>95.746803588979901</v>
      </c>
      <c r="T11" s="130">
        <f t="shared" si="3"/>
        <v>128.64281361606945</v>
      </c>
      <c r="U11" s="130">
        <f t="shared" si="3"/>
        <v>126.02303977541226</v>
      </c>
      <c r="V11" s="130">
        <f t="shared" si="3"/>
        <v>124.4269015784554</v>
      </c>
      <c r="W11" s="130">
        <f t="shared" si="3"/>
        <v>107.82751323550606</v>
      </c>
      <c r="DA11" s="176" t="s">
        <v>408</v>
      </c>
    </row>
    <row r="12" spans="1:105" ht="11.45" customHeight="1" x14ac:dyDescent="0.25">
      <c r="A12" s="111" t="s">
        <v>92</v>
      </c>
      <c r="B12" s="96">
        <v>411.82532717642943</v>
      </c>
      <c r="C12" s="96">
        <v>359.92208924690408</v>
      </c>
      <c r="D12" s="96">
        <v>370.17438638236979</v>
      </c>
      <c r="E12" s="96">
        <v>400.54504710776655</v>
      </c>
      <c r="F12" s="96">
        <v>343.25654451488208</v>
      </c>
      <c r="G12" s="96">
        <v>293.59015480260342</v>
      </c>
      <c r="H12" s="96">
        <v>300.16175673783562</v>
      </c>
      <c r="I12" s="96">
        <v>265.04937186643787</v>
      </c>
      <c r="J12" s="96">
        <v>152.38094612949092</v>
      </c>
      <c r="K12" s="96">
        <v>151.95746655485644</v>
      </c>
      <c r="L12" s="96">
        <v>164.53929478970508</v>
      </c>
      <c r="M12" s="96">
        <v>126.09722823220794</v>
      </c>
      <c r="N12" s="96">
        <v>155.72611583645536</v>
      </c>
      <c r="O12" s="96">
        <v>110.44843278893919</v>
      </c>
      <c r="P12" s="96">
        <v>51.936333755383565</v>
      </c>
      <c r="Q12" s="96">
        <v>63.52205340331632</v>
      </c>
      <c r="R12" s="96">
        <v>43.309109274115329</v>
      </c>
      <c r="S12" s="96">
        <v>95.746803588979901</v>
      </c>
      <c r="T12" s="96">
        <v>128.64281361606945</v>
      </c>
      <c r="U12" s="96">
        <v>126.02303977541226</v>
      </c>
      <c r="V12" s="96">
        <v>124.4269015784554</v>
      </c>
      <c r="W12" s="96">
        <v>107.82751323550606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20.637181743570288</v>
      </c>
      <c r="C15" s="32">
        <f t="shared" si="4"/>
        <v>15.720539673095983</v>
      </c>
      <c r="D15" s="32">
        <f t="shared" si="4"/>
        <v>14.938222537630269</v>
      </c>
      <c r="E15" s="32">
        <f t="shared" si="4"/>
        <v>16.134072892233405</v>
      </c>
      <c r="F15" s="32">
        <f t="shared" si="4"/>
        <v>19.759266565118029</v>
      </c>
      <c r="G15" s="32">
        <f t="shared" si="4"/>
        <v>12.605776277396556</v>
      </c>
      <c r="H15" s="32">
        <f t="shared" si="4"/>
        <v>53.384074342164503</v>
      </c>
      <c r="I15" s="32">
        <f t="shared" si="4"/>
        <v>66.399928133562028</v>
      </c>
      <c r="J15" s="32">
        <f t="shared" si="4"/>
        <v>68.585164950509039</v>
      </c>
      <c r="K15" s="32">
        <f t="shared" si="4"/>
        <v>37.44213344514354</v>
      </c>
      <c r="L15" s="32">
        <f t="shared" si="4"/>
        <v>34.33028521029491</v>
      </c>
      <c r="M15" s="32">
        <f t="shared" si="4"/>
        <v>15.952471767792066</v>
      </c>
      <c r="N15" s="32">
        <f t="shared" si="4"/>
        <v>14.733524163544619</v>
      </c>
      <c r="O15" s="32">
        <f t="shared" si="4"/>
        <v>9.504736131060783</v>
      </c>
      <c r="P15" s="32">
        <f t="shared" si="4"/>
        <v>4.8835462446164328</v>
      </c>
      <c r="Q15" s="32">
        <f t="shared" si="4"/>
        <v>5.9243776766836769</v>
      </c>
      <c r="R15" s="32">
        <f t="shared" si="4"/>
        <v>4.0407907258846674</v>
      </c>
      <c r="S15" s="32">
        <f t="shared" si="4"/>
        <v>8.4229764110200982</v>
      </c>
      <c r="T15" s="32">
        <f t="shared" si="4"/>
        <v>10.250315303930568</v>
      </c>
      <c r="U15" s="32">
        <f t="shared" si="4"/>
        <v>9.7132513045877502</v>
      </c>
      <c r="V15" s="32">
        <f t="shared" si="4"/>
        <v>12.4428527415446</v>
      </c>
      <c r="W15" s="32">
        <f t="shared" si="4"/>
        <v>10.512557964493944</v>
      </c>
      <c r="DA15" s="173" t="s">
        <v>413</v>
      </c>
    </row>
    <row r="16" spans="1:105" ht="11.45" customHeight="1" x14ac:dyDescent="0.25">
      <c r="A16" s="83" t="s">
        <v>92</v>
      </c>
      <c r="B16" s="96">
        <v>20.637181743570288</v>
      </c>
      <c r="C16" s="96">
        <v>15.720539673095983</v>
      </c>
      <c r="D16" s="96">
        <v>14.938222537630269</v>
      </c>
      <c r="E16" s="96">
        <v>16.134072892233405</v>
      </c>
      <c r="F16" s="96">
        <v>19.759266565118029</v>
      </c>
      <c r="G16" s="96">
        <v>12.605776277396556</v>
      </c>
      <c r="H16" s="96">
        <v>53.384074342164503</v>
      </c>
      <c r="I16" s="96">
        <v>66.399928133562028</v>
      </c>
      <c r="J16" s="96">
        <v>68.585164950509039</v>
      </c>
      <c r="K16" s="96">
        <v>37.44213344514354</v>
      </c>
      <c r="L16" s="96">
        <v>34.33028521029491</v>
      </c>
      <c r="M16" s="96">
        <v>15.952471767792066</v>
      </c>
      <c r="N16" s="96">
        <v>14.733524163544619</v>
      </c>
      <c r="O16" s="96">
        <v>9.504736131060783</v>
      </c>
      <c r="P16" s="96">
        <v>4.8835462446164328</v>
      </c>
      <c r="Q16" s="96">
        <v>5.9243776766836769</v>
      </c>
      <c r="R16" s="96">
        <v>4.0407907258846674</v>
      </c>
      <c r="S16" s="96">
        <v>8.4229764110200982</v>
      </c>
      <c r="T16" s="96">
        <v>10.250315303930568</v>
      </c>
      <c r="U16" s="96">
        <v>9.7132513045877502</v>
      </c>
      <c r="V16" s="96">
        <v>12.4428527415446</v>
      </c>
      <c r="W16" s="96">
        <v>10.512557964493944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0.82193196863880313</v>
      </c>
      <c r="C22" s="134">
        <f>IF(C4=0,0,C4/TrRail_ene!C4)</f>
        <v>0.75294692040742739</v>
      </c>
      <c r="D22" s="134">
        <f>IF(D4=0,0,D4/TrRail_ene!D4)</f>
        <v>0.76110672732027163</v>
      </c>
      <c r="E22" s="134">
        <f>IF(E4=0,0,E4/TrRail_ene!E4)</f>
        <v>0.79520481877256333</v>
      </c>
      <c r="F22" s="134">
        <f>IF(F4=0,0,F4/TrRail_ene!F4)</f>
        <v>0.72418436048861112</v>
      </c>
      <c r="G22" s="134">
        <f>IF(G4=0,0,G4/TrRail_ene!G4)</f>
        <v>0.62203712815035828</v>
      </c>
      <c r="H22" s="134">
        <f>IF(H4=0,0,H4/TrRail_ene!H4)</f>
        <v>0.72118888959132921</v>
      </c>
      <c r="I22" s="134">
        <f>IF(I4=0,0,I4/TrRail_ene!I4)</f>
        <v>0.68219721422882917</v>
      </c>
      <c r="J22" s="134">
        <f>IF(J4=0,0,J4/TrRail_ene!J4)</f>
        <v>0.47825732592050402</v>
      </c>
      <c r="K22" s="134">
        <f>IF(K4=0,0,K4/TrRail_ene!K4)</f>
        <v>0.42613993964016245</v>
      </c>
      <c r="L22" s="134">
        <f>IF(L4=0,0,L4/TrRail_ene!L4)</f>
        <v>0.43421631754435375</v>
      </c>
      <c r="M22" s="134">
        <f>IF(M4=0,0,M4/TrRail_ene!M4)</f>
        <v>0.31584705305420135</v>
      </c>
      <c r="N22" s="134">
        <f>IF(N4=0,0,N4/TrRail_ene!N4)</f>
        <v>0.36482252727272724</v>
      </c>
      <c r="O22" s="134">
        <f>IF(O4=0,0,O4/TrRail_ene!O4)</f>
        <v>0.25444831038244703</v>
      </c>
      <c r="P22" s="134">
        <f>IF(P4=0,0,P4/TrRail_ene!P4)</f>
        <v>0.12749666301369864</v>
      </c>
      <c r="Q22" s="134">
        <f>IF(Q4=0,0,Q4/TrRail_ene!Q4)</f>
        <v>0.15050538113464074</v>
      </c>
      <c r="R22" s="134">
        <f>IF(R4=0,0,R4/TrRail_ene!R4)</f>
        <v>9.7924662043211527E-2</v>
      </c>
      <c r="S22" s="134">
        <f>IF(S4=0,0,S4/TrRail_ene!S4)</f>
        <v>0.20515286394011101</v>
      </c>
      <c r="T22" s="134">
        <f>IF(T4=0,0,T4/TrRail_ene!T4)</f>
        <v>0.2596142847563343</v>
      </c>
      <c r="U22" s="134">
        <f>IF(U4=0,0,U4/TrRail_ene!U4)</f>
        <v>0.26055374479122123</v>
      </c>
      <c r="V22" s="134">
        <f>IF(V4=0,0,V4/TrRail_ene!V4)</f>
        <v>0.30871072697183316</v>
      </c>
      <c r="W22" s="134">
        <f>IF(W4=0,0,W4/TrRail_ene!W4)</f>
        <v>0.2445520260960681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1.5512093999999998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1.5512094000000003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1209.7713787050061</v>
      </c>
      <c r="C26" s="54">
        <f>IF(C8=0,0,C8/TrRail_act!C14*1000)</f>
        <v>1082.6527912244308</v>
      </c>
      <c r="D26" s="54">
        <f>IF(D8=0,0,D8/TrRail_act!D14*1000)</f>
        <v>1078.6466288510362</v>
      </c>
      <c r="E26" s="54">
        <f>IF(E8=0,0,E8/TrRail_act!E14*1000)</f>
        <v>1110.9131260067816</v>
      </c>
      <c r="F26" s="54">
        <f>IF(F8=0,0,F8/TrRail_act!F14*1000)</f>
        <v>987.4440061647349</v>
      </c>
      <c r="G26" s="54">
        <f>IF(G8=0,0,G8/TrRail_act!G14*1000)</f>
        <v>820.69376434118226</v>
      </c>
      <c r="H26" s="54">
        <f>IF(H8=0,0,H8/TrRail_act!H14*1000)</f>
        <v>947.86943354357027</v>
      </c>
      <c r="I26" s="54">
        <f>IF(I8=0,0,I8/TrRail_act!I14*1000)</f>
        <v>867.51529759549612</v>
      </c>
      <c r="J26" s="54">
        <f>IF(J8=0,0,J8/TrRail_act!J14*1000)</f>
        <v>580.30702024011941</v>
      </c>
      <c r="K26" s="54">
        <f>IF(K8=0,0,K8/TrRail_act!K14*1000)</f>
        <v>507.18034263705249</v>
      </c>
      <c r="L26" s="54">
        <f>IF(L8=0,0,L8/TrRail_act!L14*1000)</f>
        <v>509.07534568049005</v>
      </c>
      <c r="M26" s="54">
        <f>IF(M8=0,0,M8/TrRail_act!M14*1000)</f>
        <v>363.03288755803777</v>
      </c>
      <c r="N26" s="54">
        <f>IF(N8=0,0,N8/TrRail_act!N14*1000)</f>
        <v>419.37943875917671</v>
      </c>
      <c r="O26" s="54">
        <f>IF(O8=0,0,O8/TrRail_act!O14*1000)</f>
        <v>286.24136760202629</v>
      </c>
      <c r="P26" s="54">
        <f>IF(P8=0,0,P8/TrRail_act!P14*1000)</f>
        <v>137.90713821930137</v>
      </c>
      <c r="Q26" s="54">
        <f>IF(Q8=0,0,Q8/TrRail_act!Q14*1000)</f>
        <v>160.33821526388294</v>
      </c>
      <c r="R26" s="54">
        <f>IF(R8=0,0,R8/TrRail_act!R14*1000)</f>
        <v>102.74052517753768</v>
      </c>
      <c r="S26" s="54">
        <f>IF(S8=0,0,S8/TrRail_act!S14*1000)</f>
        <v>216.5161874393867</v>
      </c>
      <c r="T26" s="54">
        <f>IF(T8=0,0,T8/TrRail_act!T14*1000)</f>
        <v>275.38169592613878</v>
      </c>
      <c r="U26" s="54">
        <f>IF(U8=0,0,U8/TrRail_act!U14*1000)</f>
        <v>273.86533941568308</v>
      </c>
      <c r="V26" s="54">
        <f>IF(V8=0,0,V8/TrRail_act!V14*1000)</f>
        <v>328.24364218743523</v>
      </c>
      <c r="W26" s="54">
        <f>IF(W8=0,0,W8/TrRail_act!W14*1000)</f>
        <v>254.08104053996789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1273.4087242557487</v>
      </c>
      <c r="C27" s="28">
        <f>IF(C9=0,0,C9/TrRail_act!C15*1000)</f>
        <v>1143.126985768562</v>
      </c>
      <c r="D27" s="28">
        <f>IF(D9=0,0,D9/TrRail_act!D15*1000)</f>
        <v>1134.9519642085961</v>
      </c>
      <c r="E27" s="28">
        <f>IF(E9=0,0,E9/TrRail_act!E15*1000)</f>
        <v>1169.5423952701394</v>
      </c>
      <c r="F27" s="28">
        <f>IF(F9=0,0,F9/TrRail_act!F15*1000)</f>
        <v>1039.2331939801988</v>
      </c>
      <c r="G27" s="28">
        <f>IF(G9=0,0,G9/TrRail_act!G15*1000)</f>
        <v>876.95160521936828</v>
      </c>
      <c r="H27" s="28">
        <f>IF(H9=0,0,H9/TrRail_act!H15*1000)</f>
        <v>901.07571728733274</v>
      </c>
      <c r="I27" s="28">
        <f>IF(I9=0,0,I9/TrRail_act!I15*1000)</f>
        <v>778.12253340439952</v>
      </c>
      <c r="J27" s="28">
        <f>IF(J9=0,0,J9/TrRail_act!J15*1000)</f>
        <v>445.8808173622246</v>
      </c>
      <c r="K27" s="28">
        <f>IF(K9=0,0,K9/TrRail_act!K15*1000)</f>
        <v>441.07213004157353</v>
      </c>
      <c r="L27" s="28">
        <f>IF(L9=0,0,L9/TrRail_act!L15*1000)</f>
        <v>456.21454703147833</v>
      </c>
      <c r="M27" s="28">
        <f>IF(M9=0,0,M9/TrRail_act!M15*1000)</f>
        <v>351.29721087517044</v>
      </c>
      <c r="N27" s="28">
        <f>IF(N9=0,0,N9/TrRail_act!N15*1000)</f>
        <v>417.42769279312466</v>
      </c>
      <c r="O27" s="28">
        <f>IF(O9=0,0,O9/TrRail_act!O15*1000)</f>
        <v>285.0975748375597</v>
      </c>
      <c r="P27" s="28">
        <f>IF(P9=0,0,P9/TrRail_act!P15*1000)</f>
        <v>137.24624343681921</v>
      </c>
      <c r="Q27" s="28">
        <f>IF(Q9=0,0,Q9/TrRail_act!Q15*1000)</f>
        <v>156.96562902941571</v>
      </c>
      <c r="R27" s="28">
        <f>IF(R9=0,0,R9/TrRail_act!R15*1000)</f>
        <v>101.40246227760049</v>
      </c>
      <c r="S27" s="28">
        <f>IF(S9=0,0,S9/TrRail_act!S15*1000)</f>
        <v>217.44213504350529</v>
      </c>
      <c r="T27" s="28">
        <f>IF(T9=0,0,T9/TrRail_act!T15*1000)</f>
        <v>274.64683565959228</v>
      </c>
      <c r="U27" s="28">
        <f>IF(U9=0,0,U9/TrRail_act!U15*1000)</f>
        <v>274.19032504753585</v>
      </c>
      <c r="V27" s="28">
        <f>IF(V9=0,0,V9/TrRail_act!V15*1000)</f>
        <v>326.99137972555701</v>
      </c>
      <c r="W27" s="28">
        <f>IF(W9=0,0,W9/TrRail_act!W15*1000)</f>
        <v>252.41603969089232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1677.1702192544049</v>
      </c>
      <c r="C29" s="110">
        <f>IF(C11=0,0,C11/TrRail_act!C17*1000)</f>
        <v>1550.3274467376232</v>
      </c>
      <c r="D29" s="110">
        <f>IF(D11=0,0,D11/TrRail_act!D17*1000)</f>
        <v>1547.5199847000461</v>
      </c>
      <c r="E29" s="110">
        <f>IF(E11=0,0,E11/TrRail_act!E17*1000)</f>
        <v>1585.7612460437988</v>
      </c>
      <c r="F29" s="110">
        <f>IF(F11=0,0,F11/TrRail_act!F17*1000)</f>
        <v>1450.027306151602</v>
      </c>
      <c r="G29" s="110">
        <f>IF(G11=0,0,G11/TrRail_act!G17*1000)</f>
        <v>1233.2934869023441</v>
      </c>
      <c r="H29" s="110">
        <f>IF(H11=0,0,H11/TrRail_act!H17*1000)</f>
        <v>1281.5574760527252</v>
      </c>
      <c r="I29" s="110">
        <f>IF(I11=0,0,I11/TrRail_act!I17*1000)</f>
        <v>1123.714199183664</v>
      </c>
      <c r="J29" s="110">
        <f>IF(J11=0,0,J11/TrRail_act!J17*1000)</f>
        <v>655.32675069693926</v>
      </c>
      <c r="K29" s="110">
        <f>IF(K11=0,0,K11/TrRail_act!K17*1000)</f>
        <v>662.93123717406172</v>
      </c>
      <c r="L29" s="110">
        <f>IF(L11=0,0,L11/TrRail_act!L17*1000)</f>
        <v>683.34466111188817</v>
      </c>
      <c r="M29" s="110">
        <f>IF(M11=0,0,M11/TrRail_act!M17*1000)</f>
        <v>531.55229540432174</v>
      </c>
      <c r="N29" s="110">
        <f>IF(N11=0,0,N11/TrRail_act!N17*1000)</f>
        <v>606.01469385629059</v>
      </c>
      <c r="O29" s="110">
        <f>IF(O11=0,0,O11/TrRail_act!O17*1000)</f>
        <v>408.09682807128257</v>
      </c>
      <c r="P29" s="110">
        <f>IF(P11=0,0,P11/TrRail_act!P17*1000)</f>
        <v>198.7334476469984</v>
      </c>
      <c r="Q29" s="110">
        <f>IF(Q11=0,0,Q11/TrRail_act!Q17*1000)</f>
        <v>222.08213292011786</v>
      </c>
      <c r="R29" s="110">
        <f>IF(R11=0,0,R11/TrRail_act!R17*1000)</f>
        <v>141.29138207699197</v>
      </c>
      <c r="S29" s="110">
        <f>IF(S11=0,0,S11/TrRail_act!S17*1000)</f>
        <v>302.8921787762207</v>
      </c>
      <c r="T29" s="110">
        <f>IF(T11=0,0,T11/TrRail_act!T17*1000)</f>
        <v>373.48833144280599</v>
      </c>
      <c r="U29" s="110">
        <f>IF(U11=0,0,U11/TrRail_act!U17*1000)</f>
        <v>383.26760663017797</v>
      </c>
      <c r="V29" s="110">
        <f>IF(V11=0,0,V11/TrRail_act!V17*1000)</f>
        <v>461.94411034025137</v>
      </c>
      <c r="W29" s="110">
        <f>IF(W11=0,0,W11/TrRail_act!W17*1000)</f>
        <v>363.07487752687172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8492.3617493940928</v>
      </c>
      <c r="C30" s="84">
        <f>IF(C12=0,0,C12/TrRail_act!C18*1000)</f>
        <v>8095.1371661381481</v>
      </c>
      <c r="D30" s="84">
        <f>IF(D12=0,0,D12/TrRail_act!D18*1000)</f>
        <v>7851.9565137683139</v>
      </c>
      <c r="E30" s="84">
        <f>IF(E12=0,0,E12/TrRail_act!E18*1000)</f>
        <v>7684.3820268376776</v>
      </c>
      <c r="F30" s="84">
        <f>IF(F12=0,0,F12/TrRail_act!F18*1000)</f>
        <v>7388.83277865932</v>
      </c>
      <c r="G30" s="84">
        <f>IF(G12=0,0,G12/TrRail_act!G18*1000)</f>
        <v>7138.2232593225699</v>
      </c>
      <c r="H30" s="84">
        <f>IF(H12=0,0,H12/TrRail_act!H18*1000)</f>
        <v>7012.8827733557946</v>
      </c>
      <c r="I30" s="84">
        <f>IF(I12=0,0,I12/TrRail_act!I18*1000)</f>
        <v>6949.088642044012</v>
      </c>
      <c r="J30" s="84">
        <f>IF(J12=0,0,J12/TrRail_act!J18*1000)</f>
        <v>6743.3032242468953</v>
      </c>
      <c r="K30" s="84">
        <f>IF(K12=0,0,K12/TrRail_act!K18*1000)</f>
        <v>6693.8539319168667</v>
      </c>
      <c r="L30" s="84">
        <f>IF(L12=0,0,L12/TrRail_act!L18*1000)</f>
        <v>6617.2327069112116</v>
      </c>
      <c r="M30" s="84">
        <f>IF(M12=0,0,M12/TrRail_act!M18*1000)</f>
        <v>6215.4512201477755</v>
      </c>
      <c r="N30" s="84">
        <f>IF(N12=0,0,N12/TrRail_act!N18*1000)</f>
        <v>5887.0881366940012</v>
      </c>
      <c r="O30" s="84">
        <f>IF(O12=0,0,O12/TrRail_act!O18*1000)</f>
        <v>5697.2945281364964</v>
      </c>
      <c r="P30" s="84">
        <f>IF(P12=0,0,P12/TrRail_act!P18*1000)</f>
        <v>5513.4795240950089</v>
      </c>
      <c r="Q30" s="84">
        <f>IF(Q12=0,0,Q12/TrRail_act!Q18*1000)</f>
        <v>5457.9067899767406</v>
      </c>
      <c r="R30" s="84">
        <f>IF(R12=0,0,R12/TrRail_act!R18*1000)</f>
        <v>5254.0972877353988</v>
      </c>
      <c r="S30" s="84">
        <f>IF(S12=0,0,S12/TrRail_act!S18*1000)</f>
        <v>5157.3128919643987</v>
      </c>
      <c r="T30" s="84">
        <f>IF(T12=0,0,T12/TrRail_act!T18*1000)</f>
        <v>5085.8963908743954</v>
      </c>
      <c r="U30" s="84">
        <f>IF(U12=0,0,U12/TrRail_act!U18*1000)</f>
        <v>5032.9837646655578</v>
      </c>
      <c r="V30" s="84">
        <f>IF(V12=0,0,V12/TrRail_act!V18*1000)</f>
        <v>4993.6608697087004</v>
      </c>
      <c r="W30" s="84">
        <f>IF(W12=0,0,W12/TrRail_act!W18*1000)</f>
        <v>4964.3704506156801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605.71656527872392</v>
      </c>
      <c r="C33" s="28">
        <f>IF(C15=0,0,C15/TrRail_act!C21*1000)</f>
        <v>489.62178638510358</v>
      </c>
      <c r="D33" s="28">
        <f>IF(D15=0,0,D15/TrRail_act!D21*1000)</f>
        <v>483.83663429027445</v>
      </c>
      <c r="E33" s="28">
        <f>IF(E15=0,0,E15/TrRail_act!E21*1000)</f>
        <v>494.94211551393909</v>
      </c>
      <c r="F33" s="28">
        <f>IF(F15=0,0,F15/TrRail_act!F21*1000)</f>
        <v>529.25816586250198</v>
      </c>
      <c r="G33" s="28">
        <f>IF(G15=0,0,G15/TrRail_act!G21*1000)</f>
        <v>329.05422767711428</v>
      </c>
      <c r="H33" s="28">
        <f>IF(H15=0,0,H15/TrRail_act!H21*1000)</f>
        <v>1338.7821599677177</v>
      </c>
      <c r="I33" s="28">
        <f>IF(I15=0,0,I15/TrRail_act!I21*1000)</f>
        <v>1602.2914727592552</v>
      </c>
      <c r="J33" s="28">
        <f>IF(J15=0,0,J15/TrRail_act!J21*1000)</f>
        <v>1757.6091189342601</v>
      </c>
      <c r="K33" s="28">
        <f>IF(K15=0,0,K15/TrRail_act!K21*1000)</f>
        <v>1294.7694422585353</v>
      </c>
      <c r="L33" s="28">
        <f>IF(L15=0,0,L15/TrRail_act!L21*1000)</f>
        <v>1144.8572077590361</v>
      </c>
      <c r="M33" s="28">
        <f>IF(M15=0,0,M15/TrRail_act!M21*1000)</f>
        <v>493.29483163045148</v>
      </c>
      <c r="N33" s="28">
        <f>IF(N15=0,0,N15/TrRail_act!N21*1000)</f>
        <v>441.1823757518294</v>
      </c>
      <c r="O33" s="28">
        <f>IF(O15=0,0,O15/TrRail_act!O21*1000)</f>
        <v>300.23852116975644</v>
      </c>
      <c r="P33" s="28">
        <f>IF(P15=0,0,P15/TrRail_act!P21*1000)</f>
        <v>145.35077536245493</v>
      </c>
      <c r="Q33" s="28">
        <f>IF(Q15=0,0,Q15/TrRail_act!Q21*1000)</f>
        <v>208.33361883587463</v>
      </c>
      <c r="R33" s="28">
        <f>IF(R15=0,0,R15/TrRail_act!R21*1000)</f>
        <v>119.66467617804443</v>
      </c>
      <c r="S33" s="28">
        <f>IF(S15=0,0,S15/TrRail_act!S21*1000)</f>
        <v>206.51936036277195</v>
      </c>
      <c r="T33" s="28">
        <f>IF(T15=0,0,T15/TrRail_act!T21*1000)</f>
        <v>284.95027732710861</v>
      </c>
      <c r="U33" s="28">
        <f>IF(U15=0,0,U15/TrRail_act!U21*1000)</f>
        <v>269.7176453098615</v>
      </c>
      <c r="V33" s="28">
        <f>IF(V15=0,0,V15/TrRail_act!V21*1000)</f>
        <v>341.31462618793176</v>
      </c>
      <c r="W33" s="28">
        <f>IF(W15=0,0,W15/TrRail_act!W21*1000)</f>
        <v>272.51911965309023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15108.727890863674</v>
      </c>
      <c r="C34" s="84">
        <f>IF(C16=0,0,C16/TrRail_act!C22*1000)</f>
        <v>14782.540290561947</v>
      </c>
      <c r="D34" s="84">
        <f>IF(D16=0,0,D16/TrRail_act!D22*1000)</f>
        <v>14619.663628318074</v>
      </c>
      <c r="E34" s="84">
        <f>IF(E16=0,0,E16/TrRail_act!E22*1000)</f>
        <v>14404.631914611668</v>
      </c>
      <c r="F34" s="84">
        <f>IF(F16=0,0,F16/TrRail_act!F22*1000)</f>
        <v>14106.985637058531</v>
      </c>
      <c r="G34" s="84">
        <f>IF(G16=0,0,G16/TrRail_act!G22*1000)</f>
        <v>13897.340904892621</v>
      </c>
      <c r="H34" s="84">
        <f>IF(H16=0,0,H16/TrRail_act!H22*1000)</f>
        <v>13659.947589281812</v>
      </c>
      <c r="I34" s="84">
        <f>IF(I16=0,0,I16/TrRail_act!I22*1000)</f>
        <v>13449.914130941725</v>
      </c>
      <c r="J34" s="84">
        <f>IF(J16=0,0,J16/TrRail_act!J22*1000)</f>
        <v>13199.70318255548</v>
      </c>
      <c r="K34" s="84">
        <f>IF(K16=0,0,K16/TrRail_act!K22*1000)</f>
        <v>13080.910051452778</v>
      </c>
      <c r="L34" s="84">
        <f>IF(L16=0,0,L16/TrRail_act!L22*1000)</f>
        <v>13065.343741590552</v>
      </c>
      <c r="M34" s="84">
        <f>IF(M16=0,0,M16/TrRail_act!M22*1000)</f>
        <v>12314.39592465012</v>
      </c>
      <c r="N34" s="84">
        <f>IF(N16=0,0,N16/TrRail_act!N22*1000)</f>
        <v>11859.637062093889</v>
      </c>
      <c r="O34" s="84">
        <f>IF(O16=0,0,O16/TrRail_act!O22*1000)</f>
        <v>11617.147429278015</v>
      </c>
      <c r="P34" s="84">
        <f>IF(P16=0,0,P16/TrRail_act!P22*1000)</f>
        <v>11414.823975308533</v>
      </c>
      <c r="Q34" s="84">
        <f>IF(Q16=0,0,Q16/TrRail_act!Q22*1000)</f>
        <v>11223.519801422115</v>
      </c>
      <c r="R34" s="84">
        <f>IF(R16=0,0,R16/TrRail_act!R22*1000)</f>
        <v>11026.737897553308</v>
      </c>
      <c r="S34" s="84">
        <f>IF(S16=0,0,S16/TrRail_act!S22*1000)</f>
        <v>10827.011879146694</v>
      </c>
      <c r="T34" s="84">
        <f>IF(T16=0,0,T16/TrRail_act!T22*1000)</f>
        <v>10626.19705332024</v>
      </c>
      <c r="U34" s="84">
        <f>IF(U16=0,0,U16/TrRail_act!U22*1000)</f>
        <v>10425.643851180001</v>
      </c>
      <c r="V34" s="84">
        <f>IF(V16=0,0,V16/TrRail_act!V22*1000)</f>
        <v>10277.716874242276</v>
      </c>
      <c r="W34" s="84">
        <f>IF(W16=0,0,W16/TrRail_act!W22*1000)</f>
        <v>10168.15068098649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7.4632131737442524</v>
      </c>
      <c r="C38" s="29">
        <f>IF(C9=0,0,C9/TrRail_act!C4*1000)</f>
        <v>6.465859862515118</v>
      </c>
      <c r="D38" s="29">
        <f>IF(D9=0,0,D9/TrRail_act!D4*1000)</f>
        <v>6.7073943427561611</v>
      </c>
      <c r="E38" s="29">
        <f>IF(E9=0,0,E9/TrRail_act!E4*1000)</f>
        <v>7.3249889745760308</v>
      </c>
      <c r="F38" s="29">
        <f>IF(F9=0,0,F9/TrRail_act!F4*1000)</f>
        <v>6.2117762629595559</v>
      </c>
      <c r="G38" s="29">
        <f>IF(G9=0,0,G9/TrRail_act!G4*1000)</f>
        <v>5.2311913975126672</v>
      </c>
      <c r="H38" s="29">
        <f>IF(H9=0,0,H9/TrRail_act!H4*1000)</f>
        <v>5.3159846404405577</v>
      </c>
      <c r="I38" s="29">
        <f>IF(I9=0,0,I9/TrRail_act!I4*1000)</f>
        <v>4.6907242167319332</v>
      </c>
      <c r="J38" s="29">
        <f>IF(J9=0,0,J9/TrRail_act!J4*1000)</f>
        <v>2.7014066467432087</v>
      </c>
      <c r="K38" s="29">
        <f>IF(K9=0,0,K9/TrRail_act!K4*1000)</f>
        <v>2.759250917977492</v>
      </c>
      <c r="L38" s="29">
        <f>IF(L9=0,0,L9/TrRail_act!L4*1000)</f>
        <v>3.0327028806507252</v>
      </c>
      <c r="M38" s="29">
        <f>IF(M9=0,0,M9/TrRail_act!M4*1000)</f>
        <v>2.3377313354135691</v>
      </c>
      <c r="N38" s="29">
        <f>IF(N9=0,0,N9/TrRail_act!N4*1000)</f>
        <v>2.92185518577885</v>
      </c>
      <c r="O38" s="29">
        <f>IF(O9=0,0,O9/TrRail_act!O4*1000)</f>
        <v>1.9964288413307159</v>
      </c>
      <c r="P38" s="29">
        <f>IF(P9=0,0,P9/TrRail_act!P4*1000)</f>
        <v>0.91742477178257875</v>
      </c>
      <c r="Q38" s="29">
        <f>IF(Q9=0,0,Q9/TrRail_act!Q4*1000)</f>
        <v>1.0760066638996582</v>
      </c>
      <c r="R38" s="29">
        <f>IF(R9=0,0,R9/TrRail_act!R4*1000)</f>
        <v>0.7324752086733094</v>
      </c>
      <c r="S38" s="29">
        <f>IF(S9=0,0,S9/TrRail_act!S4*1000)</f>
        <v>1.5823302526686482</v>
      </c>
      <c r="T38" s="29">
        <f>IF(T9=0,0,T9/TrRail_act!T4*1000)</f>
        <v>2.0493661762580362</v>
      </c>
      <c r="U38" s="29">
        <f>IF(U9=0,0,U9/TrRail_act!U4*1000)</f>
        <v>1.9629756974363279</v>
      </c>
      <c r="V38" s="29">
        <f>IF(V9=0,0,V9/TrRail_act!V4*1000)</f>
        <v>4.6668255036552164</v>
      </c>
      <c r="W38" s="29">
        <f>IF(W9=0,0,W9/TrRail_act!W4*1000)</f>
        <v>3.2281753558321675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9.2574141792120983</v>
      </c>
      <c r="C40" s="116">
        <f>IF(C11=0,0,C11/TrRail_act!C6*1000)</f>
        <v>8.3097935780690353</v>
      </c>
      <c r="D40" s="116">
        <f>IF(D11=0,0,D11/TrRail_act!D6*1000)</f>
        <v>8.7665037271436983</v>
      </c>
      <c r="E40" s="116">
        <f>IF(E11=0,0,E11/TrRail_act!E6*1000)</f>
        <v>9.7064180465217493</v>
      </c>
      <c r="F40" s="116">
        <f>IF(F11=0,0,F11/TrRail_act!F6*1000)</f>
        <v>8.3054645530954545</v>
      </c>
      <c r="G40" s="116">
        <f>IF(G11=0,0,G11/TrRail_act!G6*1000)</f>
        <v>7.0679896673552758</v>
      </c>
      <c r="H40" s="116">
        <f>IF(H11=0,0,H11/TrRail_act!H6*1000)</f>
        <v>7.2725936262892361</v>
      </c>
      <c r="I40" s="116">
        <f>IF(I11=0,0,I11/TrRail_act!I6*1000)</f>
        <v>6.4706159822869456</v>
      </c>
      <c r="J40" s="116">
        <f>IF(J11=0,0,J11/TrRail_act!J6*1000)</f>
        <v>3.7489776639642503</v>
      </c>
      <c r="K40" s="116">
        <f>IF(K11=0,0,K11/TrRail_act!K6*1000)</f>
        <v>4.0654252917453162</v>
      </c>
      <c r="L40" s="116">
        <f>IF(L11=0,0,L11/TrRail_act!L6*1000)</f>
        <v>4.6263347032740745</v>
      </c>
      <c r="M40" s="116">
        <f>IF(M11=0,0,M11/TrRail_act!M6*1000)</f>
        <v>3.6484355139230349</v>
      </c>
      <c r="N40" s="116">
        <f>IF(N11=0,0,N11/TrRail_act!N6*1000)</f>
        <v>4.5848996271589986</v>
      </c>
      <c r="O40" s="116">
        <f>IF(O11=0,0,O11/TrRail_act!O6*1000)</f>
        <v>3.0727064345232771</v>
      </c>
      <c r="P40" s="116">
        <f>IF(P11=0,0,P11/TrRail_act!P6*1000)</f>
        <v>1.3975280186040839</v>
      </c>
      <c r="Q40" s="116">
        <f>IF(Q11=0,0,Q11/TrRail_act!Q6*1000)</f>
        <v>1.6117030777488728</v>
      </c>
      <c r="R40" s="116">
        <f>IF(R11=0,0,R11/TrRail_act!R6*1000)</f>
        <v>1.0996607199920916</v>
      </c>
      <c r="S40" s="116">
        <f>IF(S11=0,0,S11/TrRail_act!S6*1000)</f>
        <v>2.3675676563136396</v>
      </c>
      <c r="T40" s="116">
        <f>IF(T11=0,0,T11/TrRail_act!T6*1000)</f>
        <v>3.0125006115745836</v>
      </c>
      <c r="U40" s="116">
        <f>IF(U11=0,0,U11/TrRail_act!U6*1000)</f>
        <v>2.8775011365287297</v>
      </c>
      <c r="V40" s="116">
        <f>IF(V11=0,0,V11/TrRail_act!V6*1000)</f>
        <v>7.2191841400888173</v>
      </c>
      <c r="W40" s="116">
        <f>IF(W11=0,0,W11/TrRail_act!W6*1000)</f>
        <v>5.0307661712104217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50.927589727757713</v>
      </c>
      <c r="C41" s="87">
        <f>IF(C12=0,0,C12/TrRail_act!C7*1000)</f>
        <v>49.247378445781159</v>
      </c>
      <c r="D41" s="87">
        <f>IF(D12=0,0,D12/TrRail_act!D7*1000)</f>
        <v>46.055950867207763</v>
      </c>
      <c r="E41" s="87">
        <f>IF(E12=0,0,E12/TrRail_act!E7*1000)</f>
        <v>54.239363256455562</v>
      </c>
      <c r="F41" s="87">
        <f>IF(F12=0,0,F12/TrRail_act!F7*1000)</f>
        <v>52.600289715570796</v>
      </c>
      <c r="G41" s="87">
        <f>IF(G12=0,0,G12/TrRail_act!G7*1000)</f>
        <v>53.943412597381901</v>
      </c>
      <c r="H41" s="87">
        <f>IF(H12=0,0,H12/TrRail_act!H7*1000)</f>
        <v>53.047741956894605</v>
      </c>
      <c r="I41" s="87">
        <f>IF(I12=0,0,I12/TrRail_act!I7*1000)</f>
        <v>54.993463094545532</v>
      </c>
      <c r="J41" s="87">
        <f>IF(J12=0,0,J12/TrRail_act!J7*1000)</f>
        <v>53.605780363174958</v>
      </c>
      <c r="K41" s="87">
        <f>IF(K12=0,0,K12/TrRail_act!K7*1000)</f>
        <v>56.303844688559835</v>
      </c>
      <c r="L41" s="87">
        <f>IF(L12=0,0,L12/TrRail_act!L7*1000)</f>
        <v>57.276573454096543</v>
      </c>
      <c r="M41" s="87">
        <f>IF(M12=0,0,M12/TrRail_act!M7*1000)</f>
        <v>46.510199386382865</v>
      </c>
      <c r="N41" s="87">
        <f>IF(N12=0,0,N12/TrRail_act!N7*1000)</f>
        <v>45.864435770724768</v>
      </c>
      <c r="O41" s="87">
        <f>IF(O12=0,0,O12/TrRail_act!O7*1000)</f>
        <v>45.098121995579596</v>
      </c>
      <c r="P41" s="87">
        <f>IF(P12=0,0,P12/TrRail_act!P7*1000)</f>
        <v>41.068354168465099</v>
      </c>
      <c r="Q41" s="87">
        <f>IF(Q12=0,0,Q12/TrRail_act!Q7*1000)</f>
        <v>40.142759911674446</v>
      </c>
      <c r="R41" s="87">
        <f>IF(R12=0,0,R12/TrRail_act!R7*1000)</f>
        <v>42.284959076467366</v>
      </c>
      <c r="S41" s="87">
        <f>IF(S12=0,0,S12/TrRail_act!S7*1000)</f>
        <v>37.592354389133</v>
      </c>
      <c r="T41" s="87">
        <f>IF(T12=0,0,T12/TrRail_act!T7*1000)</f>
        <v>38.136851334494928</v>
      </c>
      <c r="U41" s="87">
        <f>IF(U12=0,0,U12/TrRail_act!U7*1000)</f>
        <v>35.689646724919925</v>
      </c>
      <c r="V41" s="87">
        <f>IF(V12=0,0,V12/TrRail_act!V7*1000)</f>
        <v>82.350341053440829</v>
      </c>
      <c r="W41" s="87">
        <f>IF(W12=0,0,W12/TrRail_act!W7*1000)</f>
        <v>64.972957810147435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0.90446516823290923</v>
      </c>
      <c r="C44" s="29">
        <f>IF(C15=0,0,C15/TrRail_act!C10*1000)</f>
        <v>0.72238487607278667</v>
      </c>
      <c r="D44" s="29">
        <f>IF(D15=0,0,D15/TrRail_act!D10*1000)</f>
        <v>0.7223861181696537</v>
      </c>
      <c r="E44" s="29">
        <f>IF(E15=0,0,E15/TrRail_act!E10*1000)</f>
        <v>0.79482106962083876</v>
      </c>
      <c r="F44" s="29">
        <f>IF(F15=0,0,F15/TrRail_act!F10*1000)</f>
        <v>0.8907391500301145</v>
      </c>
      <c r="G44" s="29">
        <f>IF(G15=0,0,G15/TrRail_act!G10*1000)</f>
        <v>0.55383226911807715</v>
      </c>
      <c r="H44" s="29">
        <f>IF(H15=0,0,H15/TrRail_act!H10*1000)</f>
        <v>2.2104291475369342</v>
      </c>
      <c r="I44" s="29">
        <f>IF(I15=0,0,I15/TrRail_act!I10*1000)</f>
        <v>2.6260600408764891</v>
      </c>
      <c r="J44" s="29">
        <f>IF(J15=0,0,J15/TrRail_act!J10*1000)</f>
        <v>2.8779809890692394</v>
      </c>
      <c r="K44" s="29">
        <f>IF(K15=0,0,K15/TrRail_act!K10*1000)</f>
        <v>2.1045547436986984</v>
      </c>
      <c r="L44" s="29">
        <f>IF(L15=0,0,L15/TrRail_act!L10*1000)</f>
        <v>1.8441279120270151</v>
      </c>
      <c r="M44" s="29">
        <f>IF(M15=0,0,M15/TrRail_act!M10*1000)</f>
        <v>0.80620972192813789</v>
      </c>
      <c r="N44" s="29">
        <f>IF(N15=0,0,N15/TrRail_act!N10*1000)</f>
        <v>0.72779708375541485</v>
      </c>
      <c r="O44" s="29">
        <f>IF(O15=0,0,O15/TrRail_act!O10*1000)</f>
        <v>0.49927699380473728</v>
      </c>
      <c r="P44" s="29">
        <f>IF(P15=0,0,P15/TrRail_act!P10*1000)</f>
        <v>0.24227544994872416</v>
      </c>
      <c r="Q44" s="29">
        <f>IF(Q15=0,0,Q15/TrRail_act!Q10*1000)</f>
        <v>0.28508626517894603</v>
      </c>
      <c r="R44" s="29">
        <f>IF(R15=0,0,R15/TrRail_act!R10*1000)</f>
        <v>0.17791435038238235</v>
      </c>
      <c r="S44" s="29">
        <f>IF(S15=0,0,S15/TrRail_act!S10*1000)</f>
        <v>0.37712005422073419</v>
      </c>
      <c r="T44" s="29">
        <f>IF(T15=0,0,T15/TrRail_act!T10*1000)</f>
        <v>0.464445641319917</v>
      </c>
      <c r="U44" s="29">
        <f>IF(U15=0,0,U15/TrRail_act!U10*1000)</f>
        <v>0.45582858438161106</v>
      </c>
      <c r="V44" s="29">
        <f>IF(V15=0,0,V15/TrRail_act!V10*1000)</f>
        <v>0.59965555380937829</v>
      </c>
      <c r="W44" s="29">
        <f>IF(W15=0,0,W15/TrRail_act!W10*1000)</f>
        <v>0.43329313183142126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19.016870675908159</v>
      </c>
      <c r="C45" s="87">
        <f>IF(C16=0,0,C16/TrRail_act!C11*1000)</f>
        <v>18.703912431671753</v>
      </c>
      <c r="D45" s="87">
        <f>IF(D16=0,0,D16/TrRail_act!D11*1000)</f>
        <v>18.504124114122092</v>
      </c>
      <c r="E45" s="87">
        <f>IF(E16=0,0,E16/TrRail_act!E11*1000)</f>
        <v>18.13790774374932</v>
      </c>
      <c r="F45" s="87">
        <f>IF(F16=0,0,F16/TrRail_act!F11*1000)</f>
        <v>18.368849838065589</v>
      </c>
      <c r="G45" s="87">
        <f>IF(G16=0,0,G16/TrRail_act!G11*1000)</f>
        <v>18.258413690374624</v>
      </c>
      <c r="H45" s="87">
        <f>IF(H16=0,0,H16/TrRail_act!H11*1000)</f>
        <v>18.169453332873683</v>
      </c>
      <c r="I45" s="87">
        <f>IF(I16=0,0,I16/TrRail_act!I11*1000)</f>
        <v>18.114331856559517</v>
      </c>
      <c r="J45" s="87">
        <f>IF(J16=0,0,J16/TrRail_act!J11*1000)</f>
        <v>18.661932461874091</v>
      </c>
      <c r="K45" s="87">
        <f>IF(K16=0,0,K16/TrRail_act!K11*1000)</f>
        <v>17.473125705561245</v>
      </c>
      <c r="L45" s="87">
        <f>IF(L16=0,0,L16/TrRail_act!L11*1000)</f>
        <v>17.582107500396937</v>
      </c>
      <c r="M45" s="87">
        <f>IF(M16=0,0,M16/TrRail_act!M11*1000)</f>
        <v>15.284915372310831</v>
      </c>
      <c r="N45" s="87">
        <f>IF(N16=0,0,N16/TrRail_act!N11*1000)</f>
        <v>14.238102992636984</v>
      </c>
      <c r="O45" s="87">
        <f>IF(O16=0,0,O16/TrRail_act!O11*1000)</f>
        <v>13.982056894876379</v>
      </c>
      <c r="P45" s="87">
        <f>IF(P16=0,0,P16/TrRail_act!P11*1000)</f>
        <v>13.515733519961444</v>
      </c>
      <c r="Q45" s="87">
        <f>IF(Q16=0,0,Q16/TrRail_act!Q11*1000)</f>
        <v>13.477160710217435</v>
      </c>
      <c r="R45" s="87">
        <f>IF(R16=0,0,R16/TrRail_act!R11*1000)</f>
        <v>12.916990864372387</v>
      </c>
      <c r="S45" s="87">
        <f>IF(S16=0,0,S16/TrRail_act!S11*1000)</f>
        <v>12.124943014785433</v>
      </c>
      <c r="T45" s="87">
        <f>IF(T16=0,0,T16/TrRail_act!T11*1000)</f>
        <v>11.809376805888961</v>
      </c>
      <c r="U45" s="87">
        <f>IF(U16=0,0,U16/TrRail_act!U11*1000)</f>
        <v>11.548639489655761</v>
      </c>
      <c r="V45" s="87">
        <f>IF(V16=0,0,V16/TrRail_act!V11*1000)</f>
        <v>12.831570139696138</v>
      </c>
      <c r="W45" s="87">
        <f>IF(W16=0,0,W16/TrRail_act!W11*1000)</f>
        <v>11.693280687943298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179.13874061124113</v>
      </c>
      <c r="C48" s="62">
        <f>IF(C8=0,0,1000000*C8/TrRail_act!C25/1000)</f>
        <v>161.45598608711992</v>
      </c>
      <c r="D48" s="62">
        <f>IF(D8=0,0,1000000*D8/TrRail_act!D25/1000)</f>
        <v>160.50667948204065</v>
      </c>
      <c r="E48" s="62">
        <f>IF(E8=0,0,1000000*E8/TrRail_act!E25/1000)</f>
        <v>165.57619299301717</v>
      </c>
      <c r="F48" s="62">
        <f>IF(F8=0,0,1000000*F8/TrRail_act!F25/1000)</f>
        <v>147.35286626939006</v>
      </c>
      <c r="G48" s="62">
        <f>IF(G8=0,0,1000000*G8/TrRail_act!G25/1000)</f>
        <v>122.7067153461976</v>
      </c>
      <c r="H48" s="62">
        <f>IF(H8=0,0,1000000*H8/TrRail_act!H25/1000)</f>
        <v>141.76949524489049</v>
      </c>
      <c r="I48" s="62">
        <f>IF(I8=0,0,1000000*I8/TrRail_act!I25/1000)</f>
        <v>129.10226341666473</v>
      </c>
      <c r="J48" s="62">
        <f>IF(J8=0,0,1000000*J8/TrRail_act!J25/1000)</f>
        <v>84.098000030746519</v>
      </c>
      <c r="K48" s="62">
        <f>IF(K8=0,0,1000000*K8/TrRail_act!K25/1000)</f>
        <v>73.457778017118073</v>
      </c>
      <c r="L48" s="62">
        <f>IF(L8=0,0,1000000*L8/TrRail_act!L25/1000)</f>
        <v>75.749335861238762</v>
      </c>
      <c r="M48" s="62">
        <f>IF(M8=0,0,1000000*M8/TrRail_act!M25/1000)</f>
        <v>54.162233054660355</v>
      </c>
      <c r="N48" s="62">
        <f>IF(N8=0,0,1000000*N8/TrRail_act!N25/1000)</f>
        <v>63.015600752657605</v>
      </c>
      <c r="O48" s="62">
        <f>IF(O8=0,0,1000000*O8/TrRail_act!O25/1000)</f>
        <v>42.800857006162254</v>
      </c>
      <c r="P48" s="62">
        <f>IF(P8=0,0,1000000*P8/TrRail_act!P25/1000)</f>
        <v>20.376353616858871</v>
      </c>
      <c r="Q48" s="62">
        <f>IF(Q8=0,0,1000000*Q8/TrRail_act!Q25/1000)</f>
        <v>23.919610083581727</v>
      </c>
      <c r="R48" s="62">
        <f>IF(R8=0,0,1000000*R8/TrRail_act!R25/1000)</f>
        <v>15.411092365686349</v>
      </c>
      <c r="S48" s="62">
        <f>IF(S8=0,0,1000000*S8/TrRail_act!S25/1000)</f>
        <v>32.53344050688068</v>
      </c>
      <c r="T48" s="62">
        <f>IF(T8=0,0,1000000*T8/TrRail_act!T25/1000)</f>
        <v>41.198396159105812</v>
      </c>
      <c r="U48" s="62">
        <f>IF(U8=0,0,1000000*U8/TrRail_act!U25/1000)</f>
        <v>41.131984114622782</v>
      </c>
      <c r="V48" s="62">
        <f>IF(V8=0,0,1000000*V8/TrRail_act!V25/1000)</f>
        <v>44.047933608008393</v>
      </c>
      <c r="W48" s="62">
        <f>IF(W8=0,0,1000000*W8/TrRail_act!W25/1000)</f>
        <v>38.245220458101493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183.54192569031096</v>
      </c>
      <c r="C49" s="29">
        <f>IF(C9=0,0,1000000*C9/TrRail_act!C26/1000)</f>
        <v>166.22828578927172</v>
      </c>
      <c r="D49" s="29">
        <f>IF(D9=0,0,1000000*D9/TrRail_act!D26/1000)</f>
        <v>164.91566777590245</v>
      </c>
      <c r="E49" s="29">
        <f>IF(E9=0,0,1000000*E9/TrRail_act!E26/1000)</f>
        <v>170.18756920592446</v>
      </c>
      <c r="F49" s="29">
        <f>IF(F9=0,0,1000000*F9/TrRail_act!F26/1000)</f>
        <v>150.75528680953789</v>
      </c>
      <c r="G49" s="29">
        <f>IF(G9=0,0,1000000*G9/TrRail_act!G26/1000)</f>
        <v>127.53604278575092</v>
      </c>
      <c r="H49" s="29">
        <f>IF(H9=0,0,1000000*H9/TrRail_act!H26/1000)</f>
        <v>130.82181440161352</v>
      </c>
      <c r="I49" s="29">
        <f>IF(I9=0,0,1000000*I9/TrRail_act!I26/1000)</f>
        <v>112.30257654038709</v>
      </c>
      <c r="J49" s="29">
        <f>IF(J9=0,0,1000000*J9/TrRail_act!J26/1000)</f>
        <v>62.646997887216152</v>
      </c>
      <c r="K49" s="29">
        <f>IF(K9=0,0,1000000*K9/TrRail_act!K26/1000)</f>
        <v>63.308422630540413</v>
      </c>
      <c r="L49" s="29">
        <f>IF(L9=0,0,1000000*L9/TrRail_act!L26/1000)</f>
        <v>66.778519525161556</v>
      </c>
      <c r="M49" s="29">
        <f>IF(M9=0,0,1000000*M9/TrRail_act!M26/1000)</f>
        <v>51.604665307935726</v>
      </c>
      <c r="N49" s="29">
        <f>IF(N9=0,0,1000000*N9/TrRail_act!N26/1000)</f>
        <v>61.770961321346135</v>
      </c>
      <c r="O49" s="29">
        <f>IF(O9=0,0,1000000*O9/TrRail_act!O26/1000)</f>
        <v>42.06233574770016</v>
      </c>
      <c r="P49" s="29">
        <f>IF(P9=0,0,1000000*P9/TrRail_act!P26/1000)</f>
        <v>19.969477592265989</v>
      </c>
      <c r="Q49" s="29">
        <f>IF(Q9=0,0,1000000*Q9/TrRail_act!Q26/1000)</f>
        <v>23.245783953294076</v>
      </c>
      <c r="R49" s="29">
        <f>IF(R9=0,0,1000000*R9/TrRail_act!R26/1000)</f>
        <v>15.012167388028624</v>
      </c>
      <c r="S49" s="29">
        <f>IF(S9=0,0,1000000*S9/TrRail_act!S26/1000)</f>
        <v>32.107615999071761</v>
      </c>
      <c r="T49" s="29">
        <f>IF(T9=0,0,1000000*T9/TrRail_act!T26/1000)</f>
        <v>40.600687291123627</v>
      </c>
      <c r="U49" s="29">
        <f>IF(U9=0,0,1000000*U9/TrRail_act!U26/1000)</f>
        <v>40.572158700155839</v>
      </c>
      <c r="V49" s="29">
        <f>IF(V9=0,0,1000000*V9/TrRail_act!V26/1000)</f>
        <v>42.710218701483583</v>
      </c>
      <c r="W49" s="29">
        <f>IF(W9=0,0,1000000*W9/TrRail_act!W26/1000)</f>
        <v>37.317850934553803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251.57553274240598</v>
      </c>
      <c r="C51" s="116">
        <f>IF(C11=0,0,1000000*C11/TrRail_act!C28/1000)</f>
        <v>232.54911695416266</v>
      </c>
      <c r="D51" s="116">
        <f>IF(D11=0,0,1000000*D11/TrRail_act!D28/1000)</f>
        <v>232.127997596298</v>
      </c>
      <c r="E51" s="116">
        <f>IF(E11=0,0,1000000*E11/TrRail_act!E28/1000)</f>
        <v>237.86418680362343</v>
      </c>
      <c r="F51" s="116">
        <f>IF(F11=0,0,1000000*F11/TrRail_act!F28/1000)</f>
        <v>216.75411838605118</v>
      </c>
      <c r="G51" s="116">
        <f>IF(G11=0,0,1000000*G11/TrRail_act!G28/1000)</f>
        <v>183.99193027110942</v>
      </c>
      <c r="H51" s="116">
        <f>IF(H11=0,0,1000000*H11/TrRail_act!H28/1000)</f>
        <v>192.23362126046041</v>
      </c>
      <c r="I51" s="116">
        <f>IF(I11=0,0,1000000*I11/TrRail_act!I28/1000)</f>
        <v>168.55712973498123</v>
      </c>
      <c r="J51" s="116">
        <f>IF(J11=0,0,1000000*J11/TrRail_act!J28/1000)</f>
        <v>93.976637174075179</v>
      </c>
      <c r="K51" s="116">
        <f>IF(K11=0,0,1000000*K11/TrRail_act!K28/1000)</f>
        <v>97.009652662132311</v>
      </c>
      <c r="L51" s="116">
        <f>IF(L11=0,0,1000000*L11/TrRail_act!L28/1000)</f>
        <v>102.501699117288</v>
      </c>
      <c r="M51" s="116">
        <f>IF(M11=0,0,1000000*M11/TrRail_act!M28/1000)</f>
        <v>79.732844251943973</v>
      </c>
      <c r="N51" s="116">
        <f>IF(N11=0,0,1000000*N11/TrRail_act!N28/1000)</f>
        <v>90.902204005119643</v>
      </c>
      <c r="O51" s="116">
        <f>IF(O11=0,0,1000000*O11/TrRail_act!O28/1000)</f>
        <v>60.717227358841676</v>
      </c>
      <c r="P51" s="116">
        <f>IF(P11=0,0,1000000*P11/TrRail_act!P28/1000)</f>
        <v>28.996331970484096</v>
      </c>
      <c r="Q51" s="116">
        <f>IF(Q11=0,0,1000000*Q11/TrRail_act!Q28/1000)</f>
        <v>33.281424461518398</v>
      </c>
      <c r="R51" s="116">
        <f>IF(R11=0,0,1000000*R11/TrRail_act!R28/1000)</f>
        <v>21.193707295206725</v>
      </c>
      <c r="S51" s="116">
        <f>IF(S11=0,0,1000000*S11/TrRail_act!S28/1000)</f>
        <v>45.433826807547256</v>
      </c>
      <c r="T51" s="116">
        <f>IF(T11=0,0,1000000*T11/TrRail_act!T28/1000)</f>
        <v>56.023249701067684</v>
      </c>
      <c r="U51" s="116">
        <f>IF(U11=0,0,1000000*U11/TrRail_act!U28/1000)</f>
        <v>57.49014096509061</v>
      </c>
      <c r="V51" s="116">
        <f>IF(V11=0,0,1000000*V11/TrRail_act!V28/1000)</f>
        <v>60.404484323708026</v>
      </c>
      <c r="W51" s="116">
        <f>IF(W11=0,0,1000000*W11/TrRail_act!W28/1000)</f>
        <v>54.46123160676828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1273.854260140866</v>
      </c>
      <c r="C52" s="87">
        <f>IF(C12=0,0,1000000*C12/TrRail_act!C29/1000)</f>
        <v>1214.2705748992744</v>
      </c>
      <c r="D52" s="87">
        <f>IF(D12=0,0,1000000*D12/TrRail_act!D29/1000)</f>
        <v>1177.7934766406802</v>
      </c>
      <c r="E52" s="87">
        <f>IF(E12=0,0,1000000*E12/TrRail_act!E29/1000)</f>
        <v>1152.6573032146532</v>
      </c>
      <c r="F52" s="87">
        <f>IF(F12=0,0,1000000*F12/TrRail_act!F29/1000)</f>
        <v>1089.1224402462014</v>
      </c>
      <c r="G52" s="87">
        <f>IF(G12=0,0,1000000*G12/TrRail_act!G29/1000)</f>
        <v>1038.0118428345447</v>
      </c>
      <c r="H52" s="87">
        <f>IF(H12=0,0,1000000*H12/TrRail_act!H29/1000)</f>
        <v>1051.9324131276489</v>
      </c>
      <c r="I52" s="87">
        <f>IF(I12=0,0,1000000*I12/TrRail_act!I29/1000)</f>
        <v>1042.3632936079091</v>
      </c>
      <c r="J52" s="87">
        <f>IF(J12=0,0,1000000*J12/TrRail_act!J29/1000)</f>
        <v>686.56064233369136</v>
      </c>
      <c r="K52" s="87">
        <f>IF(K12=0,0,1000000*K12/TrRail_act!K29/1000)</f>
        <v>801.38231237087246</v>
      </c>
      <c r="L52" s="87">
        <f>IF(L12=0,0,1000000*L12/TrRail_act!L29/1000)</f>
        <v>992.58490407443833</v>
      </c>
      <c r="M52" s="87">
        <f>IF(M12=0,0,1000000*M12/TrRail_act!M29/1000)</f>
        <v>932.31767744231195</v>
      </c>
      <c r="N52" s="87">
        <f>IF(N12=0,0,1000000*N12/TrRail_act!N29/1000)</f>
        <v>883.06321576137304</v>
      </c>
      <c r="O52" s="87">
        <f>IF(O12=0,0,1000000*O12/TrRail_act!O29/1000)</f>
        <v>766.90413342848672</v>
      </c>
      <c r="P52" s="87">
        <f>IF(P12=0,0,1000000*P12/TrRail_act!P29/1000)</f>
        <v>465.00646287664574</v>
      </c>
      <c r="Q52" s="87">
        <f>IF(Q12=0,0,1000000*Q12/TrRail_act!Q29/1000)</f>
        <v>800.4249549982336</v>
      </c>
      <c r="R52" s="87">
        <f>IF(R12=0,0,1000000*R12/TrRail_act!R29/1000)</f>
        <v>788.11458140802074</v>
      </c>
      <c r="S52" s="87">
        <f>IF(S12=0,0,1000000*S12/TrRail_act!S29/1000)</f>
        <v>773.5969330328054</v>
      </c>
      <c r="T52" s="87">
        <f>IF(T12=0,0,1000000*T12/TrRail_act!T29/1000)</f>
        <v>762.88445722426206</v>
      </c>
      <c r="U52" s="87">
        <f>IF(U12=0,0,1000000*U12/TrRail_act!U29/1000)</f>
        <v>754.94756404247323</v>
      </c>
      <c r="V52" s="87">
        <f>IF(V12=0,0,1000000*V12/TrRail_act!V29/1000)</f>
        <v>749.04912596020131</v>
      </c>
      <c r="W52" s="87">
        <f>IF(W12=0,0,1000000*W12/TrRail_act!W29/1000)</f>
        <v>744.65556589907999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121.14331196611356</v>
      </c>
      <c r="C55" s="29">
        <f>IF(C15=0,0,1000000*C15/TrRail_act!C32/1000)</f>
        <v>97.42108031247038</v>
      </c>
      <c r="D55" s="29">
        <f>IF(D15=0,0,1000000*D15/TrRail_act!D32/1000)</f>
        <v>96.545496404401263</v>
      </c>
      <c r="E55" s="29">
        <f>IF(E15=0,0,1000000*E15/TrRail_act!E32/1000)</f>
        <v>98.988422482208605</v>
      </c>
      <c r="F55" s="29">
        <f>IF(F15=0,0,1000000*F15/TrRail_act!F32/1000)</f>
        <v>105.85163258294202</v>
      </c>
      <c r="G55" s="29">
        <f>IF(G15=0,0,1000000*G15/TrRail_act!G32/1000)</f>
        <v>65.203191343699913</v>
      </c>
      <c r="H55" s="29">
        <f>IF(H15=0,0,1000000*H15/TrRail_act!H32/1000)</f>
        <v>267.75643045465995</v>
      </c>
      <c r="I55" s="29">
        <f>IF(I15=0,0,1000000*I15/TrRail_act!I32/1000)</f>
        <v>320.45829356547154</v>
      </c>
      <c r="J55" s="29">
        <f>IF(J15=0,0,1000000*J15/TrRail_act!J32/1000)</f>
        <v>351.52182161859616</v>
      </c>
      <c r="K55" s="29">
        <f>IF(K15=0,0,1000000*K15/TrRail_act!K32/1000)</f>
        <v>210.2617430691609</v>
      </c>
      <c r="L55" s="29">
        <f>IF(L15=0,0,1000000*L15/TrRail_act!L32/1000)</f>
        <v>212.69180637919885</v>
      </c>
      <c r="M55" s="29">
        <f>IF(M15=0,0,1000000*M15/TrRail_act!M32/1000)</f>
        <v>89.046894763872913</v>
      </c>
      <c r="N55" s="29">
        <f>IF(N15=0,0,1000000*N15/TrRail_act!N32/1000)</f>
        <v>80.067376169701248</v>
      </c>
      <c r="O55" s="29">
        <f>IF(O15=0,0,1000000*O15/TrRail_act!O32/1000)</f>
        <v>53.771791268714374</v>
      </c>
      <c r="P55" s="29">
        <f>IF(P15=0,0,1000000*P15/TrRail_act!P32/1000)</f>
        <v>26.013017084605274</v>
      </c>
      <c r="Q55" s="29">
        <f>IF(Q15=0,0,1000000*Q15/TrRail_act!Q32/1000)</f>
        <v>34.706500561795735</v>
      </c>
      <c r="R55" s="29">
        <f>IF(R15=0,0,1000000*R15/TrRail_act!R32/1000)</f>
        <v>21.54835771431333</v>
      </c>
      <c r="S55" s="29">
        <f>IF(S15=0,0,1000000*S15/TrRail_act!S32/1000)</f>
        <v>38.308812816845254</v>
      </c>
      <c r="T55" s="29">
        <f>IF(T15=0,0,1000000*T15/TrRail_act!T32/1000)</f>
        <v>50.535209851557156</v>
      </c>
      <c r="U55" s="29">
        <f>IF(U15=0,0,1000000*U15/TrRail_act!U32/1000)</f>
        <v>50.101287319542934</v>
      </c>
      <c r="V55" s="29">
        <f>IF(V15=0,0,1000000*V15/TrRail_act!V32/1000)</f>
        <v>64.135315217978643</v>
      </c>
      <c r="W55" s="29">
        <f>IF(W15=0,0,1000000*W15/TrRail_act!W32/1000)</f>
        <v>51.328472987856799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3021.7452967403724</v>
      </c>
      <c r="C56" s="87">
        <f>IF(C16=0,0,1000000*C16/TrRail_act!C33/1000)</f>
        <v>2557.598437819137</v>
      </c>
      <c r="D56" s="87">
        <f>IF(D16=0,0,1000000*D16/TrRail_act!D33/1000)</f>
        <v>2734.1119471353604</v>
      </c>
      <c r="E56" s="87">
        <f>IF(E16=0,0,1000000*E16/TrRail_act!E33/1000)</f>
        <v>2880.9259941120031</v>
      </c>
      <c r="F56" s="87">
        <f>IF(F16=0,0,1000000*F16/TrRail_act!F33/1000)</f>
        <v>2821.396886769689</v>
      </c>
      <c r="G56" s="87">
        <f>IF(G16=0,0,1000000*G16/TrRail_act!G33/1000)</f>
        <v>1994.4560979918631</v>
      </c>
      <c r="H56" s="87">
        <f>IF(H16=0,0,1000000*H16/TrRail_act!H33/1000)</f>
        <v>2731.9894797346424</v>
      </c>
      <c r="I56" s="87">
        <f>IF(I16=0,0,1000000*I16/TrRail_act!I33/1000)</f>
        <v>2689.9827984149028</v>
      </c>
      <c r="J56" s="87">
        <f>IF(J16=0,0,1000000*J16/TrRail_act!J33/1000)</f>
        <v>2639.9405688781694</v>
      </c>
      <c r="K56" s="87">
        <f>IF(K16=0,0,1000000*K16/TrRail_act!K33/1000)</f>
        <v>1480.1099790746171</v>
      </c>
      <c r="L56" s="87">
        <f>IF(L16=0,0,1000000*L16/TrRail_act!L33/1000)</f>
        <v>1394.7517309848495</v>
      </c>
      <c r="M56" s="87">
        <f>IF(M16=0,0,1000000*M16/TrRail_act!M33/1000)</f>
        <v>666.60422734560439</v>
      </c>
      <c r="N56" s="87">
        <f>IF(N16=0,0,1000000*N16/TrRail_act!N33/1000)</f>
        <v>633.75464410153484</v>
      </c>
      <c r="O56" s="87">
        <f>IF(O16=0,0,1000000*O16/TrRail_act!O33/1000)</f>
        <v>421.21514308310225</v>
      </c>
      <c r="P56" s="87">
        <f>IF(P16=0,0,1000000*P16/TrRail_act!P33/1000)</f>
        <v>223.17555515354169</v>
      </c>
      <c r="Q56" s="87">
        <f>IF(Q16=0,0,1000000*Q16/TrRail_act!Q33/1000)</f>
        <v>279.46325892368861</v>
      </c>
      <c r="R56" s="87">
        <f>IF(R16=0,0,1000000*R16/TrRail_act!R33/1000)</f>
        <v>196.95634897055697</v>
      </c>
      <c r="S56" s="87">
        <f>IF(S16=0,0,1000000*S16/TrRail_act!S33/1000)</f>
        <v>424.69033448479036</v>
      </c>
      <c r="T56" s="87">
        <f>IF(T16=0,0,1000000*T16/TrRail_act!T33/1000)</f>
        <v>535.25712773101031</v>
      </c>
      <c r="U56" s="87">
        <f>IF(U16=0,0,1000000*U16/TrRail_act!U33/1000)</f>
        <v>525.97004277059261</v>
      </c>
      <c r="V56" s="87">
        <f>IF(V16=0,0,1000000*V16/TrRail_act!V33/1000)</f>
        <v>699.65165681838096</v>
      </c>
      <c r="W56" s="87">
        <f>IF(W16=0,0,1000000*W16/TrRail_act!W33/1000)</f>
        <v>614.71917967026809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0.95227983624497747</v>
      </c>
      <c r="C60" s="31">
        <f t="shared" ref="C60:V60" si="8">IF(C9=0,0,C9/C$8)</f>
        <v>0.9581502777831854</v>
      </c>
      <c r="D60" s="31">
        <f t="shared" si="8"/>
        <v>0.96121076747000667</v>
      </c>
      <c r="E60" s="31">
        <f t="shared" si="8"/>
        <v>0.9612793823404604</v>
      </c>
      <c r="F60" s="31">
        <f t="shared" si="8"/>
        <v>0.94556912960255735</v>
      </c>
      <c r="G60" s="31">
        <f t="shared" si="8"/>
        <v>0.95883101309369445</v>
      </c>
      <c r="H60" s="31">
        <f t="shared" si="8"/>
        <v>0.84900380757117511</v>
      </c>
      <c r="I60" s="31">
        <f t="shared" si="8"/>
        <v>0.79966791864227182</v>
      </c>
      <c r="J60" s="31">
        <f t="shared" si="8"/>
        <v>0.68961229115500866</v>
      </c>
      <c r="K60" s="31">
        <f t="shared" si="8"/>
        <v>0.80231144392520615</v>
      </c>
      <c r="L60" s="31">
        <f t="shared" si="8"/>
        <v>0.82737286813651989</v>
      </c>
      <c r="M60" s="31">
        <f t="shared" si="8"/>
        <v>0.88769795523825767</v>
      </c>
      <c r="N60" s="31">
        <f t="shared" si="8"/>
        <v>0.91356590824933914</v>
      </c>
      <c r="O60" s="31">
        <f t="shared" si="8"/>
        <v>0.92076294259970948</v>
      </c>
      <c r="P60" s="31">
        <f t="shared" si="8"/>
        <v>0.91405215490394498</v>
      </c>
      <c r="Q60" s="31">
        <f t="shared" si="8"/>
        <v>0.91469140192591047</v>
      </c>
      <c r="R60" s="31">
        <f t="shared" si="8"/>
        <v>0.91466105047983903</v>
      </c>
      <c r="S60" s="31">
        <f t="shared" si="8"/>
        <v>0.91914184314279912</v>
      </c>
      <c r="T60" s="31">
        <f t="shared" si="8"/>
        <v>0.92619998279515636</v>
      </c>
      <c r="U60" s="31">
        <f t="shared" si="8"/>
        <v>0.92844027763464554</v>
      </c>
      <c r="V60" s="31">
        <f t="shared" si="8"/>
        <v>0.90908982920760317</v>
      </c>
      <c r="W60" s="31">
        <f t="shared" ref="W60" si="9">IF(W9=0,0,W9/W$8)</f>
        <v>0.91116654014237275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0.95227983624497747</v>
      </c>
      <c r="C62" s="124">
        <f t="shared" ref="C62:V62" si="12">IF(C11=0,0,C11/C$8)</f>
        <v>0.9581502777831854</v>
      </c>
      <c r="D62" s="124">
        <f t="shared" si="12"/>
        <v>0.96121076747000667</v>
      </c>
      <c r="E62" s="124">
        <f t="shared" si="12"/>
        <v>0.9612793823404604</v>
      </c>
      <c r="F62" s="124">
        <f t="shared" si="12"/>
        <v>0.94556912960255735</v>
      </c>
      <c r="G62" s="124">
        <f t="shared" si="12"/>
        <v>0.95883101309369445</v>
      </c>
      <c r="H62" s="124">
        <f t="shared" si="12"/>
        <v>0.84900380757117511</v>
      </c>
      <c r="I62" s="124">
        <f t="shared" si="12"/>
        <v>0.79966791864227182</v>
      </c>
      <c r="J62" s="124">
        <f t="shared" si="12"/>
        <v>0.68961229115500866</v>
      </c>
      <c r="K62" s="124">
        <f t="shared" si="12"/>
        <v>0.80231144392520615</v>
      </c>
      <c r="L62" s="124">
        <f t="shared" si="12"/>
        <v>0.82737286813651989</v>
      </c>
      <c r="M62" s="124">
        <f t="shared" si="12"/>
        <v>0.88769795523825767</v>
      </c>
      <c r="N62" s="124">
        <f t="shared" si="12"/>
        <v>0.91356590824933914</v>
      </c>
      <c r="O62" s="124">
        <f t="shared" si="12"/>
        <v>0.92076294259970948</v>
      </c>
      <c r="P62" s="124">
        <f t="shared" si="12"/>
        <v>0.91405215490394498</v>
      </c>
      <c r="Q62" s="124">
        <f t="shared" si="12"/>
        <v>0.91469140192591047</v>
      </c>
      <c r="R62" s="124">
        <f t="shared" si="12"/>
        <v>0.91466105047983903</v>
      </c>
      <c r="S62" s="124">
        <f t="shared" si="12"/>
        <v>0.91914184314279912</v>
      </c>
      <c r="T62" s="124">
        <f t="shared" si="12"/>
        <v>0.92619998279515636</v>
      </c>
      <c r="U62" s="124">
        <f t="shared" si="12"/>
        <v>0.92844027763464554</v>
      </c>
      <c r="V62" s="124">
        <f t="shared" si="12"/>
        <v>0.90908982920760317</v>
      </c>
      <c r="W62" s="124">
        <f t="shared" ref="W62" si="13">IF(W11=0,0,W11/W$8)</f>
        <v>0.91116654014237275</v>
      </c>
      <c r="DA62" s="176"/>
    </row>
    <row r="63" spans="1:105" ht="11.45" customHeight="1" x14ac:dyDescent="0.25">
      <c r="A63" s="111" t="s">
        <v>92</v>
      </c>
      <c r="B63" s="125">
        <f t="shared" si="5"/>
        <v>0.95227983624497747</v>
      </c>
      <c r="C63" s="125">
        <f t="shared" ref="C63:V63" si="14">IF(C12=0,0,C12/C$8)</f>
        <v>0.9581502777831854</v>
      </c>
      <c r="D63" s="125">
        <f t="shared" si="14"/>
        <v>0.96121076747000667</v>
      </c>
      <c r="E63" s="125">
        <f t="shared" si="14"/>
        <v>0.9612793823404604</v>
      </c>
      <c r="F63" s="125">
        <f t="shared" si="14"/>
        <v>0.94556912960255735</v>
      </c>
      <c r="G63" s="125">
        <f t="shared" si="14"/>
        <v>0.95883101309369445</v>
      </c>
      <c r="H63" s="125">
        <f t="shared" si="14"/>
        <v>0.84900380757117511</v>
      </c>
      <c r="I63" s="125">
        <f t="shared" si="14"/>
        <v>0.79966791864227182</v>
      </c>
      <c r="J63" s="125">
        <f t="shared" si="14"/>
        <v>0.68961229115500866</v>
      </c>
      <c r="K63" s="125">
        <f t="shared" si="14"/>
        <v>0.80231144392520615</v>
      </c>
      <c r="L63" s="125">
        <f t="shared" si="14"/>
        <v>0.82737286813651989</v>
      </c>
      <c r="M63" s="125">
        <f t="shared" si="14"/>
        <v>0.88769795523825767</v>
      </c>
      <c r="N63" s="125">
        <f t="shared" si="14"/>
        <v>0.91356590824933914</v>
      </c>
      <c r="O63" s="125">
        <f t="shared" si="14"/>
        <v>0.92076294259970948</v>
      </c>
      <c r="P63" s="125">
        <f t="shared" si="14"/>
        <v>0.91405215490394498</v>
      </c>
      <c r="Q63" s="125">
        <f t="shared" si="14"/>
        <v>0.91469140192591047</v>
      </c>
      <c r="R63" s="125">
        <f t="shared" si="14"/>
        <v>0.91466105047983903</v>
      </c>
      <c r="S63" s="125">
        <f t="shared" si="14"/>
        <v>0.91914184314279912</v>
      </c>
      <c r="T63" s="125">
        <f t="shared" si="14"/>
        <v>0.92619998279515636</v>
      </c>
      <c r="U63" s="125">
        <f t="shared" si="14"/>
        <v>0.92844027763464554</v>
      </c>
      <c r="V63" s="125">
        <f t="shared" si="14"/>
        <v>0.90908982920760317</v>
      </c>
      <c r="W63" s="125">
        <f t="shared" ref="W63" si="15">IF(W12=0,0,W12/W$8)</f>
        <v>0.91116654014237275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4.7720163755022554E-2</v>
      </c>
      <c r="C66" s="31">
        <f t="shared" ref="C66:V66" si="20">IF(C15=0,0,C15/C$8)</f>
        <v>4.1849722216814642E-2</v>
      </c>
      <c r="D66" s="31">
        <f t="shared" si="20"/>
        <v>3.8789232529993334E-2</v>
      </c>
      <c r="E66" s="31">
        <f t="shared" si="20"/>
        <v>3.8720617659539568E-2</v>
      </c>
      <c r="F66" s="31">
        <f t="shared" si="20"/>
        <v>5.4430870397442696E-2</v>
      </c>
      <c r="G66" s="31">
        <f t="shared" si="20"/>
        <v>4.1168986906305549E-2</v>
      </c>
      <c r="H66" s="31">
        <f t="shared" si="20"/>
        <v>0.15099619242882484</v>
      </c>
      <c r="I66" s="31">
        <f t="shared" si="20"/>
        <v>0.20033208135772818</v>
      </c>
      <c r="J66" s="31">
        <f t="shared" si="20"/>
        <v>0.31038770884499134</v>
      </c>
      <c r="K66" s="31">
        <f t="shared" si="20"/>
        <v>0.19768855607479396</v>
      </c>
      <c r="L66" s="31">
        <f t="shared" si="20"/>
        <v>0.17262713186348014</v>
      </c>
      <c r="M66" s="31">
        <f t="shared" si="20"/>
        <v>0.1123020447617423</v>
      </c>
      <c r="N66" s="31">
        <f t="shared" si="20"/>
        <v>8.6434091750660857E-2</v>
      </c>
      <c r="O66" s="31">
        <f t="shared" si="20"/>
        <v>7.9237057400290523E-2</v>
      </c>
      <c r="P66" s="31">
        <f t="shared" si="20"/>
        <v>8.5947845096054992E-2</v>
      </c>
      <c r="Q66" s="31">
        <f t="shared" si="20"/>
        <v>8.5308598074089498E-2</v>
      </c>
      <c r="R66" s="31">
        <f t="shared" si="20"/>
        <v>8.5338949520160925E-2</v>
      </c>
      <c r="S66" s="31">
        <f t="shared" si="20"/>
        <v>8.0858156857200797E-2</v>
      </c>
      <c r="T66" s="31">
        <f t="shared" si="20"/>
        <v>7.3800017204843651E-2</v>
      </c>
      <c r="U66" s="31">
        <f t="shared" si="20"/>
        <v>7.1559722365354544E-2</v>
      </c>
      <c r="V66" s="31">
        <f t="shared" si="20"/>
        <v>9.0910170792396883E-2</v>
      </c>
      <c r="W66" s="31">
        <f t="shared" ref="W66" si="21">IF(W15=0,0,W15/W$8)</f>
        <v>8.8833459857627181E-2</v>
      </c>
      <c r="DA66" s="173"/>
    </row>
    <row r="67" spans="1:105" ht="11.45" customHeight="1" x14ac:dyDescent="0.25">
      <c r="A67" s="83" t="s">
        <v>92</v>
      </c>
      <c r="B67" s="125">
        <f t="shared" si="5"/>
        <v>4.7720163755022554E-2</v>
      </c>
      <c r="C67" s="125">
        <f t="shared" ref="C67:V67" si="22">IF(C16=0,0,C16/C$8)</f>
        <v>4.1849722216814642E-2</v>
      </c>
      <c r="D67" s="125">
        <f t="shared" si="22"/>
        <v>3.8789232529993334E-2</v>
      </c>
      <c r="E67" s="125">
        <f t="shared" si="22"/>
        <v>3.8720617659539568E-2</v>
      </c>
      <c r="F67" s="125">
        <f t="shared" si="22"/>
        <v>5.4430870397442696E-2</v>
      </c>
      <c r="G67" s="125">
        <f t="shared" si="22"/>
        <v>4.1168986906305549E-2</v>
      </c>
      <c r="H67" s="125">
        <f t="shared" si="22"/>
        <v>0.15099619242882484</v>
      </c>
      <c r="I67" s="125">
        <f t="shared" si="22"/>
        <v>0.20033208135772818</v>
      </c>
      <c r="J67" s="125">
        <f t="shared" si="22"/>
        <v>0.31038770884499134</v>
      </c>
      <c r="K67" s="125">
        <f t="shared" si="22"/>
        <v>0.19768855607479396</v>
      </c>
      <c r="L67" s="125">
        <f t="shared" si="22"/>
        <v>0.17262713186348014</v>
      </c>
      <c r="M67" s="125">
        <f t="shared" si="22"/>
        <v>0.1123020447617423</v>
      </c>
      <c r="N67" s="125">
        <f t="shared" si="22"/>
        <v>8.6434091750660857E-2</v>
      </c>
      <c r="O67" s="125">
        <f t="shared" si="22"/>
        <v>7.9237057400290523E-2</v>
      </c>
      <c r="P67" s="125">
        <f t="shared" si="22"/>
        <v>8.5947845096054992E-2</v>
      </c>
      <c r="Q67" s="125">
        <f t="shared" si="22"/>
        <v>8.5308598074089498E-2</v>
      </c>
      <c r="R67" s="125">
        <f t="shared" si="22"/>
        <v>8.5338949520160925E-2</v>
      </c>
      <c r="S67" s="125">
        <f t="shared" si="22"/>
        <v>8.0858156857200797E-2</v>
      </c>
      <c r="T67" s="125">
        <f t="shared" si="22"/>
        <v>7.3800017204843651E-2</v>
      </c>
      <c r="U67" s="125">
        <f t="shared" si="22"/>
        <v>7.1559722365354544E-2</v>
      </c>
      <c r="V67" s="125">
        <f t="shared" si="22"/>
        <v>9.0910170792396883E-2</v>
      </c>
      <c r="W67" s="125">
        <f t="shared" ref="W67" si="23">IF(W16=0,0,W16/W$8)</f>
        <v>8.8833459857627181E-2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68600.766680033528</v>
      </c>
      <c r="C4" s="11">
        <f t="shared" si="0"/>
        <v>63334.00074330889</v>
      </c>
      <c r="D4" s="11">
        <f t="shared" ref="D4:V4" si="1">SUM(D5:D7)</f>
        <v>63825.275041661313</v>
      </c>
      <c r="E4" s="11">
        <f t="shared" si="1"/>
        <v>69741.418397365807</v>
      </c>
      <c r="F4" s="11">
        <f t="shared" si="1"/>
        <v>80321.933251207738</v>
      </c>
      <c r="G4" s="11">
        <f t="shared" si="1"/>
        <v>85868.980480459984</v>
      </c>
      <c r="H4" s="11">
        <f t="shared" si="1"/>
        <v>92119.555517479006</v>
      </c>
      <c r="I4" s="11">
        <f t="shared" si="1"/>
        <v>101085.53489219211</v>
      </c>
      <c r="J4" s="11">
        <f t="shared" si="1"/>
        <v>96996.149378967602</v>
      </c>
      <c r="K4" s="11">
        <f t="shared" si="1"/>
        <v>93279.761554823781</v>
      </c>
      <c r="L4" s="11">
        <f t="shared" si="1"/>
        <v>100804.75273830195</v>
      </c>
      <c r="M4" s="11">
        <f t="shared" si="1"/>
        <v>104975.75976416015</v>
      </c>
      <c r="N4" s="11">
        <f t="shared" si="1"/>
        <v>104738.74294187184</v>
      </c>
      <c r="O4" s="11">
        <f t="shared" si="1"/>
        <v>103683.63036342313</v>
      </c>
      <c r="P4" s="11">
        <f t="shared" si="1"/>
        <v>106603.6490254386</v>
      </c>
      <c r="Q4" s="11">
        <f t="shared" si="1"/>
        <v>112750.62994186237</v>
      </c>
      <c r="R4" s="11">
        <f t="shared" si="1"/>
        <v>119592.24792625799</v>
      </c>
      <c r="S4" s="11">
        <f t="shared" si="1"/>
        <v>129551.68163092448</v>
      </c>
      <c r="T4" s="11">
        <f t="shared" si="1"/>
        <v>141094.25574671771</v>
      </c>
      <c r="U4" s="11">
        <f t="shared" si="1"/>
        <v>150935.10962755803</v>
      </c>
      <c r="V4" s="11">
        <f t="shared" si="1"/>
        <v>38012.183128632816</v>
      </c>
      <c r="W4" s="11">
        <f t="shared" ref="W4" si="2">SUM(W5:W7)</f>
        <v>50370.030703259901</v>
      </c>
      <c r="DA4" s="189" t="s">
        <v>189</v>
      </c>
    </row>
    <row r="5" spans="1:105" ht="11.45" customHeight="1" x14ac:dyDescent="0.25">
      <c r="A5" s="83" t="s">
        <v>27</v>
      </c>
      <c r="B5" s="84">
        <v>14383.948439598165</v>
      </c>
      <c r="C5" s="84">
        <v>13384.498160731097</v>
      </c>
      <c r="D5" s="84">
        <v>13586.47881349319</v>
      </c>
      <c r="E5" s="84">
        <v>15139.55863278252</v>
      </c>
      <c r="F5" s="84">
        <v>15384.460254481468</v>
      </c>
      <c r="G5" s="84">
        <v>15430.52580928062</v>
      </c>
      <c r="H5" s="84">
        <v>16360.789553086161</v>
      </c>
      <c r="I5" s="84">
        <v>18343.379857879445</v>
      </c>
      <c r="J5" s="84">
        <v>17862.65912315658</v>
      </c>
      <c r="K5" s="84">
        <v>18639.59008903529</v>
      </c>
      <c r="L5" s="84">
        <v>19891.551699073359</v>
      </c>
      <c r="M5" s="84">
        <v>21308.65883219261</v>
      </c>
      <c r="N5" s="84">
        <v>19938.844667051704</v>
      </c>
      <c r="O5" s="84">
        <v>18958.630468827581</v>
      </c>
      <c r="P5" s="84">
        <v>17931.429575072998</v>
      </c>
      <c r="Q5" s="84">
        <v>19651.625657787976</v>
      </c>
      <c r="R5" s="84">
        <v>20411.845022716414</v>
      </c>
      <c r="S5" s="84">
        <v>21341.448733614659</v>
      </c>
      <c r="T5" s="84">
        <v>22211.631859514971</v>
      </c>
      <c r="U5" s="84">
        <v>22709.688234522066</v>
      </c>
      <c r="V5" s="84">
        <v>8902.7506755328141</v>
      </c>
      <c r="W5" s="84">
        <v>15632.734573472009</v>
      </c>
      <c r="DA5" s="171" t="s">
        <v>190</v>
      </c>
    </row>
    <row r="6" spans="1:105" ht="11.45" customHeight="1" x14ac:dyDescent="0.25">
      <c r="A6" s="83" t="s">
        <v>173</v>
      </c>
      <c r="B6" s="84">
        <v>23759.228486800494</v>
      </c>
      <c r="C6" s="84">
        <v>22005.029869106409</v>
      </c>
      <c r="D6" s="84">
        <v>22129.304012556626</v>
      </c>
      <c r="E6" s="84">
        <v>25590.051317288166</v>
      </c>
      <c r="F6" s="84">
        <v>28704.220228372622</v>
      </c>
      <c r="G6" s="84">
        <v>32198.298002988209</v>
      </c>
      <c r="H6" s="84">
        <v>34383.394306599665</v>
      </c>
      <c r="I6" s="84">
        <v>36663.387893009167</v>
      </c>
      <c r="J6" s="84">
        <v>34372.804574628761</v>
      </c>
      <c r="K6" s="84">
        <v>32756.426543338413</v>
      </c>
      <c r="L6" s="84">
        <v>34880.588282452976</v>
      </c>
      <c r="M6" s="84">
        <v>38311.647163593138</v>
      </c>
      <c r="N6" s="84">
        <v>37947.147581908997</v>
      </c>
      <c r="O6" s="84">
        <v>37902.374597899368</v>
      </c>
      <c r="P6" s="84">
        <v>39990.887474588548</v>
      </c>
      <c r="Q6" s="84">
        <v>43325.015619802587</v>
      </c>
      <c r="R6" s="84">
        <v>47273.397342968819</v>
      </c>
      <c r="S6" s="84">
        <v>51013.38119441997</v>
      </c>
      <c r="T6" s="84">
        <v>54130.258986027933</v>
      </c>
      <c r="U6" s="84">
        <v>56569.184810844774</v>
      </c>
      <c r="V6" s="84">
        <v>13422.173508691649</v>
      </c>
      <c r="W6" s="84">
        <v>18789.481097156138</v>
      </c>
      <c r="DA6" s="171" t="s">
        <v>191</v>
      </c>
    </row>
    <row r="7" spans="1:105" ht="11.45" customHeight="1" x14ac:dyDescent="0.25">
      <c r="A7" s="83" t="s">
        <v>174</v>
      </c>
      <c r="B7" s="84">
        <v>30457.589753634878</v>
      </c>
      <c r="C7" s="84">
        <v>27944.472713471387</v>
      </c>
      <c r="D7" s="84">
        <v>28109.492215611499</v>
      </c>
      <c r="E7" s="84">
        <v>29011.808447295123</v>
      </c>
      <c r="F7" s="84">
        <v>36233.252768353646</v>
      </c>
      <c r="G7" s="84">
        <v>38240.156668191157</v>
      </c>
      <c r="H7" s="84">
        <v>41375.371657793177</v>
      </c>
      <c r="I7" s="84">
        <v>46078.767141303491</v>
      </c>
      <c r="J7" s="84">
        <v>44760.685681182265</v>
      </c>
      <c r="K7" s="84">
        <v>41883.744922450074</v>
      </c>
      <c r="L7" s="84">
        <v>46032.612756775612</v>
      </c>
      <c r="M7" s="84">
        <v>45355.453768374391</v>
      </c>
      <c r="N7" s="84">
        <v>46852.750692911141</v>
      </c>
      <c r="O7" s="84">
        <v>46822.625296696177</v>
      </c>
      <c r="P7" s="84">
        <v>48681.331975777051</v>
      </c>
      <c r="Q7" s="84">
        <v>49773.988664271812</v>
      </c>
      <c r="R7" s="84">
        <v>51907.005560572747</v>
      </c>
      <c r="S7" s="84">
        <v>57196.85170288985</v>
      </c>
      <c r="T7" s="84">
        <v>64752.364901174813</v>
      </c>
      <c r="U7" s="84">
        <v>71656.236582191195</v>
      </c>
      <c r="V7" s="84">
        <v>15687.258944408355</v>
      </c>
      <c r="W7" s="84">
        <v>15947.815032631754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1763.9463626163424</v>
      </c>
      <c r="C8" s="13">
        <f t="shared" si="3"/>
        <v>602.35080880842645</v>
      </c>
      <c r="D8" s="13">
        <f t="shared" ref="D8:V8" si="4">SUM(D9:D11)</f>
        <v>1475.9066383430873</v>
      </c>
      <c r="E8" s="13">
        <f t="shared" si="4"/>
        <v>1595.8429503980988</v>
      </c>
      <c r="F8" s="13">
        <f t="shared" si="4"/>
        <v>1695.2580489680545</v>
      </c>
      <c r="G8" s="13">
        <f t="shared" si="4"/>
        <v>1864.0840708544292</v>
      </c>
      <c r="H8" s="13">
        <f t="shared" si="4"/>
        <v>2057.1203845044283</v>
      </c>
      <c r="I8" s="13">
        <f t="shared" si="4"/>
        <v>2323.3982627545674</v>
      </c>
      <c r="J8" s="13">
        <f t="shared" si="4"/>
        <v>2008.7435736008786</v>
      </c>
      <c r="K8" s="13">
        <f t="shared" si="4"/>
        <v>1724.1770209815736</v>
      </c>
      <c r="L8" s="13">
        <f t="shared" si="4"/>
        <v>2203.0660275415034</v>
      </c>
      <c r="M8" s="13">
        <f t="shared" si="4"/>
        <v>2385.6979398176804</v>
      </c>
      <c r="N8" s="13">
        <f t="shared" si="4"/>
        <v>2149.2055663824331</v>
      </c>
      <c r="O8" s="13">
        <f t="shared" si="4"/>
        <v>2263.4674934317932</v>
      </c>
      <c r="P8" s="13">
        <f t="shared" si="4"/>
        <v>2578.1993694192106</v>
      </c>
      <c r="Q8" s="13">
        <f t="shared" si="4"/>
        <v>3000.3831619512775</v>
      </c>
      <c r="R8" s="13">
        <f t="shared" si="4"/>
        <v>3410.6155488572567</v>
      </c>
      <c r="S8" s="13">
        <f t="shared" si="4"/>
        <v>3822.1454753114317</v>
      </c>
      <c r="T8" s="13">
        <f t="shared" si="4"/>
        <v>3844.6567503266983</v>
      </c>
      <c r="U8" s="13">
        <f t="shared" si="4"/>
        <v>3952.5580040839159</v>
      </c>
      <c r="V8" s="13">
        <f t="shared" si="4"/>
        <v>2594.6730015297403</v>
      </c>
      <c r="W8" s="13">
        <f t="shared" ref="W8" si="5">SUM(W9:W11)</f>
        <v>2806.5990166725655</v>
      </c>
      <c r="DA8" s="193" t="s">
        <v>193</v>
      </c>
    </row>
    <row r="9" spans="1:105" ht="11.45" customHeight="1" x14ac:dyDescent="0.25">
      <c r="A9" s="92" t="s">
        <v>27</v>
      </c>
      <c r="B9" s="102">
        <v>21.988068559504114</v>
      </c>
      <c r="C9" s="102">
        <v>39.654742458322033</v>
      </c>
      <c r="D9" s="102">
        <v>34.533689384339354</v>
      </c>
      <c r="E9" s="102">
        <v>40.803166030892051</v>
      </c>
      <c r="F9" s="102">
        <v>37.472053883709911</v>
      </c>
      <c r="G9" s="102">
        <v>34.226147773221598</v>
      </c>
      <c r="H9" s="102">
        <v>33.125198384766591</v>
      </c>
      <c r="I9" s="102">
        <v>36.100610892121836</v>
      </c>
      <c r="J9" s="102">
        <v>31.179890009693256</v>
      </c>
      <c r="K9" s="102">
        <v>29.015893056441772</v>
      </c>
      <c r="L9" s="102">
        <v>30.129867750724802</v>
      </c>
      <c r="M9" s="102">
        <v>29.727230519134068</v>
      </c>
      <c r="N9" s="102">
        <v>24.532157359796329</v>
      </c>
      <c r="O9" s="102">
        <v>23.304172445676187</v>
      </c>
      <c r="P9" s="102">
        <v>21.973514427401948</v>
      </c>
      <c r="Q9" s="102">
        <v>21.324450073682751</v>
      </c>
      <c r="R9" s="102">
        <v>19.493248608792612</v>
      </c>
      <c r="S9" s="102">
        <v>19.436262237575939</v>
      </c>
      <c r="T9" s="102">
        <v>20.27094432656061</v>
      </c>
      <c r="U9" s="102">
        <v>24.061757101036733</v>
      </c>
      <c r="V9" s="102">
        <v>22.330149474192737</v>
      </c>
      <c r="W9" s="102">
        <v>30.965723797405484</v>
      </c>
      <c r="DA9" s="175" t="s">
        <v>194</v>
      </c>
    </row>
    <row r="10" spans="1:105" ht="11.45" customHeight="1" x14ac:dyDescent="0.25">
      <c r="A10" s="92" t="s">
        <v>173</v>
      </c>
      <c r="B10" s="102">
        <v>86.008378305703232</v>
      </c>
      <c r="C10" s="102">
        <v>40.551260672187809</v>
      </c>
      <c r="D10" s="102">
        <v>163.45760881516699</v>
      </c>
      <c r="E10" s="102">
        <v>189.15269303343797</v>
      </c>
      <c r="F10" s="102">
        <v>208.03833367318521</v>
      </c>
      <c r="G10" s="102">
        <v>218.49667590563959</v>
      </c>
      <c r="H10" s="102">
        <v>197.96548878818507</v>
      </c>
      <c r="I10" s="102">
        <v>210.339375386679</v>
      </c>
      <c r="J10" s="102">
        <v>187.71784404878656</v>
      </c>
      <c r="K10" s="102">
        <v>176.56876496620902</v>
      </c>
      <c r="L10" s="102">
        <v>166.33066739435711</v>
      </c>
      <c r="M10" s="102">
        <v>160.82735294527112</v>
      </c>
      <c r="N10" s="102">
        <v>164.12582487862534</v>
      </c>
      <c r="O10" s="102">
        <v>160.96905479334657</v>
      </c>
      <c r="P10" s="102">
        <v>167.17363238969534</v>
      </c>
      <c r="Q10" s="102">
        <v>182.11347984264586</v>
      </c>
      <c r="R10" s="102">
        <v>179.89580183262765</v>
      </c>
      <c r="S10" s="102">
        <v>181.14155797634626</v>
      </c>
      <c r="T10" s="102">
        <v>184.5818460184382</v>
      </c>
      <c r="U10" s="102">
        <v>192.54579655349346</v>
      </c>
      <c r="V10" s="102">
        <v>174.91332824678977</v>
      </c>
      <c r="W10" s="102">
        <v>203.72381363213046</v>
      </c>
      <c r="DA10" s="175" t="s">
        <v>195</v>
      </c>
    </row>
    <row r="11" spans="1:105" ht="11.45" customHeight="1" x14ac:dyDescent="0.25">
      <c r="A11" s="85" t="s">
        <v>174</v>
      </c>
      <c r="B11" s="86">
        <v>1655.949915751135</v>
      </c>
      <c r="C11" s="86">
        <v>522.14480567791657</v>
      </c>
      <c r="D11" s="86">
        <v>1277.9153401435808</v>
      </c>
      <c r="E11" s="86">
        <v>1365.8870913337687</v>
      </c>
      <c r="F11" s="86">
        <v>1449.7476614111592</v>
      </c>
      <c r="G11" s="86">
        <v>1611.361247175568</v>
      </c>
      <c r="H11" s="86">
        <v>1826.0296973314769</v>
      </c>
      <c r="I11" s="86">
        <v>2076.9582764757665</v>
      </c>
      <c r="J11" s="86">
        <v>1789.8458395423988</v>
      </c>
      <c r="K11" s="86">
        <v>1518.5923629589229</v>
      </c>
      <c r="L11" s="86">
        <v>2006.6054923964214</v>
      </c>
      <c r="M11" s="86">
        <v>2195.1433563532751</v>
      </c>
      <c r="N11" s="86">
        <v>1960.5475841440116</v>
      </c>
      <c r="O11" s="86">
        <v>2079.1942661927706</v>
      </c>
      <c r="P11" s="86">
        <v>2389.0522226021135</v>
      </c>
      <c r="Q11" s="86">
        <v>2796.9452320349487</v>
      </c>
      <c r="R11" s="86">
        <v>3211.2264984158364</v>
      </c>
      <c r="S11" s="86">
        <v>3621.5676550975095</v>
      </c>
      <c r="T11" s="86">
        <v>3639.8039599816993</v>
      </c>
      <c r="U11" s="86">
        <v>3735.9504504293859</v>
      </c>
      <c r="V11" s="86">
        <v>2397.4295238087579</v>
      </c>
      <c r="W11" s="86">
        <v>2571.9094792430296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630.64651252217982</v>
      </c>
      <c r="C13" s="54">
        <f t="shared" si="6"/>
        <v>566.05139441903259</v>
      </c>
      <c r="D13" s="54">
        <f t="shared" ref="D13:V13" si="7">SUM(D14,D18)</f>
        <v>580.35535667900069</v>
      </c>
      <c r="E13" s="54">
        <f t="shared" si="7"/>
        <v>677.80965913621856</v>
      </c>
      <c r="F13" s="54">
        <f t="shared" si="7"/>
        <v>713.62739533032152</v>
      </c>
      <c r="G13" s="54">
        <f t="shared" si="7"/>
        <v>758.81059860570804</v>
      </c>
      <c r="H13" s="54">
        <f t="shared" si="7"/>
        <v>796.60749634834531</v>
      </c>
      <c r="I13" s="54">
        <f t="shared" si="7"/>
        <v>882.98523936703737</v>
      </c>
      <c r="J13" s="54">
        <f t="shared" si="7"/>
        <v>833.53221488242264</v>
      </c>
      <c r="K13" s="54">
        <f t="shared" si="7"/>
        <v>784.55329998085381</v>
      </c>
      <c r="L13" s="54">
        <f t="shared" si="7"/>
        <v>818.26748115926785</v>
      </c>
      <c r="M13" s="54">
        <f t="shared" si="7"/>
        <v>819.41093879671996</v>
      </c>
      <c r="N13" s="54">
        <f t="shared" si="7"/>
        <v>794.52230981303171</v>
      </c>
      <c r="O13" s="54">
        <f t="shared" si="7"/>
        <v>764.46968336975544</v>
      </c>
      <c r="P13" s="54">
        <f t="shared" si="7"/>
        <v>764.59927972824505</v>
      </c>
      <c r="Q13" s="54">
        <f t="shared" si="7"/>
        <v>799.5218512521659</v>
      </c>
      <c r="R13" s="54">
        <f t="shared" si="7"/>
        <v>839.22718256065741</v>
      </c>
      <c r="S13" s="54">
        <f t="shared" si="7"/>
        <v>883.61156521795647</v>
      </c>
      <c r="T13" s="54">
        <f t="shared" si="7"/>
        <v>945.71212175141147</v>
      </c>
      <c r="U13" s="54">
        <f t="shared" si="7"/>
        <v>993.34010347636774</v>
      </c>
      <c r="V13" s="54">
        <f t="shared" si="7"/>
        <v>372.86697121568523</v>
      </c>
      <c r="W13" s="54">
        <f t="shared" ref="W13" si="8">SUM(W14,W18)</f>
        <v>498.95006648827916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606.1730913333256</v>
      </c>
      <c r="C14" s="11">
        <f t="shared" si="9"/>
        <v>554.88534918397966</v>
      </c>
      <c r="D14" s="11">
        <f t="shared" ref="D14:V14" si="10">SUM(D15:D17)</f>
        <v>555.71185932845208</v>
      </c>
      <c r="E14" s="11">
        <f t="shared" si="10"/>
        <v>649.43434399551461</v>
      </c>
      <c r="F14" s="11">
        <f t="shared" si="10"/>
        <v>682.0936120085147</v>
      </c>
      <c r="G14" s="11">
        <f t="shared" si="10"/>
        <v>723.44414157377025</v>
      </c>
      <c r="H14" s="11">
        <f t="shared" si="10"/>
        <v>756.75208541126563</v>
      </c>
      <c r="I14" s="11">
        <f t="shared" si="10"/>
        <v>837.69116501092844</v>
      </c>
      <c r="J14" s="11">
        <f t="shared" si="10"/>
        <v>793.15690640912544</v>
      </c>
      <c r="K14" s="11">
        <f t="shared" si="10"/>
        <v>751.78900853887262</v>
      </c>
      <c r="L14" s="11">
        <f t="shared" si="10"/>
        <v>780.3845860291126</v>
      </c>
      <c r="M14" s="11">
        <f t="shared" si="10"/>
        <v>781.04840998703673</v>
      </c>
      <c r="N14" s="11">
        <f t="shared" si="10"/>
        <v>761.9274291654915</v>
      </c>
      <c r="O14" s="11">
        <f t="shared" si="10"/>
        <v>730.72406005692392</v>
      </c>
      <c r="P14" s="11">
        <f t="shared" si="10"/>
        <v>731.47623814815688</v>
      </c>
      <c r="Q14" s="11">
        <f t="shared" si="10"/>
        <v>761.28726722694705</v>
      </c>
      <c r="R14" s="11">
        <f t="shared" si="10"/>
        <v>800.42758125087516</v>
      </c>
      <c r="S14" s="11">
        <f t="shared" si="10"/>
        <v>839.39055917045266</v>
      </c>
      <c r="T14" s="11">
        <f t="shared" si="10"/>
        <v>901.58320535075109</v>
      </c>
      <c r="U14" s="11">
        <f t="shared" si="10"/>
        <v>949.45141250426127</v>
      </c>
      <c r="V14" s="11">
        <f t="shared" si="10"/>
        <v>332.45445383104493</v>
      </c>
      <c r="W14" s="11">
        <f t="shared" ref="W14" si="11">SUM(W15:W17)</f>
        <v>448.20422274448174</v>
      </c>
      <c r="DA14" s="189" t="s">
        <v>198</v>
      </c>
    </row>
    <row r="15" spans="1:105" ht="11.45" customHeight="1" x14ac:dyDescent="0.25">
      <c r="A15" s="83" t="s">
        <v>27</v>
      </c>
      <c r="B15" s="84">
        <v>172.95129653731402</v>
      </c>
      <c r="C15" s="84">
        <v>159.35051538889016</v>
      </c>
      <c r="D15" s="84">
        <v>159.78171833544823</v>
      </c>
      <c r="E15" s="84">
        <v>181.80758995206605</v>
      </c>
      <c r="F15" s="84">
        <v>176.53900547839996</v>
      </c>
      <c r="G15" s="84">
        <v>173.63251242725701</v>
      </c>
      <c r="H15" s="84">
        <v>183.28535982461716</v>
      </c>
      <c r="I15" s="84">
        <v>204.40745952875926</v>
      </c>
      <c r="J15" s="84">
        <v>191.96392803935814</v>
      </c>
      <c r="K15" s="84">
        <v>193.81966887357905</v>
      </c>
      <c r="L15" s="84">
        <v>194.32714394894663</v>
      </c>
      <c r="M15" s="84">
        <v>192.90338264763557</v>
      </c>
      <c r="N15" s="84">
        <v>177.89343003068171</v>
      </c>
      <c r="O15" s="84">
        <v>161.5842784478742</v>
      </c>
      <c r="P15" s="84">
        <v>148.75742953373458</v>
      </c>
      <c r="Q15" s="84">
        <v>152.68471575081361</v>
      </c>
      <c r="R15" s="84">
        <v>156.31804139798749</v>
      </c>
      <c r="S15" s="84">
        <v>161.7323950828744</v>
      </c>
      <c r="T15" s="84">
        <v>165.79322638360065</v>
      </c>
      <c r="U15" s="84">
        <v>171.11241738119313</v>
      </c>
      <c r="V15" s="84">
        <v>86.056452673075384</v>
      </c>
      <c r="W15" s="84">
        <v>127.59391718177645</v>
      </c>
      <c r="DA15" s="171" t="s">
        <v>199</v>
      </c>
    </row>
    <row r="16" spans="1:105" ht="11.45" customHeight="1" x14ac:dyDescent="0.25">
      <c r="A16" s="83" t="s">
        <v>173</v>
      </c>
      <c r="B16" s="84">
        <v>241.83794323920847</v>
      </c>
      <c r="C16" s="84">
        <v>220.79941260213258</v>
      </c>
      <c r="D16" s="84">
        <v>221.01999864180564</v>
      </c>
      <c r="E16" s="84">
        <v>270.99413626356096</v>
      </c>
      <c r="F16" s="84">
        <v>284.12228149373755</v>
      </c>
      <c r="G16" s="84">
        <v>308.84065965276955</v>
      </c>
      <c r="H16" s="84">
        <v>323.80714703516225</v>
      </c>
      <c r="I16" s="84">
        <v>360.42019420009473</v>
      </c>
      <c r="J16" s="84">
        <v>337.66401299947029</v>
      </c>
      <c r="K16" s="84">
        <v>314.07827948288531</v>
      </c>
      <c r="L16" s="84">
        <v>325.04826258159596</v>
      </c>
      <c r="M16" s="84">
        <v>328.76581960576806</v>
      </c>
      <c r="N16" s="84">
        <v>318.45910226624898</v>
      </c>
      <c r="O16" s="84">
        <v>305.6699542566007</v>
      </c>
      <c r="P16" s="84">
        <v>314.60168408940586</v>
      </c>
      <c r="Q16" s="84">
        <v>337.40170434655079</v>
      </c>
      <c r="R16" s="84">
        <v>362.05950193087648</v>
      </c>
      <c r="S16" s="84">
        <v>376.84544823339093</v>
      </c>
      <c r="T16" s="84">
        <v>394.00477573214607</v>
      </c>
      <c r="U16" s="84">
        <v>405.28295470947364</v>
      </c>
      <c r="V16" s="84">
        <v>130.19293907026119</v>
      </c>
      <c r="W16" s="84">
        <v>176.75384634124018</v>
      </c>
      <c r="DA16" s="171" t="s">
        <v>200</v>
      </c>
    </row>
    <row r="17" spans="1:105" ht="11.45" customHeight="1" x14ac:dyDescent="0.25">
      <c r="A17" s="83" t="s">
        <v>174</v>
      </c>
      <c r="B17" s="84">
        <v>191.38385155680305</v>
      </c>
      <c r="C17" s="84">
        <v>174.73542119295692</v>
      </c>
      <c r="D17" s="84">
        <v>174.9101423511982</v>
      </c>
      <c r="E17" s="84">
        <v>196.63261777988757</v>
      </c>
      <c r="F17" s="84">
        <v>221.43232503637714</v>
      </c>
      <c r="G17" s="84">
        <v>240.97096949374372</v>
      </c>
      <c r="H17" s="84">
        <v>249.65957855148616</v>
      </c>
      <c r="I17" s="84">
        <v>272.86351128207446</v>
      </c>
      <c r="J17" s="84">
        <v>263.52896537029699</v>
      </c>
      <c r="K17" s="84">
        <v>243.89106018240827</v>
      </c>
      <c r="L17" s="84">
        <v>261.00917949856995</v>
      </c>
      <c r="M17" s="84">
        <v>259.37920773363305</v>
      </c>
      <c r="N17" s="84">
        <v>265.57489686856087</v>
      </c>
      <c r="O17" s="84">
        <v>263.46982735244899</v>
      </c>
      <c r="P17" s="84">
        <v>268.11712452501649</v>
      </c>
      <c r="Q17" s="84">
        <v>271.20084712958271</v>
      </c>
      <c r="R17" s="84">
        <v>282.0500379220112</v>
      </c>
      <c r="S17" s="84">
        <v>300.81271585418739</v>
      </c>
      <c r="T17" s="84">
        <v>341.78520323500442</v>
      </c>
      <c r="U17" s="84">
        <v>373.05604041359453</v>
      </c>
      <c r="V17" s="84">
        <v>116.20506208770836</v>
      </c>
      <c r="W17" s="84">
        <v>143.85645922146509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24.473421188854275</v>
      </c>
      <c r="C18" s="13">
        <f t="shared" si="12"/>
        <v>11.166045235052881</v>
      </c>
      <c r="D18" s="13">
        <f t="shared" ref="D18:V18" si="13">SUM(D19:D21)</f>
        <v>24.643497350548571</v>
      </c>
      <c r="E18" s="13">
        <f t="shared" si="13"/>
        <v>28.375315140703901</v>
      </c>
      <c r="F18" s="13">
        <f t="shared" si="13"/>
        <v>31.533783321806833</v>
      </c>
      <c r="G18" s="13">
        <f t="shared" si="13"/>
        <v>35.366457031937827</v>
      </c>
      <c r="H18" s="13">
        <f t="shared" si="13"/>
        <v>39.855410937079732</v>
      </c>
      <c r="I18" s="13">
        <f t="shared" si="13"/>
        <v>45.294074356108915</v>
      </c>
      <c r="J18" s="13">
        <f t="shared" si="13"/>
        <v>40.375308473297231</v>
      </c>
      <c r="K18" s="13">
        <f t="shared" si="13"/>
        <v>32.764291441981136</v>
      </c>
      <c r="L18" s="13">
        <f t="shared" si="13"/>
        <v>37.882895130155219</v>
      </c>
      <c r="M18" s="13">
        <f t="shared" si="13"/>
        <v>38.362528809683226</v>
      </c>
      <c r="N18" s="13">
        <f t="shared" si="13"/>
        <v>32.594880647540165</v>
      </c>
      <c r="O18" s="13">
        <f t="shared" si="13"/>
        <v>33.74562331283154</v>
      </c>
      <c r="P18" s="13">
        <f t="shared" si="13"/>
        <v>33.123041580088184</v>
      </c>
      <c r="Q18" s="13">
        <f t="shared" si="13"/>
        <v>38.234584025218837</v>
      </c>
      <c r="R18" s="13">
        <f t="shared" si="13"/>
        <v>38.799601309782204</v>
      </c>
      <c r="S18" s="13">
        <f t="shared" si="13"/>
        <v>44.221006047503764</v>
      </c>
      <c r="T18" s="13">
        <f t="shared" si="13"/>
        <v>44.128916400660373</v>
      </c>
      <c r="U18" s="13">
        <f t="shared" si="13"/>
        <v>43.888690972106481</v>
      </c>
      <c r="V18" s="13">
        <f t="shared" si="13"/>
        <v>40.412517384640289</v>
      </c>
      <c r="W18" s="13">
        <f t="shared" ref="W18" si="14">SUM(W19:W21)</f>
        <v>50.745843743797437</v>
      </c>
      <c r="DA18" s="193" t="s">
        <v>202</v>
      </c>
    </row>
    <row r="19" spans="1:105" ht="11.45" customHeight="1" x14ac:dyDescent="0.25">
      <c r="A19" s="92" t="s">
        <v>27</v>
      </c>
      <c r="B19" s="102">
        <v>2.1453779354857123</v>
      </c>
      <c r="C19" s="102">
        <v>3.898844311103169</v>
      </c>
      <c r="D19" s="102">
        <v>3.3018066269196309</v>
      </c>
      <c r="E19" s="102">
        <v>3.667655102757239</v>
      </c>
      <c r="F19" s="102">
        <v>3.5769169583542442</v>
      </c>
      <c r="G19" s="102">
        <v>3.3384141356633381</v>
      </c>
      <c r="H19" s="102">
        <v>3.3590280059943352</v>
      </c>
      <c r="I19" s="102">
        <v>3.6743894882001458</v>
      </c>
      <c r="J19" s="102">
        <v>3.2985912514283156</v>
      </c>
      <c r="K19" s="102">
        <v>3.0433662433007389</v>
      </c>
      <c r="L19" s="102">
        <v>2.954681665329931</v>
      </c>
      <c r="M19" s="102">
        <v>2.625572858641493</v>
      </c>
      <c r="N19" s="102">
        <v>2.1111585903681154</v>
      </c>
      <c r="O19" s="102">
        <v>1.9422486417732641</v>
      </c>
      <c r="P19" s="102">
        <v>1.6506424668604514</v>
      </c>
      <c r="Q19" s="102">
        <v>1.5220983445682057</v>
      </c>
      <c r="R19" s="102">
        <v>1.2145867195415034</v>
      </c>
      <c r="S19" s="102">
        <v>1.3208926348210841</v>
      </c>
      <c r="T19" s="102">
        <v>1.3624148636458115</v>
      </c>
      <c r="U19" s="102">
        <v>1.4690903120876222</v>
      </c>
      <c r="V19" s="102">
        <v>1.4597788407566987</v>
      </c>
      <c r="W19" s="102">
        <v>2.0199066218217219</v>
      </c>
      <c r="DA19" s="175" t="s">
        <v>203</v>
      </c>
    </row>
    <row r="20" spans="1:105" ht="11.45" customHeight="1" x14ac:dyDescent="0.25">
      <c r="A20" s="92" t="s">
        <v>173</v>
      </c>
      <c r="B20" s="102">
        <v>3.7758222290233983</v>
      </c>
      <c r="C20" s="102">
        <v>1.68305049501729</v>
      </c>
      <c r="D20" s="102">
        <v>6.8705691852369943</v>
      </c>
      <c r="E20" s="102">
        <v>7.6876754117841672</v>
      </c>
      <c r="F20" s="102">
        <v>9.3462744287004593</v>
      </c>
      <c r="G20" s="102">
        <v>10.03282043973404</v>
      </c>
      <c r="H20" s="102">
        <v>10.711958256120829</v>
      </c>
      <c r="I20" s="102">
        <v>11.795263121166611</v>
      </c>
      <c r="J20" s="102">
        <v>10.845944431182687</v>
      </c>
      <c r="K20" s="102">
        <v>9.9869180735971028</v>
      </c>
      <c r="L20" s="102">
        <v>9.2796535021104578</v>
      </c>
      <c r="M20" s="102">
        <v>8.4667093943923444</v>
      </c>
      <c r="N20" s="102">
        <v>7.9320950203555878</v>
      </c>
      <c r="O20" s="102">
        <v>7.8391809942101194</v>
      </c>
      <c r="P20" s="102">
        <v>7.0608231732709337</v>
      </c>
      <c r="Q20" s="102">
        <v>7.74080224525426</v>
      </c>
      <c r="R20" s="102">
        <v>6.9086154220879807</v>
      </c>
      <c r="S20" s="102">
        <v>7.5629113764576745</v>
      </c>
      <c r="T20" s="102">
        <v>7.6232859474870223</v>
      </c>
      <c r="U20" s="102">
        <v>7.5939725579444479</v>
      </c>
      <c r="V20" s="102">
        <v>8.2778745007836374</v>
      </c>
      <c r="W20" s="102">
        <v>10.42897507085392</v>
      </c>
      <c r="DA20" s="175" t="s">
        <v>204</v>
      </c>
    </row>
    <row r="21" spans="1:105" ht="11.45" customHeight="1" x14ac:dyDescent="0.25">
      <c r="A21" s="85" t="s">
        <v>174</v>
      </c>
      <c r="B21" s="86">
        <v>18.552221024345165</v>
      </c>
      <c r="C21" s="86">
        <v>5.5841504289324213</v>
      </c>
      <c r="D21" s="86">
        <v>14.471121538391944</v>
      </c>
      <c r="E21" s="86">
        <v>17.019984626162493</v>
      </c>
      <c r="F21" s="86">
        <v>18.610591934752129</v>
      </c>
      <c r="G21" s="86">
        <v>21.99522245654045</v>
      </c>
      <c r="H21" s="86">
        <v>25.784424674964569</v>
      </c>
      <c r="I21" s="86">
        <v>29.824421746742157</v>
      </c>
      <c r="J21" s="86">
        <v>26.230772790686228</v>
      </c>
      <c r="K21" s="86">
        <v>19.734007125083295</v>
      </c>
      <c r="L21" s="86">
        <v>25.648559962714828</v>
      </c>
      <c r="M21" s="86">
        <v>27.27024655664939</v>
      </c>
      <c r="N21" s="86">
        <v>22.551627036816459</v>
      </c>
      <c r="O21" s="86">
        <v>23.964193676848161</v>
      </c>
      <c r="P21" s="86">
        <v>24.411575939956798</v>
      </c>
      <c r="Q21" s="86">
        <v>28.971683435396372</v>
      </c>
      <c r="R21" s="86">
        <v>30.676399168152717</v>
      </c>
      <c r="S21" s="86">
        <v>35.337202036225001</v>
      </c>
      <c r="T21" s="86">
        <v>35.143215589527543</v>
      </c>
      <c r="U21" s="86">
        <v>34.825628102074411</v>
      </c>
      <c r="V21" s="86">
        <v>30.674864043099952</v>
      </c>
      <c r="W21" s="86">
        <v>38.296962051121795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560191</v>
      </c>
      <c r="C23" s="54">
        <f t="shared" si="15"/>
        <v>513669</v>
      </c>
      <c r="D23" s="54">
        <f t="shared" ref="D23:V23" si="16">SUM(D24,D28)</f>
        <v>520685</v>
      </c>
      <c r="E23" s="54">
        <f t="shared" si="16"/>
        <v>607194</v>
      </c>
      <c r="F23" s="54">
        <f t="shared" si="16"/>
        <v>619167</v>
      </c>
      <c r="G23" s="54">
        <f t="shared" si="16"/>
        <v>649852</v>
      </c>
      <c r="H23" s="54">
        <f t="shared" si="16"/>
        <v>684110</v>
      </c>
      <c r="I23" s="54">
        <f t="shared" si="16"/>
        <v>758451</v>
      </c>
      <c r="J23" s="54">
        <f t="shared" si="16"/>
        <v>708075</v>
      </c>
      <c r="K23" s="54">
        <f t="shared" si="16"/>
        <v>674647</v>
      </c>
      <c r="L23" s="54">
        <f t="shared" si="16"/>
        <v>687106</v>
      </c>
      <c r="M23" s="54">
        <f t="shared" si="16"/>
        <v>690474</v>
      </c>
      <c r="N23" s="54">
        <f t="shared" si="16"/>
        <v>666573</v>
      </c>
      <c r="O23" s="54">
        <f t="shared" si="16"/>
        <v>628103</v>
      </c>
      <c r="P23" s="54">
        <f t="shared" si="16"/>
        <v>610004</v>
      </c>
      <c r="Q23" s="54">
        <f t="shared" si="16"/>
        <v>637772</v>
      </c>
      <c r="R23" s="54">
        <f t="shared" si="16"/>
        <v>656845</v>
      </c>
      <c r="S23" s="54">
        <f t="shared" si="16"/>
        <v>677439</v>
      </c>
      <c r="T23" s="54">
        <f t="shared" si="16"/>
        <v>703187</v>
      </c>
      <c r="U23" s="54">
        <f t="shared" si="16"/>
        <v>723491</v>
      </c>
      <c r="V23" s="54">
        <f t="shared" si="16"/>
        <v>290311</v>
      </c>
      <c r="W23" s="54">
        <f t="shared" ref="W23" si="17">SUM(W24,W28)</f>
        <v>393310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548135</v>
      </c>
      <c r="C24" s="11">
        <f t="shared" si="18"/>
        <v>502753</v>
      </c>
      <c r="D24" s="11">
        <f t="shared" ref="D24:V24" si="19">SUM(D25:D27)</f>
        <v>503689</v>
      </c>
      <c r="E24" s="11">
        <f t="shared" si="19"/>
        <v>587998</v>
      </c>
      <c r="F24" s="11">
        <f t="shared" si="19"/>
        <v>598104</v>
      </c>
      <c r="G24" s="11">
        <f t="shared" si="19"/>
        <v>627605</v>
      </c>
      <c r="H24" s="11">
        <f t="shared" si="19"/>
        <v>660603</v>
      </c>
      <c r="I24" s="11">
        <f t="shared" si="19"/>
        <v>732651</v>
      </c>
      <c r="J24" s="11">
        <f t="shared" si="19"/>
        <v>685121</v>
      </c>
      <c r="K24" s="11">
        <f t="shared" si="19"/>
        <v>654666</v>
      </c>
      <c r="L24" s="11">
        <f t="shared" si="19"/>
        <v>667171</v>
      </c>
      <c r="M24" s="11">
        <f t="shared" si="19"/>
        <v>671466</v>
      </c>
      <c r="N24" s="11">
        <f t="shared" si="19"/>
        <v>649556</v>
      </c>
      <c r="O24" s="11">
        <f t="shared" si="19"/>
        <v>611134</v>
      </c>
      <c r="P24" s="11">
        <f t="shared" si="19"/>
        <v>594482</v>
      </c>
      <c r="Q24" s="11">
        <f t="shared" si="19"/>
        <v>620937</v>
      </c>
      <c r="R24" s="11">
        <f t="shared" si="19"/>
        <v>641380</v>
      </c>
      <c r="S24" s="11">
        <f t="shared" si="19"/>
        <v>660372</v>
      </c>
      <c r="T24" s="11">
        <f t="shared" si="19"/>
        <v>686166</v>
      </c>
      <c r="U24" s="11">
        <f t="shared" si="19"/>
        <v>707149</v>
      </c>
      <c r="V24" s="11">
        <f t="shared" si="19"/>
        <v>273803</v>
      </c>
      <c r="W24" s="11">
        <f t="shared" ref="W24" si="20">SUM(W25:W27)</f>
        <v>372666</v>
      </c>
      <c r="DA24" s="189" t="s">
        <v>207</v>
      </c>
    </row>
    <row r="25" spans="1:105" ht="11.45" customHeight="1" x14ac:dyDescent="0.25">
      <c r="A25" s="83" t="s">
        <v>27</v>
      </c>
      <c r="B25" s="84">
        <v>275549</v>
      </c>
      <c r="C25" s="84">
        <v>253880</v>
      </c>
      <c r="D25" s="84">
        <v>254567</v>
      </c>
      <c r="E25" s="84">
        <v>289659</v>
      </c>
      <c r="F25" s="84">
        <v>281265</v>
      </c>
      <c r="G25" s="84">
        <v>282749</v>
      </c>
      <c r="H25" s="84">
        <v>300044</v>
      </c>
      <c r="I25" s="84">
        <v>334049</v>
      </c>
      <c r="J25" s="84">
        <v>309372</v>
      </c>
      <c r="K25" s="84">
        <v>302813</v>
      </c>
      <c r="L25" s="84">
        <v>299942</v>
      </c>
      <c r="M25" s="84">
        <v>300685</v>
      </c>
      <c r="N25" s="84">
        <v>280709</v>
      </c>
      <c r="O25" s="84">
        <v>254032</v>
      </c>
      <c r="P25" s="84">
        <v>233230</v>
      </c>
      <c r="Q25" s="84">
        <v>242116</v>
      </c>
      <c r="R25" s="84">
        <v>241326</v>
      </c>
      <c r="S25" s="84">
        <v>245222</v>
      </c>
      <c r="T25" s="84">
        <v>247888</v>
      </c>
      <c r="U25" s="84">
        <v>252340</v>
      </c>
      <c r="V25" s="84">
        <v>127210</v>
      </c>
      <c r="W25" s="84">
        <v>178816</v>
      </c>
      <c r="DA25" s="171" t="s">
        <v>208</v>
      </c>
    </row>
    <row r="26" spans="1:105" ht="11.45" customHeight="1" x14ac:dyDescent="0.25">
      <c r="A26" s="83" t="s">
        <v>173</v>
      </c>
      <c r="B26" s="84">
        <v>218913</v>
      </c>
      <c r="C26" s="84">
        <v>199869</v>
      </c>
      <c r="D26" s="84">
        <v>200069</v>
      </c>
      <c r="E26" s="84">
        <v>243194</v>
      </c>
      <c r="F26" s="84">
        <v>254739</v>
      </c>
      <c r="G26" s="84">
        <v>274198</v>
      </c>
      <c r="H26" s="84">
        <v>288392</v>
      </c>
      <c r="I26" s="84">
        <v>319067</v>
      </c>
      <c r="J26" s="84">
        <v>298515</v>
      </c>
      <c r="K26" s="84">
        <v>278126</v>
      </c>
      <c r="L26" s="84">
        <v>286310</v>
      </c>
      <c r="M26" s="84">
        <v>291926</v>
      </c>
      <c r="N26" s="84">
        <v>285076</v>
      </c>
      <c r="O26" s="84">
        <v>271590</v>
      </c>
      <c r="P26" s="84">
        <v>276456</v>
      </c>
      <c r="Q26" s="84">
        <v>295041</v>
      </c>
      <c r="R26" s="84">
        <v>314144</v>
      </c>
      <c r="S26" s="84">
        <v>324514</v>
      </c>
      <c r="T26" s="84">
        <v>336179</v>
      </c>
      <c r="U26" s="84">
        <v>346541</v>
      </c>
      <c r="V26" s="84">
        <v>111789</v>
      </c>
      <c r="W26" s="84">
        <v>149079</v>
      </c>
      <c r="DA26" s="171" t="s">
        <v>209</v>
      </c>
    </row>
    <row r="27" spans="1:105" ht="11.45" customHeight="1" x14ac:dyDescent="0.25">
      <c r="A27" s="83" t="s">
        <v>174</v>
      </c>
      <c r="B27" s="84">
        <v>53673</v>
      </c>
      <c r="C27" s="84">
        <v>49004</v>
      </c>
      <c r="D27" s="84">
        <v>49053</v>
      </c>
      <c r="E27" s="84">
        <v>55145</v>
      </c>
      <c r="F27" s="84">
        <v>62100</v>
      </c>
      <c r="G27" s="84">
        <v>70658</v>
      </c>
      <c r="H27" s="84">
        <v>72167</v>
      </c>
      <c r="I27" s="84">
        <v>79535</v>
      </c>
      <c r="J27" s="84">
        <v>77234</v>
      </c>
      <c r="K27" s="84">
        <v>73727</v>
      </c>
      <c r="L27" s="84">
        <v>80919</v>
      </c>
      <c r="M27" s="84">
        <v>78855</v>
      </c>
      <c r="N27" s="84">
        <v>83771</v>
      </c>
      <c r="O27" s="84">
        <v>85512</v>
      </c>
      <c r="P27" s="84">
        <v>84796</v>
      </c>
      <c r="Q27" s="84">
        <v>83780</v>
      </c>
      <c r="R27" s="84">
        <v>85910</v>
      </c>
      <c r="S27" s="84">
        <v>90636</v>
      </c>
      <c r="T27" s="84">
        <v>102099</v>
      </c>
      <c r="U27" s="84">
        <v>108268</v>
      </c>
      <c r="V27" s="84">
        <v>34804</v>
      </c>
      <c r="W27" s="84">
        <v>44771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12056</v>
      </c>
      <c r="C28" s="13">
        <f t="shared" si="21"/>
        <v>10916</v>
      </c>
      <c r="D28" s="13">
        <f t="shared" ref="D28:V28" si="22">SUM(D29:D31)</f>
        <v>16996</v>
      </c>
      <c r="E28" s="13">
        <f t="shared" si="22"/>
        <v>19196</v>
      </c>
      <c r="F28" s="13">
        <f t="shared" si="22"/>
        <v>21063</v>
      </c>
      <c r="G28" s="13">
        <f t="shared" si="22"/>
        <v>22247</v>
      </c>
      <c r="H28" s="13">
        <f t="shared" si="22"/>
        <v>23507</v>
      </c>
      <c r="I28" s="13">
        <f t="shared" si="22"/>
        <v>25800</v>
      </c>
      <c r="J28" s="13">
        <f t="shared" si="22"/>
        <v>22954</v>
      </c>
      <c r="K28" s="13">
        <f t="shared" si="22"/>
        <v>19981</v>
      </c>
      <c r="L28" s="13">
        <f t="shared" si="22"/>
        <v>19935</v>
      </c>
      <c r="M28" s="13">
        <f t="shared" si="22"/>
        <v>19008</v>
      </c>
      <c r="N28" s="13">
        <f t="shared" si="22"/>
        <v>17017</v>
      </c>
      <c r="O28" s="13">
        <f t="shared" si="22"/>
        <v>16969</v>
      </c>
      <c r="P28" s="13">
        <f t="shared" si="22"/>
        <v>15522</v>
      </c>
      <c r="Q28" s="13">
        <f t="shared" si="22"/>
        <v>16835</v>
      </c>
      <c r="R28" s="13">
        <f t="shared" si="22"/>
        <v>15465</v>
      </c>
      <c r="S28" s="13">
        <f t="shared" si="22"/>
        <v>17067</v>
      </c>
      <c r="T28" s="13">
        <f t="shared" si="22"/>
        <v>17021</v>
      </c>
      <c r="U28" s="13">
        <f t="shared" si="22"/>
        <v>16342</v>
      </c>
      <c r="V28" s="13">
        <f t="shared" si="22"/>
        <v>16508</v>
      </c>
      <c r="W28" s="13">
        <f t="shared" ref="W28" si="23">SUM(W29:W31)</f>
        <v>20644</v>
      </c>
      <c r="DA28" s="193" t="s">
        <v>211</v>
      </c>
    </row>
    <row r="29" spans="1:105" ht="11.45" customHeight="1" x14ac:dyDescent="0.25">
      <c r="A29" s="92" t="s">
        <v>27</v>
      </c>
      <c r="B29" s="102">
        <v>4445</v>
      </c>
      <c r="C29" s="102">
        <v>8078</v>
      </c>
      <c r="D29" s="102">
        <v>6841</v>
      </c>
      <c r="E29" s="102">
        <v>7599</v>
      </c>
      <c r="F29" s="102">
        <v>7411</v>
      </c>
      <c r="G29" s="102">
        <v>7117</v>
      </c>
      <c r="H29" s="102">
        <v>7135</v>
      </c>
      <c r="I29" s="102">
        <v>7707</v>
      </c>
      <c r="J29" s="102">
        <v>6728</v>
      </c>
      <c r="K29" s="102">
        <v>5912</v>
      </c>
      <c r="L29" s="102">
        <v>5601</v>
      </c>
      <c r="M29" s="102">
        <v>4908</v>
      </c>
      <c r="N29" s="102">
        <v>3903</v>
      </c>
      <c r="O29" s="102">
        <v>3649</v>
      </c>
      <c r="P29" s="102">
        <v>3156</v>
      </c>
      <c r="Q29" s="102">
        <v>3015</v>
      </c>
      <c r="R29" s="102">
        <v>2377</v>
      </c>
      <c r="S29" s="102">
        <v>2581</v>
      </c>
      <c r="T29" s="102">
        <v>2671</v>
      </c>
      <c r="U29" s="102">
        <v>2483</v>
      </c>
      <c r="V29" s="102">
        <v>2474</v>
      </c>
      <c r="W29" s="102">
        <v>3221</v>
      </c>
      <c r="DA29" s="175" t="s">
        <v>212</v>
      </c>
    </row>
    <row r="30" spans="1:105" ht="11.45" customHeight="1" x14ac:dyDescent="0.25">
      <c r="A30" s="92" t="s">
        <v>173</v>
      </c>
      <c r="B30" s="102">
        <v>3797</v>
      </c>
      <c r="C30" s="102">
        <v>1690</v>
      </c>
      <c r="D30" s="102">
        <v>7180</v>
      </c>
      <c r="E30" s="102">
        <v>8098</v>
      </c>
      <c r="F30" s="102">
        <v>9826</v>
      </c>
      <c r="G30" s="102">
        <v>10459</v>
      </c>
      <c r="H30" s="102">
        <v>11109</v>
      </c>
      <c r="I30" s="102">
        <v>12142</v>
      </c>
      <c r="J30" s="102">
        <v>11117</v>
      </c>
      <c r="K30" s="102">
        <v>10253</v>
      </c>
      <c r="L30" s="102">
        <v>9430</v>
      </c>
      <c r="M30" s="102">
        <v>8637</v>
      </c>
      <c r="N30" s="102">
        <v>8180</v>
      </c>
      <c r="O30" s="102">
        <v>8219</v>
      </c>
      <c r="P30" s="102">
        <v>7479</v>
      </c>
      <c r="Q30" s="102">
        <v>8340</v>
      </c>
      <c r="R30" s="102">
        <v>7560</v>
      </c>
      <c r="S30" s="102">
        <v>8395</v>
      </c>
      <c r="T30" s="102">
        <v>8538</v>
      </c>
      <c r="U30" s="102">
        <v>8565</v>
      </c>
      <c r="V30" s="102">
        <v>9294</v>
      </c>
      <c r="W30" s="102">
        <v>11388</v>
      </c>
      <c r="DA30" s="175" t="s">
        <v>213</v>
      </c>
    </row>
    <row r="31" spans="1:105" ht="11.45" customHeight="1" x14ac:dyDescent="0.25">
      <c r="A31" s="85" t="s">
        <v>174</v>
      </c>
      <c r="B31" s="86">
        <v>3814</v>
      </c>
      <c r="C31" s="86">
        <v>1148</v>
      </c>
      <c r="D31" s="86">
        <v>2975</v>
      </c>
      <c r="E31" s="86">
        <v>3499</v>
      </c>
      <c r="F31" s="86">
        <v>3826</v>
      </c>
      <c r="G31" s="86">
        <v>4671</v>
      </c>
      <c r="H31" s="86">
        <v>5263</v>
      </c>
      <c r="I31" s="86">
        <v>5951</v>
      </c>
      <c r="J31" s="86">
        <v>5109</v>
      </c>
      <c r="K31" s="86">
        <v>3816</v>
      </c>
      <c r="L31" s="86">
        <v>4904</v>
      </c>
      <c r="M31" s="86">
        <v>5463</v>
      </c>
      <c r="N31" s="86">
        <v>4934</v>
      </c>
      <c r="O31" s="86">
        <v>5101</v>
      </c>
      <c r="P31" s="86">
        <v>4887</v>
      </c>
      <c r="Q31" s="86">
        <v>5480</v>
      </c>
      <c r="R31" s="86">
        <v>5528</v>
      </c>
      <c r="S31" s="86">
        <v>6091</v>
      </c>
      <c r="T31" s="86">
        <v>5812</v>
      </c>
      <c r="U31" s="86">
        <v>5294</v>
      </c>
      <c r="V31" s="86">
        <v>4740</v>
      </c>
      <c r="W31" s="86">
        <v>6035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45456208</v>
      </c>
      <c r="C34" s="11">
        <f t="shared" si="24"/>
        <v>42131116</v>
      </c>
      <c r="D34" s="11">
        <f t="shared" ref="D34:V34" si="25">SUM(D35:D37)</f>
        <v>42747581</v>
      </c>
      <c r="E34" s="11">
        <f t="shared" si="25"/>
        <v>48260141</v>
      </c>
      <c r="F34" s="11">
        <f t="shared" si="25"/>
        <v>52841777</v>
      </c>
      <c r="G34" s="11">
        <f t="shared" si="25"/>
        <v>56930658</v>
      </c>
      <c r="H34" s="11">
        <f t="shared" si="25"/>
        <v>61779519</v>
      </c>
      <c r="I34" s="11">
        <f t="shared" si="25"/>
        <v>69087547</v>
      </c>
      <c r="J34" s="11">
        <f t="shared" si="25"/>
        <v>66762208</v>
      </c>
      <c r="K34" s="11">
        <f t="shared" si="25"/>
        <v>65436752</v>
      </c>
      <c r="L34" s="11">
        <f t="shared" si="25"/>
        <v>69917134</v>
      </c>
      <c r="M34" s="11">
        <f t="shared" si="25"/>
        <v>74339012</v>
      </c>
      <c r="N34" s="11">
        <f t="shared" si="25"/>
        <v>73478692</v>
      </c>
      <c r="O34" s="11">
        <f t="shared" si="25"/>
        <v>72202989</v>
      </c>
      <c r="P34" s="11">
        <f t="shared" si="25"/>
        <v>73042430</v>
      </c>
      <c r="Q34" s="11">
        <f t="shared" si="25"/>
        <v>78663193</v>
      </c>
      <c r="R34" s="11">
        <f t="shared" si="25"/>
        <v>82315800</v>
      </c>
      <c r="S34" s="11">
        <f t="shared" si="25"/>
        <v>87631878</v>
      </c>
      <c r="T34" s="11">
        <f t="shared" si="25"/>
        <v>92901000</v>
      </c>
      <c r="U34" s="11">
        <f t="shared" si="25"/>
        <v>96787030</v>
      </c>
      <c r="V34" s="11">
        <f t="shared" si="25"/>
        <v>26568116</v>
      </c>
      <c r="W34" s="11">
        <f t="shared" ref="W34" si="26">SUM(W35:W37)</f>
        <v>40500407</v>
      </c>
      <c r="DA34" s="189" t="s">
        <v>215</v>
      </c>
    </row>
    <row r="35" spans="1:105" ht="11.45" customHeight="1" x14ac:dyDescent="0.25">
      <c r="A35" s="83" t="s">
        <v>27</v>
      </c>
      <c r="B35" s="84">
        <v>22411911</v>
      </c>
      <c r="C35" s="84">
        <v>20854648</v>
      </c>
      <c r="D35" s="84">
        <v>21169358</v>
      </c>
      <c r="E35" s="84">
        <v>23589242</v>
      </c>
      <c r="F35" s="84">
        <v>23970828</v>
      </c>
      <c r="G35" s="84">
        <v>24574037</v>
      </c>
      <c r="H35" s="84">
        <v>26193117</v>
      </c>
      <c r="I35" s="84">
        <v>29316934</v>
      </c>
      <c r="J35" s="84">
        <v>28153555</v>
      </c>
      <c r="K35" s="84">
        <v>28479921</v>
      </c>
      <c r="L35" s="84">
        <v>30026052</v>
      </c>
      <c r="M35" s="84">
        <v>31962547</v>
      </c>
      <c r="N35" s="84">
        <v>30301382</v>
      </c>
      <c r="O35" s="84">
        <v>28498730</v>
      </c>
      <c r="P35" s="84">
        <v>27173907</v>
      </c>
      <c r="Q35" s="84">
        <v>29450127</v>
      </c>
      <c r="R35" s="84">
        <v>29964972</v>
      </c>
      <c r="S35" s="84">
        <v>30869150</v>
      </c>
      <c r="T35" s="84">
        <v>31891190</v>
      </c>
      <c r="U35" s="84">
        <v>32313592</v>
      </c>
      <c r="V35" s="84">
        <v>12530900</v>
      </c>
      <c r="W35" s="84">
        <v>21056132</v>
      </c>
      <c r="DA35" s="171" t="s">
        <v>216</v>
      </c>
    </row>
    <row r="36" spans="1:105" ht="11.45" customHeight="1" x14ac:dyDescent="0.25">
      <c r="A36" s="83" t="s">
        <v>173</v>
      </c>
      <c r="B36" s="84">
        <v>16815810</v>
      </c>
      <c r="C36" s="84">
        <v>15561906</v>
      </c>
      <c r="D36" s="84">
        <v>15829915</v>
      </c>
      <c r="E36" s="84">
        <v>18738070</v>
      </c>
      <c r="F36" s="84">
        <v>21461356</v>
      </c>
      <c r="G36" s="84">
        <v>24180398</v>
      </c>
      <c r="H36" s="84">
        <v>26865352</v>
      </c>
      <c r="I36" s="84">
        <v>29976838</v>
      </c>
      <c r="J36" s="84">
        <v>29043028</v>
      </c>
      <c r="K36" s="84">
        <v>27724473</v>
      </c>
      <c r="L36" s="84">
        <v>29484771</v>
      </c>
      <c r="M36" s="84">
        <v>32186687</v>
      </c>
      <c r="N36" s="84">
        <v>32213286</v>
      </c>
      <c r="O36" s="84">
        <v>32324353</v>
      </c>
      <c r="P36" s="84">
        <v>34098385</v>
      </c>
      <c r="Q36" s="84">
        <v>37320205</v>
      </c>
      <c r="R36" s="84">
        <v>40087316</v>
      </c>
      <c r="S36" s="84">
        <v>43183198</v>
      </c>
      <c r="T36" s="84">
        <v>45659948</v>
      </c>
      <c r="U36" s="84">
        <v>47858319</v>
      </c>
      <c r="V36" s="84">
        <v>10715571</v>
      </c>
      <c r="W36" s="84">
        <v>15342656</v>
      </c>
      <c r="DA36" s="171" t="s">
        <v>217</v>
      </c>
    </row>
    <row r="37" spans="1:105" ht="11.45" customHeight="1" x14ac:dyDescent="0.25">
      <c r="A37" s="83" t="s">
        <v>174</v>
      </c>
      <c r="B37" s="84">
        <v>6228487</v>
      </c>
      <c r="C37" s="84">
        <v>5714562</v>
      </c>
      <c r="D37" s="84">
        <v>5748308</v>
      </c>
      <c r="E37" s="84">
        <v>5932829</v>
      </c>
      <c r="F37" s="84">
        <v>7409593</v>
      </c>
      <c r="G37" s="84">
        <v>8176223</v>
      </c>
      <c r="H37" s="84">
        <v>8721050</v>
      </c>
      <c r="I37" s="84">
        <v>9793775</v>
      </c>
      <c r="J37" s="84">
        <v>9565625</v>
      </c>
      <c r="K37" s="84">
        <v>9232358</v>
      </c>
      <c r="L37" s="84">
        <v>10406311</v>
      </c>
      <c r="M37" s="84">
        <v>10189778</v>
      </c>
      <c r="N37" s="84">
        <v>10964024</v>
      </c>
      <c r="O37" s="84">
        <v>11379906</v>
      </c>
      <c r="P37" s="84">
        <v>11770138</v>
      </c>
      <c r="Q37" s="84">
        <v>11892861</v>
      </c>
      <c r="R37" s="84">
        <v>12263512</v>
      </c>
      <c r="S37" s="84">
        <v>13579530</v>
      </c>
      <c r="T37" s="84">
        <v>15349862</v>
      </c>
      <c r="U37" s="84">
        <v>16615119</v>
      </c>
      <c r="V37" s="84">
        <v>3321645</v>
      </c>
      <c r="W37" s="84">
        <v>4101619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304414.7307337434</v>
      </c>
      <c r="C38" s="13">
        <f t="shared" si="27"/>
        <v>169622.10655338841</v>
      </c>
      <c r="D38" s="13">
        <f t="shared" ref="D38:V38" si="28">SUM(D39:D41)</f>
        <v>344320.07964586874</v>
      </c>
      <c r="E38" s="13">
        <f t="shared" si="28"/>
        <v>392174.78533566697</v>
      </c>
      <c r="F38" s="13">
        <f t="shared" si="28"/>
        <v>417305.01269946242</v>
      </c>
      <c r="G38" s="13">
        <f t="shared" si="28"/>
        <v>436668.68668154918</v>
      </c>
      <c r="H38" s="13">
        <f t="shared" si="28"/>
        <v>461871.70759949007</v>
      </c>
      <c r="I38" s="13">
        <f t="shared" si="28"/>
        <v>509981.47394533688</v>
      </c>
      <c r="J38" s="13">
        <f t="shared" si="28"/>
        <v>443476.07847966539</v>
      </c>
      <c r="K38" s="13">
        <f t="shared" si="28"/>
        <v>385253.07466433325</v>
      </c>
      <c r="L38" s="13">
        <f t="shared" si="28"/>
        <v>449456.5272387655</v>
      </c>
      <c r="M38" s="13">
        <f t="shared" si="28"/>
        <v>488081.96343259583</v>
      </c>
      <c r="N38" s="13">
        <f t="shared" si="28"/>
        <v>468194.98859461019</v>
      </c>
      <c r="O38" s="13">
        <f t="shared" si="28"/>
        <v>480547.22223605518</v>
      </c>
      <c r="P38" s="13">
        <f t="shared" si="28"/>
        <v>499886.20584516821</v>
      </c>
      <c r="Q38" s="13">
        <f t="shared" si="28"/>
        <v>552837.7584370072</v>
      </c>
      <c r="R38" s="13">
        <f t="shared" si="28"/>
        <v>595423.51971864828</v>
      </c>
      <c r="S38" s="13">
        <f t="shared" si="28"/>
        <v>640700.58213609422</v>
      </c>
      <c r="T38" s="13">
        <f t="shared" si="28"/>
        <v>625434.40327804885</v>
      </c>
      <c r="U38" s="13">
        <f t="shared" si="28"/>
        <v>602796.93906073086</v>
      </c>
      <c r="V38" s="13">
        <f t="shared" si="28"/>
        <v>436956.62996476016</v>
      </c>
      <c r="W38" s="13">
        <f t="shared" ref="W38" si="29">SUM(W39:W41)</f>
        <v>569890.91380302398</v>
      </c>
      <c r="DA38" s="193" t="s">
        <v>219</v>
      </c>
    </row>
    <row r="39" spans="1:105" ht="11.45" customHeight="1" x14ac:dyDescent="0.25">
      <c r="A39" s="92" t="s">
        <v>27</v>
      </c>
      <c r="B39" s="102">
        <v>44553.393891096886</v>
      </c>
      <c r="C39" s="102">
        <v>80350.54809904912</v>
      </c>
      <c r="D39" s="102">
        <v>69973.998011217845</v>
      </c>
      <c r="E39" s="102">
        <v>82677.545017585493</v>
      </c>
      <c r="F39" s="102">
        <v>75927.868428794187</v>
      </c>
      <c r="G39" s="102">
        <v>71357.648612976656</v>
      </c>
      <c r="H39" s="102">
        <v>68812.065636625804</v>
      </c>
      <c r="I39" s="102">
        <v>74052.627820773982</v>
      </c>
      <c r="J39" s="102">
        <v>62195.33525752557</v>
      </c>
      <c r="K39" s="102">
        <v>55124.149576568409</v>
      </c>
      <c r="L39" s="102">
        <v>55857.031966665672</v>
      </c>
      <c r="M39" s="102">
        <v>53474.689816032165</v>
      </c>
      <c r="N39" s="102">
        <v>43679.680465461017</v>
      </c>
      <c r="O39" s="102">
        <v>41863.153803447734</v>
      </c>
      <c r="P39" s="102">
        <v>40608.310995777334</v>
      </c>
      <c r="Q39" s="102">
        <v>39919.326629736701</v>
      </c>
      <c r="R39" s="102">
        <v>36276.174264978908</v>
      </c>
      <c r="S39" s="102">
        <v>36230.272237420941</v>
      </c>
      <c r="T39" s="102">
        <v>38162.782629226815</v>
      </c>
      <c r="U39" s="102">
        <v>39239.643785096872</v>
      </c>
      <c r="V39" s="102">
        <v>36034.99796170296</v>
      </c>
      <c r="W39" s="102">
        <v>47457.832906916039</v>
      </c>
      <c r="DA39" s="175" t="s">
        <v>220</v>
      </c>
    </row>
    <row r="40" spans="1:105" ht="11.45" customHeight="1" x14ac:dyDescent="0.25">
      <c r="A40" s="92" t="s">
        <v>173</v>
      </c>
      <c r="B40" s="102">
        <v>61040.858511760634</v>
      </c>
      <c r="C40" s="102">
        <v>27464.595517182464</v>
      </c>
      <c r="D40" s="102">
        <v>117004.52352891497</v>
      </c>
      <c r="E40" s="102">
        <v>139022.457680511</v>
      </c>
      <c r="F40" s="102">
        <v>157501.77418279092</v>
      </c>
      <c r="G40" s="102">
        <v>158778.30882710349</v>
      </c>
      <c r="H40" s="102">
        <v>155362.40378812823</v>
      </c>
      <c r="I40" s="102">
        <v>167020.92182181068</v>
      </c>
      <c r="J40" s="102">
        <v>151820.69956015769</v>
      </c>
      <c r="K40" s="102">
        <v>139715.17330583604</v>
      </c>
      <c r="L40" s="102">
        <v>135988.02009520453</v>
      </c>
      <c r="M40" s="102">
        <v>133784.5694509098</v>
      </c>
      <c r="N40" s="102">
        <v>134657.70490808025</v>
      </c>
      <c r="O40" s="102">
        <v>135959.05285342727</v>
      </c>
      <c r="P40" s="102">
        <v>136100.99476195738</v>
      </c>
      <c r="Q40" s="102">
        <v>151585.88646357929</v>
      </c>
      <c r="R40" s="102">
        <v>155535.75029277624</v>
      </c>
      <c r="S40" s="102">
        <v>160580.34978529456</v>
      </c>
      <c r="T40" s="102">
        <v>162316.1266863193</v>
      </c>
      <c r="U40" s="102">
        <v>166954.46893118418</v>
      </c>
      <c r="V40" s="102">
        <v>162823.11406504721</v>
      </c>
      <c r="W40" s="102">
        <v>201001.943946076</v>
      </c>
      <c r="DA40" s="175" t="s">
        <v>221</v>
      </c>
    </row>
    <row r="41" spans="1:105" ht="11.45" customHeight="1" x14ac:dyDescent="0.25">
      <c r="A41" s="85" t="s">
        <v>174</v>
      </c>
      <c r="B41" s="86">
        <v>198820.47833088585</v>
      </c>
      <c r="C41" s="86">
        <v>61806.962937156837</v>
      </c>
      <c r="D41" s="86">
        <v>157341.55810573592</v>
      </c>
      <c r="E41" s="86">
        <v>170474.78263757049</v>
      </c>
      <c r="F41" s="86">
        <v>183875.37008787732</v>
      </c>
      <c r="G41" s="86">
        <v>206532.72924146903</v>
      </c>
      <c r="H41" s="86">
        <v>237697.23817473603</v>
      </c>
      <c r="I41" s="86">
        <v>268907.92430275225</v>
      </c>
      <c r="J41" s="86">
        <v>229460.04366198211</v>
      </c>
      <c r="K41" s="86">
        <v>190413.75178192885</v>
      </c>
      <c r="L41" s="86">
        <v>257611.47517689533</v>
      </c>
      <c r="M41" s="86">
        <v>300822.70416565385</v>
      </c>
      <c r="N41" s="86">
        <v>289857.60322106892</v>
      </c>
      <c r="O41" s="86">
        <v>302725.01557918021</v>
      </c>
      <c r="P41" s="86">
        <v>323176.90008743352</v>
      </c>
      <c r="Q41" s="86">
        <v>361332.54534369119</v>
      </c>
      <c r="R41" s="86">
        <v>403611.59516089311</v>
      </c>
      <c r="S41" s="86">
        <v>443889.96011337871</v>
      </c>
      <c r="T41" s="86">
        <v>424955.49396250269</v>
      </c>
      <c r="U41" s="86">
        <v>396602.82634444977</v>
      </c>
      <c r="V41" s="86">
        <v>238098.51793800999</v>
      </c>
      <c r="W41" s="86">
        <v>321431.13695003191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435.21490084665948</v>
      </c>
      <c r="C43" s="54">
        <f t="shared" si="30"/>
        <v>401.39516683458163</v>
      </c>
      <c r="D43" s="54">
        <f t="shared" ref="D43:V43" si="31">SUM(D44,D48)</f>
        <v>404.04298831513313</v>
      </c>
      <c r="E43" s="54">
        <f t="shared" si="31"/>
        <v>469.79990429134205</v>
      </c>
      <c r="F43" s="54">
        <f t="shared" si="31"/>
        <v>490.96984809014958</v>
      </c>
      <c r="G43" s="54">
        <f t="shared" si="31"/>
        <v>521.15903425064812</v>
      </c>
      <c r="H43" s="54">
        <f t="shared" si="31"/>
        <v>547.48625994338681</v>
      </c>
      <c r="I43" s="54">
        <f t="shared" si="31"/>
        <v>606.46031736873795</v>
      </c>
      <c r="J43" s="54">
        <f t="shared" si="31"/>
        <v>572.90440153593283</v>
      </c>
      <c r="K43" s="54">
        <f t="shared" si="31"/>
        <v>543.44964945174706</v>
      </c>
      <c r="L43" s="54">
        <f t="shared" si="31"/>
        <v>559.05705593858602</v>
      </c>
      <c r="M43" s="54">
        <f t="shared" si="31"/>
        <v>560.94807645141816</v>
      </c>
      <c r="N43" s="54">
        <f t="shared" si="31"/>
        <v>546.81083177883283</v>
      </c>
      <c r="O43" s="54">
        <f t="shared" si="31"/>
        <v>522.07964272591244</v>
      </c>
      <c r="P43" s="54">
        <f t="shared" si="31"/>
        <v>517.52323301793467</v>
      </c>
      <c r="Q43" s="54">
        <f t="shared" si="31"/>
        <v>539.37846302300454</v>
      </c>
      <c r="R43" s="54">
        <f t="shared" si="31"/>
        <v>561.34123254323458</v>
      </c>
      <c r="S43" s="54">
        <f t="shared" si="31"/>
        <v>585.72957615958921</v>
      </c>
      <c r="T43" s="54">
        <f t="shared" si="31"/>
        <v>620.94189951525971</v>
      </c>
      <c r="U43" s="54">
        <f t="shared" si="31"/>
        <v>648.0855156078502</v>
      </c>
      <c r="V43" s="54">
        <f t="shared" si="31"/>
        <v>620.19082717085701</v>
      </c>
      <c r="W43" s="54">
        <f t="shared" ref="W43" si="32">SUM(W44,W48)</f>
        <v>597.74526262491759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417.78460606657677</v>
      </c>
      <c r="C44" s="11">
        <f t="shared" si="33"/>
        <v>382.63749490600117</v>
      </c>
      <c r="D44" s="11">
        <f t="shared" ref="D44:V44" si="34">SUM(D45:D47)</f>
        <v>383.24533978695456</v>
      </c>
      <c r="E44" s="11">
        <f t="shared" si="34"/>
        <v>446.96913535529239</v>
      </c>
      <c r="F44" s="11">
        <f t="shared" si="34"/>
        <v>465.79079532204247</v>
      </c>
      <c r="G44" s="11">
        <f t="shared" si="34"/>
        <v>493.60529645073723</v>
      </c>
      <c r="H44" s="11">
        <f t="shared" si="34"/>
        <v>517.26560488005532</v>
      </c>
      <c r="I44" s="11">
        <f t="shared" si="34"/>
        <v>572.59914037851411</v>
      </c>
      <c r="J44" s="11">
        <f t="shared" si="34"/>
        <v>540.78625402371733</v>
      </c>
      <c r="K44" s="11">
        <f t="shared" si="34"/>
        <v>513.07453141753979</v>
      </c>
      <c r="L44" s="11">
        <f t="shared" si="34"/>
        <v>529.73574707845114</v>
      </c>
      <c r="M44" s="11">
        <f t="shared" si="34"/>
        <v>531.26665480125405</v>
      </c>
      <c r="N44" s="11">
        <f t="shared" si="34"/>
        <v>518.87243960667706</v>
      </c>
      <c r="O44" s="11">
        <f t="shared" si="34"/>
        <v>495.45346451429128</v>
      </c>
      <c r="P44" s="11">
        <f t="shared" si="34"/>
        <v>491.53266153240008</v>
      </c>
      <c r="Q44" s="11">
        <f t="shared" si="34"/>
        <v>511.64599202977377</v>
      </c>
      <c r="R44" s="11">
        <f t="shared" si="34"/>
        <v>533.49091144627891</v>
      </c>
      <c r="S44" s="11">
        <f t="shared" si="34"/>
        <v>556.03120958053728</v>
      </c>
      <c r="T44" s="11">
        <f t="shared" si="34"/>
        <v>592.04621317224257</v>
      </c>
      <c r="U44" s="11">
        <f t="shared" si="34"/>
        <v>619.801374501537</v>
      </c>
      <c r="V44" s="11">
        <f t="shared" si="34"/>
        <v>591.94906743043191</v>
      </c>
      <c r="W44" s="11">
        <f t="shared" ref="W44" si="35">SUM(W45:W47)</f>
        <v>564.09676035932682</v>
      </c>
      <c r="DA44" s="189" t="s">
        <v>224</v>
      </c>
    </row>
    <row r="45" spans="1:105" ht="11.45" customHeight="1" x14ac:dyDescent="0.25">
      <c r="A45" s="83" t="s">
        <v>27</v>
      </c>
      <c r="B45" s="84">
        <v>143.29121164846595</v>
      </c>
      <c r="C45" s="84">
        <v>132.02288091523661</v>
      </c>
      <c r="D45" s="84">
        <v>132.38013520540821</v>
      </c>
      <c r="E45" s="84">
        <v>150.62870514820594</v>
      </c>
      <c r="F45" s="84">
        <v>146.26365054602184</v>
      </c>
      <c r="G45" s="84">
        <v>145.74690721649483</v>
      </c>
      <c r="H45" s="84">
        <v>154.34362139917695</v>
      </c>
      <c r="I45" s="84">
        <v>171.92434379825013</v>
      </c>
      <c r="J45" s="84">
        <v>160.13043478260869</v>
      </c>
      <c r="K45" s="84">
        <v>158.79024646040901</v>
      </c>
      <c r="L45" s="84">
        <v>158.03055848261329</v>
      </c>
      <c r="M45" s="84">
        <v>157.75708289611751</v>
      </c>
      <c r="N45" s="84">
        <v>146.58433420365535</v>
      </c>
      <c r="O45" s="84">
        <v>132.86192468619248</v>
      </c>
      <c r="P45" s="84">
        <v>122.10994764397905</v>
      </c>
      <c r="Q45" s="84">
        <v>126.16779572694111</v>
      </c>
      <c r="R45" s="84">
        <v>127.14752370916754</v>
      </c>
      <c r="S45" s="84">
        <v>130.16029723991508</v>
      </c>
      <c r="T45" s="84">
        <v>132.41880341880341</v>
      </c>
      <c r="U45" s="84">
        <v>135.59376679204729</v>
      </c>
      <c r="V45" s="84">
        <v>126.04101934881623</v>
      </c>
      <c r="W45" s="84">
        <v>116.48827190558518</v>
      </c>
      <c r="DA45" s="171" t="s">
        <v>225</v>
      </c>
    </row>
    <row r="46" spans="1:105" ht="11.45" customHeight="1" x14ac:dyDescent="0.25">
      <c r="A46" s="83" t="s">
        <v>173</v>
      </c>
      <c r="B46" s="84">
        <v>162.67464441811086</v>
      </c>
      <c r="C46" s="84">
        <v>148.52294732409786</v>
      </c>
      <c r="D46" s="84">
        <v>148.6714545815463</v>
      </c>
      <c r="E46" s="84">
        <v>181.45501354041974</v>
      </c>
      <c r="F46" s="84">
        <v>190.15214477602063</v>
      </c>
      <c r="G46" s="84">
        <v>205.68937514973535</v>
      </c>
      <c r="H46" s="84">
        <v>215.94235007965631</v>
      </c>
      <c r="I46" s="84">
        <v>239.67277228876605</v>
      </c>
      <c r="J46" s="84">
        <v>225.25541682662165</v>
      </c>
      <c r="K46" s="84">
        <v>209.43752660742553</v>
      </c>
      <c r="L46" s="84">
        <v>215.79189379815006</v>
      </c>
      <c r="M46" s="84">
        <v>219.19450341198589</v>
      </c>
      <c r="N46" s="84">
        <v>213.02764912925747</v>
      </c>
      <c r="O46" s="84">
        <v>203.6473019098832</v>
      </c>
      <c r="P46" s="84">
        <v>208.51948808196937</v>
      </c>
      <c r="Q46" s="84">
        <v>223.42790616743616</v>
      </c>
      <c r="R46" s="84">
        <v>238.55041898711144</v>
      </c>
      <c r="S46" s="84">
        <v>247.1016815713914</v>
      </c>
      <c r="T46" s="84">
        <v>257.0500288010582</v>
      </c>
      <c r="U46" s="84">
        <v>264.59706004214695</v>
      </c>
      <c r="V46" s="84">
        <v>253.75208374760626</v>
      </c>
      <c r="W46" s="84">
        <v>242.90710745306555</v>
      </c>
      <c r="DA46" s="171" t="s">
        <v>226</v>
      </c>
    </row>
    <row r="47" spans="1:105" ht="11.45" customHeight="1" x14ac:dyDescent="0.25">
      <c r="A47" s="83" t="s">
        <v>174</v>
      </c>
      <c r="B47" s="84">
        <v>111.81874999999999</v>
      </c>
      <c r="C47" s="84">
        <v>102.09166666666667</v>
      </c>
      <c r="D47" s="84">
        <v>102.19374999999999</v>
      </c>
      <c r="E47" s="84">
        <v>114.88541666666667</v>
      </c>
      <c r="F47" s="84">
        <v>129.375</v>
      </c>
      <c r="G47" s="84">
        <v>142.16901408450704</v>
      </c>
      <c r="H47" s="84">
        <v>146.979633401222</v>
      </c>
      <c r="I47" s="84">
        <v>161.00202429149797</v>
      </c>
      <c r="J47" s="84">
        <v>155.40040241448693</v>
      </c>
      <c r="K47" s="84">
        <v>144.84675834970531</v>
      </c>
      <c r="L47" s="84">
        <v>155.91329479768785</v>
      </c>
      <c r="M47" s="84">
        <v>154.31506849315068</v>
      </c>
      <c r="N47" s="84">
        <v>159.26045627376425</v>
      </c>
      <c r="O47" s="84">
        <v>158.94423791821561</v>
      </c>
      <c r="P47" s="84">
        <v>160.90322580645162</v>
      </c>
      <c r="Q47" s="84">
        <v>162.05029013539652</v>
      </c>
      <c r="R47" s="84">
        <v>167.79296875</v>
      </c>
      <c r="S47" s="84">
        <v>178.76923076923077</v>
      </c>
      <c r="T47" s="84">
        <v>202.57738095238096</v>
      </c>
      <c r="U47" s="84">
        <v>219.61054766734279</v>
      </c>
      <c r="V47" s="84">
        <v>212.15596433400944</v>
      </c>
      <c r="W47" s="84">
        <v>204.70138100067609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17.430294780082725</v>
      </c>
      <c r="C48" s="13">
        <f t="shared" si="36"/>
        <v>18.757671928580478</v>
      </c>
      <c r="D48" s="13">
        <f t="shared" ref="D48:V48" si="37">SUM(D49:D51)</f>
        <v>20.797648528178563</v>
      </c>
      <c r="E48" s="13">
        <f t="shared" si="37"/>
        <v>22.830768936049655</v>
      </c>
      <c r="F48" s="13">
        <f t="shared" si="37"/>
        <v>25.179052768107134</v>
      </c>
      <c r="G48" s="13">
        <f t="shared" si="37"/>
        <v>27.553737799910884</v>
      </c>
      <c r="H48" s="13">
        <f t="shared" si="37"/>
        <v>30.220655063331499</v>
      </c>
      <c r="I48" s="13">
        <f t="shared" si="37"/>
        <v>33.861176990223825</v>
      </c>
      <c r="J48" s="13">
        <f t="shared" si="37"/>
        <v>32.11814751221555</v>
      </c>
      <c r="K48" s="13">
        <f t="shared" si="37"/>
        <v>30.375118034207279</v>
      </c>
      <c r="L48" s="13">
        <f t="shared" si="37"/>
        <v>29.321308860134863</v>
      </c>
      <c r="M48" s="13">
        <f t="shared" si="37"/>
        <v>29.681421650164072</v>
      </c>
      <c r="N48" s="13">
        <f t="shared" si="37"/>
        <v>27.938392172155801</v>
      </c>
      <c r="O48" s="13">
        <f t="shared" si="37"/>
        <v>26.62617821162117</v>
      </c>
      <c r="P48" s="13">
        <f t="shared" si="37"/>
        <v>25.990571485534637</v>
      </c>
      <c r="Q48" s="13">
        <f t="shared" si="37"/>
        <v>27.732470993230741</v>
      </c>
      <c r="R48" s="13">
        <f t="shared" si="37"/>
        <v>27.850321096955629</v>
      </c>
      <c r="S48" s="13">
        <f t="shared" si="37"/>
        <v>29.698366579051985</v>
      </c>
      <c r="T48" s="13">
        <f t="shared" si="37"/>
        <v>28.895686343017118</v>
      </c>
      <c r="U48" s="13">
        <f t="shared" si="37"/>
        <v>28.284141106313186</v>
      </c>
      <c r="V48" s="13">
        <f t="shared" si="37"/>
        <v>28.241759740425092</v>
      </c>
      <c r="W48" s="13">
        <f t="shared" ref="W48" si="38">SUM(W49:W51)</f>
        <v>33.648502265590729</v>
      </c>
      <c r="DA48" s="193" t="s">
        <v>228</v>
      </c>
    </row>
    <row r="49" spans="1:105" ht="11.45" customHeight="1" x14ac:dyDescent="0.25">
      <c r="A49" s="92" t="s">
        <v>27</v>
      </c>
      <c r="B49" s="102">
        <v>3.3471385542168677</v>
      </c>
      <c r="C49" s="102">
        <v>6.0828313253012052</v>
      </c>
      <c r="D49" s="102">
        <v>5.7481174698795181</v>
      </c>
      <c r="E49" s="102">
        <v>5.7221385542168672</v>
      </c>
      <c r="F49" s="102">
        <v>5.5805722891566267</v>
      </c>
      <c r="G49" s="102">
        <v>5.3270958083832332</v>
      </c>
      <c r="H49" s="102">
        <v>5.3445692883895131</v>
      </c>
      <c r="I49" s="102">
        <v>5.7903831705484601</v>
      </c>
      <c r="J49" s="102">
        <v>5.455669315126773</v>
      </c>
      <c r="K49" s="102">
        <v>5.1209554597050859</v>
      </c>
      <c r="L49" s="102">
        <v>4.7862416042833988</v>
      </c>
      <c r="M49" s="102">
        <v>4.4515277488617118</v>
      </c>
      <c r="N49" s="102">
        <v>4.1168138934400247</v>
      </c>
      <c r="O49" s="102">
        <v>3.7821000380183381</v>
      </c>
      <c r="P49" s="102">
        <v>3.4473861825966514</v>
      </c>
      <c r="Q49" s="102">
        <v>3.1126723271749648</v>
      </c>
      <c r="R49" s="102">
        <v>2.7779584717532781</v>
      </c>
      <c r="S49" s="102">
        <v>2.4432446163315915</v>
      </c>
      <c r="T49" s="102">
        <v>2.1085307609099049</v>
      </c>
      <c r="U49" s="102">
        <v>1.9659540775930324</v>
      </c>
      <c r="V49" s="102">
        <v>1.9572784810126582</v>
      </c>
      <c r="W49" s="102">
        <v>2.5913113435237327</v>
      </c>
      <c r="DA49" s="175" t="s">
        <v>229</v>
      </c>
    </row>
    <row r="50" spans="1:105" ht="11.45" customHeight="1" x14ac:dyDescent="0.25">
      <c r="A50" s="92" t="s">
        <v>173</v>
      </c>
      <c r="B50" s="102">
        <v>3.5472446236559136</v>
      </c>
      <c r="C50" s="102">
        <v>3.1925201612903225</v>
      </c>
      <c r="D50" s="102">
        <v>6.6208017765310903</v>
      </c>
      <c r="E50" s="102">
        <v>7.4428845254791955</v>
      </c>
      <c r="F50" s="102">
        <v>9.0294197054698468</v>
      </c>
      <c r="G50" s="102">
        <v>9.6363454955707777</v>
      </c>
      <c r="H50" s="102">
        <v>10.256641330497542</v>
      </c>
      <c r="I50" s="102">
        <v>11.260059356398529</v>
      </c>
      <c r="J50" s="102">
        <v>10.905334894032936</v>
      </c>
      <c r="K50" s="102">
        <v>10.550610431667346</v>
      </c>
      <c r="L50" s="102">
        <v>10.195885969301754</v>
      </c>
      <c r="M50" s="102">
        <v>9.8411615069361638</v>
      </c>
      <c r="N50" s="102">
        <v>9.4864370445705717</v>
      </c>
      <c r="O50" s="102">
        <v>9.1317125822049814</v>
      </c>
      <c r="P50" s="102">
        <v>8.7769881198393911</v>
      </c>
      <c r="Q50" s="102">
        <v>8.4546069256427963</v>
      </c>
      <c r="R50" s="102">
        <v>8.1153074104784242</v>
      </c>
      <c r="S50" s="102">
        <v>7.9186140262124578</v>
      </c>
      <c r="T50" s="102">
        <v>7.7314178771891813</v>
      </c>
      <c r="U50" s="102">
        <v>7.6773419582976166</v>
      </c>
      <c r="V50" s="102">
        <v>8.3460302958038959</v>
      </c>
      <c r="W50" s="102">
        <v>10.459921297493617</v>
      </c>
      <c r="DA50" s="175" t="s">
        <v>230</v>
      </c>
    </row>
    <row r="51" spans="1:105" ht="11.45" customHeight="1" x14ac:dyDescent="0.25">
      <c r="A51" s="85" t="s">
        <v>174</v>
      </c>
      <c r="B51" s="86">
        <v>10.535911602209945</v>
      </c>
      <c r="C51" s="86">
        <v>9.48232044198895</v>
      </c>
      <c r="D51" s="86">
        <v>8.4287292817679553</v>
      </c>
      <c r="E51" s="86">
        <v>9.6657458563535918</v>
      </c>
      <c r="F51" s="86">
        <v>10.569060773480663</v>
      </c>
      <c r="G51" s="86">
        <v>12.590296495956874</v>
      </c>
      <c r="H51" s="86">
        <v>14.619444444444444</v>
      </c>
      <c r="I51" s="86">
        <v>16.810734463276837</v>
      </c>
      <c r="J51" s="86">
        <v>15.757143303055843</v>
      </c>
      <c r="K51" s="86">
        <v>14.703552142834848</v>
      </c>
      <c r="L51" s="86">
        <v>14.339181286549708</v>
      </c>
      <c r="M51" s="86">
        <v>15.388732394366198</v>
      </c>
      <c r="N51" s="86">
        <v>14.335141234145203</v>
      </c>
      <c r="O51" s="86">
        <v>13.71236559139785</v>
      </c>
      <c r="P51" s="86">
        <v>13.766197183098592</v>
      </c>
      <c r="Q51" s="86">
        <v>16.165191740412979</v>
      </c>
      <c r="R51" s="86">
        <v>16.957055214723926</v>
      </c>
      <c r="S51" s="86">
        <v>19.336507936507935</v>
      </c>
      <c r="T51" s="86">
        <v>19.055737704918034</v>
      </c>
      <c r="U51" s="86">
        <v>18.640845070422536</v>
      </c>
      <c r="V51" s="86">
        <v>17.938450963608538</v>
      </c>
      <c r="W51" s="86">
        <v>20.597269624573379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41.236163602470036</v>
      </c>
      <c r="C53" s="54">
        <f t="shared" si="39"/>
        <v>2.9384538152613371</v>
      </c>
      <c r="D53" s="54">
        <f t="shared" ref="D53:V53" si="40">SUM(D54,D58)</f>
        <v>16.898293665104763</v>
      </c>
      <c r="E53" s="54">
        <f t="shared" si="40"/>
        <v>79.184867101878396</v>
      </c>
      <c r="F53" s="54">
        <f t="shared" si="40"/>
        <v>34.549782693294581</v>
      </c>
      <c r="G53" s="54">
        <f t="shared" si="40"/>
        <v>43.620111763167436</v>
      </c>
      <c r="H53" s="54">
        <f t="shared" si="40"/>
        <v>41.019542598328208</v>
      </c>
      <c r="I53" s="54">
        <f t="shared" si="40"/>
        <v>72.355062986504862</v>
      </c>
      <c r="J53" s="54">
        <f t="shared" si="40"/>
        <v>0</v>
      </c>
      <c r="K53" s="54">
        <f t="shared" si="40"/>
        <v>3.0605743749753174</v>
      </c>
      <c r="L53" s="54">
        <f t="shared" si="40"/>
        <v>31.167591541532531</v>
      </c>
      <c r="M53" s="54">
        <f t="shared" si="40"/>
        <v>15.666304944019341</v>
      </c>
      <c r="N53" s="54">
        <f t="shared" si="40"/>
        <v>10.801154074729595</v>
      </c>
      <c r="O53" s="54">
        <f t="shared" si="40"/>
        <v>3.153149099764053</v>
      </c>
      <c r="P53" s="54">
        <f t="shared" si="40"/>
        <v>15.570089068247844</v>
      </c>
      <c r="Q53" s="54">
        <f t="shared" si="40"/>
        <v>35.598171168088101</v>
      </c>
      <c r="R53" s="54">
        <f t="shared" si="40"/>
        <v>35.722629004216081</v>
      </c>
      <c r="S53" s="54">
        <f t="shared" si="40"/>
        <v>38.093237590552967</v>
      </c>
      <c r="T53" s="54">
        <f t="shared" si="40"/>
        <v>48.917217329868748</v>
      </c>
      <c r="U53" s="54">
        <f t="shared" si="40"/>
        <v>40.717912097434585</v>
      </c>
      <c r="V53" s="54">
        <f t="shared" si="40"/>
        <v>0.96980223492401552</v>
      </c>
      <c r="W53" s="54">
        <f t="shared" ref="W53" si="41">SUM(W54,W58)</f>
        <v>6.0682583367634741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38.411451328227656</v>
      </c>
      <c r="C54" s="11">
        <f t="shared" si="42"/>
        <v>0</v>
      </c>
      <c r="D54" s="11">
        <f t="shared" ref="D54:V54" si="43">SUM(D55:D57)</f>
        <v>13.362428044487331</v>
      </c>
      <c r="E54" s="11">
        <f t="shared" si="43"/>
        <v>76.478378731871828</v>
      </c>
      <c r="F54" s="11">
        <f t="shared" si="43"/>
        <v>31.576243130284098</v>
      </c>
      <c r="G54" s="11">
        <f t="shared" si="43"/>
        <v>40.569084292228737</v>
      </c>
      <c r="H54" s="11">
        <f t="shared" si="43"/>
        <v>37.727369603954592</v>
      </c>
      <c r="I54" s="11">
        <f t="shared" si="43"/>
        <v>68.088118661992866</v>
      </c>
      <c r="J54" s="11">
        <f t="shared" si="43"/>
        <v>0</v>
      </c>
      <c r="K54" s="11">
        <f t="shared" si="43"/>
        <v>3.0605743749753174</v>
      </c>
      <c r="L54" s="11">
        <f t="shared" si="43"/>
        <v>31.167591541532531</v>
      </c>
      <c r="M54" s="11">
        <f t="shared" si="43"/>
        <v>14.300676488136851</v>
      </c>
      <c r="N54" s="11">
        <f t="shared" si="43"/>
        <v>10.801154074729595</v>
      </c>
      <c r="O54" s="11">
        <f t="shared" si="43"/>
        <v>3.153149099764053</v>
      </c>
      <c r="P54" s="11">
        <f t="shared" si="43"/>
        <v>15.200180128481101</v>
      </c>
      <c r="Q54" s="11">
        <f t="shared" si="43"/>
        <v>32.883099262707717</v>
      </c>
      <c r="R54" s="11">
        <f t="shared" si="43"/>
        <v>34.614688181839135</v>
      </c>
      <c r="S54" s="11">
        <f t="shared" si="43"/>
        <v>35.310066899592258</v>
      </c>
      <c r="T54" s="11">
        <f t="shared" si="43"/>
        <v>48.784772357039259</v>
      </c>
      <c r="U54" s="11">
        <f t="shared" si="43"/>
        <v>40.524930094628452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12.650372681574368</v>
      </c>
      <c r="C55" s="84">
        <v>0</v>
      </c>
      <c r="D55" s="84">
        <v>4.7580169873465934</v>
      </c>
      <c r="E55" s="84">
        <v>22.649332639972727</v>
      </c>
      <c r="F55" s="84">
        <v>3.5708094990894779E-2</v>
      </c>
      <c r="G55" s="84">
        <v>3.8840193676479942</v>
      </c>
      <c r="H55" s="84">
        <v>12.997476879857118</v>
      </c>
      <c r="I55" s="84">
        <v>21.981485096248178</v>
      </c>
      <c r="J55" s="84">
        <v>0</v>
      </c>
      <c r="K55" s="84">
        <v>3.0605743749753174</v>
      </c>
      <c r="L55" s="84">
        <v>3.6410747193792758</v>
      </c>
      <c r="M55" s="84">
        <v>4.1272871106792195</v>
      </c>
      <c r="N55" s="84">
        <v>0</v>
      </c>
      <c r="O55" s="84">
        <v>0</v>
      </c>
      <c r="P55" s="84">
        <v>0</v>
      </c>
      <c r="Q55" s="84">
        <v>8.4586107801370503</v>
      </c>
      <c r="R55" s="84">
        <v>5.3804906794014471</v>
      </c>
      <c r="S55" s="84">
        <v>7.4135362279225347</v>
      </c>
      <c r="T55" s="84">
        <v>6.6592688760633223</v>
      </c>
      <c r="U55" s="84">
        <v>7.5757260704188809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15.26635642443064</v>
      </c>
      <c r="C56" s="84">
        <v>0</v>
      </c>
      <c r="D56" s="84">
        <v>5.0992721682514173</v>
      </c>
      <c r="E56" s="84">
        <v>37.734323869676437</v>
      </c>
      <c r="F56" s="84">
        <v>13.647896146403882</v>
      </c>
      <c r="G56" s="84">
        <v>20.487995284517709</v>
      </c>
      <c r="H56" s="84">
        <v>16.516217851826518</v>
      </c>
      <c r="I56" s="84">
        <v>28.681187119912725</v>
      </c>
      <c r="J56" s="84">
        <v>0</v>
      </c>
      <c r="K56" s="84">
        <v>0</v>
      </c>
      <c r="L56" s="84">
        <v>13.056924818614718</v>
      </c>
      <c r="M56" s="84">
        <v>8.3685601264388154</v>
      </c>
      <c r="N56" s="84">
        <v>2.4527107385600289</v>
      </c>
      <c r="O56" s="84">
        <v>6.6311899756700932E-2</v>
      </c>
      <c r="P56" s="84">
        <v>9.838136684689097</v>
      </c>
      <c r="Q56" s="84">
        <v>19.874368598069765</v>
      </c>
      <c r="R56" s="84">
        <v>20.088463332278216</v>
      </c>
      <c r="S56" s="84">
        <v>13.517213096882955</v>
      </c>
      <c r="T56" s="84">
        <v>14.914297742269753</v>
      </c>
      <c r="U56" s="84">
        <v>12.512981753691754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10.494722222222649</v>
      </c>
      <c r="C57" s="84">
        <v>0</v>
      </c>
      <c r="D57" s="84">
        <v>3.50513888888932</v>
      </c>
      <c r="E57" s="84">
        <v>16.094722222222671</v>
      </c>
      <c r="F57" s="84">
        <v>17.892638888889323</v>
      </c>
      <c r="G57" s="84">
        <v>16.197069640063035</v>
      </c>
      <c r="H57" s="84">
        <v>8.2136748722709569</v>
      </c>
      <c r="I57" s="84">
        <v>17.425446445831966</v>
      </c>
      <c r="J57" s="84">
        <v>0</v>
      </c>
      <c r="K57" s="84">
        <v>0</v>
      </c>
      <c r="L57" s="84">
        <v>14.469592003538537</v>
      </c>
      <c r="M57" s="84">
        <v>1.8048292510188162</v>
      </c>
      <c r="N57" s="84">
        <v>8.3484433361695665</v>
      </c>
      <c r="O57" s="84">
        <v>3.0868372000073521</v>
      </c>
      <c r="P57" s="84">
        <v>5.3620434437920039</v>
      </c>
      <c r="Q57" s="84">
        <v>4.5501198845009014</v>
      </c>
      <c r="R57" s="84">
        <v>9.1457341701594714</v>
      </c>
      <c r="S57" s="84">
        <v>14.379317574786768</v>
      </c>
      <c r="T57" s="84">
        <v>27.211205738706184</v>
      </c>
      <c r="U57" s="84">
        <v>20.436222270517817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2.8247122742423816</v>
      </c>
      <c r="C58" s="13">
        <f t="shared" si="45"/>
        <v>2.9384538152613371</v>
      </c>
      <c r="D58" s="13">
        <f t="shared" ref="D58:V58" si="46">SUM(D59:D61)</f>
        <v>3.5358656206174337</v>
      </c>
      <c r="E58" s="13">
        <f t="shared" si="46"/>
        <v>2.7064883700065652</v>
      </c>
      <c r="F58" s="13">
        <f t="shared" si="46"/>
        <v>2.9735395630104815</v>
      </c>
      <c r="G58" s="13">
        <f t="shared" si="46"/>
        <v>3.0510274709387009</v>
      </c>
      <c r="H58" s="13">
        <f t="shared" si="46"/>
        <v>3.2921729943736144</v>
      </c>
      <c r="I58" s="13">
        <f t="shared" si="46"/>
        <v>4.2669443245119911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1.36562845588249</v>
      </c>
      <c r="N58" s="13">
        <f t="shared" si="46"/>
        <v>0</v>
      </c>
      <c r="O58" s="13">
        <f t="shared" si="46"/>
        <v>0</v>
      </c>
      <c r="P58" s="13">
        <f t="shared" si="46"/>
        <v>0.36990893976674322</v>
      </c>
      <c r="Q58" s="13">
        <f t="shared" si="46"/>
        <v>2.7150719053803858</v>
      </c>
      <c r="R58" s="13">
        <f t="shared" si="46"/>
        <v>1.1079408223769462</v>
      </c>
      <c r="S58" s="13">
        <f t="shared" si="46"/>
        <v>2.7831706909607088</v>
      </c>
      <c r="T58" s="13">
        <f t="shared" si="46"/>
        <v>0.13244497282948714</v>
      </c>
      <c r="U58" s="13">
        <f t="shared" si="46"/>
        <v>0.19298200280613187</v>
      </c>
      <c r="V58" s="13">
        <f t="shared" si="46"/>
        <v>0.96980223492401552</v>
      </c>
      <c r="W58" s="13">
        <f t="shared" ref="W58" si="47">SUM(W59:W61)</f>
        <v>6.0682583367634741</v>
      </c>
      <c r="DA58" s="193" t="s">
        <v>237</v>
      </c>
    </row>
    <row r="59" spans="1:105" ht="11.45" customHeight="1" x14ac:dyDescent="0.25">
      <c r="A59" s="92" t="s">
        <v>27</v>
      </c>
      <c r="B59" s="102">
        <v>0.75245983935772331</v>
      </c>
      <c r="C59" s="102">
        <v>2.9384538152613371</v>
      </c>
      <c r="D59" s="102">
        <v>0</v>
      </c>
      <c r="E59" s="102">
        <v>0.17678212851434871</v>
      </c>
      <c r="F59" s="102">
        <v>6.1194779116759079E-2</v>
      </c>
      <c r="G59" s="102">
        <v>0</v>
      </c>
      <c r="H59" s="102">
        <v>0.22023452418327949</v>
      </c>
      <c r="I59" s="102">
        <v>0.6485749263359466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6.0184360860127573E-2</v>
      </c>
      <c r="V59" s="102">
        <v>0.19408544759662583</v>
      </c>
      <c r="W59" s="102">
        <v>0.83679390668807452</v>
      </c>
      <c r="DA59" s="175" t="s">
        <v>238</v>
      </c>
    </row>
    <row r="60" spans="1:105" ht="11.45" customHeight="1" x14ac:dyDescent="0.25">
      <c r="A60" s="92" t="s">
        <v>173</v>
      </c>
      <c r="B60" s="102">
        <v>0.54623033543744248</v>
      </c>
      <c r="C60" s="102">
        <v>0</v>
      </c>
      <c r="D60" s="102">
        <v>3.5358656206174337</v>
      </c>
      <c r="E60" s="102">
        <v>0.97661231884057909</v>
      </c>
      <c r="F60" s="102">
        <v>1.6929525187006502</v>
      </c>
      <c r="G60" s="102">
        <v>0.71371440039648903</v>
      </c>
      <c r="H60" s="102">
        <v>0.72671317363676469</v>
      </c>
      <c r="I60" s="102">
        <v>1.1110020312776521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8.76406211107007E-2</v>
      </c>
      <c r="T60" s="102">
        <v>9.7137856353389493E-2</v>
      </c>
      <c r="U60" s="102">
        <v>0.1327976419460043</v>
      </c>
      <c r="V60" s="102">
        <v>0.77571678732738969</v>
      </c>
      <c r="W60" s="102">
        <v>2.2565684210445598</v>
      </c>
      <c r="DA60" s="175" t="s">
        <v>239</v>
      </c>
    </row>
    <row r="61" spans="1:105" ht="11.45" customHeight="1" x14ac:dyDescent="0.25">
      <c r="A61" s="85" t="s">
        <v>174</v>
      </c>
      <c r="B61" s="86">
        <v>1.526022099447216</v>
      </c>
      <c r="C61" s="86">
        <v>0</v>
      </c>
      <c r="D61" s="86">
        <v>0</v>
      </c>
      <c r="E61" s="86">
        <v>1.5530939226516374</v>
      </c>
      <c r="F61" s="86">
        <v>1.219392265193072</v>
      </c>
      <c r="G61" s="86">
        <v>2.337313070542212</v>
      </c>
      <c r="H61" s="86">
        <v>2.3452252965535703</v>
      </c>
      <c r="I61" s="86">
        <v>2.5073673668983929</v>
      </c>
      <c r="J61" s="86">
        <v>0</v>
      </c>
      <c r="K61" s="86">
        <v>0</v>
      </c>
      <c r="L61" s="86">
        <v>0</v>
      </c>
      <c r="M61" s="86">
        <v>1.36562845588249</v>
      </c>
      <c r="N61" s="86">
        <v>0</v>
      </c>
      <c r="O61" s="86">
        <v>0</v>
      </c>
      <c r="P61" s="86">
        <v>0.36990893976674322</v>
      </c>
      <c r="Q61" s="86">
        <v>2.7150719053803858</v>
      </c>
      <c r="R61" s="86">
        <v>1.1079408223769462</v>
      </c>
      <c r="S61" s="86">
        <v>2.6955300698500082</v>
      </c>
      <c r="T61" s="86">
        <v>3.5307116476097633E-2</v>
      </c>
      <c r="U61" s="86">
        <v>0</v>
      </c>
      <c r="V61" s="86">
        <v>0</v>
      </c>
      <c r="W61" s="86">
        <v>2.9748960090308394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82.928855117808567</v>
      </c>
      <c r="C66" s="14">
        <f t="shared" si="48"/>
        <v>83.800824659425203</v>
      </c>
      <c r="D66" s="14">
        <f t="shared" ref="D66:V66" si="49">IF(D34=0,0,D34/D24)</f>
        <v>84.868998528854121</v>
      </c>
      <c r="E66" s="14">
        <f t="shared" si="49"/>
        <v>82.07534889574454</v>
      </c>
      <c r="F66" s="14">
        <f t="shared" si="49"/>
        <v>88.348810574749535</v>
      </c>
      <c r="G66" s="14">
        <f t="shared" si="49"/>
        <v>90.710969479210647</v>
      </c>
      <c r="H66" s="14">
        <f t="shared" si="49"/>
        <v>93.519888647190527</v>
      </c>
      <c r="I66" s="14">
        <f t="shared" si="49"/>
        <v>94.298031395575791</v>
      </c>
      <c r="J66" s="14">
        <f t="shared" si="49"/>
        <v>97.44586430718077</v>
      </c>
      <c r="K66" s="14">
        <f t="shared" si="49"/>
        <v>99.954407285547134</v>
      </c>
      <c r="L66" s="14">
        <f t="shared" si="49"/>
        <v>104.79642250637393</v>
      </c>
      <c r="M66" s="14">
        <f t="shared" si="49"/>
        <v>110.71150586924729</v>
      </c>
      <c r="N66" s="14">
        <f t="shared" si="49"/>
        <v>113.12141216461706</v>
      </c>
      <c r="O66" s="14">
        <f t="shared" si="49"/>
        <v>118.1459205346127</v>
      </c>
      <c r="P66" s="14">
        <f t="shared" si="49"/>
        <v>122.86735342701714</v>
      </c>
      <c r="Q66" s="14">
        <f t="shared" si="49"/>
        <v>126.6846604405922</v>
      </c>
      <c r="R66" s="14">
        <f t="shared" si="49"/>
        <v>128.3417007078487</v>
      </c>
      <c r="S66" s="14">
        <f t="shared" si="49"/>
        <v>132.7007777434537</v>
      </c>
      <c r="T66" s="14">
        <f t="shared" si="49"/>
        <v>135.39143589160639</v>
      </c>
      <c r="U66" s="14">
        <f t="shared" si="49"/>
        <v>136.86935850860286</v>
      </c>
      <c r="V66" s="14">
        <f t="shared" si="49"/>
        <v>97.033692107098901</v>
      </c>
      <c r="W66" s="14">
        <f t="shared" ref="W66" si="50">IF(W34=0,0,W34/W24)</f>
        <v>108.67749405634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81.335482981248347</v>
      </c>
      <c r="C67" s="87">
        <f t="shared" si="48"/>
        <v>82.143721443201514</v>
      </c>
      <c r="D67" s="87">
        <f t="shared" ref="D67:V67" si="51">IF(D35=0,0,D35/D25)</f>
        <v>83.15829624421076</v>
      </c>
      <c r="E67" s="87">
        <f t="shared" si="51"/>
        <v>81.437973617253391</v>
      </c>
      <c r="F67" s="87">
        <f t="shared" si="51"/>
        <v>85.225065329849073</v>
      </c>
      <c r="G67" s="87">
        <f t="shared" si="51"/>
        <v>86.911136732579067</v>
      </c>
      <c r="H67" s="87">
        <f t="shared" si="51"/>
        <v>87.29758635400141</v>
      </c>
      <c r="I67" s="87">
        <f t="shared" si="51"/>
        <v>87.762376178345093</v>
      </c>
      <c r="J67" s="87">
        <f t="shared" si="51"/>
        <v>91.002272345267187</v>
      </c>
      <c r="K67" s="87">
        <f t="shared" si="51"/>
        <v>94.051183403618737</v>
      </c>
      <c r="L67" s="87">
        <f t="shared" si="51"/>
        <v>100.10619386414707</v>
      </c>
      <c r="M67" s="87">
        <f t="shared" si="51"/>
        <v>106.29910703892779</v>
      </c>
      <c r="N67" s="87">
        <f t="shared" si="51"/>
        <v>107.94588702179125</v>
      </c>
      <c r="O67" s="87">
        <f t="shared" si="51"/>
        <v>112.18559079171128</v>
      </c>
      <c r="P67" s="87">
        <f t="shared" si="51"/>
        <v>116.5111992453801</v>
      </c>
      <c r="Q67" s="87">
        <f t="shared" si="51"/>
        <v>121.63643460159592</v>
      </c>
      <c r="R67" s="87">
        <f t="shared" si="51"/>
        <v>124.1680216802168</v>
      </c>
      <c r="S67" s="87">
        <f t="shared" si="51"/>
        <v>125.88246568415558</v>
      </c>
      <c r="T67" s="87">
        <f t="shared" si="51"/>
        <v>128.65160879106693</v>
      </c>
      <c r="U67" s="87">
        <f t="shared" si="51"/>
        <v>128.05576602995959</v>
      </c>
      <c r="V67" s="87">
        <f t="shared" si="51"/>
        <v>98.50562062730917</v>
      </c>
      <c r="W67" s="87">
        <f t="shared" ref="W67" si="52">IF(W35=0,0,W35/W25)</f>
        <v>117.75306460272012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76.815036110235567</v>
      </c>
      <c r="C68" s="87">
        <f t="shared" si="48"/>
        <v>77.860528646263305</v>
      </c>
      <c r="D68" s="87">
        <f t="shared" ref="D68:V68" si="53">IF(D36=0,0,D36/D26)</f>
        <v>79.122277814154117</v>
      </c>
      <c r="E68" s="87">
        <f t="shared" si="53"/>
        <v>77.049886099163629</v>
      </c>
      <c r="F68" s="87">
        <f t="shared" si="53"/>
        <v>84.248411118831427</v>
      </c>
      <c r="G68" s="87">
        <f t="shared" si="53"/>
        <v>88.185902158294368</v>
      </c>
      <c r="H68" s="87">
        <f t="shared" si="53"/>
        <v>93.155676995200977</v>
      </c>
      <c r="I68" s="87">
        <f t="shared" si="53"/>
        <v>93.951546226968006</v>
      </c>
      <c r="J68" s="87">
        <f t="shared" si="53"/>
        <v>97.291687184898578</v>
      </c>
      <c r="K68" s="87">
        <f t="shared" si="53"/>
        <v>99.683140015676344</v>
      </c>
      <c r="L68" s="87">
        <f t="shared" si="53"/>
        <v>102.98198106947015</v>
      </c>
      <c r="M68" s="87">
        <f t="shared" si="53"/>
        <v>110.25632180758137</v>
      </c>
      <c r="N68" s="87">
        <f t="shared" si="53"/>
        <v>112.99894063337496</v>
      </c>
      <c r="O68" s="87">
        <f t="shared" si="53"/>
        <v>119.01893663242387</v>
      </c>
      <c r="P68" s="87">
        <f t="shared" si="53"/>
        <v>123.34109225337848</v>
      </c>
      <c r="Q68" s="87">
        <f t="shared" si="53"/>
        <v>126.49158930453734</v>
      </c>
      <c r="R68" s="87">
        <f t="shared" si="53"/>
        <v>127.6080905571967</v>
      </c>
      <c r="S68" s="87">
        <f t="shared" si="53"/>
        <v>133.07036984536876</v>
      </c>
      <c r="T68" s="87">
        <f t="shared" si="53"/>
        <v>135.82034570868495</v>
      </c>
      <c r="U68" s="87">
        <f t="shared" si="53"/>
        <v>138.10290557250079</v>
      </c>
      <c r="V68" s="87">
        <f t="shared" si="53"/>
        <v>95.855325658159572</v>
      </c>
      <c r="W68" s="87">
        <f t="shared" ref="W68" si="54">IF(W36=0,0,W36/W26)</f>
        <v>102.91627928816266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116.0450692154342</v>
      </c>
      <c r="C69" s="87">
        <f t="shared" si="48"/>
        <v>116.61419475961146</v>
      </c>
      <c r="D69" s="87">
        <f t="shared" ref="D69:V69" si="55">IF(D37=0,0,D37/D27)</f>
        <v>117.18565633090739</v>
      </c>
      <c r="E69" s="87">
        <f t="shared" si="55"/>
        <v>107.58598241000998</v>
      </c>
      <c r="F69" s="87">
        <f t="shared" si="55"/>
        <v>119.31711755233495</v>
      </c>
      <c r="G69" s="87">
        <f t="shared" si="55"/>
        <v>115.71546038665119</v>
      </c>
      <c r="H69" s="87">
        <f t="shared" si="55"/>
        <v>120.84540025219283</v>
      </c>
      <c r="I69" s="87">
        <f t="shared" si="55"/>
        <v>123.13792669893758</v>
      </c>
      <c r="J69" s="87">
        <f t="shared" si="55"/>
        <v>123.85251314188052</v>
      </c>
      <c r="K69" s="87">
        <f t="shared" si="55"/>
        <v>125.22356802799517</v>
      </c>
      <c r="L69" s="87">
        <f t="shared" si="55"/>
        <v>128.60157688552749</v>
      </c>
      <c r="M69" s="87">
        <f t="shared" si="55"/>
        <v>129.22171073489315</v>
      </c>
      <c r="N69" s="87">
        <f t="shared" si="55"/>
        <v>130.88090150529419</v>
      </c>
      <c r="O69" s="87">
        <f t="shared" si="55"/>
        <v>133.0796379455515</v>
      </c>
      <c r="P69" s="87">
        <f t="shared" si="55"/>
        <v>138.80534459172603</v>
      </c>
      <c r="Q69" s="87">
        <f t="shared" si="55"/>
        <v>141.95346144664597</v>
      </c>
      <c r="R69" s="87">
        <f t="shared" si="55"/>
        <v>142.74836456757072</v>
      </c>
      <c r="S69" s="87">
        <f t="shared" si="55"/>
        <v>149.824904011651</v>
      </c>
      <c r="T69" s="87">
        <f t="shared" si="55"/>
        <v>150.34292206583805</v>
      </c>
      <c r="U69" s="87">
        <f t="shared" si="55"/>
        <v>153.4628791517346</v>
      </c>
      <c r="V69" s="87">
        <f t="shared" si="55"/>
        <v>95.438599011607863</v>
      </c>
      <c r="W69" s="87">
        <f t="shared" ref="W69" si="56">IF(W37=0,0,W37/W27)</f>
        <v>91.613298787161327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25.25006061162437</v>
      </c>
      <c r="C70" s="15">
        <f t="shared" si="48"/>
        <v>15.538851827902933</v>
      </c>
      <c r="D70" s="15">
        <f t="shared" ref="D70:V70" si="57">IF(D38=0,0,D38/D28)</f>
        <v>20.258889129552173</v>
      </c>
      <c r="E70" s="15">
        <f t="shared" si="57"/>
        <v>20.430026325050374</v>
      </c>
      <c r="F70" s="15">
        <f t="shared" si="57"/>
        <v>19.812230579663979</v>
      </c>
      <c r="G70" s="15">
        <f t="shared" si="57"/>
        <v>19.628205451591189</v>
      </c>
      <c r="H70" s="15">
        <f t="shared" si="57"/>
        <v>19.648262543050585</v>
      </c>
      <c r="I70" s="15">
        <f t="shared" si="57"/>
        <v>19.766723796330886</v>
      </c>
      <c r="J70" s="15">
        <f t="shared" si="57"/>
        <v>19.32020904764596</v>
      </c>
      <c r="K70" s="15">
        <f t="shared" si="57"/>
        <v>19.280970655339235</v>
      </c>
      <c r="L70" s="15">
        <f t="shared" si="57"/>
        <v>22.546101190808404</v>
      </c>
      <c r="M70" s="15">
        <f t="shared" si="57"/>
        <v>25.677712722674443</v>
      </c>
      <c r="N70" s="15">
        <f t="shared" si="57"/>
        <v>27.513368313722172</v>
      </c>
      <c r="O70" s="15">
        <f t="shared" si="57"/>
        <v>28.319124417234676</v>
      </c>
      <c r="P70" s="15">
        <f t="shared" si="57"/>
        <v>32.205012617263769</v>
      </c>
      <c r="Q70" s="15">
        <f t="shared" si="57"/>
        <v>32.838595689753916</v>
      </c>
      <c r="R70" s="15">
        <f t="shared" si="57"/>
        <v>38.501359179996655</v>
      </c>
      <c r="S70" s="15">
        <f t="shared" si="57"/>
        <v>37.540316525229635</v>
      </c>
      <c r="T70" s="15">
        <f t="shared" si="57"/>
        <v>36.744868296695188</v>
      </c>
      <c r="U70" s="15">
        <f t="shared" si="57"/>
        <v>36.886362688822103</v>
      </c>
      <c r="V70" s="15">
        <f t="shared" si="57"/>
        <v>26.469386355994679</v>
      </c>
      <c r="W70" s="15">
        <f t="shared" ref="W70" si="58">IF(W38=0,0,W38/W28)</f>
        <v>27.605643954806432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14.287825769085291</v>
      </c>
      <c r="U71" s="41">
        <f t="shared" si="59"/>
        <v>15.803320090655204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18.175765763019101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1125.7705184877655</v>
      </c>
      <c r="C75" s="62">
        <f t="shared" si="65"/>
        <v>1101.9769431657985</v>
      </c>
      <c r="D75" s="62">
        <f t="shared" ref="D75:V75" si="66">IF(D13=0,0,D13*1000000/D23)</f>
        <v>1114.599722824742</v>
      </c>
      <c r="E75" s="62">
        <f t="shared" si="66"/>
        <v>1116.298348034102</v>
      </c>
      <c r="F75" s="62">
        <f t="shared" si="66"/>
        <v>1152.5604486839925</v>
      </c>
      <c r="G75" s="62">
        <f t="shared" si="66"/>
        <v>1167.6667896778158</v>
      </c>
      <c r="H75" s="62">
        <f t="shared" si="66"/>
        <v>1164.4435782963928</v>
      </c>
      <c r="I75" s="62">
        <f t="shared" si="66"/>
        <v>1164.1954976221766</v>
      </c>
      <c r="J75" s="62">
        <f t="shared" si="66"/>
        <v>1177.1806869080574</v>
      </c>
      <c r="K75" s="62">
        <f t="shared" si="66"/>
        <v>1162.9093436728449</v>
      </c>
      <c r="L75" s="62">
        <f t="shared" si="66"/>
        <v>1190.8897334025141</v>
      </c>
      <c r="M75" s="62">
        <f t="shared" si="66"/>
        <v>1186.7368485949071</v>
      </c>
      <c r="N75" s="62">
        <f t="shared" si="66"/>
        <v>1191.9509338257501</v>
      </c>
      <c r="O75" s="62">
        <f t="shared" si="66"/>
        <v>1217.1087916627614</v>
      </c>
      <c r="P75" s="62">
        <f t="shared" si="66"/>
        <v>1253.4332229432021</v>
      </c>
      <c r="Q75" s="62">
        <f t="shared" si="66"/>
        <v>1253.6170469261208</v>
      </c>
      <c r="R75" s="62">
        <f t="shared" si="66"/>
        <v>1277.6639581037496</v>
      </c>
      <c r="S75" s="62">
        <f t="shared" si="66"/>
        <v>1304.3411513331184</v>
      </c>
      <c r="T75" s="62">
        <f t="shared" si="66"/>
        <v>1344.8942055973894</v>
      </c>
      <c r="U75" s="62">
        <f t="shared" si="66"/>
        <v>1372.9819769373325</v>
      </c>
      <c r="V75" s="62">
        <f t="shared" si="66"/>
        <v>1284.3707996448129</v>
      </c>
      <c r="W75" s="62">
        <f t="shared" ref="W75" si="67">IF(W13=0,0,W13*1000000/W23)</f>
        <v>1268.5923736703342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1105.8828415140899</v>
      </c>
      <c r="C76" s="14">
        <f t="shared" si="65"/>
        <v>1103.6937605225223</v>
      </c>
      <c r="D76" s="14">
        <f t="shared" ref="D76:V76" si="68">IF(D14=0,0,D14*1000000/D24)</f>
        <v>1103.2836915804239</v>
      </c>
      <c r="E76" s="14">
        <f t="shared" si="68"/>
        <v>1104.4839336111936</v>
      </c>
      <c r="F76" s="14">
        <f t="shared" si="68"/>
        <v>1140.4264342129707</v>
      </c>
      <c r="G76" s="14">
        <f t="shared" si="68"/>
        <v>1152.7061472961022</v>
      </c>
      <c r="H76" s="14">
        <f t="shared" si="68"/>
        <v>1145.5474549937944</v>
      </c>
      <c r="I76" s="14">
        <f t="shared" si="68"/>
        <v>1143.3699879081969</v>
      </c>
      <c r="J76" s="14">
        <f t="shared" si="68"/>
        <v>1157.6887971746969</v>
      </c>
      <c r="K76" s="14">
        <f t="shared" si="68"/>
        <v>1148.3550521011823</v>
      </c>
      <c r="L76" s="14">
        <f t="shared" si="68"/>
        <v>1169.6920070403428</v>
      </c>
      <c r="M76" s="14">
        <f t="shared" si="68"/>
        <v>1163.1987471994662</v>
      </c>
      <c r="N76" s="14">
        <f t="shared" si="68"/>
        <v>1172.9972922511554</v>
      </c>
      <c r="O76" s="14">
        <f t="shared" si="68"/>
        <v>1195.68549623638</v>
      </c>
      <c r="P76" s="14">
        <f t="shared" si="68"/>
        <v>1230.4430380535607</v>
      </c>
      <c r="Q76" s="14">
        <f t="shared" si="68"/>
        <v>1226.0298021006111</v>
      </c>
      <c r="R76" s="14">
        <f t="shared" si="68"/>
        <v>1247.9771449856171</v>
      </c>
      <c r="S76" s="14">
        <f t="shared" si="68"/>
        <v>1271.0874464248222</v>
      </c>
      <c r="T76" s="14">
        <f t="shared" si="68"/>
        <v>1313.9432810001531</v>
      </c>
      <c r="U76" s="14">
        <f t="shared" si="68"/>
        <v>1342.6468997400282</v>
      </c>
      <c r="V76" s="14">
        <f t="shared" si="68"/>
        <v>1214.2104134397539</v>
      </c>
      <c r="W76" s="14">
        <f t="shared" ref="W76" si="69">IF(W14=0,0,W14*1000000/W24)</f>
        <v>1202.6968458203371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627.66076646009981</v>
      </c>
      <c r="C77" s="39">
        <f t="shared" si="65"/>
        <v>627.66076646009981</v>
      </c>
      <c r="D77" s="39">
        <f t="shared" ref="D77:V77" si="70">IF(D15=0,0,D15*1000000/D25)</f>
        <v>627.66076646009981</v>
      </c>
      <c r="E77" s="39">
        <f t="shared" si="70"/>
        <v>627.66076646009981</v>
      </c>
      <c r="F77" s="39">
        <f t="shared" si="70"/>
        <v>627.66076646009981</v>
      </c>
      <c r="G77" s="39">
        <f t="shared" si="70"/>
        <v>614.08709642565316</v>
      </c>
      <c r="H77" s="39">
        <f t="shared" si="70"/>
        <v>610.8616063797881</v>
      </c>
      <c r="I77" s="39">
        <f t="shared" si="70"/>
        <v>611.9086107988926</v>
      </c>
      <c r="J77" s="39">
        <f t="shared" si="70"/>
        <v>620.4954812955217</v>
      </c>
      <c r="K77" s="39">
        <f t="shared" si="70"/>
        <v>640.06389710342376</v>
      </c>
      <c r="L77" s="39">
        <f t="shared" si="70"/>
        <v>647.88240376121587</v>
      </c>
      <c r="M77" s="39">
        <f t="shared" si="70"/>
        <v>641.54641118657594</v>
      </c>
      <c r="N77" s="39">
        <f t="shared" si="70"/>
        <v>633.7289863548433</v>
      </c>
      <c r="O77" s="39">
        <f t="shared" si="70"/>
        <v>636.07844069988892</v>
      </c>
      <c r="P77" s="39">
        <f t="shared" si="70"/>
        <v>637.81430147808851</v>
      </c>
      <c r="Q77" s="39">
        <f t="shared" si="70"/>
        <v>630.62629380467877</v>
      </c>
      <c r="R77" s="39">
        <f t="shared" si="70"/>
        <v>647.74637377649935</v>
      </c>
      <c r="S77" s="39">
        <f t="shared" si="70"/>
        <v>659.53460571594076</v>
      </c>
      <c r="T77" s="39">
        <f t="shared" si="70"/>
        <v>668.82312327987097</v>
      </c>
      <c r="U77" s="39">
        <f t="shared" si="70"/>
        <v>678.10262891809907</v>
      </c>
      <c r="V77" s="39">
        <f t="shared" si="70"/>
        <v>676.49125597889611</v>
      </c>
      <c r="W77" s="39">
        <f t="shared" ref="W77" si="71">IF(W15=0,0,W15*1000000/W25)</f>
        <v>713.54865997324873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1104.7217078894741</v>
      </c>
      <c r="C78" s="39">
        <f t="shared" si="65"/>
        <v>1104.7206550397138</v>
      </c>
      <c r="D78" s="39">
        <f t="shared" ref="D78:V78" si="72">IF(D16=0,0,D16*1000000/D26)</f>
        <v>1104.7188652005341</v>
      </c>
      <c r="E78" s="39">
        <f t="shared" si="72"/>
        <v>1114.312591032513</v>
      </c>
      <c r="F78" s="39">
        <f t="shared" si="72"/>
        <v>1115.3466155309454</v>
      </c>
      <c r="G78" s="39">
        <f t="shared" si="72"/>
        <v>1126.3417663614234</v>
      </c>
      <c r="H78" s="39">
        <f t="shared" si="72"/>
        <v>1122.802113217989</v>
      </c>
      <c r="I78" s="39">
        <f t="shared" si="72"/>
        <v>1129.6066161655535</v>
      </c>
      <c r="J78" s="39">
        <f t="shared" si="72"/>
        <v>1131.1458821147021</v>
      </c>
      <c r="K78" s="39">
        <f t="shared" si="72"/>
        <v>1129.2661580826148</v>
      </c>
      <c r="L78" s="39">
        <f t="shared" si="72"/>
        <v>1135.3018147518283</v>
      </c>
      <c r="M78" s="39">
        <f t="shared" si="72"/>
        <v>1126.1957468871155</v>
      </c>
      <c r="N78" s="39">
        <f t="shared" si="72"/>
        <v>1117.1024648383202</v>
      </c>
      <c r="O78" s="39">
        <f t="shared" si="72"/>
        <v>1125.4830967878077</v>
      </c>
      <c r="P78" s="39">
        <f t="shared" si="72"/>
        <v>1137.9810316629262</v>
      </c>
      <c r="Q78" s="39">
        <f t="shared" si="72"/>
        <v>1143.5756533720762</v>
      </c>
      <c r="R78" s="39">
        <f t="shared" si="72"/>
        <v>1152.5271911316991</v>
      </c>
      <c r="S78" s="39">
        <f t="shared" si="72"/>
        <v>1161.2609879185211</v>
      </c>
      <c r="T78" s="39">
        <f t="shared" si="72"/>
        <v>1172.0088873253419</v>
      </c>
      <c r="U78" s="39">
        <f t="shared" si="72"/>
        <v>1169.5093934324473</v>
      </c>
      <c r="V78" s="39">
        <f t="shared" si="72"/>
        <v>1164.6310376715169</v>
      </c>
      <c r="W78" s="39">
        <f t="shared" ref="W78" si="73">IF(W16=0,0,W16*1000000/W26)</f>
        <v>1185.6387978269252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3565.7379232910971</v>
      </c>
      <c r="C79" s="39">
        <f t="shared" si="65"/>
        <v>3565.7379232910971</v>
      </c>
      <c r="D79" s="39">
        <f t="shared" ref="D79:V79" si="74">IF(D17=0,0,D17*1000000/D27)</f>
        <v>3565.7379232910971</v>
      </c>
      <c r="E79" s="39">
        <f t="shared" si="74"/>
        <v>3565.7379232910971</v>
      </c>
      <c r="F79" s="39">
        <f t="shared" si="74"/>
        <v>3565.7379232910971</v>
      </c>
      <c r="G79" s="39">
        <f t="shared" si="74"/>
        <v>3410.3848041799047</v>
      </c>
      <c r="H79" s="39">
        <f t="shared" si="74"/>
        <v>3459.470097849241</v>
      </c>
      <c r="I79" s="39">
        <f t="shared" si="74"/>
        <v>3430.7350384368447</v>
      </c>
      <c r="J79" s="39">
        <f t="shared" si="74"/>
        <v>3412.0849026374003</v>
      </c>
      <c r="K79" s="39">
        <f t="shared" si="74"/>
        <v>3308.0290827296412</v>
      </c>
      <c r="L79" s="39">
        <f t="shared" si="74"/>
        <v>3225.5611104755367</v>
      </c>
      <c r="M79" s="39">
        <f t="shared" si="74"/>
        <v>3289.3184672326806</v>
      </c>
      <c r="N79" s="39">
        <f t="shared" si="74"/>
        <v>3170.2486166878857</v>
      </c>
      <c r="O79" s="39">
        <f t="shared" si="74"/>
        <v>3081.0860154416805</v>
      </c>
      <c r="P79" s="39">
        <f t="shared" si="74"/>
        <v>3161.9076905162565</v>
      </c>
      <c r="Q79" s="39">
        <f t="shared" si="74"/>
        <v>3237.0595264929898</v>
      </c>
      <c r="R79" s="39">
        <f t="shared" si="74"/>
        <v>3283.0873928763963</v>
      </c>
      <c r="S79" s="39">
        <f t="shared" si="74"/>
        <v>3318.9098796746034</v>
      </c>
      <c r="T79" s="39">
        <f t="shared" si="74"/>
        <v>3347.5861980529135</v>
      </c>
      <c r="U79" s="39">
        <f t="shared" si="74"/>
        <v>3445.6722246055579</v>
      </c>
      <c r="V79" s="39">
        <f t="shared" si="74"/>
        <v>3338.8421471011479</v>
      </c>
      <c r="W79" s="39">
        <f t="shared" ref="W79" si="75">IF(W17=0,0,W17*1000000/W27)</f>
        <v>3213.1616274254557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2029.978532585789</v>
      </c>
      <c r="C80" s="15">
        <f t="shared" si="65"/>
        <v>1022.9063058861194</v>
      </c>
      <c r="D80" s="15">
        <f t="shared" ref="D80:V80" si="76">IF(D18=0,0,D18*1000000/D28)</f>
        <v>1449.958657951787</v>
      </c>
      <c r="E80" s="15">
        <f t="shared" si="76"/>
        <v>1478.1889529435248</v>
      </c>
      <c r="F80" s="15">
        <f t="shared" si="76"/>
        <v>1497.117377477417</v>
      </c>
      <c r="G80" s="15">
        <f t="shared" si="76"/>
        <v>1589.7180308328238</v>
      </c>
      <c r="H80" s="15">
        <f t="shared" si="76"/>
        <v>1695.4698999055488</v>
      </c>
      <c r="I80" s="15">
        <f t="shared" si="76"/>
        <v>1755.5842773685624</v>
      </c>
      <c r="J80" s="15">
        <f t="shared" si="76"/>
        <v>1758.9661267446734</v>
      </c>
      <c r="K80" s="15">
        <f t="shared" si="76"/>
        <v>1639.7723558371022</v>
      </c>
      <c r="L80" s="15">
        <f t="shared" si="76"/>
        <v>1900.3207991048519</v>
      </c>
      <c r="M80" s="15">
        <f t="shared" si="76"/>
        <v>2018.2306823276108</v>
      </c>
      <c r="N80" s="15">
        <f t="shared" si="76"/>
        <v>1915.4304899535857</v>
      </c>
      <c r="O80" s="15">
        <f t="shared" si="76"/>
        <v>1988.6630510243117</v>
      </c>
      <c r="P80" s="15">
        <f t="shared" si="76"/>
        <v>2133.9416041804011</v>
      </c>
      <c r="Q80" s="15">
        <f t="shared" si="76"/>
        <v>2271.1365622345611</v>
      </c>
      <c r="R80" s="15">
        <f t="shared" si="76"/>
        <v>2508.8652641307604</v>
      </c>
      <c r="S80" s="15">
        <f t="shared" si="76"/>
        <v>2591.0239671590648</v>
      </c>
      <c r="T80" s="15">
        <f t="shared" si="76"/>
        <v>2592.6159685482858</v>
      </c>
      <c r="U80" s="15">
        <f t="shared" si="76"/>
        <v>2685.6376803394</v>
      </c>
      <c r="V80" s="15">
        <f t="shared" si="76"/>
        <v>2448.0565413520894</v>
      </c>
      <c r="W80" s="15">
        <f t="shared" ref="W80" si="77">IF(W18=0,0,W18*1000000/W28)</f>
        <v>2458.1400767195037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482.64970427125132</v>
      </c>
      <c r="C81" s="41">
        <f t="shared" si="65"/>
        <v>482.64970427125138</v>
      </c>
      <c r="D81" s="41">
        <f t="shared" ref="D81:V81" si="78">IF(D19=0,0,D19*1000000/D29)</f>
        <v>482.64970427125144</v>
      </c>
      <c r="E81" s="41">
        <f t="shared" si="78"/>
        <v>482.64970427125138</v>
      </c>
      <c r="F81" s="41">
        <f t="shared" si="78"/>
        <v>482.64970427125138</v>
      </c>
      <c r="G81" s="41">
        <f t="shared" si="78"/>
        <v>469.07603423680456</v>
      </c>
      <c r="H81" s="41">
        <f t="shared" si="78"/>
        <v>470.78178079808481</v>
      </c>
      <c r="I81" s="41">
        <f t="shared" si="78"/>
        <v>476.76002182433444</v>
      </c>
      <c r="J81" s="41">
        <f t="shared" si="78"/>
        <v>490.27812892810869</v>
      </c>
      <c r="K81" s="41">
        <f t="shared" si="78"/>
        <v>514.77778134315611</v>
      </c>
      <c r="L81" s="41">
        <f t="shared" si="78"/>
        <v>527.52752460809336</v>
      </c>
      <c r="M81" s="41">
        <f t="shared" si="78"/>
        <v>534.95779515922845</v>
      </c>
      <c r="N81" s="41">
        <f t="shared" si="78"/>
        <v>540.90663345327062</v>
      </c>
      <c r="O81" s="41">
        <f t="shared" si="78"/>
        <v>532.26874260708803</v>
      </c>
      <c r="P81" s="41">
        <f t="shared" si="78"/>
        <v>523.01725819405931</v>
      </c>
      <c r="Q81" s="41">
        <f t="shared" si="78"/>
        <v>504.84190532942148</v>
      </c>
      <c r="R81" s="41">
        <f t="shared" si="78"/>
        <v>510.97464011001404</v>
      </c>
      <c r="S81" s="41">
        <f t="shared" si="78"/>
        <v>511.77552685822707</v>
      </c>
      <c r="T81" s="41">
        <f t="shared" si="78"/>
        <v>510.07669923092908</v>
      </c>
      <c r="U81" s="41">
        <f t="shared" si="78"/>
        <v>591.6594088149908</v>
      </c>
      <c r="V81" s="41">
        <f t="shared" si="78"/>
        <v>590.04803587578772</v>
      </c>
      <c r="W81" s="41">
        <f t="shared" ref="W81" si="79">IF(W19=0,0,W19*1000000/W29)</f>
        <v>627.10543987014023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994.42249908438203</v>
      </c>
      <c r="C82" s="41">
        <f t="shared" si="65"/>
        <v>995.88786687413608</v>
      </c>
      <c r="D82" s="41">
        <f t="shared" ref="D82:V82" si="80">IF(D20=0,0,D20*1000000/D30)</f>
        <v>956.90378624470668</v>
      </c>
      <c r="E82" s="41">
        <f t="shared" si="80"/>
        <v>949.33013235171245</v>
      </c>
      <c r="F82" s="41">
        <f t="shared" si="80"/>
        <v>951.17793900879917</v>
      </c>
      <c r="G82" s="41">
        <f t="shared" si="80"/>
        <v>959.25236062090448</v>
      </c>
      <c r="H82" s="41">
        <f t="shared" si="80"/>
        <v>964.25945234682047</v>
      </c>
      <c r="I82" s="41">
        <f t="shared" si="80"/>
        <v>971.44318243836358</v>
      </c>
      <c r="J82" s="41">
        <f t="shared" si="80"/>
        <v>975.61792130814842</v>
      </c>
      <c r="K82" s="41">
        <f t="shared" si="80"/>
        <v>974.04838326315257</v>
      </c>
      <c r="L82" s="41">
        <f t="shared" si="80"/>
        <v>984.05657498520225</v>
      </c>
      <c r="M82" s="41">
        <f t="shared" si="80"/>
        <v>980.28359319119431</v>
      </c>
      <c r="N82" s="41">
        <f t="shared" si="80"/>
        <v>969.69376776963179</v>
      </c>
      <c r="O82" s="41">
        <f t="shared" si="80"/>
        <v>953.78768636210236</v>
      </c>
      <c r="P82" s="41">
        <f t="shared" si="80"/>
        <v>944.0865320592236</v>
      </c>
      <c r="Q82" s="41">
        <f t="shared" si="80"/>
        <v>928.1537464333644</v>
      </c>
      <c r="R82" s="41">
        <f t="shared" si="80"/>
        <v>913.83801879470639</v>
      </c>
      <c r="S82" s="41">
        <f t="shared" si="80"/>
        <v>900.88283221651864</v>
      </c>
      <c r="T82" s="41">
        <f t="shared" si="80"/>
        <v>892.86553613106378</v>
      </c>
      <c r="U82" s="41">
        <f t="shared" si="80"/>
        <v>886.62843642083453</v>
      </c>
      <c r="V82" s="41">
        <f t="shared" si="80"/>
        <v>890.66865728250889</v>
      </c>
      <c r="W82" s="41">
        <f t="shared" ref="W82" si="81">IF(W20=0,0,W20*1000000/W30)</f>
        <v>915.78636027870732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4864.2425339132578</v>
      </c>
      <c r="C83" s="40">
        <f t="shared" si="65"/>
        <v>4864.2425339132587</v>
      </c>
      <c r="D83" s="40">
        <f t="shared" ref="D83:V83" si="82">IF(D21=0,0,D21*1000000/D31)</f>
        <v>4864.2425339132587</v>
      </c>
      <c r="E83" s="40">
        <f t="shared" si="82"/>
        <v>4864.2425339132587</v>
      </c>
      <c r="F83" s="40">
        <f t="shared" si="82"/>
        <v>4864.2425339132587</v>
      </c>
      <c r="G83" s="40">
        <f t="shared" si="82"/>
        <v>4708.8894148020663</v>
      </c>
      <c r="H83" s="40">
        <f t="shared" si="82"/>
        <v>4899.1876638731846</v>
      </c>
      <c r="I83" s="40">
        <f t="shared" si="82"/>
        <v>5011.6655598625703</v>
      </c>
      <c r="J83" s="40">
        <f t="shared" si="82"/>
        <v>5134.2283794649102</v>
      </c>
      <c r="K83" s="40">
        <f t="shared" si="82"/>
        <v>5171.3855149589344</v>
      </c>
      <c r="L83" s="40">
        <f t="shared" si="82"/>
        <v>5230.1304981066123</v>
      </c>
      <c r="M83" s="40">
        <f t="shared" si="82"/>
        <v>4991.8078998076862</v>
      </c>
      <c r="N83" s="40">
        <f t="shared" si="82"/>
        <v>4570.6580942068222</v>
      </c>
      <c r="O83" s="40">
        <f t="shared" si="82"/>
        <v>4697.9403404917002</v>
      </c>
      <c r="P83" s="40">
        <f t="shared" si="82"/>
        <v>4995.2068630973599</v>
      </c>
      <c r="Q83" s="40">
        <f t="shared" si="82"/>
        <v>5286.8035466051779</v>
      </c>
      <c r="R83" s="40">
        <f t="shared" si="82"/>
        <v>5549.2762605196667</v>
      </c>
      <c r="S83" s="40">
        <f t="shared" si="82"/>
        <v>5801.5435948489576</v>
      </c>
      <c r="T83" s="40">
        <f t="shared" si="82"/>
        <v>6046.6647607583518</v>
      </c>
      <c r="U83" s="40">
        <f t="shared" si="82"/>
        <v>6578.3203819558776</v>
      </c>
      <c r="V83" s="40">
        <f t="shared" si="82"/>
        <v>6471.4903044514667</v>
      </c>
      <c r="W83" s="40">
        <f t="shared" ref="W83" si="83">IF(W21=0,0,W21*1000000/W31)</f>
        <v>6345.8097847757736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125153.04930360866</v>
      </c>
      <c r="C86" s="11">
        <f t="shared" si="84"/>
        <v>125974.38651446912</v>
      </c>
      <c r="D86" s="11">
        <f t="shared" ref="D86:V86" si="85">IF(D4=0,0,D4*1000000/D24)</f>
        <v>126715.64207608528</v>
      </c>
      <c r="E86" s="11">
        <f t="shared" si="85"/>
        <v>118608.25784673725</v>
      </c>
      <c r="F86" s="11">
        <f t="shared" si="85"/>
        <v>134294.25860921803</v>
      </c>
      <c r="G86" s="11">
        <f t="shared" si="85"/>
        <v>136820.10258117763</v>
      </c>
      <c r="H86" s="11">
        <f t="shared" si="85"/>
        <v>139447.67964644273</v>
      </c>
      <c r="I86" s="11">
        <f t="shared" si="85"/>
        <v>137972.28815929018</v>
      </c>
      <c r="J86" s="11">
        <f t="shared" si="85"/>
        <v>141575.20989572295</v>
      </c>
      <c r="K86" s="11">
        <f t="shared" si="85"/>
        <v>142484.5059233621</v>
      </c>
      <c r="L86" s="11">
        <f t="shared" si="85"/>
        <v>151092.82738353725</v>
      </c>
      <c r="M86" s="11">
        <f t="shared" si="85"/>
        <v>156338.16122359157</v>
      </c>
      <c r="N86" s="11">
        <f t="shared" si="85"/>
        <v>161246.67148309282</v>
      </c>
      <c r="O86" s="11">
        <f t="shared" si="85"/>
        <v>169657.7679582925</v>
      </c>
      <c r="P86" s="11">
        <f t="shared" si="85"/>
        <v>179321.91222852599</v>
      </c>
      <c r="Q86" s="11">
        <f t="shared" si="85"/>
        <v>181581.43248326701</v>
      </c>
      <c r="R86" s="11">
        <f t="shared" si="85"/>
        <v>186460.83121746543</v>
      </c>
      <c r="S86" s="11">
        <f t="shared" si="85"/>
        <v>196179.85261477542</v>
      </c>
      <c r="T86" s="11">
        <f t="shared" si="85"/>
        <v>205626.99951136854</v>
      </c>
      <c r="U86" s="11">
        <f t="shared" si="85"/>
        <v>213441.73523197806</v>
      </c>
      <c r="V86" s="11">
        <f t="shared" si="85"/>
        <v>138830.41138567808</v>
      </c>
      <c r="W86" s="11">
        <f t="shared" ref="W86" si="86">IF(W4=0,0,W4*1000000/W24)</f>
        <v>135161.32596818573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52201.054765570429</v>
      </c>
      <c r="C87" s="36">
        <f t="shared" si="84"/>
        <v>52719.781631995807</v>
      </c>
      <c r="D87" s="36">
        <f t="shared" ref="D87:V87" si="87">IF(D5=0,0,D5*1000000/D25)</f>
        <v>53370.935013152484</v>
      </c>
      <c r="E87" s="36">
        <f t="shared" si="87"/>
        <v>52266.833182405935</v>
      </c>
      <c r="F87" s="36">
        <f t="shared" si="87"/>
        <v>54697.385933128789</v>
      </c>
      <c r="G87" s="36">
        <f t="shared" si="87"/>
        <v>54573.228585355282</v>
      </c>
      <c r="H87" s="36">
        <f t="shared" si="87"/>
        <v>54527.96774168509</v>
      </c>
      <c r="I87" s="36">
        <f t="shared" si="87"/>
        <v>54912.242987943217</v>
      </c>
      <c r="J87" s="36">
        <f t="shared" si="87"/>
        <v>57738.447962829792</v>
      </c>
      <c r="K87" s="36">
        <f t="shared" si="87"/>
        <v>61554.788232457955</v>
      </c>
      <c r="L87" s="36">
        <f t="shared" si="87"/>
        <v>66317.993809047621</v>
      </c>
      <c r="M87" s="36">
        <f t="shared" si="87"/>
        <v>70867.049677212402</v>
      </c>
      <c r="N87" s="36">
        <f t="shared" si="87"/>
        <v>71030.300656735999</v>
      </c>
      <c r="O87" s="36">
        <f t="shared" si="87"/>
        <v>74630.875121353136</v>
      </c>
      <c r="P87" s="36">
        <f t="shared" si="87"/>
        <v>76883.032093096932</v>
      </c>
      <c r="Q87" s="36">
        <f t="shared" si="87"/>
        <v>81166.158609046804</v>
      </c>
      <c r="R87" s="36">
        <f t="shared" si="87"/>
        <v>84582.038498613561</v>
      </c>
      <c r="S87" s="36">
        <f t="shared" si="87"/>
        <v>87029.094998061584</v>
      </c>
      <c r="T87" s="36">
        <f t="shared" si="87"/>
        <v>89603.497787367567</v>
      </c>
      <c r="U87" s="36">
        <f t="shared" si="87"/>
        <v>89996.38675803307</v>
      </c>
      <c r="V87" s="36">
        <f t="shared" si="87"/>
        <v>69984.676326804605</v>
      </c>
      <c r="W87" s="36">
        <f t="shared" ref="W87" si="88">IF(W5=0,0,W5*1000000/W25)</f>
        <v>87423.578278632835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108532.74354104367</v>
      </c>
      <c r="C88" s="36">
        <f t="shared" si="84"/>
        <v>110097.26305283164</v>
      </c>
      <c r="D88" s="36">
        <f t="shared" ref="D88:V88" si="89">IF(D6=0,0,D6*1000000/D26)</f>
        <v>110608.36017852154</v>
      </c>
      <c r="E88" s="36">
        <f t="shared" si="89"/>
        <v>105224.84648999633</v>
      </c>
      <c r="F88" s="36">
        <f t="shared" si="89"/>
        <v>112680.90174010507</v>
      </c>
      <c r="G88" s="36">
        <f t="shared" si="89"/>
        <v>117427.18036961688</v>
      </c>
      <c r="H88" s="36">
        <f t="shared" si="89"/>
        <v>119224.50798427024</v>
      </c>
      <c r="I88" s="36">
        <f t="shared" si="89"/>
        <v>114908.11614177954</v>
      </c>
      <c r="J88" s="36">
        <f t="shared" si="89"/>
        <v>115145.98788881216</v>
      </c>
      <c r="K88" s="36">
        <f t="shared" si="89"/>
        <v>117775.49219899763</v>
      </c>
      <c r="L88" s="36">
        <f t="shared" si="89"/>
        <v>121828.04750952807</v>
      </c>
      <c r="M88" s="36">
        <f t="shared" si="89"/>
        <v>131237.52993427491</v>
      </c>
      <c r="N88" s="36">
        <f t="shared" si="89"/>
        <v>133112.38961508157</v>
      </c>
      <c r="O88" s="36">
        <f t="shared" si="89"/>
        <v>139557.32758164647</v>
      </c>
      <c r="P88" s="36">
        <f t="shared" si="89"/>
        <v>144655.52375274381</v>
      </c>
      <c r="Q88" s="36">
        <f t="shared" si="89"/>
        <v>146844.05089395234</v>
      </c>
      <c r="R88" s="36">
        <f t="shared" si="89"/>
        <v>150483.20942933438</v>
      </c>
      <c r="S88" s="36">
        <f t="shared" si="89"/>
        <v>157199.32327856414</v>
      </c>
      <c r="T88" s="36">
        <f t="shared" si="89"/>
        <v>161016.18181393819</v>
      </c>
      <c r="U88" s="36">
        <f t="shared" si="89"/>
        <v>163239.51512474648</v>
      </c>
      <c r="V88" s="36">
        <f t="shared" si="89"/>
        <v>120067.03261225745</v>
      </c>
      <c r="W88" s="36">
        <f t="shared" ref="W88" si="90">IF(W6=0,0,W6*1000000/W26)</f>
        <v>126037.07495459547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567465.76031961839</v>
      </c>
      <c r="C89" s="36">
        <f t="shared" si="84"/>
        <v>570248.81057610374</v>
      </c>
      <c r="D89" s="36">
        <f t="shared" ref="D89:V89" si="91">IF(D7=0,0,D7*1000000/D27)</f>
        <v>573043.28411333659</v>
      </c>
      <c r="E89" s="36">
        <f t="shared" si="91"/>
        <v>526100.43426049734</v>
      </c>
      <c r="F89" s="36">
        <f t="shared" si="91"/>
        <v>583466.22815384297</v>
      </c>
      <c r="G89" s="36">
        <f t="shared" si="91"/>
        <v>541200.66614100535</v>
      </c>
      <c r="H89" s="36">
        <f t="shared" si="91"/>
        <v>573328.13692952704</v>
      </c>
      <c r="I89" s="36">
        <f t="shared" si="91"/>
        <v>579352.07319172053</v>
      </c>
      <c r="J89" s="36">
        <f t="shared" si="91"/>
        <v>579546.38735766977</v>
      </c>
      <c r="K89" s="36">
        <f t="shared" si="91"/>
        <v>568092.35317387222</v>
      </c>
      <c r="L89" s="36">
        <f t="shared" si="91"/>
        <v>568872.73392868938</v>
      </c>
      <c r="M89" s="36">
        <f t="shared" si="91"/>
        <v>575175.36958181963</v>
      </c>
      <c r="N89" s="36">
        <f t="shared" si="91"/>
        <v>559295.58788734931</v>
      </c>
      <c r="O89" s="36">
        <f t="shared" si="91"/>
        <v>547556.1944136048</v>
      </c>
      <c r="P89" s="36">
        <f t="shared" si="91"/>
        <v>574099.39119506883</v>
      </c>
      <c r="Q89" s="36">
        <f t="shared" si="91"/>
        <v>594103.46937540954</v>
      </c>
      <c r="R89" s="36">
        <f t="shared" si="91"/>
        <v>604202.13666130544</v>
      </c>
      <c r="S89" s="36">
        <f t="shared" si="91"/>
        <v>631061.07620470726</v>
      </c>
      <c r="T89" s="36">
        <f t="shared" si="91"/>
        <v>634211.5486064977</v>
      </c>
      <c r="U89" s="36">
        <f t="shared" si="91"/>
        <v>661841.32506549661</v>
      </c>
      <c r="V89" s="36">
        <f t="shared" si="91"/>
        <v>450731.49478244904</v>
      </c>
      <c r="W89" s="36">
        <f t="shared" ref="W89" si="92">IF(W7=0,0,W7*1000000/W27)</f>
        <v>356208.59557820362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146312.73744329315</v>
      </c>
      <c r="C90" s="13">
        <f t="shared" si="84"/>
        <v>55180.543130123348</v>
      </c>
      <c r="D90" s="13">
        <f t="shared" ref="D90:V90" si="93">IF(D8=0,0,D8*1000000/D28)</f>
        <v>86838.470130800619</v>
      </c>
      <c r="E90" s="13">
        <f t="shared" si="93"/>
        <v>83134.139945723</v>
      </c>
      <c r="F90" s="13">
        <f t="shared" si="93"/>
        <v>80485.118405168047</v>
      </c>
      <c r="G90" s="13">
        <f t="shared" si="93"/>
        <v>83790.356940460697</v>
      </c>
      <c r="H90" s="13">
        <f t="shared" si="93"/>
        <v>87510.970540878392</v>
      </c>
      <c r="I90" s="13">
        <f t="shared" si="93"/>
        <v>90054.196230797199</v>
      </c>
      <c r="J90" s="13">
        <f t="shared" si="93"/>
        <v>87511.700514109893</v>
      </c>
      <c r="K90" s="13">
        <f t="shared" si="93"/>
        <v>86290.827335046968</v>
      </c>
      <c r="L90" s="13">
        <f t="shared" si="93"/>
        <v>110512.46689448223</v>
      </c>
      <c r="M90" s="13">
        <f t="shared" si="93"/>
        <v>125510.20306279884</v>
      </c>
      <c r="N90" s="13">
        <f t="shared" si="93"/>
        <v>126297.55928673873</v>
      </c>
      <c r="O90" s="13">
        <f t="shared" si="93"/>
        <v>133388.3843144436</v>
      </c>
      <c r="P90" s="13">
        <f t="shared" si="93"/>
        <v>166099.68879134199</v>
      </c>
      <c r="Q90" s="13">
        <f t="shared" si="93"/>
        <v>178222.93804284395</v>
      </c>
      <c r="R90" s="13">
        <f t="shared" si="93"/>
        <v>220537.70118701953</v>
      </c>
      <c r="S90" s="13">
        <f t="shared" si="93"/>
        <v>223949.46243109112</v>
      </c>
      <c r="T90" s="13">
        <f t="shared" si="93"/>
        <v>225877.25458708056</v>
      </c>
      <c r="U90" s="13">
        <f t="shared" si="93"/>
        <v>241865.01065254654</v>
      </c>
      <c r="V90" s="13">
        <f t="shared" si="93"/>
        <v>157176.70229765814</v>
      </c>
      <c r="W90" s="13">
        <f t="shared" ref="W90" si="94">IF(W8=0,0,W8*1000000/W28)</f>
        <v>135952.28718623161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4946.6970887523312</v>
      </c>
      <c r="C91" s="34">
        <f t="shared" si="84"/>
        <v>4908.9802498541758</v>
      </c>
      <c r="D91" s="34">
        <f t="shared" ref="D91:V91" si="95">IF(D9=0,0,D9*1000000/D29)</f>
        <v>5048.0469791462292</v>
      </c>
      <c r="E91" s="34">
        <f t="shared" si="95"/>
        <v>5369.5441546114034</v>
      </c>
      <c r="F91" s="34">
        <f t="shared" si="95"/>
        <v>5056.2749809350853</v>
      </c>
      <c r="G91" s="34">
        <f t="shared" si="95"/>
        <v>4809.0695199131087</v>
      </c>
      <c r="H91" s="34">
        <f t="shared" si="95"/>
        <v>4642.6346720065294</v>
      </c>
      <c r="I91" s="34">
        <f t="shared" si="95"/>
        <v>4684.1327224759098</v>
      </c>
      <c r="J91" s="34">
        <f t="shared" si="95"/>
        <v>4634.3475044133856</v>
      </c>
      <c r="K91" s="34">
        <f t="shared" si="95"/>
        <v>4907.9656726051717</v>
      </c>
      <c r="L91" s="34">
        <f t="shared" si="95"/>
        <v>5379.372924607178</v>
      </c>
      <c r="M91" s="34">
        <f t="shared" si="95"/>
        <v>6056.8929338088974</v>
      </c>
      <c r="N91" s="34">
        <f t="shared" si="95"/>
        <v>6285.4617883157389</v>
      </c>
      <c r="O91" s="34">
        <f t="shared" si="95"/>
        <v>6386.4544931970913</v>
      </c>
      <c r="P91" s="34">
        <f t="shared" si="95"/>
        <v>6962.4570429030255</v>
      </c>
      <c r="Q91" s="34">
        <f t="shared" si="95"/>
        <v>7072.7860940904648</v>
      </c>
      <c r="R91" s="34">
        <f t="shared" si="95"/>
        <v>8200.7777066859944</v>
      </c>
      <c r="S91" s="34">
        <f t="shared" si="95"/>
        <v>7530.5161710871507</v>
      </c>
      <c r="T91" s="34">
        <f t="shared" si="95"/>
        <v>7589.2715561814339</v>
      </c>
      <c r="U91" s="34">
        <f t="shared" si="95"/>
        <v>9690.5989130232501</v>
      </c>
      <c r="V91" s="34">
        <f t="shared" si="95"/>
        <v>9025.9294560196995</v>
      </c>
      <c r="W91" s="34">
        <f t="shared" ref="W91" si="96">IF(W9=0,0,W9*1000000/W29)</f>
        <v>9613.6987883904021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22651.666659389844</v>
      </c>
      <c r="C92" s="34">
        <f t="shared" si="84"/>
        <v>23994.828800111129</v>
      </c>
      <c r="D92" s="34">
        <f t="shared" ref="D92:V92" si="97">IF(D10=0,0,D10*1000000/D30)</f>
        <v>22765.683678992616</v>
      </c>
      <c r="E92" s="34">
        <f t="shared" si="97"/>
        <v>23357.951720602367</v>
      </c>
      <c r="F92" s="34">
        <f t="shared" si="97"/>
        <v>21172.230172316831</v>
      </c>
      <c r="G92" s="34">
        <f t="shared" si="97"/>
        <v>20890.780753957319</v>
      </c>
      <c r="H92" s="34">
        <f t="shared" si="97"/>
        <v>17820.279844107037</v>
      </c>
      <c r="I92" s="34">
        <f t="shared" si="97"/>
        <v>17323.289028716768</v>
      </c>
      <c r="J92" s="34">
        <f t="shared" si="97"/>
        <v>16885.656566410591</v>
      </c>
      <c r="K92" s="34">
        <f t="shared" si="97"/>
        <v>17221.18062676378</v>
      </c>
      <c r="L92" s="34">
        <f t="shared" si="97"/>
        <v>17638.458896538399</v>
      </c>
      <c r="M92" s="34">
        <f t="shared" si="97"/>
        <v>18620.742496847412</v>
      </c>
      <c r="N92" s="34">
        <f t="shared" si="97"/>
        <v>20064.281770003097</v>
      </c>
      <c r="O92" s="34">
        <f t="shared" si="97"/>
        <v>19584.992674698453</v>
      </c>
      <c r="P92" s="34">
        <f t="shared" si="97"/>
        <v>22352.404384235237</v>
      </c>
      <c r="Q92" s="34">
        <f t="shared" si="97"/>
        <v>21836.148662187752</v>
      </c>
      <c r="R92" s="34">
        <f t="shared" si="97"/>
        <v>23795.740983151805</v>
      </c>
      <c r="S92" s="34">
        <f t="shared" si="97"/>
        <v>21577.314827438506</v>
      </c>
      <c r="T92" s="34">
        <f t="shared" si="97"/>
        <v>21618.86226498456</v>
      </c>
      <c r="U92" s="34">
        <f t="shared" si="97"/>
        <v>22480.536667074542</v>
      </c>
      <c r="V92" s="34">
        <f t="shared" si="97"/>
        <v>18820.026710435741</v>
      </c>
      <c r="W92" s="34">
        <f t="shared" ref="W92" si="98">IF(W10=0,0,W10*1000000/W30)</f>
        <v>17889.340852838992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434176.69526773336</v>
      </c>
      <c r="C93" s="35">
        <f t="shared" si="84"/>
        <v>454829.97010271478</v>
      </c>
      <c r="D93" s="35">
        <f t="shared" ref="D93:V93" si="99">IF(D11=0,0,D11*1000000/D31)</f>
        <v>429551.37483817845</v>
      </c>
      <c r="E93" s="35">
        <f t="shared" si="99"/>
        <v>390364.9875203683</v>
      </c>
      <c r="F93" s="35">
        <f t="shared" si="99"/>
        <v>378919.93241274421</v>
      </c>
      <c r="G93" s="35">
        <f t="shared" si="99"/>
        <v>344971.36526987114</v>
      </c>
      <c r="H93" s="35">
        <f t="shared" si="99"/>
        <v>346956.05117451586</v>
      </c>
      <c r="I93" s="35">
        <f t="shared" si="99"/>
        <v>349009.96075882483</v>
      </c>
      <c r="J93" s="35">
        <f t="shared" si="99"/>
        <v>350331.93179534137</v>
      </c>
      <c r="K93" s="35">
        <f t="shared" si="99"/>
        <v>397953.97352173034</v>
      </c>
      <c r="L93" s="35">
        <f t="shared" si="99"/>
        <v>409177.30269095051</v>
      </c>
      <c r="M93" s="35">
        <f t="shared" si="99"/>
        <v>401820.127467193</v>
      </c>
      <c r="N93" s="35">
        <f t="shared" si="99"/>
        <v>397354.59751601366</v>
      </c>
      <c r="O93" s="35">
        <f t="shared" si="99"/>
        <v>407605.22764022159</v>
      </c>
      <c r="P93" s="35">
        <f t="shared" si="99"/>
        <v>488858.65001066372</v>
      </c>
      <c r="Q93" s="35">
        <f t="shared" si="99"/>
        <v>510391.46569980821</v>
      </c>
      <c r="R93" s="35">
        <f t="shared" si="99"/>
        <v>580902.04385235824</v>
      </c>
      <c r="S93" s="35">
        <f t="shared" si="99"/>
        <v>594576.86013749952</v>
      </c>
      <c r="T93" s="35">
        <f t="shared" si="99"/>
        <v>626256.7033691844</v>
      </c>
      <c r="U93" s="35">
        <f t="shared" si="99"/>
        <v>705695.21164136496</v>
      </c>
      <c r="V93" s="35">
        <f t="shared" si="99"/>
        <v>505786.81936893624</v>
      </c>
      <c r="W93" s="35">
        <f t="shared" ref="W93" si="100">IF(W11=0,0,W11*1000000/W31)</f>
        <v>426165.61379337689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1287.1595134041004</v>
      </c>
      <c r="C95" s="62">
        <f t="shared" si="101"/>
        <v>1279.7089811788576</v>
      </c>
      <c r="D95" s="62">
        <f t="shared" ref="D95:V95" si="102">IF(D23=0,0,D23/D43)</f>
        <v>1288.6871324540646</v>
      </c>
      <c r="E95" s="62">
        <f t="shared" si="102"/>
        <v>1292.4523705808469</v>
      </c>
      <c r="F95" s="62">
        <f t="shared" si="102"/>
        <v>1261.1100302972402</v>
      </c>
      <c r="G95" s="62">
        <f t="shared" si="102"/>
        <v>1246.9360738116991</v>
      </c>
      <c r="H95" s="62">
        <f t="shared" si="102"/>
        <v>1249.5473403674841</v>
      </c>
      <c r="I95" s="62">
        <f t="shared" si="102"/>
        <v>1250.6193369596006</v>
      </c>
      <c r="J95" s="62">
        <f t="shared" si="102"/>
        <v>1235.9391865408616</v>
      </c>
      <c r="K95" s="62">
        <f t="shared" si="102"/>
        <v>1241.4158343475056</v>
      </c>
      <c r="L95" s="62">
        <f t="shared" si="102"/>
        <v>1229.0445003800837</v>
      </c>
      <c r="M95" s="62">
        <f t="shared" si="102"/>
        <v>1230.9053707215976</v>
      </c>
      <c r="N95" s="62">
        <f t="shared" si="102"/>
        <v>1219.0193779292342</v>
      </c>
      <c r="O95" s="62">
        <f t="shared" si="102"/>
        <v>1203.0788956269437</v>
      </c>
      <c r="P95" s="62">
        <f t="shared" si="102"/>
        <v>1178.6987734690945</v>
      </c>
      <c r="Q95" s="62">
        <f t="shared" si="102"/>
        <v>1182.420218311162</v>
      </c>
      <c r="R95" s="62">
        <f t="shared" si="102"/>
        <v>1170.1349587737789</v>
      </c>
      <c r="S95" s="62">
        <f t="shared" si="102"/>
        <v>1156.5729776558585</v>
      </c>
      <c r="T95" s="62">
        <f t="shared" si="102"/>
        <v>1132.4521675038279</v>
      </c>
      <c r="U95" s="62">
        <f t="shared" si="102"/>
        <v>1116.3511335713556</v>
      </c>
      <c r="V95" s="62">
        <f t="shared" si="102"/>
        <v>468.09947403498427</v>
      </c>
      <c r="W95" s="62">
        <f t="shared" ref="W95" si="103">IF(W23=0,0,W23/W43)</f>
        <v>657.98932186067395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1312.0038221624925</v>
      </c>
      <c r="C96" s="11">
        <f t="shared" si="104"/>
        <v>1313.9146233525976</v>
      </c>
      <c r="D96" s="11">
        <f t="shared" ref="D96:V96" si="105">IF(D24=0,0,D24/D44)</f>
        <v>1314.2729935868231</v>
      </c>
      <c r="E96" s="11">
        <f t="shared" si="105"/>
        <v>1315.5226020978043</v>
      </c>
      <c r="F96" s="11">
        <f t="shared" si="105"/>
        <v>1284.0614413311403</v>
      </c>
      <c r="G96" s="11">
        <f t="shared" si="105"/>
        <v>1271.4713648998218</v>
      </c>
      <c r="H96" s="11">
        <f t="shared" si="105"/>
        <v>1277.1059853345209</v>
      </c>
      <c r="I96" s="11">
        <f t="shared" si="105"/>
        <v>1279.5181625939647</v>
      </c>
      <c r="J96" s="11">
        <f t="shared" si="105"/>
        <v>1266.8979562671216</v>
      </c>
      <c r="K96" s="11">
        <f t="shared" si="105"/>
        <v>1275.9666674377045</v>
      </c>
      <c r="L96" s="11">
        <f t="shared" si="105"/>
        <v>1259.4411528380308</v>
      </c>
      <c r="M96" s="11">
        <f t="shared" si="105"/>
        <v>1263.8963765779622</v>
      </c>
      <c r="N96" s="11">
        <f t="shared" si="105"/>
        <v>1251.8606702109396</v>
      </c>
      <c r="O96" s="11">
        <f t="shared" si="105"/>
        <v>1233.4841589999053</v>
      </c>
      <c r="P96" s="11">
        <f t="shared" si="105"/>
        <v>1209.4455699986356</v>
      </c>
      <c r="Q96" s="11">
        <f t="shared" si="105"/>
        <v>1213.6066922691077</v>
      </c>
      <c r="R96" s="11">
        <f t="shared" si="105"/>
        <v>1202.2322896958765</v>
      </c>
      <c r="S96" s="11">
        <f t="shared" si="105"/>
        <v>1187.6527587330504</v>
      </c>
      <c r="T96" s="11">
        <f t="shared" si="105"/>
        <v>1158.9737164662438</v>
      </c>
      <c r="U96" s="11">
        <f t="shared" si="105"/>
        <v>1140.9284152825744</v>
      </c>
      <c r="V96" s="11">
        <f t="shared" si="105"/>
        <v>462.5448624972762</v>
      </c>
      <c r="W96" s="11">
        <f t="shared" ref="W96" si="106">IF(W24=0,0,W24/W44)</f>
        <v>660.64197880273878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1923</v>
      </c>
      <c r="C97" s="36">
        <f t="shared" si="104"/>
        <v>1923</v>
      </c>
      <c r="D97" s="36">
        <f t="shared" ref="D97:V97" si="107">IF(D25=0,0,D25/D45)</f>
        <v>1923</v>
      </c>
      <c r="E97" s="36">
        <f t="shared" si="107"/>
        <v>1922.9999999999998</v>
      </c>
      <c r="F97" s="36">
        <f t="shared" si="107"/>
        <v>1923</v>
      </c>
      <c r="G97" s="36">
        <f t="shared" si="107"/>
        <v>1940.0000000000002</v>
      </c>
      <c r="H97" s="36">
        <f t="shared" si="107"/>
        <v>1944</v>
      </c>
      <c r="I97" s="36">
        <f t="shared" si="107"/>
        <v>1943</v>
      </c>
      <c r="J97" s="36">
        <f t="shared" si="107"/>
        <v>1932</v>
      </c>
      <c r="K97" s="36">
        <f t="shared" si="107"/>
        <v>1907.0000000000002</v>
      </c>
      <c r="L97" s="36">
        <f t="shared" si="107"/>
        <v>1897.9999999999998</v>
      </c>
      <c r="M97" s="36">
        <f t="shared" si="107"/>
        <v>1906.0000000000002</v>
      </c>
      <c r="N97" s="36">
        <f t="shared" si="107"/>
        <v>1915</v>
      </c>
      <c r="O97" s="36">
        <f t="shared" si="107"/>
        <v>1911.9999999999998</v>
      </c>
      <c r="P97" s="36">
        <f t="shared" si="107"/>
        <v>1910</v>
      </c>
      <c r="Q97" s="36">
        <f t="shared" si="107"/>
        <v>1919</v>
      </c>
      <c r="R97" s="36">
        <f t="shared" si="107"/>
        <v>1898</v>
      </c>
      <c r="S97" s="36">
        <f t="shared" si="107"/>
        <v>1884</v>
      </c>
      <c r="T97" s="36">
        <f t="shared" si="107"/>
        <v>1872.0000000000002</v>
      </c>
      <c r="U97" s="36">
        <f t="shared" si="107"/>
        <v>1861</v>
      </c>
      <c r="V97" s="36">
        <f t="shared" si="107"/>
        <v>1009.2746048645373</v>
      </c>
      <c r="W97" s="36">
        <f t="shared" ref="W97" si="108">IF(W25=0,0,W25/W45)</f>
        <v>1535.0558221426104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1345.7106409118298</v>
      </c>
      <c r="C98" s="36">
        <f t="shared" si="104"/>
        <v>1345.7112426126171</v>
      </c>
      <c r="D98" s="36">
        <f t="shared" ref="D98:V98" si="109">IF(D26=0,0,D26/D46)</f>
        <v>1345.7122657682894</v>
      </c>
      <c r="E98" s="36">
        <f t="shared" si="109"/>
        <v>1340.2440376541467</v>
      </c>
      <c r="F98" s="36">
        <f t="shared" si="109"/>
        <v>1339.6588310905245</v>
      </c>
      <c r="G98" s="36">
        <f t="shared" si="109"/>
        <v>1333.0683697220263</v>
      </c>
      <c r="H98" s="36">
        <f t="shared" si="109"/>
        <v>1335.5045913579186</v>
      </c>
      <c r="I98" s="36">
        <f t="shared" si="109"/>
        <v>1331.260939459477</v>
      </c>
      <c r="J98" s="36">
        <f t="shared" si="109"/>
        <v>1325.2289521177909</v>
      </c>
      <c r="K98" s="36">
        <f t="shared" si="109"/>
        <v>1327.9664084332207</v>
      </c>
      <c r="L98" s="36">
        <f t="shared" si="109"/>
        <v>1326.7875588867671</v>
      </c>
      <c r="M98" s="36">
        <f t="shared" si="109"/>
        <v>1331.8125931803681</v>
      </c>
      <c r="N98" s="36">
        <f t="shared" si="109"/>
        <v>1338.2112658391409</v>
      </c>
      <c r="O98" s="36">
        <f t="shared" si="109"/>
        <v>1333.6292573136195</v>
      </c>
      <c r="P98" s="36">
        <f t="shared" si="109"/>
        <v>1325.8041372676144</v>
      </c>
      <c r="Q98" s="36">
        <f t="shared" si="109"/>
        <v>1320.5199165179358</v>
      </c>
      <c r="R98" s="36">
        <f t="shared" si="109"/>
        <v>1316.8872280076473</v>
      </c>
      <c r="S98" s="36">
        <f t="shared" si="109"/>
        <v>1313.2812287489148</v>
      </c>
      <c r="T98" s="36">
        <f t="shared" si="109"/>
        <v>1307.8349050105846</v>
      </c>
      <c r="U98" s="36">
        <f t="shared" si="109"/>
        <v>1309.6933123323456</v>
      </c>
      <c r="V98" s="36">
        <f t="shared" si="109"/>
        <v>440.54416558482563</v>
      </c>
      <c r="W98" s="36">
        <f t="shared" ref="W98" si="110">IF(W26=0,0,W26/W46)</f>
        <v>613.72843949741161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480</v>
      </c>
      <c r="C99" s="36">
        <f t="shared" si="104"/>
        <v>480</v>
      </c>
      <c r="D99" s="36">
        <f t="shared" ref="D99:V99" si="111">IF(D27=0,0,D27/D47)</f>
        <v>480</v>
      </c>
      <c r="E99" s="36">
        <f t="shared" si="111"/>
        <v>480</v>
      </c>
      <c r="F99" s="36">
        <f t="shared" si="111"/>
        <v>480</v>
      </c>
      <c r="G99" s="36">
        <f t="shared" si="111"/>
        <v>497</v>
      </c>
      <c r="H99" s="36">
        <f t="shared" si="111"/>
        <v>491</v>
      </c>
      <c r="I99" s="36">
        <f t="shared" si="111"/>
        <v>494</v>
      </c>
      <c r="J99" s="36">
        <f t="shared" si="111"/>
        <v>496.99999999999994</v>
      </c>
      <c r="K99" s="36">
        <f t="shared" si="111"/>
        <v>509</v>
      </c>
      <c r="L99" s="36">
        <f t="shared" si="111"/>
        <v>519</v>
      </c>
      <c r="M99" s="36">
        <f t="shared" si="111"/>
        <v>511.00000000000006</v>
      </c>
      <c r="N99" s="36">
        <f t="shared" si="111"/>
        <v>526</v>
      </c>
      <c r="O99" s="36">
        <f t="shared" si="111"/>
        <v>538</v>
      </c>
      <c r="P99" s="36">
        <f t="shared" si="111"/>
        <v>527</v>
      </c>
      <c r="Q99" s="36">
        <f t="shared" si="111"/>
        <v>517</v>
      </c>
      <c r="R99" s="36">
        <f t="shared" si="111"/>
        <v>512</v>
      </c>
      <c r="S99" s="36">
        <f t="shared" si="111"/>
        <v>507</v>
      </c>
      <c r="T99" s="36">
        <f t="shared" si="111"/>
        <v>504</v>
      </c>
      <c r="U99" s="36">
        <f t="shared" si="111"/>
        <v>493.00000000000006</v>
      </c>
      <c r="V99" s="36">
        <f t="shared" si="111"/>
        <v>164.04912352690704</v>
      </c>
      <c r="W99" s="36">
        <f t="shared" ref="W99" si="112">IF(W27=0,0,W27/W47)</f>
        <v>218.71371742163348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691.66931208622862</v>
      </c>
      <c r="C100" s="13">
        <f t="shared" si="104"/>
        <v>581.94855105486897</v>
      </c>
      <c r="D100" s="13">
        <f t="shared" ref="D100:V100" si="113">IF(D28=0,0,D28/D48)</f>
        <v>817.20777120414641</v>
      </c>
      <c r="E100" s="13">
        <f t="shared" si="113"/>
        <v>840.79515910169914</v>
      </c>
      <c r="F100" s="13">
        <f t="shared" si="113"/>
        <v>836.52868890601383</v>
      </c>
      <c r="G100" s="13">
        <f t="shared" si="113"/>
        <v>807.40406842631535</v>
      </c>
      <c r="H100" s="13">
        <f t="shared" si="113"/>
        <v>777.84548186456846</v>
      </c>
      <c r="I100" s="13">
        <f t="shared" si="113"/>
        <v>761.93453072965553</v>
      </c>
      <c r="J100" s="13">
        <f t="shared" si="113"/>
        <v>714.67384572132823</v>
      </c>
      <c r="K100" s="13">
        <f t="shared" si="113"/>
        <v>657.80814341192593</v>
      </c>
      <c r="L100" s="13">
        <f t="shared" si="113"/>
        <v>679.88097308655779</v>
      </c>
      <c r="M100" s="13">
        <f t="shared" si="113"/>
        <v>640.40059212914855</v>
      </c>
      <c r="N100" s="13">
        <f t="shared" si="113"/>
        <v>609.09016865185345</v>
      </c>
      <c r="O100" s="13">
        <f t="shared" si="113"/>
        <v>637.30513125589198</v>
      </c>
      <c r="P100" s="13">
        <f t="shared" si="113"/>
        <v>597.21657173405958</v>
      </c>
      <c r="Q100" s="13">
        <f t="shared" si="113"/>
        <v>607.05012561301442</v>
      </c>
      <c r="R100" s="13">
        <f t="shared" si="113"/>
        <v>555.28982758085715</v>
      </c>
      <c r="S100" s="13">
        <f t="shared" si="113"/>
        <v>574.67807041072638</v>
      </c>
      <c r="T100" s="13">
        <f t="shared" si="113"/>
        <v>589.04986017448471</v>
      </c>
      <c r="U100" s="13">
        <f t="shared" si="113"/>
        <v>577.77960937807552</v>
      </c>
      <c r="V100" s="13">
        <f t="shared" si="113"/>
        <v>584.52448260051392</v>
      </c>
      <c r="W100" s="13">
        <f t="shared" ref="W100" si="114">IF(W28=0,0,W28/W48)</f>
        <v>613.51913488020966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1328</v>
      </c>
      <c r="C101" s="34">
        <f t="shared" si="104"/>
        <v>1328</v>
      </c>
      <c r="D101" s="34">
        <f t="shared" ref="D101:V101" si="115">IF(D29=0,0,D29/D49)</f>
        <v>1190.1287744809065</v>
      </c>
      <c r="E101" s="34">
        <f t="shared" si="115"/>
        <v>1328</v>
      </c>
      <c r="F101" s="34">
        <f t="shared" si="115"/>
        <v>1328</v>
      </c>
      <c r="G101" s="34">
        <f t="shared" si="115"/>
        <v>1336</v>
      </c>
      <c r="H101" s="34">
        <f t="shared" si="115"/>
        <v>1335</v>
      </c>
      <c r="I101" s="34">
        <f t="shared" si="115"/>
        <v>1331</v>
      </c>
      <c r="J101" s="34">
        <f t="shared" si="115"/>
        <v>1233.2125741832397</v>
      </c>
      <c r="K101" s="34">
        <f t="shared" si="115"/>
        <v>1154.4720602472239</v>
      </c>
      <c r="L101" s="34">
        <f t="shared" si="115"/>
        <v>1170.2292661088068</v>
      </c>
      <c r="M101" s="34">
        <f t="shared" si="115"/>
        <v>1102.542829538693</v>
      </c>
      <c r="N101" s="34">
        <f t="shared" si="115"/>
        <v>948.06325984744456</v>
      </c>
      <c r="O101" s="34">
        <f t="shared" si="115"/>
        <v>964.80790125052408</v>
      </c>
      <c r="P101" s="34">
        <f t="shared" si="115"/>
        <v>915.47619931075644</v>
      </c>
      <c r="Q101" s="34">
        <f t="shared" si="115"/>
        <v>968.62106996543025</v>
      </c>
      <c r="R101" s="34">
        <f t="shared" si="115"/>
        <v>855.66433917918948</v>
      </c>
      <c r="S101" s="34">
        <f t="shared" si="115"/>
        <v>1056.3821496822702</v>
      </c>
      <c r="T101" s="34">
        <f t="shared" si="115"/>
        <v>1266.7588491084521</v>
      </c>
      <c r="U101" s="34">
        <f t="shared" si="115"/>
        <v>1263</v>
      </c>
      <c r="V101" s="34">
        <f t="shared" si="115"/>
        <v>1264</v>
      </c>
      <c r="W101" s="34">
        <f t="shared" ref="W101" si="116">IF(W29=0,0,W29/W49)</f>
        <v>1243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1070.4082753916982</v>
      </c>
      <c r="C102" s="34">
        <f t="shared" si="104"/>
        <v>529.36235782985682</v>
      </c>
      <c r="D102" s="34">
        <f t="shared" ref="D102:V102" si="117">IF(D30=0,0,D30/D50)</f>
        <v>1084.460801326376</v>
      </c>
      <c r="E102" s="34">
        <f t="shared" si="117"/>
        <v>1088.0190297562929</v>
      </c>
      <c r="F102" s="34">
        <f t="shared" si="117"/>
        <v>1088.2205413541249</v>
      </c>
      <c r="G102" s="34">
        <f t="shared" si="117"/>
        <v>1085.3699677753714</v>
      </c>
      <c r="H102" s="34">
        <f t="shared" si="117"/>
        <v>1083.1030979866691</v>
      </c>
      <c r="I102" s="34">
        <f t="shared" si="117"/>
        <v>1078.3246886793993</v>
      </c>
      <c r="J102" s="34">
        <f t="shared" si="117"/>
        <v>1019.4093173684084</v>
      </c>
      <c r="K102" s="34">
        <f t="shared" si="117"/>
        <v>971.79211254222059</v>
      </c>
      <c r="L102" s="34">
        <f t="shared" si="117"/>
        <v>924.88284278504887</v>
      </c>
      <c r="M102" s="34">
        <f t="shared" si="117"/>
        <v>877.64030637161511</v>
      </c>
      <c r="N102" s="34">
        <f t="shared" si="117"/>
        <v>862.28369635169906</v>
      </c>
      <c r="O102" s="34">
        <f t="shared" si="117"/>
        <v>900.05022891504609</v>
      </c>
      <c r="P102" s="34">
        <f t="shared" si="117"/>
        <v>852.11463179431269</v>
      </c>
      <c r="Q102" s="34">
        <f t="shared" si="117"/>
        <v>986.44444068769258</v>
      </c>
      <c r="R102" s="34">
        <f t="shared" si="117"/>
        <v>931.57284346845381</v>
      </c>
      <c r="S102" s="34">
        <f t="shared" si="117"/>
        <v>1060.1602720135863</v>
      </c>
      <c r="T102" s="34">
        <f t="shared" si="117"/>
        <v>1104.3252525763176</v>
      </c>
      <c r="U102" s="34">
        <f t="shared" si="117"/>
        <v>1115.6204903368944</v>
      </c>
      <c r="V102" s="34">
        <f t="shared" si="117"/>
        <v>1113.5833049483072</v>
      </c>
      <c r="W102" s="34">
        <f t="shared" ref="W102" si="118">IF(W30=0,0,W30/W50)</f>
        <v>1088.7271209897885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362</v>
      </c>
      <c r="C103" s="35">
        <f t="shared" si="104"/>
        <v>121.06741245702966</v>
      </c>
      <c r="D103" s="35">
        <f t="shared" ref="D103:V103" si="119">IF(D31=0,0,D31/D51)</f>
        <v>352.95949134766653</v>
      </c>
      <c r="E103" s="35">
        <f t="shared" si="119"/>
        <v>362</v>
      </c>
      <c r="F103" s="35">
        <f t="shared" si="119"/>
        <v>362</v>
      </c>
      <c r="G103" s="35">
        <f t="shared" si="119"/>
        <v>371</v>
      </c>
      <c r="H103" s="35">
        <f t="shared" si="119"/>
        <v>360</v>
      </c>
      <c r="I103" s="35">
        <f t="shared" si="119"/>
        <v>354</v>
      </c>
      <c r="J103" s="35">
        <f t="shared" si="119"/>
        <v>324.233898349404</v>
      </c>
      <c r="K103" s="35">
        <f t="shared" si="119"/>
        <v>259.52912350228007</v>
      </c>
      <c r="L103" s="35">
        <f t="shared" si="119"/>
        <v>342</v>
      </c>
      <c r="M103" s="35">
        <f t="shared" si="119"/>
        <v>355</v>
      </c>
      <c r="N103" s="35">
        <f t="shared" si="119"/>
        <v>344.18914466273912</v>
      </c>
      <c r="O103" s="35">
        <f t="shared" si="119"/>
        <v>372</v>
      </c>
      <c r="P103" s="35">
        <f t="shared" si="119"/>
        <v>355</v>
      </c>
      <c r="Q103" s="35">
        <f t="shared" si="119"/>
        <v>339</v>
      </c>
      <c r="R103" s="35">
        <f t="shared" si="119"/>
        <v>326</v>
      </c>
      <c r="S103" s="35">
        <f t="shared" si="119"/>
        <v>315</v>
      </c>
      <c r="T103" s="35">
        <f t="shared" si="119"/>
        <v>305</v>
      </c>
      <c r="U103" s="35">
        <f t="shared" si="119"/>
        <v>284</v>
      </c>
      <c r="V103" s="35">
        <f t="shared" si="119"/>
        <v>264.23686245908107</v>
      </c>
      <c r="W103" s="35">
        <f t="shared" ref="W103" si="120">IF(W31=0,0,W31/W51)</f>
        <v>293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0.20967620532125422</v>
      </c>
      <c r="C107" s="43">
        <f t="shared" si="124"/>
        <v>0.21133195445805059</v>
      </c>
      <c r="D107" s="43">
        <f t="shared" ref="D107:V107" si="125">IF(D5=0,0,D5/D$4)</f>
        <v>0.21286988273258126</v>
      </c>
      <c r="E107" s="43">
        <f t="shared" si="125"/>
        <v>0.21708131237770115</v>
      </c>
      <c r="F107" s="43">
        <f t="shared" si="125"/>
        <v>0.19153498467680549</v>
      </c>
      <c r="G107" s="43">
        <f t="shared" si="125"/>
        <v>0.17969848626294022</v>
      </c>
      <c r="H107" s="43">
        <f t="shared" si="125"/>
        <v>0.17760386989689525</v>
      </c>
      <c r="I107" s="43">
        <f t="shared" si="125"/>
        <v>0.18146394414831646</v>
      </c>
      <c r="J107" s="43">
        <f t="shared" si="125"/>
        <v>0.18415843554125536</v>
      </c>
      <c r="K107" s="43">
        <f t="shared" si="125"/>
        <v>0.19982458979679263</v>
      </c>
      <c r="L107" s="43">
        <f t="shared" si="125"/>
        <v>0.19732751838312215</v>
      </c>
      <c r="M107" s="43">
        <f t="shared" si="125"/>
        <v>0.20298646925790209</v>
      </c>
      <c r="N107" s="43">
        <f t="shared" si="125"/>
        <v>0.19036742381104776</v>
      </c>
      <c r="O107" s="43">
        <f t="shared" si="125"/>
        <v>0.18285075862385786</v>
      </c>
      <c r="P107" s="43">
        <f t="shared" si="125"/>
        <v>0.16820652706544839</v>
      </c>
      <c r="Q107" s="43">
        <f t="shared" si="125"/>
        <v>0.17429282362254603</v>
      </c>
      <c r="R107" s="43">
        <f t="shared" si="125"/>
        <v>0.17067866334699722</v>
      </c>
      <c r="S107" s="43">
        <f t="shared" si="125"/>
        <v>0.16473308925787325</v>
      </c>
      <c r="T107" s="43">
        <f t="shared" si="125"/>
        <v>0.15742406905202222</v>
      </c>
      <c r="U107" s="43">
        <f t="shared" si="125"/>
        <v>0.15045994461169215</v>
      </c>
      <c r="V107" s="43">
        <f t="shared" si="125"/>
        <v>0.23420782346033645</v>
      </c>
      <c r="W107" s="43">
        <f t="shared" ref="W107" si="126">IF(W5=0,0,W5/W$4)</f>
        <v>0.31035785277891986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0.34634056784843037</v>
      </c>
      <c r="C108" s="43">
        <f t="shared" si="127"/>
        <v>0.34744417865361515</v>
      </c>
      <c r="D108" s="43">
        <f t="shared" ref="D108:V108" si="128">IF(D6=0,0,D6/D$4)</f>
        <v>0.34671693930205461</v>
      </c>
      <c r="E108" s="43">
        <f t="shared" si="128"/>
        <v>0.36692760063300811</v>
      </c>
      <c r="F108" s="43">
        <f t="shared" si="128"/>
        <v>0.35736465827583924</v>
      </c>
      <c r="G108" s="43">
        <f t="shared" si="128"/>
        <v>0.37497007444166791</v>
      </c>
      <c r="H108" s="43">
        <f t="shared" si="128"/>
        <v>0.37324750552097125</v>
      </c>
      <c r="I108" s="43">
        <f t="shared" si="128"/>
        <v>0.36269667991677279</v>
      </c>
      <c r="J108" s="43">
        <f t="shared" si="128"/>
        <v>0.35437287763180081</v>
      </c>
      <c r="K108" s="43">
        <f t="shared" si="128"/>
        <v>0.35116327483412696</v>
      </c>
      <c r="L108" s="43">
        <f t="shared" si="128"/>
        <v>0.34602126720161763</v>
      </c>
      <c r="M108" s="43">
        <f t="shared" si="128"/>
        <v>0.36495708389884068</v>
      </c>
      <c r="N108" s="43">
        <f t="shared" si="128"/>
        <v>0.36230287395151378</v>
      </c>
      <c r="O108" s="43">
        <f t="shared" si="128"/>
        <v>0.36555794260913854</v>
      </c>
      <c r="P108" s="43">
        <f t="shared" si="128"/>
        <v>0.37513619693304878</v>
      </c>
      <c r="Q108" s="43">
        <f t="shared" si="128"/>
        <v>0.38425519788352647</v>
      </c>
      <c r="R108" s="43">
        <f t="shared" si="128"/>
        <v>0.39528814085105385</v>
      </c>
      <c r="S108" s="43">
        <f t="shared" si="128"/>
        <v>0.3937685760015861</v>
      </c>
      <c r="T108" s="43">
        <f t="shared" si="128"/>
        <v>0.38364608608304146</v>
      </c>
      <c r="U108" s="43">
        <f t="shared" si="128"/>
        <v>0.37479142494037887</v>
      </c>
      <c r="V108" s="43">
        <f t="shared" si="128"/>
        <v>0.35310188481601174</v>
      </c>
      <c r="W108" s="43">
        <f t="shared" ref="W108" si="129">IF(W6=0,0,W6/W$4)</f>
        <v>0.37302897843856386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0.44398322683031555</v>
      </c>
      <c r="C109" s="43">
        <f t="shared" si="130"/>
        <v>0.44122386688833432</v>
      </c>
      <c r="D109" s="43">
        <f t="shared" ref="D109:V109" si="131">IF(D7=0,0,D7/D$4)</f>
        <v>0.44041317796536417</v>
      </c>
      <c r="E109" s="43">
        <f t="shared" si="131"/>
        <v>0.41599108698929077</v>
      </c>
      <c r="F109" s="43">
        <f t="shared" si="131"/>
        <v>0.45110035704735524</v>
      </c>
      <c r="G109" s="43">
        <f t="shared" si="131"/>
        <v>0.44533143929539187</v>
      </c>
      <c r="H109" s="43">
        <f t="shared" si="131"/>
        <v>0.44914862458213345</v>
      </c>
      <c r="I109" s="43">
        <f t="shared" si="131"/>
        <v>0.4558393759349107</v>
      </c>
      <c r="J109" s="43">
        <f t="shared" si="131"/>
        <v>0.46146868682694386</v>
      </c>
      <c r="K109" s="43">
        <f t="shared" si="131"/>
        <v>0.44901213536908036</v>
      </c>
      <c r="L109" s="43">
        <f t="shared" si="131"/>
        <v>0.45665121441526024</v>
      </c>
      <c r="M109" s="43">
        <f t="shared" si="131"/>
        <v>0.43205644684325717</v>
      </c>
      <c r="N109" s="43">
        <f t="shared" si="131"/>
        <v>0.44732970223743845</v>
      </c>
      <c r="O109" s="43">
        <f t="shared" si="131"/>
        <v>0.45159129876700355</v>
      </c>
      <c r="P109" s="43">
        <f t="shared" si="131"/>
        <v>0.4566572760015028</v>
      </c>
      <c r="Q109" s="43">
        <f t="shared" si="131"/>
        <v>0.44145197849392759</v>
      </c>
      <c r="R109" s="43">
        <f t="shared" si="131"/>
        <v>0.43403319580194888</v>
      </c>
      <c r="S109" s="43">
        <f t="shared" si="131"/>
        <v>0.44149833474054068</v>
      </c>
      <c r="T109" s="43">
        <f t="shared" si="131"/>
        <v>0.45892984486493638</v>
      </c>
      <c r="U109" s="43">
        <f t="shared" si="131"/>
        <v>0.47474863044792898</v>
      </c>
      <c r="V109" s="43">
        <f t="shared" si="131"/>
        <v>0.4126902917236519</v>
      </c>
      <c r="W109" s="43">
        <f t="shared" ref="W109" si="132">IF(W7=0,0,W7/W$4)</f>
        <v>0.31661316878251627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1.2465270501134001E-2</v>
      </c>
      <c r="C111" s="44">
        <f t="shared" si="136"/>
        <v>6.5833301588433576E-2</v>
      </c>
      <c r="D111" s="44">
        <f t="shared" ref="D111:V111" si="137">IF(D9=0,0,D9/D$8)</f>
        <v>2.3398288541549128E-2</v>
      </c>
      <c r="E111" s="44">
        <f t="shared" si="137"/>
        <v>2.5568409485854041E-2</v>
      </c>
      <c r="F111" s="44">
        <f t="shared" si="137"/>
        <v>2.2104041273551291E-2</v>
      </c>
      <c r="G111" s="44">
        <f t="shared" si="137"/>
        <v>1.8360839142589507E-2</v>
      </c>
      <c r="H111" s="44">
        <f t="shared" si="137"/>
        <v>1.6102702901729611E-2</v>
      </c>
      <c r="I111" s="44">
        <f t="shared" si="137"/>
        <v>1.5537848792794474E-2</v>
      </c>
      <c r="J111" s="44">
        <f t="shared" si="137"/>
        <v>1.5522085755226641E-2</v>
      </c>
      <c r="K111" s="44">
        <f t="shared" si="137"/>
        <v>1.682883642650743E-2</v>
      </c>
      <c r="L111" s="44">
        <f t="shared" si="137"/>
        <v>1.3676334423960967E-2</v>
      </c>
      <c r="M111" s="44">
        <f t="shared" si="137"/>
        <v>1.2460601161187187E-2</v>
      </c>
      <c r="N111" s="44">
        <f t="shared" si="137"/>
        <v>1.1414523460912644E-2</v>
      </c>
      <c r="O111" s="44">
        <f t="shared" si="137"/>
        <v>1.0295784018679758E-2</v>
      </c>
      <c r="P111" s="44">
        <f t="shared" si="137"/>
        <v>8.5228142897079018E-3</v>
      </c>
      <c r="Q111" s="44">
        <f t="shared" si="137"/>
        <v>7.1072422829538042E-3</v>
      </c>
      <c r="R111" s="44">
        <f t="shared" si="137"/>
        <v>5.7154634785277752E-3</v>
      </c>
      <c r="S111" s="44">
        <f t="shared" si="137"/>
        <v>5.0851707144904668E-3</v>
      </c>
      <c r="T111" s="44">
        <f t="shared" si="137"/>
        <v>5.2724978178710219E-3</v>
      </c>
      <c r="U111" s="44">
        <f t="shared" si="137"/>
        <v>6.0876417439479236E-3</v>
      </c>
      <c r="V111" s="44">
        <f t="shared" si="137"/>
        <v>8.6061517042908906E-3</v>
      </c>
      <c r="W111" s="44">
        <f t="shared" ref="W111" si="138">IF(W9=0,0,W9/W$8)</f>
        <v>1.1033184154007751E-2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4.8759066674869192E-2</v>
      </c>
      <c r="C112" s="44">
        <f t="shared" si="139"/>
        <v>6.7321667173331309E-2</v>
      </c>
      <c r="D112" s="44">
        <f t="shared" ref="D112:V112" si="140">IF(D10=0,0,D10/D$8)</f>
        <v>0.11075064273623103</v>
      </c>
      <c r="E112" s="44">
        <f t="shared" si="140"/>
        <v>0.11852838838950409</v>
      </c>
      <c r="F112" s="44">
        <f t="shared" si="140"/>
        <v>0.1227177973287449</v>
      </c>
      <c r="G112" s="44">
        <f t="shared" si="140"/>
        <v>0.1172139601007848</v>
      </c>
      <c r="H112" s="44">
        <f t="shared" si="140"/>
        <v>9.6234274998872299E-2</v>
      </c>
      <c r="I112" s="44">
        <f t="shared" si="140"/>
        <v>9.0530917044461187E-2</v>
      </c>
      <c r="J112" s="44">
        <f t="shared" si="140"/>
        <v>9.3450376900165069E-2</v>
      </c>
      <c r="K112" s="44">
        <f t="shared" si="140"/>
        <v>0.10240756187881941</v>
      </c>
      <c r="L112" s="44">
        <f t="shared" si="140"/>
        <v>7.5499628842251573E-2</v>
      </c>
      <c r="M112" s="44">
        <f t="shared" si="140"/>
        <v>6.7413124797166005E-2</v>
      </c>
      <c r="N112" s="44">
        <f t="shared" si="140"/>
        <v>7.6365810439847207E-2</v>
      </c>
      <c r="O112" s="44">
        <f t="shared" si="140"/>
        <v>7.1116132774361476E-2</v>
      </c>
      <c r="P112" s="44">
        <f t="shared" si="140"/>
        <v>6.484123546557008E-2</v>
      </c>
      <c r="Q112" s="44">
        <f t="shared" si="140"/>
        <v>6.0696741053635851E-2</v>
      </c>
      <c r="R112" s="44">
        <f t="shared" si="140"/>
        <v>5.2745845802791409E-2</v>
      </c>
      <c r="S112" s="44">
        <f t="shared" si="140"/>
        <v>4.7392638282975533E-2</v>
      </c>
      <c r="T112" s="44">
        <f t="shared" si="140"/>
        <v>4.8009967600554565E-2</v>
      </c>
      <c r="U112" s="44">
        <f t="shared" si="140"/>
        <v>4.8714224144098241E-2</v>
      </c>
      <c r="V112" s="44">
        <f t="shared" si="140"/>
        <v>6.7412474767982788E-2</v>
      </c>
      <c r="W112" s="44">
        <f t="shared" ref="W112" si="141">IF(W10=0,0,W10/W$8)</f>
        <v>7.2587431415001485E-2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0.93877566282399671</v>
      </c>
      <c r="C113" s="45">
        <f t="shared" si="142"/>
        <v>0.86684503123823509</v>
      </c>
      <c r="D113" s="45">
        <f t="shared" ref="D113:V113" si="143">IF(D11=0,0,D11/D$8)</f>
        <v>0.86585106872221973</v>
      </c>
      <c r="E113" s="45">
        <f t="shared" si="143"/>
        <v>0.85590320212464188</v>
      </c>
      <c r="F113" s="45">
        <f t="shared" si="143"/>
        <v>0.85517816139770375</v>
      </c>
      <c r="G113" s="45">
        <f t="shared" si="143"/>
        <v>0.86442520075662566</v>
      </c>
      <c r="H113" s="45">
        <f t="shared" si="143"/>
        <v>0.88766302209939818</v>
      </c>
      <c r="I113" s="45">
        <f t="shared" si="143"/>
        <v>0.89393123416274434</v>
      </c>
      <c r="J113" s="45">
        <f t="shared" si="143"/>
        <v>0.89102753734460838</v>
      </c>
      <c r="K113" s="45">
        <f t="shared" si="143"/>
        <v>0.88076360169467316</v>
      </c>
      <c r="L113" s="45">
        <f t="shared" si="143"/>
        <v>0.91082403673378742</v>
      </c>
      <c r="M113" s="45">
        <f t="shared" si="143"/>
        <v>0.92012627404164671</v>
      </c>
      <c r="N113" s="45">
        <f t="shared" si="143"/>
        <v>0.91221966609924021</v>
      </c>
      <c r="O113" s="45">
        <f t="shared" si="143"/>
        <v>0.91858808320695884</v>
      </c>
      <c r="P113" s="45">
        <f t="shared" si="143"/>
        <v>0.92663595024472212</v>
      </c>
      <c r="Q113" s="45">
        <f t="shared" si="143"/>
        <v>0.93219601666341023</v>
      </c>
      <c r="R113" s="45">
        <f t="shared" si="143"/>
        <v>0.94153869071868079</v>
      </c>
      <c r="S113" s="45">
        <f t="shared" si="143"/>
        <v>0.94752219100253399</v>
      </c>
      <c r="T113" s="45">
        <f t="shared" si="143"/>
        <v>0.94671753458157437</v>
      </c>
      <c r="U113" s="45">
        <f t="shared" si="143"/>
        <v>0.94519813411195386</v>
      </c>
      <c r="V113" s="45">
        <f t="shared" si="143"/>
        <v>0.92398137352772636</v>
      </c>
      <c r="W113" s="45">
        <f t="shared" ref="W113" si="144">IF(W11=0,0,W11/W$8)</f>
        <v>0.91637938443099076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0.2853166843102421</v>
      </c>
      <c r="C117" s="43">
        <f t="shared" si="148"/>
        <v>0.28717737028601087</v>
      </c>
      <c r="D117" s="43">
        <f t="shared" ref="D117:V117" si="149">IF(D15=0,0,D15/D$14)</f>
        <v>0.28752619843048849</v>
      </c>
      <c r="E117" s="43">
        <f t="shared" si="149"/>
        <v>0.27994760614834641</v>
      </c>
      <c r="F117" s="43">
        <f t="shared" si="149"/>
        <v>0.25881932094123788</v>
      </c>
      <c r="G117" s="43">
        <f t="shared" si="149"/>
        <v>0.24000818093507437</v>
      </c>
      <c r="H117" s="43">
        <f t="shared" si="149"/>
        <v>0.24220000626097862</v>
      </c>
      <c r="I117" s="43">
        <f t="shared" si="149"/>
        <v>0.24401291080358067</v>
      </c>
      <c r="J117" s="43">
        <f t="shared" si="149"/>
        <v>0.24202516108501171</v>
      </c>
      <c r="K117" s="43">
        <f t="shared" si="149"/>
        <v>0.25781125644583996</v>
      </c>
      <c r="L117" s="43">
        <f t="shared" si="149"/>
        <v>0.24901458515186148</v>
      </c>
      <c r="M117" s="43">
        <f t="shared" si="149"/>
        <v>0.24698005934208001</v>
      </c>
      <c r="N117" s="43">
        <f t="shared" si="149"/>
        <v>0.2334781807573475</v>
      </c>
      <c r="O117" s="43">
        <f t="shared" si="149"/>
        <v>0.22112899695034904</v>
      </c>
      <c r="P117" s="43">
        <f t="shared" si="149"/>
        <v>0.20336604495907698</v>
      </c>
      <c r="Q117" s="43">
        <f t="shared" si="149"/>
        <v>0.20056123663670422</v>
      </c>
      <c r="R117" s="43">
        <f t="shared" si="149"/>
        <v>0.1952931721239542</v>
      </c>
      <c r="S117" s="43">
        <f t="shared" si="149"/>
        <v>0.19267835850180423</v>
      </c>
      <c r="T117" s="43">
        <f t="shared" si="149"/>
        <v>0.18389120981806734</v>
      </c>
      <c r="U117" s="43">
        <f t="shared" si="149"/>
        <v>0.18022240540973986</v>
      </c>
      <c r="V117" s="43">
        <f t="shared" si="149"/>
        <v>0.25885185679241862</v>
      </c>
      <c r="W117" s="43">
        <f t="shared" ref="W117" si="150">IF(W15=0,0,W15/W$14)</f>
        <v>0.28467807911420973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0.39895855935681146</v>
      </c>
      <c r="C118" s="43">
        <f t="shared" si="151"/>
        <v>0.39791898078917126</v>
      </c>
      <c r="D118" s="43">
        <f t="shared" ref="D118:V118" si="152">IF(D16=0,0,D16/D$14)</f>
        <v>0.39772409915616419</v>
      </c>
      <c r="E118" s="43">
        <f t="shared" si="152"/>
        <v>0.41727718709226841</v>
      </c>
      <c r="F118" s="43">
        <f t="shared" si="152"/>
        <v>0.41654441046164026</v>
      </c>
      <c r="G118" s="43">
        <f t="shared" si="152"/>
        <v>0.42690325611169083</v>
      </c>
      <c r="H118" s="43">
        <f t="shared" si="152"/>
        <v>0.42789065702962092</v>
      </c>
      <c r="I118" s="43">
        <f t="shared" si="152"/>
        <v>0.4302542622559386</v>
      </c>
      <c r="J118" s="43">
        <f t="shared" si="152"/>
        <v>0.42572158203624938</v>
      </c>
      <c r="K118" s="43">
        <f t="shared" si="152"/>
        <v>0.41777450310600717</v>
      </c>
      <c r="L118" s="43">
        <f t="shared" si="152"/>
        <v>0.41652317126810845</v>
      </c>
      <c r="M118" s="43">
        <f t="shared" si="152"/>
        <v>0.42092886356586356</v>
      </c>
      <c r="N118" s="43">
        <f t="shared" si="152"/>
        <v>0.41796513693573734</v>
      </c>
      <c r="O118" s="43">
        <f t="shared" si="152"/>
        <v>0.4183110574363581</v>
      </c>
      <c r="P118" s="43">
        <f t="shared" si="152"/>
        <v>0.43009146118795022</v>
      </c>
      <c r="Q118" s="43">
        <f t="shared" si="152"/>
        <v>0.4431989327439626</v>
      </c>
      <c r="R118" s="43">
        <f t="shared" si="152"/>
        <v>0.45233261623127086</v>
      </c>
      <c r="S118" s="43">
        <f t="shared" si="152"/>
        <v>0.44895125888217907</v>
      </c>
      <c r="T118" s="43">
        <f t="shared" si="152"/>
        <v>0.43701432479419672</v>
      </c>
      <c r="U118" s="43">
        <f t="shared" si="152"/>
        <v>0.42686013141052087</v>
      </c>
      <c r="V118" s="43">
        <f t="shared" si="152"/>
        <v>0.3916113547885447</v>
      </c>
      <c r="W118" s="43">
        <f t="shared" ref="W118" si="153">IF(W16=0,0,W16/W$14)</f>
        <v>0.39436006483590491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0.31572475633294633</v>
      </c>
      <c r="C119" s="43">
        <f t="shared" si="154"/>
        <v>0.31490364892481792</v>
      </c>
      <c r="D119" s="43">
        <f t="shared" ref="D119:V119" si="155">IF(D17=0,0,D17/D$14)</f>
        <v>0.31474970241334727</v>
      </c>
      <c r="E119" s="43">
        <f t="shared" si="155"/>
        <v>0.30277520675938513</v>
      </c>
      <c r="F119" s="43">
        <f t="shared" si="155"/>
        <v>0.32463626859712175</v>
      </c>
      <c r="G119" s="43">
        <f t="shared" si="155"/>
        <v>0.33308856295323486</v>
      </c>
      <c r="H119" s="43">
        <f t="shared" si="155"/>
        <v>0.32990933670940042</v>
      </c>
      <c r="I119" s="43">
        <f t="shared" si="155"/>
        <v>0.32573282694048072</v>
      </c>
      <c r="J119" s="43">
        <f t="shared" si="155"/>
        <v>0.33225325687873886</v>
      </c>
      <c r="K119" s="43">
        <f t="shared" si="155"/>
        <v>0.32441424044815287</v>
      </c>
      <c r="L119" s="43">
        <f t="shared" si="155"/>
        <v>0.33446224358003002</v>
      </c>
      <c r="M119" s="43">
        <f t="shared" si="155"/>
        <v>0.33209107709205637</v>
      </c>
      <c r="N119" s="43">
        <f t="shared" si="155"/>
        <v>0.34855668230691522</v>
      </c>
      <c r="O119" s="43">
        <f t="shared" si="155"/>
        <v>0.3605599456132928</v>
      </c>
      <c r="P119" s="43">
        <f t="shared" si="155"/>
        <v>0.36654249385297283</v>
      </c>
      <c r="Q119" s="43">
        <f t="shared" si="155"/>
        <v>0.35623983061933323</v>
      </c>
      <c r="R119" s="43">
        <f t="shared" si="155"/>
        <v>0.35237421164477495</v>
      </c>
      <c r="S119" s="43">
        <f t="shared" si="155"/>
        <v>0.35837038261601678</v>
      </c>
      <c r="T119" s="43">
        <f t="shared" si="155"/>
        <v>0.37909446538773606</v>
      </c>
      <c r="U119" s="43">
        <f t="shared" si="155"/>
        <v>0.3929174631797393</v>
      </c>
      <c r="V119" s="43">
        <f t="shared" si="155"/>
        <v>0.34953678841903668</v>
      </c>
      <c r="W119" s="43">
        <f t="shared" ref="W119" si="156">IF(W17=0,0,W17/W$14)</f>
        <v>0.32096185604988531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8.7661545924881304E-2</v>
      </c>
      <c r="C121" s="44">
        <f t="shared" si="160"/>
        <v>0.34916966831405682</v>
      </c>
      <c r="D121" s="44">
        <f t="shared" ref="D121:V121" si="161">IF(D19=0,0,D19/D$18)</f>
        <v>0.13398287507459372</v>
      </c>
      <c r="E121" s="44">
        <f t="shared" si="161"/>
        <v>0.129255131954325</v>
      </c>
      <c r="F121" s="44">
        <f t="shared" si="161"/>
        <v>0.11343126582215929</v>
      </c>
      <c r="G121" s="44">
        <f t="shared" si="161"/>
        <v>9.4394927166398634E-2</v>
      </c>
      <c r="H121" s="44">
        <f t="shared" si="161"/>
        <v>8.4280350572655677E-2</v>
      </c>
      <c r="I121" s="44">
        <f t="shared" si="161"/>
        <v>8.1122962339654756E-2</v>
      </c>
      <c r="J121" s="44">
        <f t="shared" si="161"/>
        <v>8.1698230333271254E-2</v>
      </c>
      <c r="K121" s="44">
        <f t="shared" si="161"/>
        <v>9.288667965519469E-2</v>
      </c>
      <c r="L121" s="44">
        <f t="shared" si="161"/>
        <v>7.799513883979714E-2</v>
      </c>
      <c r="M121" s="44">
        <f t="shared" si="161"/>
        <v>6.8441078836772681E-2</v>
      </c>
      <c r="N121" s="44">
        <f t="shared" si="161"/>
        <v>6.4769637084940143E-2</v>
      </c>
      <c r="O121" s="44">
        <f t="shared" si="161"/>
        <v>5.7555571689047375E-2</v>
      </c>
      <c r="P121" s="44">
        <f t="shared" si="161"/>
        <v>4.9833662251981416E-2</v>
      </c>
      <c r="Q121" s="44">
        <f t="shared" si="161"/>
        <v>3.9809465262241571E-2</v>
      </c>
      <c r="R121" s="44">
        <f t="shared" si="161"/>
        <v>3.1304103097453226E-2</v>
      </c>
      <c r="S121" s="44">
        <f t="shared" si="161"/>
        <v>2.9870252915597049E-2</v>
      </c>
      <c r="T121" s="44">
        <f t="shared" si="161"/>
        <v>3.0873517293649736E-2</v>
      </c>
      <c r="U121" s="44">
        <f t="shared" si="161"/>
        <v>3.3473094766515242E-2</v>
      </c>
      <c r="V121" s="44">
        <f t="shared" si="161"/>
        <v>3.6121947733736615E-2</v>
      </c>
      <c r="W121" s="44">
        <f t="shared" ref="W121" si="162">IF(W19=0,0,W19/W$18)</f>
        <v>3.9804375546886261E-2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0.15428256637625268</v>
      </c>
      <c r="C122" s="44">
        <f t="shared" si="163"/>
        <v>0.15072932802867328</v>
      </c>
      <c r="D122" s="44">
        <f t="shared" ref="D122:V122" si="164">IF(D20=0,0,D20/D$18)</f>
        <v>0.27879846303893441</v>
      </c>
      <c r="E122" s="44">
        <f t="shared" si="164"/>
        <v>0.27092828303980065</v>
      </c>
      <c r="F122" s="44">
        <f t="shared" si="164"/>
        <v>0.29638925127760196</v>
      </c>
      <c r="G122" s="44">
        <f t="shared" si="164"/>
        <v>0.28368180704880502</v>
      </c>
      <c r="H122" s="44">
        <f t="shared" si="164"/>
        <v>0.26877048822886157</v>
      </c>
      <c r="I122" s="44">
        <f t="shared" si="164"/>
        <v>0.26041514897578999</v>
      </c>
      <c r="J122" s="44">
        <f t="shared" si="164"/>
        <v>0.26862815025563958</v>
      </c>
      <c r="K122" s="44">
        <f t="shared" si="164"/>
        <v>0.30481104989808472</v>
      </c>
      <c r="L122" s="44">
        <f t="shared" si="164"/>
        <v>0.2449562914932483</v>
      </c>
      <c r="M122" s="44">
        <f t="shared" si="164"/>
        <v>0.22070258810089785</v>
      </c>
      <c r="N122" s="44">
        <f t="shared" si="164"/>
        <v>0.24335401335344967</v>
      </c>
      <c r="O122" s="44">
        <f t="shared" si="164"/>
        <v>0.23230215431312909</v>
      </c>
      <c r="P122" s="44">
        <f t="shared" si="164"/>
        <v>0.21316952901799713</v>
      </c>
      <c r="Q122" s="44">
        <f t="shared" si="164"/>
        <v>0.20245551096223691</v>
      </c>
      <c r="R122" s="44">
        <f t="shared" si="164"/>
        <v>0.17805892815569144</v>
      </c>
      <c r="S122" s="44">
        <f t="shared" si="164"/>
        <v>0.17102531245746261</v>
      </c>
      <c r="T122" s="44">
        <f t="shared" si="164"/>
        <v>0.17275035439965941</v>
      </c>
      <c r="U122" s="44">
        <f t="shared" si="164"/>
        <v>0.17302800310838179</v>
      </c>
      <c r="V122" s="44">
        <f t="shared" si="164"/>
        <v>0.20483441855393633</v>
      </c>
      <c r="W122" s="44">
        <f t="shared" ref="W122" si="165">IF(W20=0,0,W20/W$18)</f>
        <v>0.20551387663405699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0.75805588769886612</v>
      </c>
      <c r="C123" s="45">
        <f t="shared" si="166"/>
        <v>0.50010100365726984</v>
      </c>
      <c r="D123" s="45">
        <f t="shared" ref="D123:V123" si="167">IF(D21=0,0,D21/D$18)</f>
        <v>0.58721866188647176</v>
      </c>
      <c r="E123" s="45">
        <f t="shared" si="167"/>
        <v>0.59981658500587431</v>
      </c>
      <c r="F123" s="45">
        <f t="shared" si="167"/>
        <v>0.59017948290023869</v>
      </c>
      <c r="G123" s="45">
        <f t="shared" si="167"/>
        <v>0.6219232657847964</v>
      </c>
      <c r="H123" s="45">
        <f t="shared" si="167"/>
        <v>0.64694916119848278</v>
      </c>
      <c r="I123" s="45">
        <f t="shared" si="167"/>
        <v>0.65846188868455524</v>
      </c>
      <c r="J123" s="45">
        <f t="shared" si="167"/>
        <v>0.64967361941108914</v>
      </c>
      <c r="K123" s="45">
        <f t="shared" si="167"/>
        <v>0.60230227044672058</v>
      </c>
      <c r="L123" s="45">
        <f t="shared" si="167"/>
        <v>0.67704856966695448</v>
      </c>
      <c r="M123" s="45">
        <f t="shared" si="167"/>
        <v>0.71085633306232954</v>
      </c>
      <c r="N123" s="45">
        <f t="shared" si="167"/>
        <v>0.69187634956161004</v>
      </c>
      <c r="O123" s="45">
        <f t="shared" si="167"/>
        <v>0.7101422739978237</v>
      </c>
      <c r="P123" s="45">
        <f t="shared" si="167"/>
        <v>0.73699680873002138</v>
      </c>
      <c r="Q123" s="45">
        <f t="shared" si="167"/>
        <v>0.7577350237755216</v>
      </c>
      <c r="R123" s="45">
        <f t="shared" si="167"/>
        <v>0.7906369687468553</v>
      </c>
      <c r="S123" s="45">
        <f t="shared" si="167"/>
        <v>0.79910443462694025</v>
      </c>
      <c r="T123" s="45">
        <f t="shared" si="167"/>
        <v>0.79637612830669091</v>
      </c>
      <c r="U123" s="45">
        <f t="shared" si="167"/>
        <v>0.79349890212510299</v>
      </c>
      <c r="V123" s="45">
        <f t="shared" si="167"/>
        <v>0.75904363371232708</v>
      </c>
      <c r="W123" s="45">
        <f t="shared" ref="W123" si="168">IF(W21=0,0,W21/W$18)</f>
        <v>0.75468174781905673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3497.2055030094575</v>
      </c>
      <c r="C3" s="79">
        <f t="shared" si="0"/>
        <v>3195.3759243336199</v>
      </c>
      <c r="D3" s="79">
        <f t="shared" ref="D3" si="1">SUM(D4:D5)</f>
        <v>3196.4269131556321</v>
      </c>
      <c r="E3" s="79">
        <f t="shared" ref="E3" si="2">SUM(E4:E5)</f>
        <v>3597.0430782459152</v>
      </c>
      <c r="F3" s="79">
        <f t="shared" ref="F3" si="3">SUM(F4:F5)</f>
        <v>3566.2080825451421</v>
      </c>
      <c r="G3" s="79">
        <f t="shared" ref="G3" si="4">SUM(G4:G5)</f>
        <v>3715.128460877042</v>
      </c>
      <c r="H3" s="79">
        <f t="shared" ref="H3" si="5">SUM(H4:H5)</f>
        <v>3981.1790197764394</v>
      </c>
      <c r="I3" s="79">
        <f t="shared" ref="I3" si="6">SUM(I4:I5)</f>
        <v>4227.6439380911434</v>
      </c>
      <c r="J3" s="79">
        <f t="shared" ref="J3" si="7">SUM(J4:J5)</f>
        <v>4074.4721410146176</v>
      </c>
      <c r="K3" s="79">
        <f t="shared" ref="K3" si="8">SUM(K4:K5)</f>
        <v>3686.443164230438</v>
      </c>
      <c r="L3" s="79">
        <f t="shared" ref="L3" si="9">SUM(L4:L5)</f>
        <v>3882.6550300945833</v>
      </c>
      <c r="M3" s="79">
        <f t="shared" ref="M3" si="10">SUM(M4:M5)</f>
        <v>3969.666552020637</v>
      </c>
      <c r="N3" s="79">
        <f t="shared" ref="N3" si="11">SUM(N4:N5)</f>
        <v>3786.8061908856407</v>
      </c>
      <c r="O3" s="79">
        <f t="shared" ref="O3" si="12">SUM(O4:O5)</f>
        <v>3684.0307824591573</v>
      </c>
      <c r="P3" s="79">
        <f t="shared" ref="P3" si="13">SUM(P4:P5)</f>
        <v>3722.031126397248</v>
      </c>
      <c r="Q3" s="79">
        <f t="shared" ref="Q3" si="14">SUM(Q4:Q5)</f>
        <v>3863.7622527944959</v>
      </c>
      <c r="R3" s="79">
        <f t="shared" ref="R3" si="15">SUM(R4:R5)</f>
        <v>4005.4695614789339</v>
      </c>
      <c r="S3" s="79">
        <f t="shared" ref="S3" si="16">SUM(S4:S5)</f>
        <v>4199.5796216680992</v>
      </c>
      <c r="T3" s="79">
        <f t="shared" ref="T3" si="17">SUM(T4:T5)</f>
        <v>4714.2208942390362</v>
      </c>
      <c r="U3" s="79">
        <f t="shared" ref="U3" si="18">SUM(U4:U5)</f>
        <v>4875.1382631126398</v>
      </c>
      <c r="V3" s="79">
        <f t="shared" ref="V3:W3" si="19">SUM(V4:V5)</f>
        <v>1839.1256233877893</v>
      </c>
      <c r="W3" s="79">
        <f t="shared" si="19"/>
        <v>2104.5798796216677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669.77162510748065</v>
      </c>
      <c r="C4" s="96">
        <f t="shared" si="20"/>
        <v>616.48512467755802</v>
      </c>
      <c r="D4" s="96">
        <f t="shared" ref="D4:V4" si="21">SUM(D7,D11)</f>
        <v>617.53611349956998</v>
      </c>
      <c r="E4" s="96">
        <f t="shared" si="21"/>
        <v>696.68959587274298</v>
      </c>
      <c r="F4" s="96">
        <f t="shared" si="21"/>
        <v>689.47644024075669</v>
      </c>
      <c r="G4" s="96">
        <f t="shared" si="21"/>
        <v>718.23344797936375</v>
      </c>
      <c r="H4" s="96">
        <f t="shared" si="21"/>
        <v>769.63319002579533</v>
      </c>
      <c r="I4" s="96">
        <f t="shared" si="21"/>
        <v>815.82588134135847</v>
      </c>
      <c r="J4" s="96">
        <f t="shared" si="21"/>
        <v>781.79036973344796</v>
      </c>
      <c r="K4" s="96">
        <f t="shared" si="21"/>
        <v>689.54815133276009</v>
      </c>
      <c r="L4" s="96">
        <f t="shared" si="21"/>
        <v>715.27179707652624</v>
      </c>
      <c r="M4" s="96">
        <f t="shared" si="21"/>
        <v>720.12037833190016</v>
      </c>
      <c r="N4" s="96">
        <f t="shared" si="21"/>
        <v>686.18039552880487</v>
      </c>
      <c r="O4" s="96">
        <f t="shared" si="21"/>
        <v>683.02760103181436</v>
      </c>
      <c r="P4" s="96">
        <f t="shared" si="21"/>
        <v>646.05425623387794</v>
      </c>
      <c r="Q4" s="96">
        <f t="shared" si="21"/>
        <v>697.40610490111783</v>
      </c>
      <c r="R4" s="96">
        <f t="shared" si="21"/>
        <v>709.70670679277725</v>
      </c>
      <c r="S4" s="96">
        <f t="shared" si="21"/>
        <v>780.40894239036959</v>
      </c>
      <c r="T4" s="96">
        <f t="shared" si="21"/>
        <v>879.36302665520202</v>
      </c>
      <c r="U4" s="96">
        <f t="shared" si="21"/>
        <v>906.62484952708508</v>
      </c>
      <c r="V4" s="96">
        <f t="shared" si="21"/>
        <v>344.1936371453138</v>
      </c>
      <c r="W4" s="96">
        <f t="shared" ref="W4" si="22">SUM(W7,W11)</f>
        <v>614.26448839208945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2827.4338779019768</v>
      </c>
      <c r="C5" s="96">
        <f t="shared" si="23"/>
        <v>2578.890799656062</v>
      </c>
      <c r="D5" s="96">
        <f t="shared" ref="D5:V5" si="24">SUM(D8:D9,D12:D13)</f>
        <v>2578.890799656062</v>
      </c>
      <c r="E5" s="96">
        <f t="shared" si="24"/>
        <v>2900.353482373172</v>
      </c>
      <c r="F5" s="96">
        <f t="shared" si="24"/>
        <v>2876.7316423043853</v>
      </c>
      <c r="G5" s="96">
        <f t="shared" si="24"/>
        <v>2996.895012897678</v>
      </c>
      <c r="H5" s="96">
        <f t="shared" si="24"/>
        <v>3211.5458297506439</v>
      </c>
      <c r="I5" s="96">
        <f t="shared" si="24"/>
        <v>3411.8180567497848</v>
      </c>
      <c r="J5" s="96">
        <f t="shared" si="24"/>
        <v>3292.6817712811694</v>
      </c>
      <c r="K5" s="96">
        <f t="shared" si="24"/>
        <v>2996.895012897678</v>
      </c>
      <c r="L5" s="96">
        <f t="shared" si="24"/>
        <v>3167.3832330180571</v>
      </c>
      <c r="M5" s="96">
        <f t="shared" si="24"/>
        <v>3249.5461736887369</v>
      </c>
      <c r="N5" s="96">
        <f t="shared" si="24"/>
        <v>3100.6257953568356</v>
      </c>
      <c r="O5" s="96">
        <f t="shared" si="24"/>
        <v>3001.003181427343</v>
      </c>
      <c r="P5" s="96">
        <f t="shared" si="24"/>
        <v>3075.9768701633702</v>
      </c>
      <c r="Q5" s="96">
        <f t="shared" si="24"/>
        <v>3166.356147893378</v>
      </c>
      <c r="R5" s="96">
        <f t="shared" si="24"/>
        <v>3295.7628546861565</v>
      </c>
      <c r="S5" s="96">
        <f t="shared" si="24"/>
        <v>3419.1706792777295</v>
      </c>
      <c r="T5" s="96">
        <f t="shared" si="24"/>
        <v>3834.8578675838339</v>
      </c>
      <c r="U5" s="96">
        <f t="shared" si="24"/>
        <v>3968.5134135855551</v>
      </c>
      <c r="V5" s="96">
        <f t="shared" si="24"/>
        <v>1494.9319862424754</v>
      </c>
      <c r="W5" s="96">
        <f t="shared" ref="W5" si="25">SUM(W8:W9,W12:W13)</f>
        <v>1490.3153912295782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3332.7604832729867</v>
      </c>
      <c r="C6" s="21">
        <f t="shared" si="26"/>
        <v>3126.8989991527224</v>
      </c>
      <c r="D6" s="21">
        <f t="shared" ref="D6:V6" si="27">SUM(D7:D9)</f>
        <v>3041.7025779707801</v>
      </c>
      <c r="E6" s="21">
        <f t="shared" si="27"/>
        <v>3424.5163653907994</v>
      </c>
      <c r="F6" s="21">
        <f t="shared" si="27"/>
        <v>3390.7240983389893</v>
      </c>
      <c r="G6" s="21">
        <f t="shared" si="27"/>
        <v>3519.0632476891205</v>
      </c>
      <c r="H6" s="21">
        <f t="shared" si="27"/>
        <v>3754.7136060580569</v>
      </c>
      <c r="I6" s="21">
        <f t="shared" si="27"/>
        <v>3978.9035265882621</v>
      </c>
      <c r="J6" s="21">
        <f t="shared" si="27"/>
        <v>3847.3406031527438</v>
      </c>
      <c r="K6" s="21">
        <f t="shared" si="27"/>
        <v>3502.7558201574711</v>
      </c>
      <c r="L6" s="21">
        <f t="shared" si="27"/>
        <v>3660.7130180568765</v>
      </c>
      <c r="M6" s="21">
        <f t="shared" si="27"/>
        <v>3741.5878601391823</v>
      </c>
      <c r="N6" s="21">
        <f t="shared" si="27"/>
        <v>3601.4373536090925</v>
      </c>
      <c r="O6" s="21">
        <f t="shared" si="27"/>
        <v>3487.620041337384</v>
      </c>
      <c r="P6" s="21">
        <f t="shared" si="27"/>
        <v>3526.2234909361841</v>
      </c>
      <c r="Q6" s="21">
        <f t="shared" si="27"/>
        <v>3636.1103958736308</v>
      </c>
      <c r="R6" s="21">
        <f t="shared" si="27"/>
        <v>3775.4134400898647</v>
      </c>
      <c r="S6" s="21">
        <f t="shared" si="27"/>
        <v>3946.0036873306876</v>
      </c>
      <c r="T6" s="21">
        <f t="shared" si="27"/>
        <v>4456.4871174975251</v>
      </c>
      <c r="U6" s="21">
        <f t="shared" si="27"/>
        <v>4623.3123832228985</v>
      </c>
      <c r="V6" s="21">
        <f t="shared" si="27"/>
        <v>1570.036582908815</v>
      </c>
      <c r="W6" s="21">
        <f t="shared" ref="W6" si="28">SUM(W7:W9)</f>
        <v>1833.4757828777042</v>
      </c>
      <c r="DA6" s="189" t="s">
        <v>279</v>
      </c>
    </row>
    <row r="7" spans="1:105" ht="11.45" customHeight="1" x14ac:dyDescent="0.25">
      <c r="A7" s="83" t="s">
        <v>27</v>
      </c>
      <c r="B7" s="96">
        <v>660.07337620793555</v>
      </c>
      <c r="C7" s="96">
        <v>599.1223525366463</v>
      </c>
      <c r="D7" s="96">
        <v>602.78223793730422</v>
      </c>
      <c r="E7" s="96">
        <v>680.43104912068111</v>
      </c>
      <c r="F7" s="96">
        <v>673.31763329369051</v>
      </c>
      <c r="G7" s="96">
        <v>702.13642457947219</v>
      </c>
      <c r="H7" s="96">
        <v>753.26392009887377</v>
      </c>
      <c r="I7" s="96">
        <v>798.92538453437135</v>
      </c>
      <c r="J7" s="96">
        <v>766.45636957348711</v>
      </c>
      <c r="K7" s="96">
        <v>677.34207680096392</v>
      </c>
      <c r="L7" s="96">
        <v>703.11256268067916</v>
      </c>
      <c r="M7" s="96">
        <v>709.28709460924097</v>
      </c>
      <c r="N7" s="96">
        <v>677.2772175309866</v>
      </c>
      <c r="O7" s="96">
        <v>673.94021698123163</v>
      </c>
      <c r="P7" s="96">
        <v>638.00776904719612</v>
      </c>
      <c r="Q7" s="96">
        <v>689.46104748319647</v>
      </c>
      <c r="R7" s="96">
        <v>703.34152934337737</v>
      </c>
      <c r="S7" s="96">
        <v>772.98703244760247</v>
      </c>
      <c r="T7" s="96">
        <v>870.86380342522148</v>
      </c>
      <c r="U7" s="96">
        <v>898.26942612153289</v>
      </c>
      <c r="V7" s="96">
        <v>337.98007334516922</v>
      </c>
      <c r="W7" s="96">
        <v>603.98010622454331</v>
      </c>
      <c r="DA7" s="171" t="s">
        <v>280</v>
      </c>
    </row>
    <row r="8" spans="1:105" ht="11.45" customHeight="1" x14ac:dyDescent="0.25">
      <c r="A8" s="83" t="s">
        <v>173</v>
      </c>
      <c r="B8" s="96">
        <v>1178.2229814211523</v>
      </c>
      <c r="C8" s="96">
        <v>1114.3375850063555</v>
      </c>
      <c r="D8" s="96">
        <v>1075.1656207065462</v>
      </c>
      <c r="E8" s="96">
        <v>1270.4651958394913</v>
      </c>
      <c r="F8" s="96">
        <v>1210.1352440924484</v>
      </c>
      <c r="G8" s="96">
        <v>1270.3857517129818</v>
      </c>
      <c r="H8" s="96">
        <v>1362.5546042197482</v>
      </c>
      <c r="I8" s="96">
        <v>1477.9260756850483</v>
      </c>
      <c r="J8" s="96">
        <v>1398.1336531384406</v>
      </c>
      <c r="K8" s="96">
        <v>1241.8584900218539</v>
      </c>
      <c r="L8" s="96">
        <v>1287.4500955630779</v>
      </c>
      <c r="M8" s="96">
        <v>1320.0923537120293</v>
      </c>
      <c r="N8" s="96">
        <v>1264.2798265897236</v>
      </c>
      <c r="O8" s="96">
        <v>1210.0616402938288</v>
      </c>
      <c r="P8" s="96">
        <v>1254.5823921341316</v>
      </c>
      <c r="Q8" s="96">
        <v>1289.2918678131557</v>
      </c>
      <c r="R8" s="96">
        <v>1398.4253763994309</v>
      </c>
      <c r="S8" s="96">
        <v>1477.0441027711724</v>
      </c>
      <c r="T8" s="96">
        <v>1664.6521872053788</v>
      </c>
      <c r="U8" s="96">
        <v>1691.6892498515522</v>
      </c>
      <c r="V8" s="96">
        <v>468.09590251186546</v>
      </c>
      <c r="W8" s="96">
        <v>503.64077928583475</v>
      </c>
      <c r="DA8" s="171" t="s">
        <v>281</v>
      </c>
    </row>
    <row r="9" spans="1:105" ht="11.45" customHeight="1" x14ac:dyDescent="0.25">
      <c r="A9" s="83" t="s">
        <v>174</v>
      </c>
      <c r="B9" s="96">
        <v>1494.464125643899</v>
      </c>
      <c r="C9" s="96">
        <v>1413.4390616097205</v>
      </c>
      <c r="D9" s="96">
        <v>1363.7547193269297</v>
      </c>
      <c r="E9" s="96">
        <v>1473.6201204306269</v>
      </c>
      <c r="F9" s="96">
        <v>1507.2712209528506</v>
      </c>
      <c r="G9" s="96">
        <v>1546.5410713966664</v>
      </c>
      <c r="H9" s="96">
        <v>1638.895081739435</v>
      </c>
      <c r="I9" s="96">
        <v>1702.0520663688428</v>
      </c>
      <c r="J9" s="96">
        <v>1682.7505804408161</v>
      </c>
      <c r="K9" s="96">
        <v>1583.5552533346533</v>
      </c>
      <c r="L9" s="96">
        <v>1670.1503598131194</v>
      </c>
      <c r="M9" s="96">
        <v>1712.2084118179121</v>
      </c>
      <c r="N9" s="96">
        <v>1659.8803094883822</v>
      </c>
      <c r="O9" s="96">
        <v>1603.6181840623235</v>
      </c>
      <c r="P9" s="96">
        <v>1633.6333297548565</v>
      </c>
      <c r="Q9" s="96">
        <v>1657.3574805772787</v>
      </c>
      <c r="R9" s="96">
        <v>1673.6465343470566</v>
      </c>
      <c r="S9" s="96">
        <v>1695.9725521119126</v>
      </c>
      <c r="T9" s="96">
        <v>1920.9711268669246</v>
      </c>
      <c r="U9" s="96">
        <v>2033.3537072498136</v>
      </c>
      <c r="V9" s="96">
        <v>763.96060705178036</v>
      </c>
      <c r="W9" s="96">
        <v>725.85489736732609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164.44501973647047</v>
      </c>
      <c r="C10" s="22">
        <f t="shared" si="29"/>
        <v>68.476925180897396</v>
      </c>
      <c r="D10" s="22">
        <f t="shared" ref="D10:V10" si="30">SUM(D11:D13)</f>
        <v>154.7243351848517</v>
      </c>
      <c r="E10" s="22">
        <f t="shared" si="30"/>
        <v>172.52671285511553</v>
      </c>
      <c r="F10" s="22">
        <f t="shared" si="30"/>
        <v>175.48398420615194</v>
      </c>
      <c r="G10" s="22">
        <f t="shared" si="30"/>
        <v>196.06521318792099</v>
      </c>
      <c r="H10" s="22">
        <f t="shared" si="30"/>
        <v>226.46541371838231</v>
      </c>
      <c r="I10" s="22">
        <f t="shared" si="30"/>
        <v>248.74041150288068</v>
      </c>
      <c r="J10" s="22">
        <f t="shared" si="30"/>
        <v>227.13153786187326</v>
      </c>
      <c r="K10" s="22">
        <f t="shared" si="30"/>
        <v>183.6873440729666</v>
      </c>
      <c r="L10" s="22">
        <f t="shared" si="30"/>
        <v>221.94201203770706</v>
      </c>
      <c r="M10" s="22">
        <f t="shared" si="30"/>
        <v>228.07869188145469</v>
      </c>
      <c r="N10" s="22">
        <f t="shared" si="30"/>
        <v>185.36883727654777</v>
      </c>
      <c r="O10" s="22">
        <f t="shared" si="30"/>
        <v>196.41074112177324</v>
      </c>
      <c r="P10" s="22">
        <f t="shared" si="30"/>
        <v>195.80763546106394</v>
      </c>
      <c r="Q10" s="22">
        <f t="shared" si="30"/>
        <v>227.65185692086544</v>
      </c>
      <c r="R10" s="22">
        <f t="shared" si="30"/>
        <v>230.05612138906923</v>
      </c>
      <c r="S10" s="22">
        <f t="shared" si="30"/>
        <v>253.5759343374117</v>
      </c>
      <c r="T10" s="22">
        <f t="shared" si="30"/>
        <v>257.73377674151118</v>
      </c>
      <c r="U10" s="22">
        <f t="shared" si="30"/>
        <v>251.82587988974174</v>
      </c>
      <c r="V10" s="22">
        <f t="shared" si="30"/>
        <v>269.08904047897443</v>
      </c>
      <c r="W10" s="22">
        <f t="shared" ref="W10" si="31">SUM(W11:W13)</f>
        <v>271.1040967439634</v>
      </c>
      <c r="DA10" s="193" t="s">
        <v>283</v>
      </c>
    </row>
    <row r="11" spans="1:105" ht="11.45" customHeight="1" x14ac:dyDescent="0.25">
      <c r="A11" s="92" t="s">
        <v>27</v>
      </c>
      <c r="B11" s="97">
        <v>9.6982488995450495</v>
      </c>
      <c r="C11" s="97">
        <v>17.362772140911709</v>
      </c>
      <c r="D11" s="97">
        <v>14.753875562265742</v>
      </c>
      <c r="E11" s="97">
        <v>16.258546752061864</v>
      </c>
      <c r="F11" s="97">
        <v>16.15880694706615</v>
      </c>
      <c r="G11" s="97">
        <v>16.097023399891601</v>
      </c>
      <c r="H11" s="97">
        <v>16.369269926921522</v>
      </c>
      <c r="I11" s="97">
        <v>16.9004968069871</v>
      </c>
      <c r="J11" s="97">
        <v>15.334000159960802</v>
      </c>
      <c r="K11" s="97">
        <v>12.206074531796116</v>
      </c>
      <c r="L11" s="97">
        <v>12.159234395847037</v>
      </c>
      <c r="M11" s="97">
        <v>10.833283722659147</v>
      </c>
      <c r="N11" s="97">
        <v>8.9031779978182115</v>
      </c>
      <c r="O11" s="97">
        <v>9.0873840505826937</v>
      </c>
      <c r="P11" s="97">
        <v>8.0464871866817695</v>
      </c>
      <c r="Q11" s="97">
        <v>7.9450574179213405</v>
      </c>
      <c r="R11" s="97">
        <v>6.3651774493999262</v>
      </c>
      <c r="S11" s="97">
        <v>7.4219099427670621</v>
      </c>
      <c r="T11" s="97">
        <v>8.4992232299805561</v>
      </c>
      <c r="U11" s="97">
        <v>8.3554234055522336</v>
      </c>
      <c r="V11" s="97">
        <v>6.2135638001445566</v>
      </c>
      <c r="W11" s="97">
        <v>10.284382167546189</v>
      </c>
      <c r="DA11" s="175" t="s">
        <v>284</v>
      </c>
    </row>
    <row r="12" spans="1:105" ht="11.45" customHeight="1" x14ac:dyDescent="0.25">
      <c r="A12" s="92" t="s">
        <v>173</v>
      </c>
      <c r="B12" s="97">
        <v>19.104269742995267</v>
      </c>
      <c r="C12" s="97">
        <v>8.8207216089279434</v>
      </c>
      <c r="D12" s="97">
        <v>34.326872370706901</v>
      </c>
      <c r="E12" s="97">
        <v>36.839434324345596</v>
      </c>
      <c r="F12" s="97">
        <v>40.712734784988584</v>
      </c>
      <c r="G12" s="97">
        <v>42.082752963477795</v>
      </c>
      <c r="H12" s="97">
        <v>46.098366203366275</v>
      </c>
      <c r="I12" s="97">
        <v>49.334243114192184</v>
      </c>
      <c r="J12" s="97">
        <v>45.939595867729281</v>
      </c>
      <c r="K12" s="97">
        <v>40.493302124758216</v>
      </c>
      <c r="L12" s="97">
        <v>37.706134494896581</v>
      </c>
      <c r="M12" s="97">
        <v>34.873855475103106</v>
      </c>
      <c r="N12" s="97">
        <v>32.259846128460111</v>
      </c>
      <c r="O12" s="97">
        <v>31.871625215092102</v>
      </c>
      <c r="P12" s="97">
        <v>28.97153965575977</v>
      </c>
      <c r="Q12" s="97">
        <v>30.425728772807457</v>
      </c>
      <c r="R12" s="97">
        <v>27.518640458871413</v>
      </c>
      <c r="S12" s="97">
        <v>30.682169381823371</v>
      </c>
      <c r="T12" s="97">
        <v>33.338734134529346</v>
      </c>
      <c r="U12" s="97">
        <v>32.843654428138464</v>
      </c>
      <c r="V12" s="97">
        <v>31.802397506076268</v>
      </c>
      <c r="W12" s="97">
        <v>31.211532562434499</v>
      </c>
      <c r="DA12" s="175" t="s">
        <v>285</v>
      </c>
    </row>
    <row r="13" spans="1:105" ht="11.45" customHeight="1" x14ac:dyDescent="0.25">
      <c r="A13" s="85" t="s">
        <v>174</v>
      </c>
      <c r="B13" s="98">
        <v>135.64250109393015</v>
      </c>
      <c r="C13" s="98">
        <v>42.293431431057741</v>
      </c>
      <c r="D13" s="98">
        <v>105.64358725187905</v>
      </c>
      <c r="E13" s="98">
        <v>119.42873177870806</v>
      </c>
      <c r="F13" s="98">
        <v>118.61244247409721</v>
      </c>
      <c r="G13" s="98">
        <v>137.88543682455159</v>
      </c>
      <c r="H13" s="98">
        <v>163.99777758809452</v>
      </c>
      <c r="I13" s="98">
        <v>182.50567158170139</v>
      </c>
      <c r="J13" s="98">
        <v>165.85794183418318</v>
      </c>
      <c r="K13" s="98">
        <v>130.98796741641226</v>
      </c>
      <c r="L13" s="98">
        <v>172.07664314696345</v>
      </c>
      <c r="M13" s="98">
        <v>182.37155268369244</v>
      </c>
      <c r="N13" s="98">
        <v>144.20581315026945</v>
      </c>
      <c r="O13" s="98">
        <v>155.45173185609843</v>
      </c>
      <c r="P13" s="98">
        <v>158.7896086186224</v>
      </c>
      <c r="Q13" s="98">
        <v>189.28107073013663</v>
      </c>
      <c r="R13" s="98">
        <v>196.17230348079789</v>
      </c>
      <c r="S13" s="98">
        <v>215.47185501282127</v>
      </c>
      <c r="T13" s="98">
        <v>215.89581937700129</v>
      </c>
      <c r="U13" s="98">
        <v>210.62680205605105</v>
      </c>
      <c r="V13" s="98">
        <v>231.07307917275358</v>
      </c>
      <c r="W13" s="98">
        <v>229.60818201398271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554.54290693258383</v>
      </c>
      <c r="C17" s="62">
        <f>IF(C3=0,0,C3/TrAvia_act!C13*100)</f>
        <v>564.50279176737956</v>
      </c>
      <c r="D17" s="62">
        <f>IF(D3=0,0,D3/TrAvia_act!D13*100)</f>
        <v>550.77064015514929</v>
      </c>
      <c r="E17" s="62">
        <f>IF(E3=0,0,E3/TrAvia_act!E13*100)</f>
        <v>530.68631137978844</v>
      </c>
      <c r="F17" s="62">
        <f>IF(F3=0,0,F3/TrAvia_act!F13*100)</f>
        <v>499.72970570929772</v>
      </c>
      <c r="G17" s="62">
        <f>IF(G3=0,0,G3/TrAvia_act!G13*100)</f>
        <v>489.59891542151365</v>
      </c>
      <c r="H17" s="62">
        <f>IF(H3=0,0,H3/TrAvia_act!H13*100)</f>
        <v>499.76670292787776</v>
      </c>
      <c r="I17" s="62">
        <f>IF(I3=0,0,I3/TrAvia_act!I13*100)</f>
        <v>478.7898766146651</v>
      </c>
      <c r="J17" s="62">
        <f>IF(J3=0,0,J3/TrAvia_act!J13*100)</f>
        <v>488.81999618807282</v>
      </c>
      <c r="K17" s="62">
        <f>IF(K3=0,0,K3/TrAvia_act!K13*100)</f>
        <v>469.87797569908912</v>
      </c>
      <c r="L17" s="62">
        <f>IF(L3=0,0,L3/TrAvia_act!L13*100)</f>
        <v>474.4970464418177</v>
      </c>
      <c r="M17" s="62">
        <f>IF(M3=0,0,M3/TrAvia_act!M13*100)</f>
        <v>484.45369277715179</v>
      </c>
      <c r="N17" s="62">
        <f>IF(N3=0,0,N3/TrAvia_act!N13*100)</f>
        <v>476.61420505319205</v>
      </c>
      <c r="O17" s="62">
        <f>IF(O3=0,0,O3/TrAvia_act!O13*100)</f>
        <v>481.90672077669313</v>
      </c>
      <c r="P17" s="62">
        <f>IF(P3=0,0,P3/TrAvia_act!P13*100)</f>
        <v>486.79500819306776</v>
      </c>
      <c r="Q17" s="62">
        <f>IF(Q3=0,0,Q3/TrAvia_act!Q13*100)</f>
        <v>483.25911877746552</v>
      </c>
      <c r="R17" s="62">
        <f>IF(R3=0,0,R3/TrAvia_act!R13*100)</f>
        <v>477.28072263548586</v>
      </c>
      <c r="S17" s="62">
        <f>IF(S3=0,0,S3/TrAvia_act!S13*100)</f>
        <v>475.27440642226179</v>
      </c>
      <c r="T17" s="62">
        <f>IF(T3=0,0,T3/TrAvia_act!T13*100)</f>
        <v>498.48371251798432</v>
      </c>
      <c r="U17" s="62">
        <f>IF(U3=0,0,U3/TrAvia_act!U13*100)</f>
        <v>490.78238621910452</v>
      </c>
      <c r="V17" s="62">
        <f>IF(V3=0,0,V3/TrAvia_act!V13*100)</f>
        <v>493.23908132478317</v>
      </c>
      <c r="W17" s="62">
        <f>IF(W3=0,0,W3/TrAvia_act!W13*100)</f>
        <v>421.80170341175949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549.80343583749595</v>
      </c>
      <c r="C18" s="14">
        <f>IF(C6=0,0,C6/TrAvia_act!C14*100)</f>
        <v>563.52163627156017</v>
      </c>
      <c r="D18" s="14">
        <f>IF(D6=0,0,D6/TrAvia_act!D14*100)</f>
        <v>547.35246817415668</v>
      </c>
      <c r="E18" s="14">
        <f>IF(E6=0,0,E6/TrAvia_act!E14*100)</f>
        <v>527.30755572952125</v>
      </c>
      <c r="F18" s="14">
        <f>IF(F6=0,0,F6/TrAvia_act!F14*100)</f>
        <v>497.10538826988193</v>
      </c>
      <c r="G18" s="14">
        <f>IF(G6=0,0,G6/TrAvia_act!G14*100)</f>
        <v>486.43192272368117</v>
      </c>
      <c r="H18" s="14">
        <f>IF(H6=0,0,H6/TrAvia_act!H14*100)</f>
        <v>496.16164638879258</v>
      </c>
      <c r="I18" s="14">
        <f>IF(I6=0,0,I6/TrAvia_act!I14*100)</f>
        <v>474.98453998095511</v>
      </c>
      <c r="J18" s="14">
        <f>IF(J6=0,0,J6/TrAvia_act!J14*100)</f>
        <v>485.06677204273279</v>
      </c>
      <c r="K18" s="14">
        <f>IF(K6=0,0,K6/TrAvia_act!K14*100)</f>
        <v>465.92272304768005</v>
      </c>
      <c r="L18" s="14">
        <f>IF(L6=0,0,L6/TrAvia_act!L14*100)</f>
        <v>469.09089231041168</v>
      </c>
      <c r="M18" s="14">
        <f>IF(M6=0,0,M6/TrAvia_act!M14*100)</f>
        <v>479.04685705733431</v>
      </c>
      <c r="N18" s="14">
        <f>IF(N6=0,0,N6/TrAvia_act!N14*100)</f>
        <v>472.67459022358634</v>
      </c>
      <c r="O18" s="14">
        <f>IF(O6=0,0,O6/TrAvia_act!O14*100)</f>
        <v>477.2827708814865</v>
      </c>
      <c r="P18" s="14">
        <f>IF(P6=0,0,P6/TrAvia_act!P14*100)</f>
        <v>482.06945175189207</v>
      </c>
      <c r="Q18" s="14">
        <f>IF(Q6=0,0,Q6/TrAvia_act!Q14*100)</f>
        <v>477.62658754539126</v>
      </c>
      <c r="R18" s="14">
        <f>IF(R6=0,0,R6/TrAvia_act!R14*100)</f>
        <v>471.67458100204448</v>
      </c>
      <c r="S18" s="14">
        <f>IF(S6=0,0,S6/TrAvia_act!S14*100)</f>
        <v>470.10341541491937</v>
      </c>
      <c r="T18" s="14">
        <f>IF(T6=0,0,T6/TrAvia_act!T14*100)</f>
        <v>494.29571126092321</v>
      </c>
      <c r="U18" s="14">
        <f>IF(U6=0,0,U6/TrAvia_act!U14*100)</f>
        <v>486.9456532829318</v>
      </c>
      <c r="V18" s="14">
        <f>IF(V6=0,0,V6/TrAvia_act!V14*100)</f>
        <v>472.25614360597967</v>
      </c>
      <c r="W18" s="14">
        <f>IF(W6=0,0,W6/TrAvia_act!W14*100)</f>
        <v>409.07151022603296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381.65274815706607</v>
      </c>
      <c r="C19" s="87">
        <f>IF(C7=0,0,C7/TrAvia_act!C15*100)</f>
        <v>375.97766852181564</v>
      </c>
      <c r="D19" s="87">
        <f>IF(D7=0,0,D7/TrAvia_act!D15*100)</f>
        <v>377.25357081954382</v>
      </c>
      <c r="E19" s="87">
        <f>IF(E7=0,0,E7/TrAvia_act!E15*100)</f>
        <v>374.25887956607215</v>
      </c>
      <c r="F19" s="87">
        <f>IF(F7=0,0,F7/TrAvia_act!F15*100)</f>
        <v>381.39879142803534</v>
      </c>
      <c r="G19" s="87">
        <f>IF(G7=0,0,G7/TrAvia_act!G15*100)</f>
        <v>404.38073190562784</v>
      </c>
      <c r="H19" s="87">
        <f>IF(H7=0,0,H7/TrAvia_act!H15*100)</f>
        <v>410.97877147397918</v>
      </c>
      <c r="I19" s="87">
        <f>IF(I7=0,0,I7/TrAvia_act!I15*100)</f>
        <v>390.84942710809725</v>
      </c>
      <c r="J19" s="87">
        <f>IF(J7=0,0,J7/TrAvia_act!J15*100)</f>
        <v>399.27103878408946</v>
      </c>
      <c r="K19" s="87">
        <f>IF(K7=0,0,K7/TrAvia_act!K15*100)</f>
        <v>349.4702476469339</v>
      </c>
      <c r="L19" s="87">
        <f>IF(L7=0,0,L7/TrAvia_act!L15*100)</f>
        <v>361.81901735014435</v>
      </c>
      <c r="M19" s="87">
        <f>IF(M7=0,0,M7/TrAvia_act!M15*100)</f>
        <v>367.69033537625984</v>
      </c>
      <c r="N19" s="87">
        <f>IF(N7=0,0,N7/TrAvia_act!N15*100)</f>
        <v>380.72075928502528</v>
      </c>
      <c r="O19" s="87">
        <f>IF(O7=0,0,O7/TrAvia_act!O15*100)</f>
        <v>417.08279014201207</v>
      </c>
      <c r="P19" s="87">
        <f>IF(P7=0,0,P7/TrAvia_act!P15*100)</f>
        <v>428.89136431502493</v>
      </c>
      <c r="Q19" s="87">
        <f>IF(Q7=0,0,Q7/TrAvia_act!Q15*100)</f>
        <v>451.55865411467852</v>
      </c>
      <c r="R19" s="87">
        <f>IF(R7=0,0,R7/TrAvia_act!R15*100)</f>
        <v>449.94264452985436</v>
      </c>
      <c r="S19" s="87">
        <f>IF(S7=0,0,S7/TrAvia_act!S15*100)</f>
        <v>477.94199303825985</v>
      </c>
      <c r="T19" s="87">
        <f>IF(T7=0,0,T7/TrAvia_act!T15*100)</f>
        <v>525.27103936699939</v>
      </c>
      <c r="U19" s="87">
        <f>IF(U7=0,0,U7/TrAvia_act!U15*100)</f>
        <v>524.95864407106512</v>
      </c>
      <c r="V19" s="87">
        <f>IF(V7=0,0,V7/TrAvia_act!V15*100)</f>
        <v>392.74227887261446</v>
      </c>
      <c r="W19" s="87">
        <f>IF(W7=0,0,W7/TrAvia_act!W15*100)</f>
        <v>473.36120683879005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487.1952538298508</v>
      </c>
      <c r="C20" s="87">
        <f>IF(C8=0,0,C8/TrAvia_act!C16*100)</f>
        <v>504.68321988443228</v>
      </c>
      <c r="D20" s="87">
        <f>IF(D8=0,0,D8/TrAvia_act!D16*100)</f>
        <v>486.45626066128295</v>
      </c>
      <c r="E20" s="87">
        <f>IF(E8=0,0,E8/TrAvia_act!E16*100)</f>
        <v>468.81648929992866</v>
      </c>
      <c r="F20" s="87">
        <f>IF(F8=0,0,F8/TrAvia_act!F16*100)</f>
        <v>425.92057114644899</v>
      </c>
      <c r="G20" s="87">
        <f>IF(G8=0,0,G8/TrAvia_act!G16*100)</f>
        <v>411.34018854294646</v>
      </c>
      <c r="H20" s="87">
        <f>IF(H8=0,0,H8/TrAvia_act!H16*100)</f>
        <v>420.79201052093771</v>
      </c>
      <c r="I20" s="87">
        <f>IF(I8=0,0,I8/TrAvia_act!I16*100)</f>
        <v>410.05640068673489</v>
      </c>
      <c r="J20" s="87">
        <f>IF(J8=0,0,J8/TrAvia_act!J16*100)</f>
        <v>414.06060442118655</v>
      </c>
      <c r="K20" s="87">
        <f>IF(K8=0,0,K8/TrAvia_act!K16*100)</f>
        <v>395.39776264264879</v>
      </c>
      <c r="L20" s="87">
        <f>IF(L8=0,0,L8/TrAvia_act!L16*100)</f>
        <v>396.0796730116017</v>
      </c>
      <c r="M20" s="87">
        <f>IF(M8=0,0,M8/TrAvia_act!M16*100)</f>
        <v>401.52968313281099</v>
      </c>
      <c r="N20" s="87">
        <f>IF(N8=0,0,N8/TrAvia_act!N16*100)</f>
        <v>396.99911781221988</v>
      </c>
      <c r="O20" s="87">
        <f>IF(O8=0,0,O8/TrAvia_act!O16*100)</f>
        <v>395.87196040799569</v>
      </c>
      <c r="P20" s="87">
        <f>IF(P8=0,0,P8/TrAvia_act!P16*100)</f>
        <v>398.78438533011632</v>
      </c>
      <c r="Q20" s="87">
        <f>IF(Q8=0,0,Q8/TrAvia_act!Q16*100)</f>
        <v>382.1236974217839</v>
      </c>
      <c r="R20" s="87">
        <f>IF(R8=0,0,R8/TrAvia_act!R16*100)</f>
        <v>386.24186603074293</v>
      </c>
      <c r="S20" s="87">
        <f>IF(S8=0,0,S8/TrAvia_act!S16*100)</f>
        <v>391.94956704277286</v>
      </c>
      <c r="T20" s="87">
        <f>IF(T8=0,0,T8/TrAvia_act!T16*100)</f>
        <v>422.49543399876188</v>
      </c>
      <c r="U20" s="87">
        <f>IF(U8=0,0,U8/TrAvia_act!U16*100)</f>
        <v>417.40942474726984</v>
      </c>
      <c r="V20" s="87">
        <f>IF(V8=0,0,V8/TrAvia_act!V16*100)</f>
        <v>359.54016082181556</v>
      </c>
      <c r="W20" s="87">
        <f>IF(W8=0,0,W8/TrAvia_act!W16*100)</f>
        <v>284.93907754262284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780.87263553703724</v>
      </c>
      <c r="C21" s="87">
        <f>IF(C9=0,0,C9/TrAvia_act!C17*100)</f>
        <v>808.90242628533076</v>
      </c>
      <c r="D21" s="87">
        <f>IF(D9=0,0,D9/TrAvia_act!D17*100)</f>
        <v>779.68875960816308</v>
      </c>
      <c r="E21" s="87">
        <f>IF(E9=0,0,E9/TrAvia_act!E17*100)</f>
        <v>749.42811475978579</v>
      </c>
      <c r="F21" s="87">
        <f>IF(F9=0,0,F9/TrAvia_act!F17*100)</f>
        <v>680.69159311100339</v>
      </c>
      <c r="G21" s="87">
        <f>IF(G9=0,0,G9/TrAvia_act!G17*100)</f>
        <v>641.79559664211706</v>
      </c>
      <c r="H21" s="87">
        <f>IF(H9=0,0,H9/TrAvia_act!H17*100)</f>
        <v>656.45191394146855</v>
      </c>
      <c r="I21" s="87">
        <f>IF(I9=0,0,I9/TrAvia_act!I17*100)</f>
        <v>623.77415667327364</v>
      </c>
      <c r="J21" s="87">
        <f>IF(J9=0,0,J9/TrAvia_act!J17*100)</f>
        <v>638.54482867805586</v>
      </c>
      <c r="K21" s="87">
        <f>IF(K9=0,0,K9/TrAvia_act!K17*100)</f>
        <v>649.28794526142065</v>
      </c>
      <c r="L21" s="87">
        <f>IF(L9=0,0,L9/TrAvia_act!L17*100)</f>
        <v>639.8818474590355</v>
      </c>
      <c r="M21" s="87">
        <f>IF(M9=0,0,M9/TrAvia_act!M17*100)</f>
        <v>660.11783549599238</v>
      </c>
      <c r="N21" s="87">
        <f>IF(N9=0,0,N9/TrAvia_act!N17*100)</f>
        <v>625.0140088767107</v>
      </c>
      <c r="O21" s="87">
        <f>IF(O9=0,0,O9/TrAvia_act!O17*100)</f>
        <v>608.653446270009</v>
      </c>
      <c r="P21" s="87">
        <f>IF(P9=0,0,P9/TrAvia_act!P17*100)</f>
        <v>609.29839250250177</v>
      </c>
      <c r="Q21" s="87">
        <f>IF(Q9=0,0,Q9/TrAvia_act!Q17*100)</f>
        <v>611.1181060527349</v>
      </c>
      <c r="R21" s="87">
        <f>IF(R9=0,0,R9/TrAvia_act!R17*100)</f>
        <v>593.3863886981045</v>
      </c>
      <c r="S21" s="87">
        <f>IF(S9=0,0,S9/TrAvia_act!S17*100)</f>
        <v>563.79682863340111</v>
      </c>
      <c r="T21" s="87">
        <f>IF(T9=0,0,T9/TrAvia_act!T17*100)</f>
        <v>562.04045952981312</v>
      </c>
      <c r="U21" s="87">
        <f>IF(U9=0,0,U9/TrAvia_act!U17*100)</f>
        <v>545.05315206677892</v>
      </c>
      <c r="V21" s="87">
        <f>IF(V9=0,0,V9/TrAvia_act!V17*100)</f>
        <v>657.42455046851921</v>
      </c>
      <c r="W21" s="87">
        <f>IF(W9=0,0,W9/TrAvia_act!W17*100)</f>
        <v>504.56886072100684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671.93310844240398</v>
      </c>
      <c r="C22" s="15">
        <f>IF(C10=0,0,C10/TrAvia_act!C18*100)</f>
        <v>613.26032395007667</v>
      </c>
      <c r="D22" s="15">
        <f>IF(D10=0,0,D10/TrAvia_act!D18*100)</f>
        <v>627.85055620933394</v>
      </c>
      <c r="E22" s="15">
        <f>IF(E10=0,0,E10/TrAvia_act!E18*100)</f>
        <v>608.01690483299319</v>
      </c>
      <c r="F22" s="15">
        <f>IF(F10=0,0,F10/TrAvia_act!F18*100)</f>
        <v>556.49517983716839</v>
      </c>
      <c r="G22" s="15">
        <f>IF(G10=0,0,G10/TrAvia_act!G18*100)</f>
        <v>554.38183420766029</v>
      </c>
      <c r="H22" s="15">
        <f>IF(H10=0,0,H10/TrAvia_act!H18*100)</f>
        <v>568.21748513873388</v>
      </c>
      <c r="I22" s="15">
        <f>IF(I10=0,0,I10/TrAvia_act!I18*100)</f>
        <v>549.16766715938525</v>
      </c>
      <c r="J22" s="15">
        <f>IF(J10=0,0,J10/TrAvia_act!J18*100)</f>
        <v>562.5505945349986</v>
      </c>
      <c r="K22" s="15">
        <f>IF(K10=0,0,K10/TrAvia_act!K18*100)</f>
        <v>560.63273761997675</v>
      </c>
      <c r="L22" s="15">
        <f>IF(L10=0,0,L10/TrAvia_act!L18*100)</f>
        <v>585.86338577127037</v>
      </c>
      <c r="M22" s="15">
        <f>IF(M10=0,0,M10/TrAvia_act!M18*100)</f>
        <v>594.53508138880693</v>
      </c>
      <c r="N22" s="15">
        <f>IF(N10=0,0,N10/TrAvia_act!N18*100)</f>
        <v>568.70537211351007</v>
      </c>
      <c r="O22" s="15">
        <f>IF(O10=0,0,O10/TrAvia_act!O18*100)</f>
        <v>582.03322931981347</v>
      </c>
      <c r="P22" s="15">
        <f>IF(P10=0,0,P10/TrAvia_act!P18*100)</f>
        <v>591.15234024514552</v>
      </c>
      <c r="Q22" s="15">
        <f>IF(Q10=0,0,Q10/TrAvia_act!Q18*100)</f>
        <v>595.40822196655893</v>
      </c>
      <c r="R22" s="15">
        <f>IF(R10=0,0,R10/TrAvia_act!R18*100)</f>
        <v>592.93424061825908</v>
      </c>
      <c r="S22" s="15">
        <f>IF(S10=0,0,S10/TrAvia_act!S18*100)</f>
        <v>573.42868695707989</v>
      </c>
      <c r="T22" s="15">
        <f>IF(T10=0,0,T10/TrAvia_act!T18*100)</f>
        <v>584.04737247899948</v>
      </c>
      <c r="U22" s="15">
        <f>IF(U10=0,0,U10/TrAvia_act!U18*100)</f>
        <v>573.78307329737868</v>
      </c>
      <c r="V22" s="15">
        <f>IF(V10=0,0,V10/TrAvia_act!V18*100)</f>
        <v>665.85567515585637</v>
      </c>
      <c r="W22" s="15">
        <f>IF(W10=0,0,W10/TrAvia_act!W18*100)</f>
        <v>534.23901691870071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452.05316690969755</v>
      </c>
      <c r="C23" s="101">
        <f>IF(C11=0,0,C11/TrAvia_act!C19*100)</f>
        <v>445.33125089057359</v>
      </c>
      <c r="D23" s="101">
        <f>IF(D11=0,0,D11/TrAvia_act!D19*100)</f>
        <v>446.84250864291653</v>
      </c>
      <c r="E23" s="101">
        <f>IF(E11=0,0,E11/TrAvia_act!E19*100)</f>
        <v>443.29541073366335</v>
      </c>
      <c r="F23" s="101">
        <f>IF(F11=0,0,F11/TrAvia_act!F19*100)</f>
        <v>451.7523648214883</v>
      </c>
      <c r="G23" s="101">
        <f>IF(G11=0,0,G11/TrAvia_act!G19*100)</f>
        <v>482.17575009438258</v>
      </c>
      <c r="H23" s="101">
        <f>IF(H11=0,0,H11/TrAvia_act!H19*100)</f>
        <v>487.32162690247981</v>
      </c>
      <c r="I23" s="101">
        <f>IF(I11=0,0,I11/TrAvia_act!I19*100)</f>
        <v>459.95387427655635</v>
      </c>
      <c r="J23" s="101">
        <f>IF(J11=0,0,J11/TrAvia_act!J19*100)</f>
        <v>464.86511941487328</v>
      </c>
      <c r="K23" s="101">
        <f>IF(K11=0,0,K11/TrAvia_act!K19*100)</f>
        <v>401.07149636245526</v>
      </c>
      <c r="L23" s="101">
        <f>IF(L11=0,0,L11/TrAvia_act!L19*100)</f>
        <v>411.52434587193642</v>
      </c>
      <c r="M23" s="101">
        <f>IF(M11=0,0,M11/TrAvia_act!M19*100)</f>
        <v>412.60647888721832</v>
      </c>
      <c r="N23" s="101">
        <f>IF(N11=0,0,N11/TrAvia_act!N19*100)</f>
        <v>421.71999955085306</v>
      </c>
      <c r="O23" s="101">
        <f>IF(O11=0,0,O11/TrAvia_act!O19*100)</f>
        <v>467.8795420490527</v>
      </c>
      <c r="P23" s="101">
        <f>IF(P11=0,0,P11/TrAvia_act!P19*100)</f>
        <v>487.47607966165549</v>
      </c>
      <c r="Q23" s="101">
        <f>IF(Q11=0,0,Q11/TrAvia_act!Q19*100)</f>
        <v>521.98055705626712</v>
      </c>
      <c r="R23" s="101">
        <f>IF(R11=0,0,R11/TrAvia_act!R19*100)</f>
        <v>524.06117628247478</v>
      </c>
      <c r="S23" s="101">
        <f>IF(S11=0,0,S11/TrAvia_act!S19*100)</f>
        <v>561.88593585218723</v>
      </c>
      <c r="T23" s="101">
        <f>IF(T11=0,0,T11/TrAvia_act!T19*100)</f>
        <v>623.83518095484521</v>
      </c>
      <c r="U23" s="101">
        <f>IF(U11=0,0,U11/TrAvia_act!U19*100)</f>
        <v>568.74811145401407</v>
      </c>
      <c r="V23" s="101">
        <f>IF(V11=0,0,V11/TrAvia_act!V19*100)</f>
        <v>425.65103881925432</v>
      </c>
      <c r="W23" s="101">
        <f>IF(W11=0,0,W11/TrAvia_act!W19*100)</f>
        <v>509.15136652559056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505.96316733736995</v>
      </c>
      <c r="C24" s="101">
        <f>IF(C12=0,0,C12/TrAvia_act!C20*100)</f>
        <v>524.09132316837156</v>
      </c>
      <c r="D24" s="101">
        <f>IF(D12=0,0,D12/TrAvia_act!D20*100)</f>
        <v>499.62195918885612</v>
      </c>
      <c r="E24" s="101">
        <f>IF(E12=0,0,E12/TrAvia_act!E20*100)</f>
        <v>479.20121949836386</v>
      </c>
      <c r="F24" s="101">
        <f>IF(F12=0,0,F12/TrAvia_act!F20*100)</f>
        <v>435.60388789749493</v>
      </c>
      <c r="G24" s="101">
        <f>IF(G12=0,0,G12/TrAvia_act!G20*100)</f>
        <v>419.45087342351928</v>
      </c>
      <c r="H24" s="101">
        <f>IF(H12=0,0,H12/TrAvia_act!H20*100)</f>
        <v>430.34490147518642</v>
      </c>
      <c r="I24" s="101">
        <f>IF(I12=0,0,I12/TrAvia_act!I20*100)</f>
        <v>418.25470621051119</v>
      </c>
      <c r="J24" s="101">
        <f>IF(J12=0,0,J12/TrAvia_act!J20*100)</f>
        <v>423.56473573339002</v>
      </c>
      <c r="K24" s="101">
        <f>IF(K12=0,0,K12/TrAvia_act!K20*100)</f>
        <v>405.46344554294802</v>
      </c>
      <c r="L24" s="101">
        <f>IF(L12=0,0,L12/TrAvia_act!L20*100)</f>
        <v>406.33127612276826</v>
      </c>
      <c r="M24" s="101">
        <f>IF(M12=0,0,M12/TrAvia_act!M20*100)</f>
        <v>411.89385215229777</v>
      </c>
      <c r="N24" s="101">
        <f>IF(N12=0,0,N12/TrAvia_act!N20*100)</f>
        <v>406.70019768641066</v>
      </c>
      <c r="O24" s="101">
        <f>IF(O12=0,0,O12/TrAvia_act!O20*100)</f>
        <v>406.56830399287787</v>
      </c>
      <c r="P24" s="101">
        <f>IF(P12=0,0,P12/TrAvia_act!P20*100)</f>
        <v>410.31391021705292</v>
      </c>
      <c r="Q24" s="101">
        <f>IF(Q12=0,0,Q12/TrAvia_act!Q20*100)</f>
        <v>393.0565309488548</v>
      </c>
      <c r="R24" s="101">
        <f>IF(R12=0,0,R12/TrAvia_act!R20*100)</f>
        <v>398.3235247237788</v>
      </c>
      <c r="S24" s="101">
        <f>IF(S12=0,0,S12/TrAvia_act!S20*100)</f>
        <v>405.69256804109637</v>
      </c>
      <c r="T24" s="101">
        <f>IF(T12=0,0,T12/TrAvia_act!T20*100)</f>
        <v>437.32760864780749</v>
      </c>
      <c r="U24" s="101">
        <f>IF(U12=0,0,U12/TrAvia_act!U20*100)</f>
        <v>432.49635388501656</v>
      </c>
      <c r="V24" s="101">
        <f>IF(V12=0,0,V12/TrAvia_act!V20*100)</f>
        <v>384.18554790925674</v>
      </c>
      <c r="W24" s="101">
        <f>IF(W12=0,0,W12/TrAvia_act!W20*100)</f>
        <v>299.27708476034275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731.13888043880661</v>
      </c>
      <c r="C25" s="88">
        <f>IF(C13=0,0,C13/TrAvia_act!C21*100)</f>
        <v>757.38345464205918</v>
      </c>
      <c r="D25" s="88">
        <f>IF(D13=0,0,D13/TrAvia_act!D21*100)</f>
        <v>730.0304055328827</v>
      </c>
      <c r="E25" s="88">
        <f>IF(E13=0,0,E13/TrAvia_act!E21*100)</f>
        <v>701.6970602613037</v>
      </c>
      <c r="F25" s="88">
        <f>IF(F13=0,0,F13/TrAvia_act!F21*100)</f>
        <v>637.33836564654644</v>
      </c>
      <c r="G25" s="88">
        <f>IF(G13=0,0,G13/TrAvia_act!G21*100)</f>
        <v>626.88812125903405</v>
      </c>
      <c r="H25" s="88">
        <f>IF(H13=0,0,H13/TrAvia_act!H21*100)</f>
        <v>636.03427129141426</v>
      </c>
      <c r="I25" s="88">
        <f>IF(I13=0,0,I13/TrAvia_act!I21*100)</f>
        <v>611.93364663184877</v>
      </c>
      <c r="J25" s="88">
        <f>IF(J13=0,0,J13/TrAvia_act!J21*100)</f>
        <v>632.30291824674885</v>
      </c>
      <c r="K25" s="88">
        <f>IF(K13=0,0,K13/TrAvia_act!K21*100)</f>
        <v>663.76771117061901</v>
      </c>
      <c r="L25" s="88">
        <f>IF(L13=0,0,L13/TrAvia_act!L21*100)</f>
        <v>670.90177147220083</v>
      </c>
      <c r="M25" s="88">
        <f>IF(M13=0,0,M13/TrAvia_act!M21*100)</f>
        <v>668.75652299236071</v>
      </c>
      <c r="N25" s="88">
        <f>IF(N13=0,0,N13/TrAvia_act!N21*100)</f>
        <v>639.44749048415679</v>
      </c>
      <c r="O25" s="88">
        <f>IF(O13=0,0,O13/TrAvia_act!O21*100)</f>
        <v>648.6833396204795</v>
      </c>
      <c r="P25" s="88">
        <f>IF(P13=0,0,P13/TrAvia_act!P21*100)</f>
        <v>650.4684867916128</v>
      </c>
      <c r="Q25" s="88">
        <f>IF(Q13=0,0,Q13/TrAvia_act!Q21*100)</f>
        <v>653.3312817400215</v>
      </c>
      <c r="R25" s="88">
        <f>IF(R13=0,0,R13/TrAvia_act!R21*100)</f>
        <v>639.48934294888784</v>
      </c>
      <c r="S25" s="88">
        <f>IF(S13=0,0,S13/TrAvia_act!S21*100)</f>
        <v>609.75924124365019</v>
      </c>
      <c r="T25" s="88">
        <f>IF(T13=0,0,T13/TrAvia_act!T21*100)</f>
        <v>614.33143141669962</v>
      </c>
      <c r="U25" s="88">
        <f>IF(U13=0,0,U13/TrAvia_act!U21*100)</f>
        <v>604.80402948857352</v>
      </c>
      <c r="V25" s="88">
        <f>IF(V13=0,0,V13/TrAvia_act!V21*100)</f>
        <v>753.29781037686939</v>
      </c>
      <c r="W25" s="88">
        <f>IF(W13=0,0,W13/TrAvia_act!W21*100)</f>
        <v>599.5467256840991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48.581971376757181</v>
      </c>
      <c r="C28" s="14">
        <f>IF(C6=0,0,C6/TrAvia_act!C4*1000)</f>
        <v>49.37156918013067</v>
      </c>
      <c r="D28" s="14">
        <f>IF(D6=0,0,D6/TrAvia_act!D4*1000)</f>
        <v>47.656709289311159</v>
      </c>
      <c r="E28" s="14">
        <f>IF(E6=0,0,E6/TrAvia_act!E4*1000)</f>
        <v>49.103050154198556</v>
      </c>
      <c r="F28" s="14">
        <f>IF(F6=0,0,F6/TrAvia_act!F4*1000)</f>
        <v>42.214174399095469</v>
      </c>
      <c r="G28" s="14">
        <f>IF(G6=0,0,G6/TrAvia_act!G4*1000)</f>
        <v>40.981775118314175</v>
      </c>
      <c r="H28" s="14">
        <f>IF(H6=0,0,H6/TrAvia_act!H4*1000)</f>
        <v>40.759137242532908</v>
      </c>
      <c r="I28" s="14">
        <f>IF(I6=0,0,I6/TrAvia_act!I4*1000)</f>
        <v>39.361749738296076</v>
      </c>
      <c r="J28" s="14">
        <f>IF(J6=0,0,J6/TrAvia_act!J4*1000)</f>
        <v>39.664879768794108</v>
      </c>
      <c r="K28" s="14">
        <f>IF(K6=0,0,K6/TrAvia_act!K4*1000)</f>
        <v>37.551080339102057</v>
      </c>
      <c r="L28" s="14">
        <f>IF(L6=0,0,L6/TrAvia_act!L4*1000)</f>
        <v>36.314885147929594</v>
      </c>
      <c r="M28" s="14">
        <f>IF(M6=0,0,M6/TrAvia_act!M4*1000)</f>
        <v>35.642398478897228</v>
      </c>
      <c r="N28" s="14">
        <f>IF(N6=0,0,N6/TrAvia_act!N4*1000)</f>
        <v>34.384958731152878</v>
      </c>
      <c r="O28" s="14">
        <f>IF(O6=0,0,O6/TrAvia_act!O4*1000)</f>
        <v>33.63713277701477</v>
      </c>
      <c r="P28" s="14">
        <f>IF(P6=0,0,P6/TrAvia_act!P4*1000)</f>
        <v>33.077887325364713</v>
      </c>
      <c r="Q28" s="14">
        <f>IF(Q6=0,0,Q6/TrAvia_act!Q4*1000)</f>
        <v>32.249135971555269</v>
      </c>
      <c r="R28" s="14">
        <f>IF(R6=0,0,R6/TrAvia_act!R4*1000)</f>
        <v>31.569048208022899</v>
      </c>
      <c r="S28" s="14">
        <f>IF(S6=0,0,S6/TrAvia_act!S4*1000)</f>
        <v>30.458915219428242</v>
      </c>
      <c r="T28" s="14">
        <f>IF(T6=0,0,T6/TrAvia_act!T4*1000)</f>
        <v>31.585177539031008</v>
      </c>
      <c r="U28" s="14">
        <f>IF(U6=0,0,U6/TrAvia_act!U4*1000)</f>
        <v>30.631126148390624</v>
      </c>
      <c r="V28" s="14">
        <f>IF(V6=0,0,V6/TrAvia_act!V4*1000)</f>
        <v>41.303509919328448</v>
      </c>
      <c r="W28" s="14">
        <f>IF(W6=0,0,W6/TrAvia_act!W4*1000)</f>
        <v>36.40013232628511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45.889581638849066</v>
      </c>
      <c r="C29" s="87">
        <f>IF(C7=0,0,C7/TrAvia_act!C5*1000)</f>
        <v>44.762406878609539</v>
      </c>
      <c r="D29" s="87">
        <f>IF(D7=0,0,D7/TrAvia_act!D5*1000)</f>
        <v>44.366332602576975</v>
      </c>
      <c r="E29" s="87">
        <f>IF(E7=0,0,E7/TrAvia_act!E5*1000)</f>
        <v>44.943915844898299</v>
      </c>
      <c r="F29" s="87">
        <f>IF(F7=0,0,F7/TrAvia_act!F5*1000)</f>
        <v>43.766087477625625</v>
      </c>
      <c r="G29" s="87">
        <f>IF(G7=0,0,G7/TrAvia_act!G5*1000)</f>
        <v>45.503078330433524</v>
      </c>
      <c r="H29" s="87">
        <f>IF(H7=0,0,H7/TrAvia_act!H5*1000)</f>
        <v>46.04080491682533</v>
      </c>
      <c r="I29" s="87">
        <f>IF(I7=0,0,I7/TrAvia_act!I5*1000)</f>
        <v>43.55388105814049</v>
      </c>
      <c r="J29" s="87">
        <f>IF(J7=0,0,J7/TrAvia_act!J5*1000)</f>
        <v>42.908301854110718</v>
      </c>
      <c r="K29" s="87">
        <f>IF(K7=0,0,K7/TrAvia_act!K5*1000)</f>
        <v>36.338893375096774</v>
      </c>
      <c r="L29" s="87">
        <f>IF(L7=0,0,L7/TrAvia_act!L5*1000)</f>
        <v>35.347295842859431</v>
      </c>
      <c r="M29" s="87">
        <f>IF(M7=0,0,M7/TrAvia_act!M5*1000)</f>
        <v>33.28633210540999</v>
      </c>
      <c r="N29" s="87">
        <f>IF(N7=0,0,N7/TrAvia_act!N5*1000)</f>
        <v>33.96772625698646</v>
      </c>
      <c r="O29" s="87">
        <f>IF(O7=0,0,O7/TrAvia_act!O5*1000)</f>
        <v>35.54793781593807</v>
      </c>
      <c r="P29" s="87">
        <f>IF(P7=0,0,P7/TrAvia_act!P5*1000)</f>
        <v>35.580418525810643</v>
      </c>
      <c r="Q29" s="87">
        <f>IF(Q7=0,0,Q7/TrAvia_act!Q5*1000)</f>
        <v>35.084173670383436</v>
      </c>
      <c r="R29" s="87">
        <f>IF(R7=0,0,R7/TrAvia_act!R5*1000)</f>
        <v>34.457518590829302</v>
      </c>
      <c r="S29" s="87">
        <f>IF(S7=0,0,S7/TrAvia_act!S5*1000)</f>
        <v>36.219988722231392</v>
      </c>
      <c r="T29" s="87">
        <f>IF(T7=0,0,T7/TrAvia_act!T5*1000)</f>
        <v>39.207556154959534</v>
      </c>
      <c r="U29" s="87">
        <f>IF(U7=0,0,U7/TrAvia_act!U5*1000)</f>
        <v>39.554458733433037</v>
      </c>
      <c r="V29" s="87">
        <f>IF(V7=0,0,V7/TrAvia_act!V5*1000)</f>
        <v>37.963555946144893</v>
      </c>
      <c r="W29" s="87">
        <f>IF(W7=0,0,W7/TrAvia_act!W5*1000)</f>
        <v>38.635601684779338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49.590119564518581</v>
      </c>
      <c r="C30" s="87">
        <f>IF(C8=0,0,C8/TrAvia_act!C6*1000)</f>
        <v>50.640130535374141</v>
      </c>
      <c r="D30" s="87">
        <f>IF(D8=0,0,D8/TrAvia_act!D6*1000)</f>
        <v>48.585604865678334</v>
      </c>
      <c r="E30" s="87">
        <f>IF(E8=0,0,E8/TrAvia_act!E6*1000)</f>
        <v>49.646840488404514</v>
      </c>
      <c r="F30" s="87">
        <f>IF(F8=0,0,F8/TrAvia_act!F6*1000)</f>
        <v>42.158791789657919</v>
      </c>
      <c r="G30" s="87">
        <f>IF(G8=0,0,G8/TrAvia_act!G6*1000)</f>
        <v>39.455059133718244</v>
      </c>
      <c r="H30" s="87">
        <f>IF(H8=0,0,H8/TrAvia_act!H6*1000)</f>
        <v>39.628274976860411</v>
      </c>
      <c r="I30" s="87">
        <f>IF(I8=0,0,I8/TrAvia_act!I6*1000)</f>
        <v>40.310679416695521</v>
      </c>
      <c r="J30" s="87">
        <f>IF(J8=0,0,J8/TrAvia_act!J6*1000)</f>
        <v>40.675576824197535</v>
      </c>
      <c r="K30" s="87">
        <f>IF(K8=0,0,K8/TrAvia_act!K6*1000)</f>
        <v>37.911903741356284</v>
      </c>
      <c r="L30" s="87">
        <f>IF(L8=0,0,L8/TrAvia_act!L6*1000)</f>
        <v>36.910217371842386</v>
      </c>
      <c r="M30" s="87">
        <f>IF(M8=0,0,M8/TrAvia_act!M6*1000)</f>
        <v>34.456684884237738</v>
      </c>
      <c r="N30" s="87">
        <f>IF(N8=0,0,N8/TrAvia_act!N6*1000)</f>
        <v>33.316860611480031</v>
      </c>
      <c r="O30" s="87">
        <f>IF(O8=0,0,O8/TrAvia_act!O6*1000)</f>
        <v>31.925747479707855</v>
      </c>
      <c r="P30" s="87">
        <f>IF(P8=0,0,P8/TrAvia_act!P6*1000)</f>
        <v>31.371706690213671</v>
      </c>
      <c r="Q30" s="87">
        <f>IF(Q8=0,0,Q8/TrAvia_act!Q6*1000)</f>
        <v>29.75860133848073</v>
      </c>
      <c r="R30" s="87">
        <f>IF(R8=0,0,R8/TrAvia_act!R6*1000)</f>
        <v>29.581655962947732</v>
      </c>
      <c r="S30" s="87">
        <f>IF(S8=0,0,S8/TrAvia_act!S6*1000)</f>
        <v>28.954052215083067</v>
      </c>
      <c r="T30" s="87">
        <f>IF(T8=0,0,T8/TrAvia_act!T6*1000)</f>
        <v>30.752710561297292</v>
      </c>
      <c r="U30" s="87">
        <f>IF(U8=0,0,U8/TrAvia_act!U6*1000)</f>
        <v>29.904783947447683</v>
      </c>
      <c r="V30" s="87">
        <f>IF(V8=0,0,V8/TrAvia_act!V6*1000)</f>
        <v>34.874821295429221</v>
      </c>
      <c r="W30" s="87">
        <f>IF(W8=0,0,W8/TrAvia_act!W6*1000)</f>
        <v>26.804400647448578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49.067051520895419</v>
      </c>
      <c r="C31" s="87">
        <f>IF(C9=0,0,C9/TrAvia_act!C7*1000)</f>
        <v>50.580273104538989</v>
      </c>
      <c r="D31" s="87">
        <f>IF(D9=0,0,D9/TrAvia_act!D7*1000)</f>
        <v>48.515807715997276</v>
      </c>
      <c r="E31" s="87">
        <f>IF(E9=0,0,E9/TrAvia_act!E7*1000)</f>
        <v>50.793804292059491</v>
      </c>
      <c r="F31" s="87">
        <f>IF(F9=0,0,F9/TrAvia_act!F7*1000)</f>
        <v>41.599114233246837</v>
      </c>
      <c r="G31" s="87">
        <f>IF(G9=0,0,G9/TrAvia_act!G7*1000)</f>
        <v>40.442853956273325</v>
      </c>
      <c r="H31" s="87">
        <f>IF(H9=0,0,H9/TrAvia_act!H7*1000)</f>
        <v>39.610401455590164</v>
      </c>
      <c r="I31" s="87">
        <f>IF(I9=0,0,I9/TrAvia_act!I7*1000)</f>
        <v>36.937882065060272</v>
      </c>
      <c r="J31" s="87">
        <f>IF(J9=0,0,J9/TrAvia_act!J7*1000)</f>
        <v>37.594387906087356</v>
      </c>
      <c r="K31" s="87">
        <f>IF(K9=0,0,K9/TrAvia_act!K7*1000)</f>
        <v>37.808349188132247</v>
      </c>
      <c r="L31" s="87">
        <f>IF(L9=0,0,L9/TrAvia_act!L7*1000)</f>
        <v>36.281893635665668</v>
      </c>
      <c r="M31" s="87">
        <f>IF(M9=0,0,M9/TrAvia_act!M7*1000)</f>
        <v>37.750882629506549</v>
      </c>
      <c r="N31" s="87">
        <f>IF(N9=0,0,N9/TrAvia_act!N7*1000)</f>
        <v>35.427595710821812</v>
      </c>
      <c r="O31" s="87">
        <f>IF(O9=0,0,O9/TrAvia_act!O7*1000)</f>
        <v>34.248788356074414</v>
      </c>
      <c r="P31" s="87">
        <f>IF(P9=0,0,P9/TrAvia_act!P7*1000)</f>
        <v>33.557695803552022</v>
      </c>
      <c r="Q31" s="87">
        <f>IF(Q9=0,0,Q9/TrAvia_act!Q7*1000)</f>
        <v>33.297662595542477</v>
      </c>
      <c r="R31" s="87">
        <f>IF(R9=0,0,R9/TrAvia_act!R7*1000)</f>
        <v>32.243172501908226</v>
      </c>
      <c r="S31" s="87">
        <f>IF(S9=0,0,S9/TrAvia_act!S7*1000)</f>
        <v>29.651501815548777</v>
      </c>
      <c r="T31" s="87">
        <f>IF(T9=0,0,T9/TrAvia_act!T7*1000)</f>
        <v>29.666424227110692</v>
      </c>
      <c r="U31" s="87">
        <f>IF(U9=0,0,U9/TrAvia_act!U7*1000)</f>
        <v>28.376507115574157</v>
      </c>
      <c r="V31" s="87">
        <f>IF(V9=0,0,V9/TrAvia_act!V7*1000)</f>
        <v>48.699432434886297</v>
      </c>
      <c r="W31" s="87">
        <f>IF(W9=0,0,W9/TrAvia_act!W7*1000)</f>
        <v>45.514378984338116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93.225634986179685</v>
      </c>
      <c r="C32" s="15">
        <f>IF(C10=0,0,C10/TrAvia_act!C8*1000)</f>
        <v>113.68279776424441</v>
      </c>
      <c r="D32" s="15">
        <f>IF(D10=0,0,D10/TrAvia_act!D8*1000)</f>
        <v>104.83341639993674</v>
      </c>
      <c r="E32" s="15">
        <f>IF(E10=0,0,E10/TrAvia_act!E8*1000)</f>
        <v>108.11008239380763</v>
      </c>
      <c r="F32" s="15">
        <f>IF(F10=0,0,F10/TrAvia_act!F8*1000)</f>
        <v>103.51461496553482</v>
      </c>
      <c r="G32" s="15">
        <f>IF(G10=0,0,G10/TrAvia_act!G8*1000)</f>
        <v>105.18045631818083</v>
      </c>
      <c r="H32" s="15">
        <f>IF(H10=0,0,H10/TrAvia_act!H8*1000)</f>
        <v>110.08855652020534</v>
      </c>
      <c r="I32" s="15">
        <f>IF(I10=0,0,I10/TrAvia_act!I8*1000)</f>
        <v>107.05887814858731</v>
      </c>
      <c r="J32" s="15">
        <f>IF(J10=0,0,J10/TrAvia_act!J8*1000)</f>
        <v>113.07144468157114</v>
      </c>
      <c r="K32" s="15">
        <f>IF(K10=0,0,K10/TrAvia_act!K8*1000)</f>
        <v>106.53624415455522</v>
      </c>
      <c r="L32" s="15">
        <f>IF(L10=0,0,L10/TrAvia_act!L8*1000)</f>
        <v>100.74233330418232</v>
      </c>
      <c r="M32" s="15">
        <f>IF(M10=0,0,M10/TrAvia_act!M8*1000)</f>
        <v>95.602501923979901</v>
      </c>
      <c r="N32" s="15">
        <f>IF(N10=0,0,N10/TrAvia_act!N8*1000)</f>
        <v>86.249933545706682</v>
      </c>
      <c r="O32" s="15">
        <f>IF(O10=0,0,O10/TrAvia_act!O8*1000)</f>
        <v>86.774270755698765</v>
      </c>
      <c r="P32" s="15">
        <f>IF(P10=0,0,P10/TrAvia_act!P8*1000)</f>
        <v>75.947437495950282</v>
      </c>
      <c r="Q32" s="15">
        <f>IF(Q10=0,0,Q10/TrAvia_act!Q8*1000)</f>
        <v>75.874261596913399</v>
      </c>
      <c r="R32" s="15">
        <f>IF(R10=0,0,R10/TrAvia_act!R8*1000)</f>
        <v>67.452962110065627</v>
      </c>
      <c r="S32" s="15">
        <f>IF(S10=0,0,S10/TrAvia_act!S8*1000)</f>
        <v>66.343873087863074</v>
      </c>
      <c r="T32" s="15">
        <f>IF(T10=0,0,T10/TrAvia_act!T8*1000)</f>
        <v>67.036875715786678</v>
      </c>
      <c r="U32" s="15">
        <f>IF(U10=0,0,U10/TrAvia_act!U8*1000)</f>
        <v>63.712127596747919</v>
      </c>
      <c r="V32" s="15">
        <f>IF(V10=0,0,V10/TrAvia_act!V8*1000)</f>
        <v>103.70826702259889</v>
      </c>
      <c r="W32" s="15">
        <f>IF(W10=0,0,W10/TrAvia_act!W8*1000)</f>
        <v>96.595236844833536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441.06870384270661</v>
      </c>
      <c r="C33" s="101">
        <f>IF(C11=0,0,C11/TrAvia_act!C9*1000)</f>
        <v>437.84856651535046</v>
      </c>
      <c r="D33" s="101">
        <f>IF(D11=0,0,D11/TrAvia_act!D9*1000)</f>
        <v>427.23137392196679</v>
      </c>
      <c r="E33" s="101">
        <f>IF(E11=0,0,E11/TrAvia_act!E9*1000)</f>
        <v>398.46287270337132</v>
      </c>
      <c r="F33" s="101">
        <f>IF(F11=0,0,F11/TrAvia_act!F9*1000)</f>
        <v>431.22287871417711</v>
      </c>
      <c r="G33" s="101">
        <f>IF(G11=0,0,G11/TrAvia_act!G9*1000)</f>
        <v>470.3136183057635</v>
      </c>
      <c r="H33" s="101">
        <f>IF(H11=0,0,H11/TrAvia_act!H9*1000)</f>
        <v>494.16367976981894</v>
      </c>
      <c r="I33" s="101">
        <f>IF(I11=0,0,I11/TrAvia_act!I9*1000)</f>
        <v>468.14988415266021</v>
      </c>
      <c r="J33" s="101">
        <f>IF(J11=0,0,J11/TrAvia_act!J9*1000)</f>
        <v>491.79134869281904</v>
      </c>
      <c r="K33" s="101">
        <f>IF(K11=0,0,K11/TrAvia_act!K9*1000)</f>
        <v>420.66858007964242</v>
      </c>
      <c r="L33" s="101">
        <f>IF(L11=0,0,L11/TrAvia_act!L9*1000)</f>
        <v>403.56082862509527</v>
      </c>
      <c r="M33" s="101">
        <f>IF(M11=0,0,M11/TrAvia_act!M9*1000)</f>
        <v>364.42290564828278</v>
      </c>
      <c r="N33" s="101">
        <f>IF(N11=0,0,N11/TrAvia_act!N9*1000)</f>
        <v>362.91867312121821</v>
      </c>
      <c r="O33" s="101">
        <f>IF(O11=0,0,O11/TrAvia_act!O9*1000)</f>
        <v>389.9466531912293</v>
      </c>
      <c r="P33" s="101">
        <f>IF(P11=0,0,P11/TrAvia_act!P9*1000)</f>
        <v>366.19027025769907</v>
      </c>
      <c r="Q33" s="101">
        <f>IF(Q11=0,0,Q11/TrAvia_act!Q9*1000)</f>
        <v>372.579709697959</v>
      </c>
      <c r="R33" s="101">
        <f>IF(R11=0,0,R11/TrAvia_act!R9*1000)</f>
        <v>326.53241012526013</v>
      </c>
      <c r="S33" s="101">
        <f>IF(S11=0,0,S11/TrAvia_act!S9*1000)</f>
        <v>381.85891155648</v>
      </c>
      <c r="T33" s="101">
        <f>IF(T11=0,0,T11/TrAvia_act!T9*1000)</f>
        <v>419.28107013959851</v>
      </c>
      <c r="U33" s="101">
        <f>IF(U11=0,0,U11/TrAvia_act!U9*1000)</f>
        <v>347.24909616813596</v>
      </c>
      <c r="V33" s="101">
        <f>IF(V11=0,0,V11/TrAvia_act!V9*1000)</f>
        <v>278.25894346679848</v>
      </c>
      <c r="W33" s="101">
        <f>IF(W11=0,0,W11/TrAvia_act!W9*1000)</f>
        <v>332.12148486604679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222.1210319196131</v>
      </c>
      <c r="C34" s="101">
        <f>IF(C12=0,0,C12/TrAvia_act!C10*1000)</f>
        <v>217.52028081774679</v>
      </c>
      <c r="D34" s="101">
        <f>IF(D12=0,0,D12/TrAvia_act!D10*1000)</f>
        <v>210.0047383509856</v>
      </c>
      <c r="E34" s="101">
        <f>IF(E12=0,0,E12/TrAvia_act!E10*1000)</f>
        <v>194.76029515389035</v>
      </c>
      <c r="F34" s="101">
        <f>IF(F12=0,0,F12/TrAvia_act!F10*1000)</f>
        <v>195.69823534996036</v>
      </c>
      <c r="G34" s="101">
        <f>IF(G12=0,0,G12/TrAvia_act!G10*1000)</f>
        <v>192.60134182385335</v>
      </c>
      <c r="H34" s="101">
        <f>IF(H12=0,0,H12/TrAvia_act!H10*1000)</f>
        <v>232.86061871465702</v>
      </c>
      <c r="I34" s="101">
        <f>IF(I12=0,0,I12/TrAvia_act!I10*1000)</f>
        <v>234.54592381240175</v>
      </c>
      <c r="J34" s="101">
        <f>IF(J12=0,0,J12/TrAvia_act!J10*1000)</f>
        <v>244.72684576427324</v>
      </c>
      <c r="K34" s="101">
        <f>IF(K12=0,0,K12/TrAvia_act!K10*1000)</f>
        <v>229.33445863150061</v>
      </c>
      <c r="L34" s="101">
        <f>IF(L12=0,0,L12/TrAvia_act!L10*1000)</f>
        <v>226.69382072217783</v>
      </c>
      <c r="M34" s="101">
        <f>IF(M12=0,0,M12/TrAvia_act!M10*1000)</f>
        <v>216.84032495996212</v>
      </c>
      <c r="N34" s="101">
        <f>IF(N12=0,0,N12/TrAvia_act!N10*1000)</f>
        <v>196.55557650550713</v>
      </c>
      <c r="O34" s="101">
        <f>IF(O12=0,0,O12/TrAvia_act!O10*1000)</f>
        <v>197.99846160499087</v>
      </c>
      <c r="P34" s="101">
        <f>IF(P12=0,0,P12/TrAvia_act!P10*1000)</f>
        <v>173.30208862259303</v>
      </c>
      <c r="Q34" s="101">
        <f>IF(Q12=0,0,Q12/TrAvia_act!Q10*1000)</f>
        <v>167.07016306039858</v>
      </c>
      <c r="R34" s="101">
        <f>IF(R12=0,0,R12/TrAvia_act!R10*1000)</f>
        <v>152.96988689304902</v>
      </c>
      <c r="S34" s="101">
        <f>IF(S12=0,0,S12/TrAvia_act!S10*1000)</f>
        <v>169.38227607510086</v>
      </c>
      <c r="T34" s="101">
        <f>IF(T12=0,0,T12/TrAvia_act!T10*1000)</f>
        <v>180.61762222921467</v>
      </c>
      <c r="U34" s="101">
        <f>IF(U12=0,0,U12/TrAvia_act!U10*1000)</f>
        <v>170.57580594346433</v>
      </c>
      <c r="V34" s="101">
        <f>IF(V12=0,0,V12/TrAvia_act!V10*1000)</f>
        <v>181.8180342506858</v>
      </c>
      <c r="W34" s="101">
        <f>IF(W12=0,0,W12/TrAvia_act!W10*1000)</f>
        <v>153.20512612626621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81.912200244536393</v>
      </c>
      <c r="C35" s="88">
        <f>IF(C13=0,0,C13/TrAvia_act!C11*1000)</f>
        <v>80.999429604871551</v>
      </c>
      <c r="D35" s="88">
        <f>IF(D13=0,0,D13/TrAvia_act!D11*1000)</f>
        <v>82.668690118399724</v>
      </c>
      <c r="E35" s="88">
        <f>IF(E13=0,0,E13/TrAvia_act!E11*1000)</f>
        <v>87.43675266898353</v>
      </c>
      <c r="F35" s="88">
        <f>IF(F13=0,0,F13/TrAvia_act!F11*1000)</f>
        <v>81.815922612795887</v>
      </c>
      <c r="G35" s="88">
        <f>IF(G13=0,0,G13/TrAvia_act!G11*1000)</f>
        <v>85.570778784856856</v>
      </c>
      <c r="H35" s="88">
        <f>IF(H13=0,0,H13/TrAvia_act!H11*1000)</f>
        <v>89.811122912052085</v>
      </c>
      <c r="I35" s="88">
        <f>IF(I13=0,0,I13/TrAvia_act!I11*1000)</f>
        <v>87.871611889759038</v>
      </c>
      <c r="J35" s="88">
        <f>IF(J13=0,0,J13/TrAvia_act!J11*1000)</f>
        <v>92.66604875679532</v>
      </c>
      <c r="K35" s="88">
        <f>IF(K13=0,0,K13/TrAvia_act!K11*1000)</f>
        <v>86.256174212009668</v>
      </c>
      <c r="L35" s="88">
        <f>IF(L13=0,0,L13/TrAvia_act!L11*1000)</f>
        <v>85.755094261930935</v>
      </c>
      <c r="M35" s="88">
        <f>IF(M13=0,0,M13/TrAvia_act!M11*1000)</f>
        <v>83.079563872612297</v>
      </c>
      <c r="N35" s="88">
        <f>IF(N13=0,0,N13/TrAvia_act!N11*1000)</f>
        <v>73.553845015820258</v>
      </c>
      <c r="O35" s="88">
        <f>IF(O13=0,0,O13/TrAvia_act!O11*1000)</f>
        <v>74.765371559410539</v>
      </c>
      <c r="P35" s="88">
        <f>IF(P13=0,0,P13/TrAvia_act!P11*1000)</f>
        <v>66.465524326492769</v>
      </c>
      <c r="Q35" s="88">
        <f>IF(Q13=0,0,Q13/TrAvia_act!Q11*1000)</f>
        <v>67.674214197044918</v>
      </c>
      <c r="R35" s="88">
        <f>IF(R13=0,0,R13/TrAvia_act!R11*1000)</f>
        <v>61.089525630650371</v>
      </c>
      <c r="S35" s="88">
        <f>IF(S13=0,0,S13/TrAvia_act!S11*1000)</f>
        <v>59.496846540899362</v>
      </c>
      <c r="T35" s="88">
        <f>IF(T13=0,0,T13/TrAvia_act!T11*1000)</f>
        <v>59.315232839651834</v>
      </c>
      <c r="U35" s="88">
        <f>IF(U13=0,0,U13/TrAvia_act!U11*1000)</f>
        <v>56.378371407962057</v>
      </c>
      <c r="V35" s="88">
        <f>IF(V13=0,0,V13/TrAvia_act!V11*1000)</f>
        <v>96.383679636034302</v>
      </c>
      <c r="W35" s="88">
        <f>IF(W13=0,0,W13/TrAvia_act!W11*1000)</f>
        <v>89.275374528951744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6242.8805586120761</v>
      </c>
      <c r="C37" s="62">
        <f>IF(C3=0,0,C3/TrAvia_act!C23*1000000)</f>
        <v>6220.6906088037631</v>
      </c>
      <c r="D37" s="62">
        <f>IF(D3=0,0,D3/TrAvia_act!D23*1000000)</f>
        <v>6138.8880285693504</v>
      </c>
      <c r="E37" s="62">
        <f>IF(E3=0,0,E3/TrAvia_act!E23*1000000)</f>
        <v>5924.0425271756885</v>
      </c>
      <c r="F37" s="62">
        <f>IF(F3=0,0,F3/TrAvia_act!F23*1000000)</f>
        <v>5759.6869383302765</v>
      </c>
      <c r="G37" s="62">
        <f>IF(G3=0,0,G3/TrAvia_act!G23*1000000)</f>
        <v>5716.8839379997944</v>
      </c>
      <c r="H37" s="62">
        <f>IF(H3=0,0,H3/TrAvia_act!H23*1000000)</f>
        <v>5819.5012787072837</v>
      </c>
      <c r="I37" s="62">
        <f>IF(I3=0,0,I3/TrAvia_act!I23*1000000)</f>
        <v>5574.0501866187042</v>
      </c>
      <c r="J37" s="62">
        <f>IF(J3=0,0,J3/TrAvia_act!J23*1000000)</f>
        <v>5754.2945888706954</v>
      </c>
      <c r="K37" s="62">
        <f>IF(K3=0,0,K3/TrAvia_act!K23*1000000)</f>
        <v>5464.2548832655266</v>
      </c>
      <c r="L37" s="62">
        <f>IF(L3=0,0,L3/TrAvia_act!L23*1000000)</f>
        <v>5650.7366113737671</v>
      </c>
      <c r="M37" s="62">
        <f>IF(M3=0,0,M3/TrAvia_act!M23*1000000)</f>
        <v>5749.190486565225</v>
      </c>
      <c r="N37" s="62">
        <f>IF(N3=0,0,N3/TrAvia_act!N23*1000000)</f>
        <v>5681.0074678776973</v>
      </c>
      <c r="O37" s="62">
        <f>IF(O3=0,0,O3/TrAvia_act!O23*1000000)</f>
        <v>5865.3290661868477</v>
      </c>
      <c r="P37" s="62">
        <f>IF(P3=0,0,P3/TrAvia_act!P23*1000000)</f>
        <v>6101.6503603209949</v>
      </c>
      <c r="Q37" s="62">
        <f>IF(Q3=0,0,Q3/TrAvia_act!Q23*1000000)</f>
        <v>6058.2186938192581</v>
      </c>
      <c r="R37" s="62">
        <f>IF(R3=0,0,R3/TrAvia_act!R23*1000000)</f>
        <v>6098.0437720907275</v>
      </c>
      <c r="S37" s="62">
        <f>IF(S3=0,0,S3/TrAvia_act!S23*1000000)</f>
        <v>6199.1996647197748</v>
      </c>
      <c r="T37" s="62">
        <f>IF(T3=0,0,T3/TrAvia_act!T23*1000000)</f>
        <v>6704.0785655011205</v>
      </c>
      <c r="U37" s="62">
        <f>IF(U3=0,0,U3/TrAvia_act!U23*1000000)</f>
        <v>6738.3537087712766</v>
      </c>
      <c r="V37" s="62">
        <f>IF(V3=0,0,V3/TrAvia_act!V23*1000000)</f>
        <v>6335.0187329718447</v>
      </c>
      <c r="W37" s="62">
        <f>IF(W3=0,0,W3/TrAvia_act!W23*1000000)</f>
        <v>5350.9442414931418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6080.1818589817958</v>
      </c>
      <c r="C38" s="14">
        <f>IF(C6=0,0,C6/TrAvia_act!C24*1000000)</f>
        <v>6219.5531387236324</v>
      </c>
      <c r="D38" s="14">
        <f>IF(D6=0,0,D6/TrAvia_act!D24*1000000)</f>
        <v>6038.8505168284009</v>
      </c>
      <c r="E38" s="14">
        <f>IF(E6=0,0,E6/TrAvia_act!E24*1000000)</f>
        <v>5824.0272337504539</v>
      </c>
      <c r="F38" s="14">
        <f>IF(F6=0,0,F6/TrAvia_act!F24*1000000)</f>
        <v>5669.1212537267584</v>
      </c>
      <c r="G38" s="14">
        <f>IF(G6=0,0,G6/TrAvia_act!G24*1000000)</f>
        <v>5607.1306756464983</v>
      </c>
      <c r="H38" s="14">
        <f>IF(H6=0,0,H6/TrAvia_act!H24*1000000)</f>
        <v>5683.7671128621223</v>
      </c>
      <c r="I38" s="14">
        <f>IF(I6=0,0,I6/TrAvia_act!I24*1000000)</f>
        <v>5430.8306773460517</v>
      </c>
      <c r="J38" s="14">
        <f>IF(J6=0,0,J6/TrAvia_act!J24*1000000)</f>
        <v>5615.5636787556414</v>
      </c>
      <c r="K38" s="14">
        <f>IF(K6=0,0,K6/TrAvia_act!K24*1000000)</f>
        <v>5350.4471290054335</v>
      </c>
      <c r="L38" s="14">
        <f>IF(L6=0,0,L6/TrAvia_act!L24*1000000)</f>
        <v>5486.9186731091077</v>
      </c>
      <c r="M38" s="14">
        <f>IF(M6=0,0,M6/TrAvia_act!M24*1000000)</f>
        <v>5572.2670397893307</v>
      </c>
      <c r="N38" s="14">
        <f>IF(N6=0,0,N6/TrAvia_act!N24*1000000)</f>
        <v>5544.4601444819118</v>
      </c>
      <c r="O38" s="14">
        <f>IF(O6=0,0,O6/TrAvia_act!O24*1000000)</f>
        <v>5706.8008674650464</v>
      </c>
      <c r="P38" s="14">
        <f>IF(P6=0,0,P6/TrAvia_act!P24*1000000)</f>
        <v>5931.5900076641246</v>
      </c>
      <c r="Q38" s="14">
        <f>IF(Q6=0,0,Q6/TrAvia_act!Q24*1000000)</f>
        <v>5855.8443060626614</v>
      </c>
      <c r="R38" s="14">
        <f>IF(R6=0,0,R6/TrAvia_act!R24*1000000)</f>
        <v>5886.3909696121873</v>
      </c>
      <c r="S38" s="14">
        <f>IF(S6=0,0,S6/TrAvia_act!S24*1000000)</f>
        <v>5975.4254985533726</v>
      </c>
      <c r="T38" s="14">
        <f>IF(T6=0,0,T6/TrAvia_act!T24*1000000)</f>
        <v>6494.765286384818</v>
      </c>
      <c r="U38" s="14">
        <f>IF(U6=0,0,U6/TrAvia_act!U24*1000000)</f>
        <v>6537.9607172221104</v>
      </c>
      <c r="V38" s="14">
        <f>IF(V6=0,0,V6/TrAvia_act!V24*1000000)</f>
        <v>5734.1832737728046</v>
      </c>
      <c r="W38" s="14">
        <f>IF(W6=0,0,W6/TrAvia_act!W24*1000000)</f>
        <v>4919.8901506381162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2395.4845642986747</v>
      </c>
      <c r="C39" s="87">
        <f>IF(C7=0,0,C7/TrAvia_act!C25*1000000)</f>
        <v>2359.8643159628418</v>
      </c>
      <c r="D39" s="87">
        <f>IF(D7=0,0,D7/TrAvia_act!D25*1000000)</f>
        <v>2367.8726541040446</v>
      </c>
      <c r="E39" s="87">
        <f>IF(E7=0,0,E7/TrAvia_act!E25*1000000)</f>
        <v>2349.0761520293904</v>
      </c>
      <c r="F39" s="87">
        <f>IF(F7=0,0,F7/TrAvia_act!F25*1000000)</f>
        <v>2393.8905775467633</v>
      </c>
      <c r="G39" s="87">
        <f>IF(G7=0,0,G7/TrAvia_act!G25*1000000)</f>
        <v>2483.2498950640752</v>
      </c>
      <c r="H39" s="87">
        <f>IF(H7=0,0,H7/TrAvia_act!H25*1000000)</f>
        <v>2510.511525305868</v>
      </c>
      <c r="I39" s="87">
        <f>IF(I7=0,0,I7/TrAvia_act!I25*1000000)</f>
        <v>2391.6412997325879</v>
      </c>
      <c r="J39" s="87">
        <f>IF(J7=0,0,J7/TrAvia_act!J25*1000000)</f>
        <v>2477.4587537769644</v>
      </c>
      <c r="K39" s="87">
        <f>IF(K7=0,0,K7/TrAvia_act!K25*1000000)</f>
        <v>2236.8328863059505</v>
      </c>
      <c r="L39" s="87">
        <f>IF(L7=0,0,L7/TrAvia_act!L25*1000000)</f>
        <v>2344.1617468733261</v>
      </c>
      <c r="M39" s="87">
        <f>IF(M7=0,0,M7/TrAvia_act!M25*1000000)</f>
        <v>2358.9041508862792</v>
      </c>
      <c r="N39" s="87">
        <f>IF(N7=0,0,N7/TrAvia_act!N25*1000000)</f>
        <v>2412.737808659454</v>
      </c>
      <c r="O39" s="87">
        <f>IF(O7=0,0,O7/TrAvia_act!O25*1000000)</f>
        <v>2652.9737079629008</v>
      </c>
      <c r="P39" s="87">
        <f>IF(P7=0,0,P7/TrAvia_act!P25*1000000)</f>
        <v>2735.5304594057202</v>
      </c>
      <c r="Q39" s="87">
        <f>IF(Q7=0,0,Q7/TrAvia_act!Q25*1000000)</f>
        <v>2847.6476047976853</v>
      </c>
      <c r="R39" s="87">
        <f>IF(R7=0,0,R7/TrAvia_act!R25*1000000)</f>
        <v>2914.4871640162164</v>
      </c>
      <c r="S39" s="87">
        <f>IF(S7=0,0,S7/TrAvia_act!S25*1000000)</f>
        <v>3152.1928393357957</v>
      </c>
      <c r="T39" s="87">
        <f>IF(T7=0,0,T7/TrAvia_act!T25*1000000)</f>
        <v>3513.134171179006</v>
      </c>
      <c r="U39" s="87">
        <f>IF(U7=0,0,U7/TrAvia_act!U25*1000000)</f>
        <v>3559.7583661786989</v>
      </c>
      <c r="V39" s="87">
        <f>IF(V7=0,0,V7/TrAvia_act!V25*1000000)</f>
        <v>2656.8671751054885</v>
      </c>
      <c r="W39" s="87">
        <f>IF(W7=0,0,W7/TrAvia_act!W25*1000000)</f>
        <v>3377.6625482313848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5382.1517288655878</v>
      </c>
      <c r="C40" s="87">
        <f>IF(C8=0,0,C8/TrAvia_act!C26*1000000)</f>
        <v>5575.339772582819</v>
      </c>
      <c r="D40" s="87">
        <f>IF(D8=0,0,D8/TrAvia_act!D26*1000000)</f>
        <v>5373.9740824742776</v>
      </c>
      <c r="E40" s="87">
        <f>IF(E8=0,0,E8/TrAvia_act!E26*1000000)</f>
        <v>5224.0811691056997</v>
      </c>
      <c r="F40" s="87">
        <f>IF(F8=0,0,F8/TrAvia_act!F26*1000000)</f>
        <v>4750.4906751319913</v>
      </c>
      <c r="G40" s="87">
        <f>IF(G8=0,0,G8/TrAvia_act!G26*1000000)</f>
        <v>4633.0963453890326</v>
      </c>
      <c r="H40" s="87">
        <f>IF(H8=0,0,H8/TrAvia_act!H26*1000000)</f>
        <v>4724.6615863815505</v>
      </c>
      <c r="I40" s="87">
        <f>IF(I8=0,0,I8/TrAvia_act!I26*1000000)</f>
        <v>4632.0242321676897</v>
      </c>
      <c r="J40" s="87">
        <f>IF(J8=0,0,J8/TrAvia_act!J26*1000000)</f>
        <v>4683.6294763694978</v>
      </c>
      <c r="K40" s="87">
        <f>IF(K8=0,0,K8/TrAvia_act!K26*1000000)</f>
        <v>4465.0931233392566</v>
      </c>
      <c r="L40" s="87">
        <f>IF(L8=0,0,L8/TrAvia_act!L26*1000000)</f>
        <v>4496.6997155638219</v>
      </c>
      <c r="M40" s="87">
        <f>IF(M8=0,0,M8/TrAvia_act!M26*1000000)</f>
        <v>4522.0102139310284</v>
      </c>
      <c r="N40" s="87">
        <f>IF(N8=0,0,N8/TrAvia_act!N26*1000000)</f>
        <v>4434.886930466695</v>
      </c>
      <c r="O40" s="87">
        <f>IF(O8=0,0,O8/TrAvia_act!O26*1000000)</f>
        <v>4455.4719993145136</v>
      </c>
      <c r="P40" s="87">
        <f>IF(P8=0,0,P8/TrAvia_act!P26*1000000)</f>
        <v>4538.0906622903158</v>
      </c>
      <c r="Q40" s="87">
        <f>IF(Q8=0,0,Q8/TrAvia_act!Q26*1000000)</f>
        <v>4369.8735694807019</v>
      </c>
      <c r="R40" s="87">
        <f>IF(R8=0,0,R8/TrAvia_act!R26*1000000)</f>
        <v>4451.5425295387813</v>
      </c>
      <c r="S40" s="87">
        <f>IF(S8=0,0,S8/TrAvia_act!S26*1000000)</f>
        <v>4551.55741438327</v>
      </c>
      <c r="T40" s="87">
        <f>IF(T8=0,0,T8/TrAvia_act!T26*1000000)</f>
        <v>4951.6840350092625</v>
      </c>
      <c r="U40" s="87">
        <f>IF(U8=0,0,U8/TrAvia_act!U26*1000000)</f>
        <v>4881.6424314916621</v>
      </c>
      <c r="V40" s="87">
        <f>IF(V8=0,0,V8/TrAvia_act!V26*1000000)</f>
        <v>4187.3163058249511</v>
      </c>
      <c r="W40" s="87">
        <f>IF(W8=0,0,W8/TrAvia_act!W26*1000000)</f>
        <v>3378.3482535154835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27843.871697946808</v>
      </c>
      <c r="C41" s="87">
        <f>IF(C9=0,0,C9/TrAvia_act!C27*1000000)</f>
        <v>28843.340576477851</v>
      </c>
      <c r="D41" s="87">
        <f>IF(D9=0,0,D9/TrAvia_act!D27*1000000)</f>
        <v>27801.657784986233</v>
      </c>
      <c r="E41" s="87">
        <f>IF(E9=0,0,E9/TrAvia_act!E27*1000000)</f>
        <v>26722.642495795211</v>
      </c>
      <c r="F41" s="87">
        <f>IF(F9=0,0,F9/TrAvia_act!F27*1000000)</f>
        <v>24271.678276213377</v>
      </c>
      <c r="G41" s="87">
        <f>IF(G9=0,0,G9/TrAvia_act!G27*1000000)</f>
        <v>21887.699501778519</v>
      </c>
      <c r="H41" s="87">
        <f>IF(H9=0,0,H9/TrAvia_act!H27*1000000)</f>
        <v>22709.757669564136</v>
      </c>
      <c r="I41" s="87">
        <f>IF(I9=0,0,I9/TrAvia_act!I27*1000000)</f>
        <v>21400.03855370394</v>
      </c>
      <c r="J41" s="87">
        <f>IF(J9=0,0,J9/TrAvia_act!J27*1000000)</f>
        <v>21787.691695895795</v>
      </c>
      <c r="K41" s="87">
        <f>IF(K9=0,0,K9/TrAvia_act!K27*1000000)</f>
        <v>21478.634059905507</v>
      </c>
      <c r="L41" s="87">
        <f>IF(L9=0,0,L9/TrAvia_act!L27*1000000)</f>
        <v>20639.780024631043</v>
      </c>
      <c r="M41" s="87">
        <f>IF(M9=0,0,M9/TrAvia_act!M27*1000000)</f>
        <v>21713.377868466327</v>
      </c>
      <c r="N41" s="87">
        <f>IF(N9=0,0,N9/TrAvia_act!N27*1000000)</f>
        <v>19814.49797051942</v>
      </c>
      <c r="O41" s="87">
        <f>IF(O9=0,0,O9/TrAvia_act!O27*1000000)</f>
        <v>18753.136215529092</v>
      </c>
      <c r="P41" s="87">
        <f>IF(P9=0,0,P9/TrAvia_act!P27*1000000)</f>
        <v>19265.452730728532</v>
      </c>
      <c r="Q41" s="87">
        <f>IF(Q9=0,0,Q9/TrAvia_act!Q27*1000000)</f>
        <v>19782.256870103589</v>
      </c>
      <c r="R41" s="87">
        <f>IF(R9=0,0,R9/TrAvia_act!R27*1000000)</f>
        <v>19481.393718391999</v>
      </c>
      <c r="S41" s="87">
        <f>IF(S9=0,0,S9/TrAvia_act!S27*1000000)</f>
        <v>18711.908646806045</v>
      </c>
      <c r="T41" s="87">
        <f>IF(T9=0,0,T9/TrAvia_act!T27*1000000)</f>
        <v>18814.788850693196</v>
      </c>
      <c r="U41" s="87">
        <f>IF(U9=0,0,U9/TrAvia_act!U27*1000000)</f>
        <v>18780.745070102097</v>
      </c>
      <c r="V41" s="87">
        <f>IF(V9=0,0,V9/TrAvia_act!V27*1000000)</f>
        <v>21950.367976433179</v>
      </c>
      <c r="W41" s="87">
        <f>IF(W9=0,0,W9/TrAvia_act!W27*1000000)</f>
        <v>16212.613016625184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13640.097854717193</v>
      </c>
      <c r="C42" s="15">
        <f>IF(C10=0,0,C10/TrAvia_act!C28*1000000)</f>
        <v>6273.0785251829784</v>
      </c>
      <c r="D42" s="15">
        <f>IF(D10=0,0,D10/TrAvia_act!D28*1000000)</f>
        <v>9103.5734987556898</v>
      </c>
      <c r="E42" s="15">
        <f>IF(E10=0,0,E10/TrAvia_act!E28*1000000)</f>
        <v>8987.6387192704478</v>
      </c>
      <c r="F42" s="15">
        <f>IF(F10=0,0,F10/TrAvia_act!F28*1000000)</f>
        <v>8331.3860421664504</v>
      </c>
      <c r="G42" s="15">
        <f>IF(G10=0,0,G10/TrAvia_act!G28*1000000)</f>
        <v>8813.107978060907</v>
      </c>
      <c r="H42" s="15">
        <f>IF(H10=0,0,H10/TrAvia_act!H28*1000000)</f>
        <v>9633.9564265275149</v>
      </c>
      <c r="I42" s="15">
        <f>IF(I10=0,0,I10/TrAvia_act!I28*1000000)</f>
        <v>9641.1012210418867</v>
      </c>
      <c r="J42" s="15">
        <f>IF(J10=0,0,J10/TrAvia_act!J28*1000000)</f>
        <v>9895.0744036713968</v>
      </c>
      <c r="K42" s="15">
        <f>IF(K10=0,0,K10/TrAvia_act!K28*1000000)</f>
        <v>9193.1006492651322</v>
      </c>
      <c r="L42" s="15">
        <f>IF(L10=0,0,L10/TrAvia_act!L28*1000000)</f>
        <v>11133.283774151345</v>
      </c>
      <c r="M42" s="15">
        <f>IF(M10=0,0,M10/TrAvia_act!M28*1000000)</f>
        <v>11999.089429790334</v>
      </c>
      <c r="N42" s="15">
        <f>IF(N10=0,0,N10/TrAvia_act!N28*1000000)</f>
        <v>10893.156095466167</v>
      </c>
      <c r="O42" s="15">
        <f>IF(O10=0,0,O10/TrAvia_act!O28*1000000)</f>
        <v>11574.679776166731</v>
      </c>
      <c r="P42" s="15">
        <f>IF(P10=0,0,P10/TrAvia_act!P28*1000000)</f>
        <v>12614.845732577242</v>
      </c>
      <c r="Q42" s="15">
        <f>IF(Q10=0,0,Q10/TrAvia_act!Q28*1000000)</f>
        <v>13522.53382363323</v>
      </c>
      <c r="R42" s="15">
        <f>IF(R10=0,0,R10/TrAvia_act!R28*1000000)</f>
        <v>14875.921202009004</v>
      </c>
      <c r="S42" s="15">
        <f>IF(S10=0,0,S10/TrAvia_act!S28*1000000)</f>
        <v>14857.674713623466</v>
      </c>
      <c r="T42" s="15">
        <f>IF(T10=0,0,T10/TrAvia_act!T28*1000000)</f>
        <v>15142.105442777227</v>
      </c>
      <c r="U42" s="15">
        <f>IF(U10=0,0,U10/TrAvia_act!U28*1000000)</f>
        <v>15409.734419883842</v>
      </c>
      <c r="V42" s="15">
        <f>IF(V10=0,0,V10/TrAvia_act!V28*1000000)</f>
        <v>16300.523411617061</v>
      </c>
      <c r="W42" s="15">
        <f>IF(W10=0,0,W10/TrAvia_act!W28*1000000)</f>
        <v>13132.343380350872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2181.8332732384815</v>
      </c>
      <c r="C43" s="101">
        <f>IF(C11=0,0,C11/TrAvia_act!C29*1000000)</f>
        <v>2149.3899654508182</v>
      </c>
      <c r="D43" s="101">
        <f>IF(D11=0,0,D11/TrAvia_act!D29*1000000)</f>
        <v>2156.6840465232776</v>
      </c>
      <c r="E43" s="101">
        <f>IF(E11=0,0,E11/TrAvia_act!E29*1000000)</f>
        <v>2139.5639889540553</v>
      </c>
      <c r="F43" s="101">
        <f>IF(F11=0,0,F11/TrAvia_act!F29*1000000)</f>
        <v>2180.3814528492985</v>
      </c>
      <c r="G43" s="101">
        <f>IF(G11=0,0,G11/TrAvia_act!G29*1000000)</f>
        <v>2261.7708865942955</v>
      </c>
      <c r="H43" s="101">
        <f>IF(H11=0,0,H11/TrAvia_act!H29*1000000)</f>
        <v>2294.2214333456936</v>
      </c>
      <c r="I43" s="101">
        <f>IF(I11=0,0,I11/TrAvia_act!I29*1000000)</f>
        <v>2192.8761913827821</v>
      </c>
      <c r="J43" s="101">
        <f>IF(J11=0,0,J11/TrAvia_act!J29*1000000)</f>
        <v>2279.132009506659</v>
      </c>
      <c r="K43" s="101">
        <f>IF(K11=0,0,K11/TrAvia_act!K29*1000000)</f>
        <v>2064.6269505744444</v>
      </c>
      <c r="L43" s="101">
        <f>IF(L11=0,0,L11/TrAvia_act!L29*1000000)</f>
        <v>2170.9041949378748</v>
      </c>
      <c r="M43" s="101">
        <f>IF(M11=0,0,M11/TrAvia_act!M29*1000000)</f>
        <v>2207.2705221391902</v>
      </c>
      <c r="N43" s="101">
        <f>IF(N11=0,0,N11/TrAvia_act!N29*1000000)</f>
        <v>2281.1114521696672</v>
      </c>
      <c r="O43" s="101">
        <f>IF(O11=0,0,O11/TrAvia_act!O29*1000000)</f>
        <v>2490.3765553802941</v>
      </c>
      <c r="P43" s="101">
        <f>IF(P11=0,0,P11/TrAvia_act!P29*1000000)</f>
        <v>2549.5840261982794</v>
      </c>
      <c r="Q43" s="101">
        <f>IF(Q11=0,0,Q11/TrAvia_act!Q29*1000000)</f>
        <v>2635.1765896919869</v>
      </c>
      <c r="R43" s="101">
        <f>IF(R11=0,0,R11/TrAvia_act!R29*1000000)</f>
        <v>2677.8197094656821</v>
      </c>
      <c r="S43" s="101">
        <f>IF(S11=0,0,S11/TrAvia_act!S29*1000000)</f>
        <v>2875.594708549811</v>
      </c>
      <c r="T43" s="101">
        <f>IF(T11=0,0,T11/TrAvia_act!T29*1000000)</f>
        <v>3182.0378996557679</v>
      </c>
      <c r="U43" s="101">
        <f>IF(U11=0,0,U11/TrAvia_act!U29*1000000)</f>
        <v>3365.0517138752448</v>
      </c>
      <c r="V43" s="101">
        <f>IF(V11=0,0,V11/TrAvia_act!V29*1000000)</f>
        <v>2511.5455942378967</v>
      </c>
      <c r="W43" s="101">
        <f>IF(W11=0,0,W11/TrAvia_act!W29*1000000)</f>
        <v>3192.9159166551349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5031.4115730827671</v>
      </c>
      <c r="C44" s="101">
        <f>IF(C12=0,0,C12/TrAvia_act!C30*1000000)</f>
        <v>5219.361898773931</v>
      </c>
      <c r="D44" s="101">
        <f>IF(D12=0,0,D12/TrAvia_act!D30*1000000)</f>
        <v>4780.9014443881479</v>
      </c>
      <c r="E44" s="101">
        <f>IF(E12=0,0,E12/TrAvia_act!E30*1000000)</f>
        <v>4549.2015712948378</v>
      </c>
      <c r="F44" s="101">
        <f>IF(F12=0,0,F12/TrAvia_act!F30*1000000)</f>
        <v>4143.3680831455913</v>
      </c>
      <c r="G44" s="101">
        <f>IF(G12=0,0,G12/TrAvia_act!G30*1000000)</f>
        <v>4023.5924049601099</v>
      </c>
      <c r="H44" s="101">
        <f>IF(H12=0,0,H12/TrAvia_act!H30*1000000)</f>
        <v>4149.6413901670967</v>
      </c>
      <c r="I44" s="101">
        <f>IF(I12=0,0,I12/TrAvia_act!I30*1000000)</f>
        <v>4063.1068287096177</v>
      </c>
      <c r="J44" s="101">
        <f>IF(J12=0,0,J12/TrAvia_act!J30*1000000)</f>
        <v>4132.3734701564526</v>
      </c>
      <c r="K44" s="101">
        <f>IF(K12=0,0,K12/TrAvia_act!K30*1000000)</f>
        <v>3949.4101360341574</v>
      </c>
      <c r="L44" s="101">
        <f>IF(L12=0,0,L12/TrAvia_act!L30*1000000)</f>
        <v>3998.5296389073792</v>
      </c>
      <c r="M44" s="101">
        <f>IF(M12=0,0,M12/TrAvia_act!M30*1000000)</f>
        <v>4037.7278540121697</v>
      </c>
      <c r="N44" s="101">
        <f>IF(N12=0,0,N12/TrAvia_act!N30*1000000)</f>
        <v>3943.7464704718964</v>
      </c>
      <c r="O44" s="101">
        <f>IF(O12=0,0,O12/TrAvia_act!O30*1000000)</f>
        <v>3877.7984201353083</v>
      </c>
      <c r="P44" s="101">
        <f>IF(P12=0,0,P12/TrAvia_act!P30*1000000)</f>
        <v>3873.7183655247718</v>
      </c>
      <c r="Q44" s="101">
        <f>IF(Q12=0,0,Q12/TrAvia_act!Q30*1000000)</f>
        <v>3648.1689176028126</v>
      </c>
      <c r="R44" s="101">
        <f>IF(R12=0,0,R12/TrAvia_act!R30*1000000)</f>
        <v>3640.0318067290227</v>
      </c>
      <c r="S44" s="101">
        <f>IF(S12=0,0,S12/TrAvia_act!S30*1000000)</f>
        <v>3654.8146970605567</v>
      </c>
      <c r="T44" s="101">
        <f>IF(T12=0,0,T12/TrAvia_act!T30*1000000)</f>
        <v>3904.7474976024064</v>
      </c>
      <c r="U44" s="101">
        <f>IF(U12=0,0,U12/TrAvia_act!U30*1000000)</f>
        <v>3834.6356600278418</v>
      </c>
      <c r="V44" s="101">
        <f>IF(V12=0,0,V12/TrAvia_act!V30*1000000)</f>
        <v>3421.8202610368267</v>
      </c>
      <c r="W44" s="101">
        <f>IF(W12=0,0,W12/TrAvia_act!W30*1000000)</f>
        <v>2740.7387216749648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35564.368404281639</v>
      </c>
      <c r="C45" s="88">
        <f>IF(C13=0,0,C13/TrAvia_act!C31*1000000)</f>
        <v>36840.968145520681</v>
      </c>
      <c r="D45" s="88">
        <f>IF(D13=0,0,D13/TrAvia_act!D31*1000000)</f>
        <v>35510.44949642993</v>
      </c>
      <c r="E45" s="88">
        <f>IF(E13=0,0,E13/TrAvia_act!E31*1000000)</f>
        <v>34132.246864449291</v>
      </c>
      <c r="F45" s="88">
        <f>IF(F13=0,0,F13/TrAvia_act!F31*1000000)</f>
        <v>31001.683866726922</v>
      </c>
      <c r="G45" s="88">
        <f>IF(G13=0,0,G13/TrAvia_act!G31*1000000)</f>
        <v>29519.468384618194</v>
      </c>
      <c r="H45" s="88">
        <f>IF(H13=0,0,H13/TrAvia_act!H31*1000000)</f>
        <v>31160.512557114671</v>
      </c>
      <c r="I45" s="88">
        <f>IF(I13=0,0,I13/TrAvia_act!I31*1000000)</f>
        <v>30668.067817459487</v>
      </c>
      <c r="J45" s="88">
        <f>IF(J13=0,0,J13/TrAvia_act!J31*1000000)</f>
        <v>32463.875872809389</v>
      </c>
      <c r="K45" s="88">
        <f>IF(K13=0,0,K13/TrAvia_act!K31*1000000)</f>
        <v>34325.987268451856</v>
      </c>
      <c r="L45" s="88">
        <f>IF(L13=0,0,L13/TrAvia_act!L31*1000000)</f>
        <v>35089.038162105113</v>
      </c>
      <c r="M45" s="88">
        <f>IF(M13=0,0,M13/TrAvia_act!M31*1000000)</f>
        <v>33383.040945211869</v>
      </c>
      <c r="N45" s="88">
        <f>IF(N13=0,0,N13/TrAvia_act!N31*1000000)</f>
        <v>29226.958482016507</v>
      </c>
      <c r="O45" s="88">
        <f>IF(O13=0,0,O13/TrAvia_act!O31*1000000)</f>
        <v>30474.756294079285</v>
      </c>
      <c r="P45" s="88">
        <f>IF(P13=0,0,P13/TrAvia_act!P31*1000000)</f>
        <v>32492.246494500185</v>
      </c>
      <c r="Q45" s="88">
        <f>IF(Q13=0,0,Q13/TrAvia_act!Q31*1000000)</f>
        <v>34540.341374112519</v>
      </c>
      <c r="R45" s="88">
        <f>IF(R13=0,0,R13/TrAvia_act!R31*1000000)</f>
        <v>35487.030296815821</v>
      </c>
      <c r="S45" s="88">
        <f>IF(S13=0,0,S13/TrAvia_act!S31*1000000)</f>
        <v>35375.448204370594</v>
      </c>
      <c r="T45" s="88">
        <f>IF(T13=0,0,T13/TrAvia_act!T31*1000000)</f>
        <v>37146.562177735941</v>
      </c>
      <c r="U45" s="88">
        <f>IF(U13=0,0,U13/TrAvia_act!U31*1000000)</f>
        <v>39785.946742737258</v>
      </c>
      <c r="V45" s="88">
        <f>IF(V13=0,0,V13/TrAvia_act!V31*1000000)</f>
        <v>48749.594762184301</v>
      </c>
      <c r="W45" s="88">
        <f>IF(W13=0,0,W13/TrAvia_act!W31*1000000)</f>
        <v>38046.094782764325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0.95297816511069744</v>
      </c>
      <c r="C48" s="16">
        <f t="shared" si="35"/>
        <v>0.97856999401559364</v>
      </c>
      <c r="D48" s="16">
        <f t="shared" ref="D48:V48" si="36">IF(D6=0,0,D6/D$3)</f>
        <v>0.95159459628247767</v>
      </c>
      <c r="E48" s="16">
        <f t="shared" si="36"/>
        <v>0.95203651746666096</v>
      </c>
      <c r="F48" s="16">
        <f t="shared" si="36"/>
        <v>0.95079255608637592</v>
      </c>
      <c r="G48" s="16">
        <f t="shared" si="36"/>
        <v>0.94722518608639561</v>
      </c>
      <c r="H48" s="16">
        <f t="shared" si="36"/>
        <v>0.94311599337949403</v>
      </c>
      <c r="I48" s="16">
        <f t="shared" si="36"/>
        <v>0.94116334886632103</v>
      </c>
      <c r="J48" s="16">
        <f t="shared" si="36"/>
        <v>0.94425497831350647</v>
      </c>
      <c r="K48" s="16">
        <f t="shared" si="36"/>
        <v>0.95017220233983657</v>
      </c>
      <c r="L48" s="16">
        <f t="shared" si="36"/>
        <v>0.94283756596518953</v>
      </c>
      <c r="M48" s="16">
        <f t="shared" si="36"/>
        <v>0.94254462210047385</v>
      </c>
      <c r="N48" s="16">
        <f t="shared" si="36"/>
        <v>0.95104876565304364</v>
      </c>
      <c r="O48" s="16">
        <f t="shared" si="36"/>
        <v>0.94668591205672137</v>
      </c>
      <c r="P48" s="16">
        <f t="shared" si="36"/>
        <v>0.94739226276954958</v>
      </c>
      <c r="Q48" s="16">
        <f t="shared" si="36"/>
        <v>0.94108026270089107</v>
      </c>
      <c r="R48" s="16">
        <f t="shared" si="36"/>
        <v>0.94256450639357103</v>
      </c>
      <c r="S48" s="16">
        <f t="shared" si="36"/>
        <v>0.93961873397302331</v>
      </c>
      <c r="T48" s="16">
        <f t="shared" si="36"/>
        <v>0.94532844715518705</v>
      </c>
      <c r="U48" s="16">
        <f t="shared" si="36"/>
        <v>0.94834487427871272</v>
      </c>
      <c r="V48" s="16">
        <f t="shared" si="36"/>
        <v>0.85368642736688383</v>
      </c>
      <c r="W48" s="16">
        <f t="shared" ref="W48" si="37">IF(W6=0,0,W6/W$3)</f>
        <v>0.87118374580645574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0.18874309091642491</v>
      </c>
      <c r="C49" s="103">
        <f t="shared" si="38"/>
        <v>0.18749667229266315</v>
      </c>
      <c r="D49" s="103">
        <f t="shared" ref="D49:V49" si="39">IF(D7=0,0,D7/D$3)</f>
        <v>0.18858001584719955</v>
      </c>
      <c r="E49" s="103">
        <f t="shared" si="39"/>
        <v>0.18916399785028173</v>
      </c>
      <c r="F49" s="103">
        <f t="shared" si="39"/>
        <v>0.18880492043895408</v>
      </c>
      <c r="G49" s="103">
        <f t="shared" si="39"/>
        <v>0.18899384825409687</v>
      </c>
      <c r="H49" s="103">
        <f t="shared" si="39"/>
        <v>0.18920624175829523</v>
      </c>
      <c r="I49" s="103">
        <f t="shared" si="39"/>
        <v>0.18897650706485475</v>
      </c>
      <c r="J49" s="103">
        <f t="shared" si="39"/>
        <v>0.18811181989886561</v>
      </c>
      <c r="K49" s="103">
        <f t="shared" si="39"/>
        <v>0.18373864633889242</v>
      </c>
      <c r="L49" s="103">
        <f t="shared" si="39"/>
        <v>0.18109066018763739</v>
      </c>
      <c r="M49" s="103">
        <f t="shared" si="39"/>
        <v>0.17867674408274925</v>
      </c>
      <c r="N49" s="103">
        <f t="shared" si="39"/>
        <v>0.17885183011507333</v>
      </c>
      <c r="O49" s="103">
        <f t="shared" si="39"/>
        <v>0.18293555531351025</v>
      </c>
      <c r="P49" s="103">
        <f t="shared" si="39"/>
        <v>0.17141387252845405</v>
      </c>
      <c r="Q49" s="103">
        <f t="shared" si="39"/>
        <v>0.1784429274820257</v>
      </c>
      <c r="R49" s="103">
        <f t="shared" si="39"/>
        <v>0.17559527504777331</v>
      </c>
      <c r="S49" s="103">
        <f t="shared" si="39"/>
        <v>0.18406295441079581</v>
      </c>
      <c r="T49" s="103">
        <f t="shared" si="39"/>
        <v>0.18473122557524857</v>
      </c>
      <c r="U49" s="103">
        <f t="shared" si="39"/>
        <v>0.18425516931862623</v>
      </c>
      <c r="V49" s="103">
        <f t="shared" si="39"/>
        <v>0.18377215185691767</v>
      </c>
      <c r="W49" s="103">
        <f t="shared" ref="W49" si="40">IF(W7=0,0,W7/W$3)</f>
        <v>0.28698369307470456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0.33690413114335249</v>
      </c>
      <c r="C50" s="103">
        <f t="shared" si="41"/>
        <v>0.34873442480441336</v>
      </c>
      <c r="D50" s="103">
        <f t="shared" ref="D50:V50" si="42">IF(D8=0,0,D8/D$3)</f>
        <v>0.3363648379637445</v>
      </c>
      <c r="E50" s="103">
        <f t="shared" si="42"/>
        <v>0.3531971033438468</v>
      </c>
      <c r="F50" s="103">
        <f t="shared" si="42"/>
        <v>0.33933388520301805</v>
      </c>
      <c r="G50" s="103">
        <f t="shared" si="42"/>
        <v>0.34194934713322883</v>
      </c>
      <c r="H50" s="103">
        <f t="shared" si="42"/>
        <v>0.34224901654793249</v>
      </c>
      <c r="I50" s="103">
        <f t="shared" si="42"/>
        <v>0.349586222805783</v>
      </c>
      <c r="J50" s="103">
        <f t="shared" si="42"/>
        <v>0.34314473255676253</v>
      </c>
      <c r="K50" s="103">
        <f t="shared" si="42"/>
        <v>0.33687173101476464</v>
      </c>
      <c r="L50" s="103">
        <f t="shared" si="42"/>
        <v>0.33159013241815483</v>
      </c>
      <c r="M50" s="103">
        <f t="shared" si="42"/>
        <v>0.33254489675967286</v>
      </c>
      <c r="N50" s="103">
        <f t="shared" si="42"/>
        <v>0.33386441313861898</v>
      </c>
      <c r="O50" s="103">
        <f t="shared" si="42"/>
        <v>0.32846132721130267</v>
      </c>
      <c r="P50" s="103">
        <f t="shared" si="42"/>
        <v>0.33706929080641745</v>
      </c>
      <c r="Q50" s="103">
        <f t="shared" si="42"/>
        <v>0.33368819908126218</v>
      </c>
      <c r="R50" s="103">
        <f t="shared" si="42"/>
        <v>0.34912894853783194</v>
      </c>
      <c r="S50" s="103">
        <f t="shared" si="42"/>
        <v>0.3517123702454012</v>
      </c>
      <c r="T50" s="103">
        <f t="shared" si="42"/>
        <v>0.35311289490902931</v>
      </c>
      <c r="U50" s="103">
        <f t="shared" si="42"/>
        <v>0.34700333786460769</v>
      </c>
      <c r="V50" s="103">
        <f t="shared" si="42"/>
        <v>0.25452089653865095</v>
      </c>
      <c r="W50" s="103">
        <f t="shared" ref="W50" si="43">IF(W8=0,0,W8/W$3)</f>
        <v>0.23930703897842659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0.42733094305092012</v>
      </c>
      <c r="C51" s="103">
        <f t="shared" si="44"/>
        <v>0.44233889691851713</v>
      </c>
      <c r="D51" s="103">
        <f t="shared" ref="D51:V51" si="45">IF(D9=0,0,D9/D$3)</f>
        <v>0.42664974247153364</v>
      </c>
      <c r="E51" s="103">
        <f t="shared" si="45"/>
        <v>0.40967541627253246</v>
      </c>
      <c r="F51" s="103">
        <f t="shared" si="45"/>
        <v>0.4226537504444039</v>
      </c>
      <c r="G51" s="103">
        <f t="shared" si="45"/>
        <v>0.41628199069906985</v>
      </c>
      <c r="H51" s="103">
        <f t="shared" si="45"/>
        <v>0.41166073507326634</v>
      </c>
      <c r="I51" s="103">
        <f t="shared" si="45"/>
        <v>0.40260061899568339</v>
      </c>
      <c r="J51" s="103">
        <f t="shared" si="45"/>
        <v>0.41299842585787827</v>
      </c>
      <c r="K51" s="103">
        <f t="shared" si="45"/>
        <v>0.42956182498617956</v>
      </c>
      <c r="L51" s="103">
        <f t="shared" si="45"/>
        <v>0.43015677335939728</v>
      </c>
      <c r="M51" s="103">
        <f t="shared" si="45"/>
        <v>0.43132298125805174</v>
      </c>
      <c r="N51" s="103">
        <f t="shared" si="45"/>
        <v>0.43833252239935128</v>
      </c>
      <c r="O51" s="103">
        <f t="shared" si="45"/>
        <v>0.43528902953190834</v>
      </c>
      <c r="P51" s="103">
        <f t="shared" si="45"/>
        <v>0.43890909943467804</v>
      </c>
      <c r="Q51" s="103">
        <f t="shared" si="45"/>
        <v>0.42894913613760322</v>
      </c>
      <c r="R51" s="103">
        <f t="shared" si="45"/>
        <v>0.41784028280796581</v>
      </c>
      <c r="S51" s="103">
        <f t="shared" si="45"/>
        <v>0.40384340931682627</v>
      </c>
      <c r="T51" s="103">
        <f t="shared" si="45"/>
        <v>0.40748432667090911</v>
      </c>
      <c r="U51" s="103">
        <f t="shared" si="45"/>
        <v>0.41708636709547886</v>
      </c>
      <c r="V51" s="103">
        <f t="shared" si="45"/>
        <v>0.41539337897131523</v>
      </c>
      <c r="W51" s="103">
        <f t="shared" ref="W51" si="46">IF(W9=0,0,W9/W$3)</f>
        <v>0.3448930137533246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4.7021834889302401E-2</v>
      </c>
      <c r="C52" s="17">
        <f t="shared" si="47"/>
        <v>2.1430005984406333E-2</v>
      </c>
      <c r="D52" s="17">
        <f t="shared" ref="D52:V52" si="48">IF(D10=0,0,D10/D$3)</f>
        <v>4.8405403717522215E-2</v>
      </c>
      <c r="E52" s="17">
        <f t="shared" si="48"/>
        <v>4.7963482533338896E-2</v>
      </c>
      <c r="F52" s="17">
        <f t="shared" si="48"/>
        <v>4.9207443913623798E-2</v>
      </c>
      <c r="G52" s="17">
        <f t="shared" si="48"/>
        <v>5.2774813913604286E-2</v>
      </c>
      <c r="H52" s="17">
        <f t="shared" si="48"/>
        <v>5.6884006620505932E-2</v>
      </c>
      <c r="I52" s="17">
        <f t="shared" si="48"/>
        <v>5.8836651133678822E-2</v>
      </c>
      <c r="J52" s="17">
        <f t="shared" si="48"/>
        <v>5.5745021686493451E-2</v>
      </c>
      <c r="K52" s="17">
        <f t="shared" si="48"/>
        <v>4.9827797660163348E-2</v>
      </c>
      <c r="L52" s="17">
        <f t="shared" si="48"/>
        <v>5.7162434034810569E-2</v>
      </c>
      <c r="M52" s="17">
        <f t="shared" si="48"/>
        <v>5.745537789952615E-2</v>
      </c>
      <c r="N52" s="17">
        <f t="shared" si="48"/>
        <v>4.8951234346956259E-2</v>
      </c>
      <c r="O52" s="17">
        <f t="shared" si="48"/>
        <v>5.3314087943278667E-2</v>
      </c>
      <c r="P52" s="17">
        <f t="shared" si="48"/>
        <v>5.2607737230450452E-2</v>
      </c>
      <c r="Q52" s="17">
        <f t="shared" si="48"/>
        <v>5.8919737299109043E-2</v>
      </c>
      <c r="R52" s="17">
        <f t="shared" si="48"/>
        <v>5.7435493606428988E-2</v>
      </c>
      <c r="S52" s="17">
        <f t="shared" si="48"/>
        <v>6.0381266026976708E-2</v>
      </c>
      <c r="T52" s="17">
        <f t="shared" si="48"/>
        <v>5.4671552844813023E-2</v>
      </c>
      <c r="U52" s="17">
        <f t="shared" si="48"/>
        <v>5.1655125721287325E-2</v>
      </c>
      <c r="V52" s="17">
        <f t="shared" si="48"/>
        <v>0.1463135726331162</v>
      </c>
      <c r="W52" s="17">
        <f t="shared" ref="W52" si="49">IF(W10=0,0,W10/W$3)</f>
        <v>0.1288162541935442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2.773142410761791E-3</v>
      </c>
      <c r="C53" s="104">
        <f t="shared" si="50"/>
        <v>5.4337181452390861E-3</v>
      </c>
      <c r="D53" s="104">
        <f t="shared" ref="D53:V53" si="51">IF(D11=0,0,D11/D$3)</f>
        <v>4.6157400006684854E-3</v>
      </c>
      <c r="E53" s="104">
        <f t="shared" si="51"/>
        <v>4.5199755461339331E-3</v>
      </c>
      <c r="F53" s="104">
        <f t="shared" si="51"/>
        <v>4.5310892054099897E-3</v>
      </c>
      <c r="G53" s="104">
        <f t="shared" si="51"/>
        <v>4.3328309019202869E-3</v>
      </c>
      <c r="H53" s="104">
        <f t="shared" si="51"/>
        <v>4.1116638678159031E-3</v>
      </c>
      <c r="I53" s="104">
        <f t="shared" si="51"/>
        <v>3.9976159427035319E-3</v>
      </c>
      <c r="J53" s="104">
        <f t="shared" si="51"/>
        <v>3.7634323243016105E-3</v>
      </c>
      <c r="K53" s="104">
        <f t="shared" si="51"/>
        <v>3.311070858281953E-3</v>
      </c>
      <c r="L53" s="104">
        <f t="shared" si="51"/>
        <v>3.131680332556053E-3</v>
      </c>
      <c r="M53" s="104">
        <f t="shared" si="51"/>
        <v>2.7290160472407425E-3</v>
      </c>
      <c r="N53" s="104">
        <f t="shared" si="51"/>
        <v>2.3511047434238977E-3</v>
      </c>
      <c r="O53" s="104">
        <f t="shared" si="51"/>
        <v>2.4666960150959163E-3</v>
      </c>
      <c r="P53" s="104">
        <f t="shared" si="51"/>
        <v>2.1618538140680175E-3</v>
      </c>
      <c r="Q53" s="104">
        <f t="shared" si="51"/>
        <v>2.056300801679766E-3</v>
      </c>
      <c r="R53" s="104">
        <f t="shared" si="51"/>
        <v>1.5891214130334624E-3</v>
      </c>
      <c r="S53" s="104">
        <f t="shared" si="51"/>
        <v>1.767298303971442E-3</v>
      </c>
      <c r="T53" s="104">
        <f t="shared" si="51"/>
        <v>1.8028903228456991E-3</v>
      </c>
      <c r="U53" s="104">
        <f t="shared" si="51"/>
        <v>1.7138843976534789E-3</v>
      </c>
      <c r="V53" s="104">
        <f t="shared" si="51"/>
        <v>3.3785423470413982E-3</v>
      </c>
      <c r="W53" s="104">
        <f t="shared" ref="W53" si="52">IF(W11=0,0,W11/W$3)</f>
        <v>4.8866675326169956E-3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5.4627243742340651E-3</v>
      </c>
      <c r="C54" s="104">
        <f t="shared" si="53"/>
        <v>2.7604644391778293E-3</v>
      </c>
      <c r="D54" s="104">
        <f t="shared" ref="D54:V54" si="54">IF(D12=0,0,D12/D$3)</f>
        <v>1.0739138826990458E-2</v>
      </c>
      <c r="E54" s="104">
        <f t="shared" si="54"/>
        <v>1.0241588305445096E-2</v>
      </c>
      <c r="F54" s="104">
        <f t="shared" si="54"/>
        <v>1.1416253298358462E-2</v>
      </c>
      <c r="G54" s="104">
        <f t="shared" si="54"/>
        <v>1.1327401839973843E-2</v>
      </c>
      <c r="H54" s="104">
        <f t="shared" si="54"/>
        <v>1.1579073931208172E-2</v>
      </c>
      <c r="I54" s="104">
        <f t="shared" si="54"/>
        <v>1.1669441380739238E-2</v>
      </c>
      <c r="J54" s="104">
        <f t="shared" si="54"/>
        <v>1.1274980973680062E-2</v>
      </c>
      <c r="K54" s="104">
        <f t="shared" si="54"/>
        <v>1.0984382593407317E-2</v>
      </c>
      <c r="L54" s="104">
        <f t="shared" si="54"/>
        <v>9.7114305037751553E-3</v>
      </c>
      <c r="M54" s="104">
        <f t="shared" si="54"/>
        <v>8.7850843435078041E-3</v>
      </c>
      <c r="N54" s="104">
        <f t="shared" si="54"/>
        <v>8.5190116690168731E-3</v>
      </c>
      <c r="O54" s="104">
        <f t="shared" si="54"/>
        <v>8.6512917771596944E-3</v>
      </c>
      <c r="P54" s="104">
        <f t="shared" si="54"/>
        <v>7.7837983272866567E-3</v>
      </c>
      <c r="Q54" s="104">
        <f t="shared" si="54"/>
        <v>7.8746379259753401E-3</v>
      </c>
      <c r="R54" s="104">
        <f t="shared" si="54"/>
        <v>6.8702657794535195E-3</v>
      </c>
      <c r="S54" s="104">
        <f t="shared" si="54"/>
        <v>7.3060096833302141E-3</v>
      </c>
      <c r="T54" s="104">
        <f t="shared" si="54"/>
        <v>7.0719499324417732E-3</v>
      </c>
      <c r="U54" s="104">
        <f t="shared" si="54"/>
        <v>6.7369688110483876E-3</v>
      </c>
      <c r="V54" s="104">
        <f t="shared" si="54"/>
        <v>1.7292128988717029E-2</v>
      </c>
      <c r="W54" s="104">
        <f t="shared" ref="W54" si="55">IF(W12=0,0,W12/W$3)</f>
        <v>1.4830291244656998E-2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3.8785968104306547E-2</v>
      </c>
      <c r="C55" s="105">
        <f t="shared" si="56"/>
        <v>1.3235823399989417E-2</v>
      </c>
      <c r="D55" s="105">
        <f t="shared" ref="D55:V55" si="57">IF(D13=0,0,D13/D$3)</f>
        <v>3.3050524889863278E-2</v>
      </c>
      <c r="E55" s="105">
        <f t="shared" si="57"/>
        <v>3.3201918681759861E-2</v>
      </c>
      <c r="F55" s="105">
        <f t="shared" si="57"/>
        <v>3.3260101409855344E-2</v>
      </c>
      <c r="G55" s="105">
        <f t="shared" si="57"/>
        <v>3.7114581171710154E-2</v>
      </c>
      <c r="H55" s="105">
        <f t="shared" si="57"/>
        <v>4.119326882148186E-2</v>
      </c>
      <c r="I55" s="105">
        <f t="shared" si="57"/>
        <v>4.3169593810236051E-2</v>
      </c>
      <c r="J55" s="105">
        <f t="shared" si="57"/>
        <v>4.0706608388511777E-2</v>
      </c>
      <c r="K55" s="105">
        <f t="shared" si="57"/>
        <v>3.5532344208474079E-2</v>
      </c>
      <c r="L55" s="105">
        <f t="shared" si="57"/>
        <v>4.4319323198479359E-2</v>
      </c>
      <c r="M55" s="105">
        <f t="shared" si="57"/>
        <v>4.5941277508777606E-2</v>
      </c>
      <c r="N55" s="105">
        <f t="shared" si="57"/>
        <v>3.808111793451549E-2</v>
      </c>
      <c r="O55" s="105">
        <f t="shared" si="57"/>
        <v>4.2196100151023055E-2</v>
      </c>
      <c r="P55" s="105">
        <f t="shared" si="57"/>
        <v>4.2662085089095775E-2</v>
      </c>
      <c r="Q55" s="105">
        <f t="shared" si="57"/>
        <v>4.8988798571453933E-2</v>
      </c>
      <c r="R55" s="105">
        <f t="shared" si="57"/>
        <v>4.8976106413942004E-2</v>
      </c>
      <c r="S55" s="105">
        <f t="shared" si="57"/>
        <v>5.1307958039675056E-2</v>
      </c>
      <c r="T55" s="105">
        <f t="shared" si="57"/>
        <v>4.5796712589525557E-2</v>
      </c>
      <c r="U55" s="105">
        <f t="shared" si="57"/>
        <v>4.3204272512585462E-2</v>
      </c>
      <c r="V55" s="105">
        <f t="shared" si="57"/>
        <v>0.12564290129735775</v>
      </c>
      <c r="W55" s="105">
        <f t="shared" ref="W55" si="58">IF(W13=0,0,W13/W$3)</f>
        <v>0.10909929541627021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491.27627137417136</v>
      </c>
      <c r="C57" s="62">
        <v>485.703947277721</v>
      </c>
      <c r="D57" s="62">
        <v>488.87177565483313</v>
      </c>
      <c r="E57" s="62">
        <v>483.20039332111276</v>
      </c>
      <c r="F57" s="62">
        <v>490.54195060380277</v>
      </c>
      <c r="G57" s="62">
        <v>480.84275531161092</v>
      </c>
      <c r="H57" s="62">
        <v>485.19236785598457</v>
      </c>
      <c r="I57" s="62">
        <v>481.36407611027772</v>
      </c>
      <c r="J57" s="62">
        <v>480.40200461046442</v>
      </c>
      <c r="K57" s="62">
        <v>466.80244520484052</v>
      </c>
      <c r="L57" s="62">
        <v>464.4973075881465</v>
      </c>
      <c r="M57" s="62">
        <v>472.14625471778811</v>
      </c>
      <c r="N57" s="62">
        <v>469.34859089561297</v>
      </c>
      <c r="O57" s="62">
        <v>463.03152788137339</v>
      </c>
      <c r="P57" s="62">
        <v>466.4006804215901</v>
      </c>
      <c r="Q57" s="62">
        <v>467.4647245750204</v>
      </c>
      <c r="R57" s="62">
        <v>465.21049216281739</v>
      </c>
      <c r="S57" s="62">
        <v>466.54762008614659</v>
      </c>
      <c r="T57" s="62">
        <v>469.77844225320274</v>
      </c>
      <c r="U57" s="62">
        <v>474.26704076717442</v>
      </c>
      <c r="V57" s="62">
        <v>472.83795273843873</v>
      </c>
      <c r="W57" s="62">
        <v>453.56267551906103</v>
      </c>
      <c r="DA57" s="172" t="s">
        <v>313</v>
      </c>
    </row>
    <row r="58" spans="1:105" ht="11.45" customHeight="1" x14ac:dyDescent="0.25">
      <c r="A58" s="10" t="s">
        <v>33</v>
      </c>
      <c r="B58" s="14">
        <v>483.39824013997645</v>
      </c>
      <c r="C58" s="14">
        <v>483.20065464211154</v>
      </c>
      <c r="D58" s="14">
        <v>483.16362307483064</v>
      </c>
      <c r="E58" s="14">
        <v>477.1343474988272</v>
      </c>
      <c r="F58" s="14">
        <v>484.73049779224726</v>
      </c>
      <c r="G58" s="14">
        <v>474.06303877787491</v>
      </c>
      <c r="H58" s="14">
        <v>477.37077959819891</v>
      </c>
      <c r="I58" s="14">
        <v>472.86802778398027</v>
      </c>
      <c r="J58" s="14">
        <v>472.50355355783819</v>
      </c>
      <c r="K58" s="14">
        <v>460.44978452592494</v>
      </c>
      <c r="L58" s="14">
        <v>455.91671658093105</v>
      </c>
      <c r="M58" s="14">
        <v>463.19093590224389</v>
      </c>
      <c r="N58" s="14">
        <v>462.2420643101072</v>
      </c>
      <c r="O58" s="14">
        <v>454.82365200170915</v>
      </c>
      <c r="P58" s="14">
        <v>457.67987241285795</v>
      </c>
      <c r="Q58" s="14">
        <v>457.09366325643992</v>
      </c>
      <c r="R58" s="14">
        <v>454.17525414074203</v>
      </c>
      <c r="S58" s="14">
        <v>454.38745834929676</v>
      </c>
      <c r="T58" s="14">
        <v>458.51456456640375</v>
      </c>
      <c r="U58" s="14">
        <v>463.30624103079577</v>
      </c>
      <c r="V58" s="14">
        <v>446.16470816548849</v>
      </c>
      <c r="W58" s="14">
        <v>427.33214187024458</v>
      </c>
      <c r="DA58" s="189" t="s">
        <v>314</v>
      </c>
    </row>
    <row r="59" spans="1:105" ht="11.45" customHeight="1" x14ac:dyDescent="0.25">
      <c r="A59" s="83" t="s">
        <v>27</v>
      </c>
      <c r="B59" s="87">
        <v>407.36028652012158</v>
      </c>
      <c r="C59" s="87">
        <v>407.36028652012163</v>
      </c>
      <c r="D59" s="87">
        <v>407.36028652012169</v>
      </c>
      <c r="E59" s="87">
        <v>407.36028652012169</v>
      </c>
      <c r="F59" s="87">
        <v>407.36028652012169</v>
      </c>
      <c r="G59" s="87">
        <v>412.71862068791688</v>
      </c>
      <c r="H59" s="87">
        <v>413.9134443559206</v>
      </c>
      <c r="I59" s="87">
        <v>413.36754130196226</v>
      </c>
      <c r="J59" s="87">
        <v>409.80435740219411</v>
      </c>
      <c r="K59" s="87">
        <v>402.22985006385284</v>
      </c>
      <c r="L59" s="87">
        <v>399.2798682962873</v>
      </c>
      <c r="M59" s="87">
        <v>401.63636028433655</v>
      </c>
      <c r="N59" s="87">
        <v>404.60211435322157</v>
      </c>
      <c r="O59" s="87">
        <v>403.7786727774465</v>
      </c>
      <c r="P59" s="87">
        <v>403.18972601751796</v>
      </c>
      <c r="Q59" s="87">
        <v>405.94771903939318</v>
      </c>
      <c r="R59" s="87">
        <v>399.68325594791185</v>
      </c>
      <c r="S59" s="87">
        <v>395.60496152935156</v>
      </c>
      <c r="T59" s="87">
        <v>392.52107679382402</v>
      </c>
      <c r="U59" s="87">
        <v>389.88885320244299</v>
      </c>
      <c r="V59" s="87">
        <v>390.40971735898074</v>
      </c>
      <c r="W59" s="87">
        <v>379.12914933915374</v>
      </c>
      <c r="DA59" s="171" t="s">
        <v>315</v>
      </c>
    </row>
    <row r="60" spans="1:105" ht="11.45" customHeight="1" x14ac:dyDescent="0.25">
      <c r="A60" s="83" t="s">
        <v>173</v>
      </c>
      <c r="B60" s="87">
        <v>325.95156214812073</v>
      </c>
      <c r="C60" s="87">
        <v>325.95157148814485</v>
      </c>
      <c r="D60" s="87">
        <v>325.95161119139328</v>
      </c>
      <c r="E60" s="87">
        <v>325.18048775889338</v>
      </c>
      <c r="F60" s="87">
        <v>325.23364202118074</v>
      </c>
      <c r="G60" s="87">
        <v>324.39942008430268</v>
      </c>
      <c r="H60" s="87">
        <v>324.63339843505281</v>
      </c>
      <c r="I60" s="87">
        <v>323.97660807346233</v>
      </c>
      <c r="J60" s="87">
        <v>323.71082409480067</v>
      </c>
      <c r="K60" s="87">
        <v>323.6287005735112</v>
      </c>
      <c r="L60" s="87">
        <v>323.16672654494738</v>
      </c>
      <c r="M60" s="87">
        <v>324.31834443619039</v>
      </c>
      <c r="N60" s="87">
        <v>325.61910233420821</v>
      </c>
      <c r="O60" s="87">
        <v>325.14446855272615</v>
      </c>
      <c r="P60" s="87">
        <v>324.25186167531666</v>
      </c>
      <c r="Q60" s="87">
        <v>323.97282551685885</v>
      </c>
      <c r="R60" s="87">
        <v>323.39931638474138</v>
      </c>
      <c r="S60" s="87">
        <v>322.93228287303327</v>
      </c>
      <c r="T60" s="87">
        <v>322.42031958315778</v>
      </c>
      <c r="U60" s="87">
        <v>322.14616242547635</v>
      </c>
      <c r="V60" s="87">
        <v>322.27384098113811</v>
      </c>
      <c r="W60" s="87">
        <v>321.71113935398108</v>
      </c>
      <c r="DA60" s="171" t="s">
        <v>316</v>
      </c>
    </row>
    <row r="61" spans="1:105" ht="11.45" customHeight="1" x14ac:dyDescent="0.25">
      <c r="A61" s="83" t="s">
        <v>174</v>
      </c>
      <c r="B61" s="87">
        <v>751.06681835745439</v>
      </c>
      <c r="C61" s="87">
        <v>751.06681835745462</v>
      </c>
      <c r="D61" s="87">
        <v>751.06681835745439</v>
      </c>
      <c r="E61" s="87">
        <v>751.06681835745451</v>
      </c>
      <c r="F61" s="87">
        <v>751.06681835745451</v>
      </c>
      <c r="G61" s="87">
        <v>710.08149477353595</v>
      </c>
      <c r="H61" s="87">
        <v>722.05698998870014</v>
      </c>
      <c r="I61" s="87">
        <v>714.10884954141704</v>
      </c>
      <c r="J61" s="87">
        <v>708.82647171247743</v>
      </c>
      <c r="K61" s="87">
        <v>682.91262930366599</v>
      </c>
      <c r="L61" s="87">
        <v>663.40455548524073</v>
      </c>
      <c r="M61" s="87">
        <v>684.99224261040752</v>
      </c>
      <c r="N61" s="87">
        <v>664.68060371406364</v>
      </c>
      <c r="O61" s="87">
        <v>636.57917478938543</v>
      </c>
      <c r="P61" s="87">
        <v>644.47320418583297</v>
      </c>
      <c r="Q61" s="87">
        <v>651.5045659140178</v>
      </c>
      <c r="R61" s="87">
        <v>652.24916233604733</v>
      </c>
      <c r="S61" s="87">
        <v>650.67343767343448</v>
      </c>
      <c r="T61" s="87">
        <v>647.41406963593749</v>
      </c>
      <c r="U61" s="87">
        <v>650.33551517404021</v>
      </c>
      <c r="V61" s="87">
        <v>626.25835016643885</v>
      </c>
      <c r="W61" s="87">
        <v>599.86055818476109</v>
      </c>
      <c r="DA61" s="171" t="s">
        <v>317</v>
      </c>
    </row>
    <row r="62" spans="1:105" ht="11.45" customHeight="1" x14ac:dyDescent="0.25">
      <c r="A62" s="12" t="s">
        <v>34</v>
      </c>
      <c r="B62" s="15">
        <v>705.15307610187688</v>
      </c>
      <c r="C62" s="15">
        <v>676.84224423084243</v>
      </c>
      <c r="D62" s="15">
        <v>637.505177040018</v>
      </c>
      <c r="E62" s="15">
        <v>642.64481190192373</v>
      </c>
      <c r="F62" s="15">
        <v>632.33018923246846</v>
      </c>
      <c r="G62" s="15">
        <v>633.98187229564155</v>
      </c>
      <c r="H62" s="15">
        <v>647.37291151380828</v>
      </c>
      <c r="I62" s="15">
        <v>652.36644297185103</v>
      </c>
      <c r="J62" s="15">
        <v>649.36817723131594</v>
      </c>
      <c r="K62" s="15">
        <v>627.49261354448231</v>
      </c>
      <c r="L62" s="15">
        <v>656.20940210435356</v>
      </c>
      <c r="M62" s="15">
        <v>667.86906701859175</v>
      </c>
      <c r="N62" s="15">
        <v>646.9731447947554</v>
      </c>
      <c r="O62" s="15">
        <v>651.61819358165064</v>
      </c>
      <c r="P62" s="15">
        <v>669.08824208124906</v>
      </c>
      <c r="Q62" s="15">
        <v>682.52390084938975</v>
      </c>
      <c r="R62" s="15">
        <v>700.22194486106741</v>
      </c>
      <c r="S62" s="15">
        <v>704.47531183159526</v>
      </c>
      <c r="T62" s="15">
        <v>707.23819660681897</v>
      </c>
      <c r="U62" s="15">
        <v>719.59577158876436</v>
      </c>
      <c r="V62" s="15">
        <v>700.4891856912119</v>
      </c>
      <c r="W62" s="15">
        <v>694.84353414698842</v>
      </c>
      <c r="DA62" s="193" t="s">
        <v>318</v>
      </c>
    </row>
    <row r="63" spans="1:105" ht="11.45" customHeight="1" x14ac:dyDescent="0.25">
      <c r="A63" s="92" t="s">
        <v>27</v>
      </c>
      <c r="B63" s="101">
        <v>482.50276850850275</v>
      </c>
      <c r="C63" s="101">
        <v>482.50276850850281</v>
      </c>
      <c r="D63" s="101">
        <v>482.5027685085027</v>
      </c>
      <c r="E63" s="101">
        <v>482.5027685085027</v>
      </c>
      <c r="F63" s="101">
        <v>482.50276850850275</v>
      </c>
      <c r="G63" s="101">
        <v>492.11768713687758</v>
      </c>
      <c r="H63" s="101">
        <v>490.80144061189617</v>
      </c>
      <c r="I63" s="101">
        <v>486.45332175305373</v>
      </c>
      <c r="J63" s="101">
        <v>477.12890000900751</v>
      </c>
      <c r="K63" s="101">
        <v>461.62135098189623</v>
      </c>
      <c r="L63" s="101">
        <v>454.13142687702077</v>
      </c>
      <c r="M63" s="101">
        <v>450.69926638245283</v>
      </c>
      <c r="N63" s="101">
        <v>448.17310147139659</v>
      </c>
      <c r="O63" s="101">
        <v>452.95510861035734</v>
      </c>
      <c r="P63" s="101">
        <v>458.26370813685151</v>
      </c>
      <c r="Q63" s="101">
        <v>469.25646223157054</v>
      </c>
      <c r="R63" s="101">
        <v>465.52261671337135</v>
      </c>
      <c r="S63" s="101">
        <v>465.08753630044407</v>
      </c>
      <c r="T63" s="101">
        <v>466.17543823728653</v>
      </c>
      <c r="U63" s="101">
        <v>422.41146315107079</v>
      </c>
      <c r="V63" s="101">
        <v>423.12302672379542</v>
      </c>
      <c r="W63" s="101">
        <v>407.79455875744242</v>
      </c>
      <c r="DA63" s="175" t="s">
        <v>319</v>
      </c>
    </row>
    <row r="64" spans="1:105" ht="11.45" customHeight="1" x14ac:dyDescent="0.25">
      <c r="A64" s="92" t="s">
        <v>173</v>
      </c>
      <c r="B64" s="101">
        <v>330.67566566689959</v>
      </c>
      <c r="C64" s="101">
        <v>330.03817937007676</v>
      </c>
      <c r="D64" s="101">
        <v>334.49396018379821</v>
      </c>
      <c r="E64" s="101">
        <v>335.52073504430098</v>
      </c>
      <c r="F64" s="101">
        <v>335.56104020761808</v>
      </c>
      <c r="G64" s="101">
        <v>334.35361339526372</v>
      </c>
      <c r="H64" s="101">
        <v>334.55231142593192</v>
      </c>
      <c r="I64" s="101">
        <v>333.70751122528134</v>
      </c>
      <c r="J64" s="101">
        <v>333.7121681962422</v>
      </c>
      <c r="K64" s="101">
        <v>334.6100246345103</v>
      </c>
      <c r="L64" s="101">
        <v>333.82044997314</v>
      </c>
      <c r="M64" s="101">
        <v>335.49478517238697</v>
      </c>
      <c r="N64" s="101">
        <v>338.16891924369372</v>
      </c>
      <c r="O64" s="101">
        <v>339.16354487929561</v>
      </c>
      <c r="P64" s="101">
        <v>339.33363295310033</v>
      </c>
      <c r="Q64" s="101">
        <v>340.53902423136861</v>
      </c>
      <c r="R64" s="101">
        <v>341.41676819752314</v>
      </c>
      <c r="S64" s="101">
        <v>342.67053698511546</v>
      </c>
      <c r="T64" s="101">
        <v>342.87730123906397</v>
      </c>
      <c r="U64" s="101">
        <v>342.57069856634848</v>
      </c>
      <c r="V64" s="101">
        <v>341.67435476660984</v>
      </c>
      <c r="W64" s="101">
        <v>338.16760589389224</v>
      </c>
      <c r="DA64" s="175" t="s">
        <v>320</v>
      </c>
    </row>
    <row r="65" spans="1:105" ht="11.45" customHeight="1" x14ac:dyDescent="0.25">
      <c r="A65" s="85" t="s">
        <v>174</v>
      </c>
      <c r="B65" s="88">
        <v>781.36821652803053</v>
      </c>
      <c r="C65" s="88">
        <v>781.36821652803042</v>
      </c>
      <c r="D65" s="88">
        <v>781.36821652803053</v>
      </c>
      <c r="E65" s="88">
        <v>781.36821652803053</v>
      </c>
      <c r="F65" s="88">
        <v>781.36821652803053</v>
      </c>
      <c r="G65" s="88">
        <v>770.65321199940286</v>
      </c>
      <c r="H65" s="88">
        <v>777.33203420269183</v>
      </c>
      <c r="I65" s="88">
        <v>778.39289128920143</v>
      </c>
      <c r="J65" s="88">
        <v>779.88615932366702</v>
      </c>
      <c r="K65" s="88">
        <v>775.71362117293495</v>
      </c>
      <c r="L65" s="88">
        <v>772.84978164359825</v>
      </c>
      <c r="M65" s="88">
        <v>771.0627234718188</v>
      </c>
      <c r="N65" s="88">
        <v>755.58900899645948</v>
      </c>
      <c r="O65" s="88">
        <v>753.8285402634358</v>
      </c>
      <c r="P65" s="88">
        <v>764.46672118279332</v>
      </c>
      <c r="Q65" s="88">
        <v>773.89716559842736</v>
      </c>
      <c r="R65" s="88">
        <v>781.02826647120685</v>
      </c>
      <c r="S65" s="88">
        <v>781.9092140669253</v>
      </c>
      <c r="T65" s="88">
        <v>786.27556546667108</v>
      </c>
      <c r="U65" s="88">
        <v>801.80873411731898</v>
      </c>
      <c r="V65" s="88">
        <v>797.31843765596113</v>
      </c>
      <c r="W65" s="88">
        <v>791.97302340412045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1.1287801574080638</v>
      </c>
      <c r="C67" s="59">
        <f t="shared" ref="C67:W67" si="60">IF(C3=0,0,C17/C57)</f>
        <v>1.1622363683295374</v>
      </c>
      <c r="D67" s="59">
        <f t="shared" si="60"/>
        <v>1.126615745851566</v>
      </c>
      <c r="E67" s="59">
        <f t="shared" si="60"/>
        <v>1.0982737570478729</v>
      </c>
      <c r="F67" s="59">
        <f t="shared" si="60"/>
        <v>1.018729805053749</v>
      </c>
      <c r="G67" s="59">
        <f t="shared" si="60"/>
        <v>1.0182100281499058</v>
      </c>
      <c r="H67" s="59">
        <f t="shared" si="60"/>
        <v>1.0300382611876104</v>
      </c>
      <c r="I67" s="59">
        <f t="shared" si="60"/>
        <v>0.99465228166502628</v>
      </c>
      <c r="J67" s="59">
        <f t="shared" si="60"/>
        <v>1.0175228069342346</v>
      </c>
      <c r="K67" s="59">
        <f t="shared" si="60"/>
        <v>1.0065885055355677</v>
      </c>
      <c r="L67" s="59">
        <f t="shared" si="60"/>
        <v>1.0215280878711521</v>
      </c>
      <c r="M67" s="59">
        <f t="shared" si="60"/>
        <v>1.0260670034684911</v>
      </c>
      <c r="N67" s="59">
        <f t="shared" si="60"/>
        <v>1.0154802087372092</v>
      </c>
      <c r="O67" s="59">
        <f t="shared" si="60"/>
        <v>1.0407643794401737</v>
      </c>
      <c r="P67" s="59">
        <f t="shared" si="60"/>
        <v>1.0437270540708534</v>
      </c>
      <c r="Q67" s="59">
        <f t="shared" si="60"/>
        <v>1.0337873498728787</v>
      </c>
      <c r="R67" s="59">
        <f t="shared" si="60"/>
        <v>1.0259457399951419</v>
      </c>
      <c r="S67" s="59">
        <f t="shared" si="60"/>
        <v>1.0187050280837437</v>
      </c>
      <c r="T67" s="59">
        <f t="shared" si="60"/>
        <v>1.06110384743732</v>
      </c>
      <c r="U67" s="59">
        <f t="shared" si="60"/>
        <v>1.0348228825372618</v>
      </c>
      <c r="V67" s="59">
        <f t="shared" si="60"/>
        <v>1.0431461317100106</v>
      </c>
      <c r="W67" s="59">
        <f t="shared" si="60"/>
        <v>0.9299744581695264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1.137371612437585</v>
      </c>
      <c r="C68" s="23">
        <f t="shared" ref="C68:W68" si="62">IF(C6=0,0,C18/C58)</f>
        <v>1.1662269718755645</v>
      </c>
      <c r="D68" s="23">
        <f t="shared" si="62"/>
        <v>1.132851154420176</v>
      </c>
      <c r="E68" s="23">
        <f t="shared" si="62"/>
        <v>1.105155305824671</v>
      </c>
      <c r="F68" s="23">
        <f t="shared" si="62"/>
        <v>1.025529424152178</v>
      </c>
      <c r="G68" s="23">
        <f t="shared" si="62"/>
        <v>1.0260912219136362</v>
      </c>
      <c r="H68" s="23">
        <f t="shared" si="62"/>
        <v>1.0393632530386754</v>
      </c>
      <c r="I68" s="23">
        <f t="shared" si="62"/>
        <v>1.004475904634309</v>
      </c>
      <c r="J68" s="23">
        <f t="shared" si="62"/>
        <v>1.0265886222236777</v>
      </c>
      <c r="K68" s="23">
        <f t="shared" si="62"/>
        <v>1.0118860703287982</v>
      </c>
      <c r="L68" s="23">
        <f t="shared" si="62"/>
        <v>1.0288960137901459</v>
      </c>
      <c r="M68" s="23">
        <f t="shared" si="62"/>
        <v>1.0342319331534517</v>
      </c>
      <c r="N68" s="23">
        <f t="shared" si="62"/>
        <v>1.0225693997127883</v>
      </c>
      <c r="O68" s="23">
        <f t="shared" si="62"/>
        <v>1.0493798393749605</v>
      </c>
      <c r="P68" s="23">
        <f t="shared" si="62"/>
        <v>1.0532896043919386</v>
      </c>
      <c r="Q68" s="23">
        <f t="shared" si="62"/>
        <v>1.0449206058615428</v>
      </c>
      <c r="R68" s="23">
        <f t="shared" si="62"/>
        <v>1.0385298994204553</v>
      </c>
      <c r="S68" s="23">
        <f t="shared" si="62"/>
        <v>1.0345871277405316</v>
      </c>
      <c r="T68" s="23">
        <f t="shared" si="62"/>
        <v>1.0780370994940063</v>
      </c>
      <c r="U68" s="23">
        <f t="shared" si="62"/>
        <v>1.0510232976778846</v>
      </c>
      <c r="V68" s="23">
        <f t="shared" si="62"/>
        <v>1.0584793798410732</v>
      </c>
      <c r="W68" s="23">
        <f t="shared" si="62"/>
        <v>0.95726829354727949</v>
      </c>
      <c r="DA68" s="189"/>
    </row>
    <row r="69" spans="1:105" ht="11.45" customHeight="1" x14ac:dyDescent="0.25">
      <c r="A69" s="83" t="s">
        <v>27</v>
      </c>
      <c r="B69" s="91">
        <f t="shared" si="61"/>
        <v>0.93689237951332383</v>
      </c>
      <c r="C69" s="91">
        <f t="shared" ref="C69:W69" si="63">IF(C7=0,0,C19/C59)</f>
        <v>0.92296102728522644</v>
      </c>
      <c r="D69" s="91">
        <f t="shared" si="63"/>
        <v>0.92609314973296808</v>
      </c>
      <c r="E69" s="91">
        <f t="shared" si="63"/>
        <v>0.91874169365693803</v>
      </c>
      <c r="F69" s="91">
        <f t="shared" si="63"/>
        <v>0.93626895907339758</v>
      </c>
      <c r="G69" s="91">
        <f t="shared" si="63"/>
        <v>0.97979764332321251</v>
      </c>
      <c r="H69" s="91">
        <f t="shared" si="63"/>
        <v>0.99290993582847253</v>
      </c>
      <c r="I69" s="91">
        <f t="shared" si="63"/>
        <v>0.94552519986707018</v>
      </c>
      <c r="J69" s="91">
        <f t="shared" si="63"/>
        <v>0.97429671396156736</v>
      </c>
      <c r="K69" s="91">
        <f t="shared" si="63"/>
        <v>0.8688322052464692</v>
      </c>
      <c r="L69" s="91">
        <f t="shared" si="63"/>
        <v>0.90617896387817631</v>
      </c>
      <c r="M69" s="91">
        <f t="shared" si="63"/>
        <v>0.9154806978032447</v>
      </c>
      <c r="N69" s="91">
        <f t="shared" si="63"/>
        <v>0.94097570373211736</v>
      </c>
      <c r="O69" s="91">
        <f t="shared" si="63"/>
        <v>1.0329490343634333</v>
      </c>
      <c r="P69" s="91">
        <f t="shared" si="63"/>
        <v>1.0637457669156736</v>
      </c>
      <c r="Q69" s="91">
        <f t="shared" si="63"/>
        <v>1.1123566728819561</v>
      </c>
      <c r="R69" s="91">
        <f t="shared" si="63"/>
        <v>1.1257480463191896</v>
      </c>
      <c r="S69" s="91">
        <f t="shared" si="63"/>
        <v>1.2081294208005007</v>
      </c>
      <c r="T69" s="91">
        <f t="shared" si="63"/>
        <v>1.3381983042987109</v>
      </c>
      <c r="U69" s="91">
        <f t="shared" si="63"/>
        <v>1.3464315272396092</v>
      </c>
      <c r="V69" s="91">
        <f t="shared" si="63"/>
        <v>1.0059746502454214</v>
      </c>
      <c r="W69" s="91">
        <f t="shared" si="63"/>
        <v>1.2485487007893981</v>
      </c>
      <c r="DA69" s="171"/>
    </row>
    <row r="70" spans="1:105" ht="11.45" customHeight="1" x14ac:dyDescent="0.25">
      <c r="A70" s="83" t="s">
        <v>173</v>
      </c>
      <c r="B70" s="91">
        <f t="shared" si="61"/>
        <v>1.4946860527959576</v>
      </c>
      <c r="C70" s="91">
        <f t="shared" ref="C70:W70" si="64">IF(C8=0,0,C20/C60)</f>
        <v>1.5483380478280284</v>
      </c>
      <c r="D70" s="91">
        <f t="shared" si="64"/>
        <v>1.4924186411695448</v>
      </c>
      <c r="E70" s="91">
        <f t="shared" si="64"/>
        <v>1.4417116246148658</v>
      </c>
      <c r="F70" s="91">
        <f t="shared" si="64"/>
        <v>1.3095833767366263</v>
      </c>
      <c r="G70" s="91">
        <f t="shared" si="64"/>
        <v>1.2680053140540455</v>
      </c>
      <c r="H70" s="91">
        <f t="shared" si="64"/>
        <v>1.2962067752407265</v>
      </c>
      <c r="I70" s="91">
        <f t="shared" si="64"/>
        <v>1.2656975549103651</v>
      </c>
      <c r="J70" s="91">
        <f t="shared" si="64"/>
        <v>1.2791064542837975</v>
      </c>
      <c r="K70" s="91">
        <f t="shared" si="64"/>
        <v>1.2217635887730405</v>
      </c>
      <c r="L70" s="91">
        <f t="shared" si="64"/>
        <v>1.2256202154416824</v>
      </c>
      <c r="M70" s="91">
        <f t="shared" si="64"/>
        <v>1.2380726838959673</v>
      </c>
      <c r="N70" s="91">
        <f t="shared" si="64"/>
        <v>1.2192132309386101</v>
      </c>
      <c r="O70" s="91">
        <f t="shared" si="64"/>
        <v>1.2175263573453663</v>
      </c>
      <c r="P70" s="91">
        <f t="shared" si="64"/>
        <v>1.229859971411456</v>
      </c>
      <c r="Q70" s="91">
        <f t="shared" si="64"/>
        <v>1.1794930541231428</v>
      </c>
      <c r="R70" s="91">
        <f t="shared" si="64"/>
        <v>1.1943187460892437</v>
      </c>
      <c r="S70" s="91">
        <f t="shared" si="64"/>
        <v>1.2137206090258712</v>
      </c>
      <c r="T70" s="91">
        <f t="shared" si="64"/>
        <v>1.310387119971181</v>
      </c>
      <c r="U70" s="91">
        <f t="shared" si="64"/>
        <v>1.2957144098956361</v>
      </c>
      <c r="V70" s="91">
        <f t="shared" si="64"/>
        <v>1.1156355716840778</v>
      </c>
      <c r="W70" s="91">
        <f t="shared" si="64"/>
        <v>0.8856985123822595</v>
      </c>
      <c r="DA70" s="171"/>
    </row>
    <row r="71" spans="1:105" ht="11.45" customHeight="1" x14ac:dyDescent="0.25">
      <c r="A71" s="83" t="s">
        <v>174</v>
      </c>
      <c r="B71" s="91">
        <f t="shared" si="61"/>
        <v>1.0396846411678347</v>
      </c>
      <c r="C71" s="91">
        <f t="shared" ref="C71:W71" si="65">IF(C9=0,0,C21/C61)</f>
        <v>1.0770046106608193</v>
      </c>
      <c r="D71" s="91">
        <f t="shared" si="65"/>
        <v>1.0381083820389023</v>
      </c>
      <c r="E71" s="91">
        <f t="shared" si="65"/>
        <v>0.99781816536476409</v>
      </c>
      <c r="F71" s="91">
        <f t="shared" si="65"/>
        <v>0.9062996480121992</v>
      </c>
      <c r="G71" s="91">
        <f t="shared" si="65"/>
        <v>0.90383371678599078</v>
      </c>
      <c r="H71" s="91">
        <f t="shared" si="65"/>
        <v>0.90914141548818983</v>
      </c>
      <c r="I71" s="91">
        <f t="shared" si="65"/>
        <v>0.87350010726494409</v>
      </c>
      <c r="J71" s="91">
        <f t="shared" si="65"/>
        <v>0.90084788613406919</v>
      </c>
      <c r="K71" s="91">
        <f t="shared" si="65"/>
        <v>0.95076283173071374</v>
      </c>
      <c r="L71" s="91">
        <f t="shared" si="65"/>
        <v>0.96454243819745888</v>
      </c>
      <c r="M71" s="91">
        <f t="shared" si="65"/>
        <v>0.96368658567632481</v>
      </c>
      <c r="N71" s="91">
        <f t="shared" si="65"/>
        <v>0.94032232230682489</v>
      </c>
      <c r="O71" s="91">
        <f t="shared" si="65"/>
        <v>0.95613157070585009</v>
      </c>
      <c r="P71" s="91">
        <f t="shared" si="65"/>
        <v>0.9454208313784469</v>
      </c>
      <c r="Q71" s="91">
        <f t="shared" si="65"/>
        <v>0.93801047302773177</v>
      </c>
      <c r="R71" s="91">
        <f t="shared" si="65"/>
        <v>0.90975415985645069</v>
      </c>
      <c r="S71" s="91">
        <f t="shared" si="65"/>
        <v>0.8664820107753719</v>
      </c>
      <c r="T71" s="91">
        <f t="shared" si="65"/>
        <v>0.86813136428417015</v>
      </c>
      <c r="U71" s="91">
        <f t="shared" si="65"/>
        <v>0.83811069724665732</v>
      </c>
      <c r="V71" s="91">
        <f t="shared" si="65"/>
        <v>1.0497657241516978</v>
      </c>
      <c r="W71" s="91">
        <f t="shared" si="65"/>
        <v>0.84114358551574619</v>
      </c>
      <c r="DA71" s="171"/>
    </row>
    <row r="72" spans="1:105" ht="11.45" customHeight="1" x14ac:dyDescent="0.25">
      <c r="A72" s="12" t="s">
        <v>34</v>
      </c>
      <c r="B72" s="24">
        <f t="shared" si="61"/>
        <v>0.95288970751838076</v>
      </c>
      <c r="C72" s="24">
        <f t="shared" ref="C72:W72" si="66">IF(C10=0,0,C22/C62)</f>
        <v>0.90606094577766838</v>
      </c>
      <c r="D72" s="24">
        <f t="shared" si="66"/>
        <v>0.98485561972137836</v>
      </c>
      <c r="E72" s="24">
        <f t="shared" si="66"/>
        <v>0.94611656948346268</v>
      </c>
      <c r="F72" s="24">
        <f t="shared" si="66"/>
        <v>0.88007055382354948</v>
      </c>
      <c r="G72" s="24">
        <f t="shared" si="66"/>
        <v>0.87444429948801161</v>
      </c>
      <c r="H72" s="24">
        <f t="shared" si="66"/>
        <v>0.87772823828853386</v>
      </c>
      <c r="I72" s="24">
        <f t="shared" si="66"/>
        <v>0.84180857718195246</v>
      </c>
      <c r="J72" s="24">
        <f t="shared" si="66"/>
        <v>0.86630453148092679</v>
      </c>
      <c r="K72" s="24">
        <f t="shared" si="66"/>
        <v>0.89344914269693487</v>
      </c>
      <c r="L72" s="24">
        <f t="shared" si="66"/>
        <v>0.89279943855193888</v>
      </c>
      <c r="M72" s="24">
        <f t="shared" si="66"/>
        <v>0.89019706219191708</v>
      </c>
      <c r="N72" s="24">
        <f t="shared" si="66"/>
        <v>0.8790246962938858</v>
      </c>
      <c r="O72" s="24">
        <f t="shared" si="66"/>
        <v>0.8932120604562005</v>
      </c>
      <c r="P72" s="24">
        <f t="shared" si="66"/>
        <v>0.88351924763514289</v>
      </c>
      <c r="Q72" s="24">
        <f t="shared" si="66"/>
        <v>0.87236244946965702</v>
      </c>
      <c r="R72" s="24">
        <f t="shared" si="66"/>
        <v>0.84678043150433469</v>
      </c>
      <c r="S72" s="24">
        <f t="shared" si="66"/>
        <v>0.81397981920217799</v>
      </c>
      <c r="T72" s="24">
        <f t="shared" si="66"/>
        <v>0.82581423808999099</v>
      </c>
      <c r="U72" s="24">
        <f t="shared" si="66"/>
        <v>0.79736860047210656</v>
      </c>
      <c r="V72" s="24">
        <f t="shared" si="66"/>
        <v>0.95055810818666575</v>
      </c>
      <c r="W72" s="24">
        <f t="shared" si="66"/>
        <v>0.7688623275088099</v>
      </c>
      <c r="DA72" s="193"/>
    </row>
    <row r="73" spans="1:105" ht="11.45" customHeight="1" x14ac:dyDescent="0.25">
      <c r="A73" s="92" t="s">
        <v>27</v>
      </c>
      <c r="B73" s="93">
        <f t="shared" si="61"/>
        <v>0.93689237951332371</v>
      </c>
      <c r="C73" s="93">
        <f t="shared" ref="C73:W73" si="67">IF(C11=0,0,C23/C63)</f>
        <v>0.92296102728522644</v>
      </c>
      <c r="D73" s="93">
        <f t="shared" si="67"/>
        <v>0.9260931497329683</v>
      </c>
      <c r="E73" s="93">
        <f t="shared" si="67"/>
        <v>0.91874169365693814</v>
      </c>
      <c r="F73" s="93">
        <f t="shared" si="67"/>
        <v>0.93626895907339736</v>
      </c>
      <c r="G73" s="93">
        <f t="shared" si="67"/>
        <v>0.97979764332321229</v>
      </c>
      <c r="H73" s="93">
        <f t="shared" si="67"/>
        <v>0.99290993582847276</v>
      </c>
      <c r="I73" s="93">
        <f t="shared" si="67"/>
        <v>0.94552519986707018</v>
      </c>
      <c r="J73" s="93">
        <f t="shared" si="67"/>
        <v>0.97429671396156736</v>
      </c>
      <c r="K73" s="93">
        <f t="shared" si="67"/>
        <v>0.8688322052464692</v>
      </c>
      <c r="L73" s="93">
        <f t="shared" si="67"/>
        <v>0.9061789638781762</v>
      </c>
      <c r="M73" s="93">
        <f t="shared" si="67"/>
        <v>0.91548069780324459</v>
      </c>
      <c r="N73" s="93">
        <f t="shared" si="67"/>
        <v>0.94097570373211736</v>
      </c>
      <c r="O73" s="93">
        <f t="shared" si="67"/>
        <v>1.0329490343634333</v>
      </c>
      <c r="P73" s="93">
        <f t="shared" si="67"/>
        <v>1.0637457669156736</v>
      </c>
      <c r="Q73" s="93">
        <f t="shared" si="67"/>
        <v>1.1123566728819561</v>
      </c>
      <c r="R73" s="93">
        <f t="shared" si="67"/>
        <v>1.1257480463191898</v>
      </c>
      <c r="S73" s="93">
        <f t="shared" si="67"/>
        <v>1.2081294208005005</v>
      </c>
      <c r="T73" s="93">
        <f t="shared" si="67"/>
        <v>1.3381983042987109</v>
      </c>
      <c r="U73" s="93">
        <f t="shared" si="67"/>
        <v>1.346431527239609</v>
      </c>
      <c r="V73" s="93">
        <f t="shared" si="67"/>
        <v>1.0059746502454217</v>
      </c>
      <c r="W73" s="93">
        <f t="shared" si="67"/>
        <v>1.2485487007893981</v>
      </c>
      <c r="DA73" s="175"/>
    </row>
    <row r="74" spans="1:105" ht="11.45" customHeight="1" x14ac:dyDescent="0.25">
      <c r="A74" s="92" t="s">
        <v>173</v>
      </c>
      <c r="B74" s="93">
        <f t="shared" si="61"/>
        <v>1.5300889054444158</v>
      </c>
      <c r="C74" s="93">
        <f t="shared" ref="C74:W74" si="68">IF(C12=0,0,C24/C64)</f>
        <v>1.5879718042581374</v>
      </c>
      <c r="D74" s="93">
        <f t="shared" si="68"/>
        <v>1.4936651140556414</v>
      </c>
      <c r="E74" s="93">
        <f t="shared" si="68"/>
        <v>1.4282313116508041</v>
      </c>
      <c r="F74" s="93">
        <f t="shared" si="68"/>
        <v>1.2981360637932771</v>
      </c>
      <c r="G74" s="93">
        <f t="shared" si="68"/>
        <v>1.2545127572097028</v>
      </c>
      <c r="H74" s="93">
        <f t="shared" si="68"/>
        <v>1.2863306776777792</v>
      </c>
      <c r="I74" s="93">
        <f t="shared" si="68"/>
        <v>1.253357182985771</v>
      </c>
      <c r="J74" s="93">
        <f t="shared" si="68"/>
        <v>1.2692516968224823</v>
      </c>
      <c r="K74" s="93">
        <f t="shared" si="68"/>
        <v>1.2117492474585299</v>
      </c>
      <c r="L74" s="93">
        <f t="shared" si="68"/>
        <v>1.2172150512512419</v>
      </c>
      <c r="M74" s="93">
        <f t="shared" si="68"/>
        <v>1.2277205797421105</v>
      </c>
      <c r="N74" s="93">
        <f t="shared" si="68"/>
        <v>1.2026539830921938</v>
      </c>
      <c r="O74" s="93">
        <f t="shared" si="68"/>
        <v>1.1987382197505065</v>
      </c>
      <c r="P74" s="93">
        <f t="shared" si="68"/>
        <v>1.2091754850417755</v>
      </c>
      <c r="Q74" s="93">
        <f t="shared" si="68"/>
        <v>1.1542187619642816</v>
      </c>
      <c r="R74" s="93">
        <f t="shared" si="68"/>
        <v>1.166678270744256</v>
      </c>
      <c r="S74" s="93">
        <f t="shared" si="68"/>
        <v>1.1839143557846012</v>
      </c>
      <c r="T74" s="93">
        <f t="shared" si="68"/>
        <v>1.275463867300128</v>
      </c>
      <c r="U74" s="93">
        <f t="shared" si="68"/>
        <v>1.2625024723217868</v>
      </c>
      <c r="V74" s="93">
        <f t="shared" si="68"/>
        <v>1.1244202046468643</v>
      </c>
      <c r="W74" s="93">
        <f t="shared" si="68"/>
        <v>0.88499631408884183</v>
      </c>
      <c r="DA74" s="175"/>
    </row>
    <row r="75" spans="1:105" ht="11.45" customHeight="1" x14ac:dyDescent="0.25">
      <c r="A75" s="85" t="s">
        <v>174</v>
      </c>
      <c r="B75" s="94">
        <f t="shared" si="61"/>
        <v>0.93571617705105103</v>
      </c>
      <c r="C75" s="94">
        <f t="shared" ref="C75:W75" si="69">IF(C13=0,0,C25/C65)</f>
        <v>0.96930414959473743</v>
      </c>
      <c r="D75" s="94">
        <f t="shared" si="69"/>
        <v>0.93429754383501196</v>
      </c>
      <c r="E75" s="94">
        <f t="shared" si="69"/>
        <v>0.89803634882828798</v>
      </c>
      <c r="F75" s="94">
        <f t="shared" si="69"/>
        <v>0.81566968321097921</v>
      </c>
      <c r="G75" s="94">
        <f t="shared" si="69"/>
        <v>0.81345034510739156</v>
      </c>
      <c r="H75" s="94">
        <f t="shared" si="69"/>
        <v>0.81822727393937078</v>
      </c>
      <c r="I75" s="94">
        <f t="shared" si="69"/>
        <v>0.78615009653844981</v>
      </c>
      <c r="J75" s="94">
        <f t="shared" si="69"/>
        <v>0.81076309752066211</v>
      </c>
      <c r="K75" s="94">
        <f t="shared" si="69"/>
        <v>0.85568654855764215</v>
      </c>
      <c r="L75" s="94">
        <f t="shared" si="69"/>
        <v>0.86808819437771279</v>
      </c>
      <c r="M75" s="94">
        <f t="shared" si="69"/>
        <v>0.86731792710869227</v>
      </c>
      <c r="N75" s="94">
        <f t="shared" si="69"/>
        <v>0.84629009007614231</v>
      </c>
      <c r="O75" s="94">
        <f t="shared" si="69"/>
        <v>0.86051841363526527</v>
      </c>
      <c r="P75" s="94">
        <f t="shared" si="69"/>
        <v>0.85087874824060239</v>
      </c>
      <c r="Q75" s="94">
        <f t="shared" si="69"/>
        <v>0.8442094257249585</v>
      </c>
      <c r="R75" s="94">
        <f t="shared" si="69"/>
        <v>0.81877874387080596</v>
      </c>
      <c r="S75" s="94">
        <f t="shared" si="69"/>
        <v>0.77983380969783478</v>
      </c>
      <c r="T75" s="94">
        <f t="shared" si="69"/>
        <v>0.78131822785575311</v>
      </c>
      <c r="U75" s="94">
        <f t="shared" si="69"/>
        <v>0.75429962752199187</v>
      </c>
      <c r="V75" s="94">
        <f t="shared" si="69"/>
        <v>0.94478915173652811</v>
      </c>
      <c r="W75" s="94">
        <f t="shared" si="69"/>
        <v>0.75702922696417163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10527.168302280003</v>
      </c>
      <c r="C3" s="79">
        <f t="shared" si="0"/>
        <v>9618.1499455200028</v>
      </c>
      <c r="D3" s="79">
        <f t="shared" ref="D3" si="1">SUM(D4:D5)</f>
        <v>9621.2301415200018</v>
      </c>
      <c r="E3" s="79">
        <f t="shared" ref="E3" si="2">SUM(E4:E5)</f>
        <v>10826.957873519999</v>
      </c>
      <c r="F3" s="79">
        <f t="shared" ref="F3" si="3">SUM(F4:F5)</f>
        <v>10734.218600759999</v>
      </c>
      <c r="G3" s="79">
        <f t="shared" ref="G3" si="4">SUM(G4:G5)</f>
        <v>11182.514985720001</v>
      </c>
      <c r="H3" s="79">
        <f t="shared" ref="H3" si="5">SUM(H4:H5)</f>
        <v>11983.242227039998</v>
      </c>
      <c r="I3" s="79">
        <f t="shared" ref="I3" si="6">SUM(I4:I5)</f>
        <v>12725.261443439998</v>
      </c>
      <c r="J3" s="79">
        <f t="shared" ref="J3" si="7">SUM(J4:J5)</f>
        <v>12264.668571239998</v>
      </c>
      <c r="K3" s="79">
        <f t="shared" ref="K3" si="8">SUM(K4:K5)</f>
        <v>11095.91257104</v>
      </c>
      <c r="L3" s="79">
        <f t="shared" ref="L3" si="9">SUM(L4:L5)</f>
        <v>11686.403759040004</v>
      </c>
      <c r="M3" s="79">
        <f t="shared" ref="M3" si="10">SUM(M4:M5)</f>
        <v>11949.338539440001</v>
      </c>
      <c r="N3" s="79">
        <f t="shared" ref="N3" si="11">SUM(N4:N5)</f>
        <v>11399.039515800003</v>
      </c>
      <c r="O3" s="79">
        <f t="shared" ref="O3" si="12">SUM(O4:O5)</f>
        <v>11089.904560560002</v>
      </c>
      <c r="P3" s="79">
        <f t="shared" ref="P3" si="13">SUM(P4:P5)</f>
        <v>11204.297345520001</v>
      </c>
      <c r="Q3" s="79">
        <f t="shared" ref="Q3" si="14">SUM(Q4:Q5)</f>
        <v>11630.951859240002</v>
      </c>
      <c r="R3" s="79">
        <f t="shared" ref="R3" si="15">SUM(R4:R5)</f>
        <v>12057.618272760003</v>
      </c>
      <c r="S3" s="79">
        <f t="shared" ref="S3" si="16">SUM(S4:S5)</f>
        <v>12641.949572760001</v>
      </c>
      <c r="T3" s="79">
        <f t="shared" ref="T3" si="17">SUM(T4:T5)</f>
        <v>14190.84452952</v>
      </c>
      <c r="U3" s="79">
        <f t="shared" ref="U3" si="18">SUM(U4:U5)</f>
        <v>14675.510376000007</v>
      </c>
      <c r="V3" s="79">
        <f t="shared" ref="V3:W3" si="19">SUM(V4:V5)</f>
        <v>5536.1299561199994</v>
      </c>
      <c r="W3" s="79">
        <f t="shared" si="19"/>
        <v>6334.9951852799986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2015.7180872399999</v>
      </c>
      <c r="C4" s="96">
        <f t="shared" si="20"/>
        <v>1854.8912455200002</v>
      </c>
      <c r="D4" s="96">
        <f t="shared" ref="D4:V4" si="21">SUM(D7,D11)</f>
        <v>1857.9714415199999</v>
      </c>
      <c r="E4" s="96">
        <f t="shared" si="21"/>
        <v>2095.9971022800005</v>
      </c>
      <c r="F4" s="96">
        <f t="shared" si="21"/>
        <v>2074.3668720000001</v>
      </c>
      <c r="G4" s="96">
        <f t="shared" si="21"/>
        <v>2160.9343569600005</v>
      </c>
      <c r="H4" s="96">
        <f t="shared" si="21"/>
        <v>2315.4962695200002</v>
      </c>
      <c r="I4" s="96">
        <f t="shared" si="21"/>
        <v>2454.6341584800002</v>
      </c>
      <c r="J4" s="96">
        <f t="shared" si="21"/>
        <v>2352.6783424800001</v>
      </c>
      <c r="K4" s="96">
        <f t="shared" si="21"/>
        <v>2074.3319422800005</v>
      </c>
      <c r="L4" s="96">
        <f t="shared" si="21"/>
        <v>2151.6008727600006</v>
      </c>
      <c r="M4" s="96">
        <f t="shared" si="21"/>
        <v>2167.1997969599997</v>
      </c>
      <c r="N4" s="96">
        <f t="shared" si="21"/>
        <v>2065.1971582800002</v>
      </c>
      <c r="O4" s="96">
        <f t="shared" si="21"/>
        <v>2055.9570742800006</v>
      </c>
      <c r="P4" s="96">
        <f t="shared" si="21"/>
        <v>1944.6558742800003</v>
      </c>
      <c r="Q4" s="96">
        <f t="shared" si="21"/>
        <v>2099.2408167600006</v>
      </c>
      <c r="R4" s="96">
        <f t="shared" si="21"/>
        <v>2136.35303028</v>
      </c>
      <c r="S4" s="96">
        <f t="shared" si="21"/>
        <v>2349.1886205599994</v>
      </c>
      <c r="T4" s="96">
        <f t="shared" si="21"/>
        <v>2646.7366100400004</v>
      </c>
      <c r="U4" s="96">
        <f t="shared" si="21"/>
        <v>2729.0579367599998</v>
      </c>
      <c r="V4" s="96">
        <f t="shared" si="21"/>
        <v>1035.9224445599996</v>
      </c>
      <c r="W4" s="96">
        <f t="shared" ref="W4" si="22">SUM(W7,W11)</f>
        <v>1848.6850521600004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8511.4502150400021</v>
      </c>
      <c r="C5" s="96">
        <f t="shared" si="23"/>
        <v>7763.2587000000021</v>
      </c>
      <c r="D5" s="96">
        <f t="shared" ref="D5:V5" si="24">SUM(D8:D9,D12:D13)</f>
        <v>7763.2587000000021</v>
      </c>
      <c r="E5" s="96">
        <f t="shared" si="24"/>
        <v>8730.9607712399993</v>
      </c>
      <c r="F5" s="96">
        <f t="shared" si="24"/>
        <v>8659.8517287599989</v>
      </c>
      <c r="G5" s="96">
        <f t="shared" si="24"/>
        <v>9021.5806287600008</v>
      </c>
      <c r="H5" s="96">
        <f t="shared" si="24"/>
        <v>9667.7459575199991</v>
      </c>
      <c r="I5" s="96">
        <f t="shared" si="24"/>
        <v>10270.627284959999</v>
      </c>
      <c r="J5" s="96">
        <f t="shared" si="24"/>
        <v>9911.990228759998</v>
      </c>
      <c r="K5" s="96">
        <f t="shared" si="24"/>
        <v>9021.5806287600008</v>
      </c>
      <c r="L5" s="96">
        <f t="shared" si="24"/>
        <v>9534.8028862800038</v>
      </c>
      <c r="M5" s="96">
        <f t="shared" si="24"/>
        <v>9782.1387424800014</v>
      </c>
      <c r="N5" s="96">
        <f t="shared" si="24"/>
        <v>9333.8423575200031</v>
      </c>
      <c r="O5" s="96">
        <f t="shared" si="24"/>
        <v>9033.9474862800016</v>
      </c>
      <c r="P5" s="96">
        <f t="shared" si="24"/>
        <v>9259.6414712400001</v>
      </c>
      <c r="Q5" s="96">
        <f t="shared" si="24"/>
        <v>9531.7110424800012</v>
      </c>
      <c r="R5" s="96">
        <f t="shared" si="24"/>
        <v>9921.2652424800035</v>
      </c>
      <c r="S5" s="96">
        <f t="shared" si="24"/>
        <v>10292.760952200002</v>
      </c>
      <c r="T5" s="96">
        <f t="shared" si="24"/>
        <v>11544.107919479999</v>
      </c>
      <c r="U5" s="96">
        <f t="shared" si="24"/>
        <v>11946.452439240007</v>
      </c>
      <c r="V5" s="96">
        <f t="shared" si="24"/>
        <v>4500.2075115600001</v>
      </c>
      <c r="W5" s="96">
        <f t="shared" ref="W5" si="25">SUM(W8:W9,W12:W13)</f>
        <v>4486.3101331199987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10032.145209574981</v>
      </c>
      <c r="C6" s="21">
        <f t="shared" si="26"/>
        <v>9412.0391273159421</v>
      </c>
      <c r="D6" s="21">
        <f t="shared" ref="D6:V6" si="27">SUM(D7:D9)</f>
        <v>9155.4860198751248</v>
      </c>
      <c r="E6" s="21">
        <f t="shared" si="27"/>
        <v>10307.628386934262</v>
      </c>
      <c r="F6" s="21">
        <f t="shared" si="27"/>
        <v>10205.984978530625</v>
      </c>
      <c r="G6" s="21">
        <f t="shared" si="27"/>
        <v>10592.324301608063</v>
      </c>
      <c r="H6" s="21">
        <f t="shared" si="27"/>
        <v>11301.53975801932</v>
      </c>
      <c r="I6" s="21">
        <f t="shared" si="27"/>
        <v>11976.501871863991</v>
      </c>
      <c r="J6" s="21">
        <f t="shared" si="27"/>
        <v>11580.94717074306</v>
      </c>
      <c r="K6" s="21">
        <f t="shared" si="27"/>
        <v>10542.982026730468</v>
      </c>
      <c r="L6" s="21">
        <f t="shared" si="27"/>
        <v>11018.316680253014</v>
      </c>
      <c r="M6" s="21">
        <f t="shared" si="27"/>
        <v>11262.759958571405</v>
      </c>
      <c r="N6" s="21">
        <f t="shared" si="27"/>
        <v>10841.027423085552</v>
      </c>
      <c r="O6" s="21">
        <f t="shared" si="27"/>
        <v>10498.649724064871</v>
      </c>
      <c r="P6" s="21">
        <f t="shared" si="27"/>
        <v>10614.857901468764</v>
      </c>
      <c r="Q6" s="21">
        <f t="shared" si="27"/>
        <v>10945.65128471145</v>
      </c>
      <c r="R6" s="21">
        <f t="shared" si="27"/>
        <v>11365.0789637995</v>
      </c>
      <c r="S6" s="21">
        <f t="shared" si="27"/>
        <v>11878.608399770703</v>
      </c>
      <c r="T6" s="21">
        <f t="shared" si="27"/>
        <v>13414.990210292297</v>
      </c>
      <c r="U6" s="21">
        <f t="shared" si="27"/>
        <v>13917.438116911446</v>
      </c>
      <c r="V6" s="21">
        <f t="shared" si="27"/>
        <v>4726.0924757129023</v>
      </c>
      <c r="W6" s="21">
        <f t="shared" ref="W6" si="28">SUM(W7:W9)</f>
        <v>5518.8954119859181</v>
      </c>
      <c r="DA6" s="189" t="s">
        <v>326</v>
      </c>
    </row>
    <row r="7" spans="1:105" ht="11.45" customHeight="1" x14ac:dyDescent="0.25">
      <c r="A7" s="83" t="s">
        <v>27</v>
      </c>
      <c r="B7" s="96">
        <v>1986.5306224556693</v>
      </c>
      <c r="C7" s="96">
        <v>1802.6498324624174</v>
      </c>
      <c r="D7" s="96">
        <v>1813.5816822052216</v>
      </c>
      <c r="E7" s="96">
        <v>2047.0831137814121</v>
      </c>
      <c r="F7" s="96">
        <v>2025.7512966652826</v>
      </c>
      <c r="G7" s="96">
        <v>2112.5035702743126</v>
      </c>
      <c r="H7" s="96">
        <v>2266.2481550392795</v>
      </c>
      <c r="I7" s="96">
        <v>2403.7844150402543</v>
      </c>
      <c r="J7" s="96">
        <v>2306.5330182644757</v>
      </c>
      <c r="K7" s="96">
        <v>2037.6130412979333</v>
      </c>
      <c r="L7" s="96">
        <v>2115.0248195098557</v>
      </c>
      <c r="M7" s="96">
        <v>2134.5970669295825</v>
      </c>
      <c r="N7" s="96">
        <v>2038.4012631763733</v>
      </c>
      <c r="O7" s="96">
        <v>2028.6034629511598</v>
      </c>
      <c r="P7" s="96">
        <v>1920.4355422817</v>
      </c>
      <c r="Q7" s="96">
        <v>2075.3256420777157</v>
      </c>
      <c r="R7" s="96">
        <v>2117.1926278177671</v>
      </c>
      <c r="S7" s="96">
        <v>2326.8471718229243</v>
      </c>
      <c r="T7" s="96">
        <v>2621.1553602059516</v>
      </c>
      <c r="U7" s="96">
        <v>2703.9070327539971</v>
      </c>
      <c r="V7" s="96">
        <v>1017.2214300535701</v>
      </c>
      <c r="W7" s="96">
        <v>1817.7332651966824</v>
      </c>
      <c r="DA7" s="171" t="s">
        <v>327</v>
      </c>
    </row>
    <row r="8" spans="1:105" ht="11.45" customHeight="1" x14ac:dyDescent="0.25">
      <c r="A8" s="83" t="s">
        <v>173</v>
      </c>
      <c r="B8" s="96">
        <v>3546.8154806235261</v>
      </c>
      <c r="C8" s="96">
        <v>3354.5006840504152</v>
      </c>
      <c r="D8" s="96">
        <v>3236.5809595366277</v>
      </c>
      <c r="E8" s="96">
        <v>3824.4930673154236</v>
      </c>
      <c r="F8" s="96">
        <v>3642.8812585357432</v>
      </c>
      <c r="G8" s="96">
        <v>3824.2539159305061</v>
      </c>
      <c r="H8" s="96">
        <v>4101.7106605850677</v>
      </c>
      <c r="I8" s="96">
        <v>4449.0144625545981</v>
      </c>
      <c r="J8" s="96">
        <v>4208.8145988722563</v>
      </c>
      <c r="K8" s="96">
        <v>3738.3780376108953</v>
      </c>
      <c r="L8" s="96">
        <v>3875.6228672144134</v>
      </c>
      <c r="M8" s="96">
        <v>3973.8861572289748</v>
      </c>
      <c r="N8" s="96">
        <v>3805.8731933574518</v>
      </c>
      <c r="O8" s="96">
        <v>3642.6596883436046</v>
      </c>
      <c r="P8" s="96">
        <v>3776.6809171993841</v>
      </c>
      <c r="Q8" s="96">
        <v>3881.1671711631275</v>
      </c>
      <c r="R8" s="96">
        <v>4209.6927760886711</v>
      </c>
      <c r="S8" s="96">
        <v>4446.3594513778071</v>
      </c>
      <c r="T8" s="96">
        <v>5011.1177939444751</v>
      </c>
      <c r="U8" s="96">
        <v>5092.5077123692272</v>
      </c>
      <c r="V8" s="96">
        <v>1409.113401813772</v>
      </c>
      <c r="W8" s="96">
        <v>1516.114471379318</v>
      </c>
      <c r="DA8" s="171" t="s">
        <v>328</v>
      </c>
    </row>
    <row r="9" spans="1:105" ht="11.45" customHeight="1" x14ac:dyDescent="0.25">
      <c r="A9" s="83" t="s">
        <v>174</v>
      </c>
      <c r="B9" s="96">
        <v>4498.7991064957869</v>
      </c>
      <c r="C9" s="96">
        <v>4254.8886108031093</v>
      </c>
      <c r="D9" s="96">
        <v>4105.3233781332756</v>
      </c>
      <c r="E9" s="96">
        <v>4436.0522058374254</v>
      </c>
      <c r="F9" s="96">
        <v>4537.3524233295993</v>
      </c>
      <c r="G9" s="96">
        <v>4655.5668154032437</v>
      </c>
      <c r="H9" s="96">
        <v>4933.580942394974</v>
      </c>
      <c r="I9" s="96">
        <v>5123.7029942691388</v>
      </c>
      <c r="J9" s="96">
        <v>5065.5995536063283</v>
      </c>
      <c r="K9" s="96">
        <v>4766.9909478216387</v>
      </c>
      <c r="L9" s="96">
        <v>5027.6689935287441</v>
      </c>
      <c r="M9" s="96">
        <v>5154.2767344128479</v>
      </c>
      <c r="N9" s="96">
        <v>4996.7529665517268</v>
      </c>
      <c r="O9" s="96">
        <v>4827.3865727701068</v>
      </c>
      <c r="P9" s="96">
        <v>4917.7414419876795</v>
      </c>
      <c r="Q9" s="96">
        <v>4989.1584714706059</v>
      </c>
      <c r="R9" s="96">
        <v>5038.1935598930613</v>
      </c>
      <c r="S9" s="96">
        <v>5105.4017765699718</v>
      </c>
      <c r="T9" s="96">
        <v>5782.7170561418698</v>
      </c>
      <c r="U9" s="96">
        <v>6121.023371788222</v>
      </c>
      <c r="V9" s="96">
        <v>2299.7576438455603</v>
      </c>
      <c r="W9" s="96">
        <v>2185.0476754099177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495.02309270501894</v>
      </c>
      <c r="C10" s="22">
        <f t="shared" si="29"/>
        <v>206.11081820405957</v>
      </c>
      <c r="D10" s="22">
        <f t="shared" ref="D10:V10" si="30">SUM(D11:D13)</f>
        <v>465.74412164487757</v>
      </c>
      <c r="E10" s="22">
        <f t="shared" si="30"/>
        <v>519.32948658573912</v>
      </c>
      <c r="F10" s="22">
        <f t="shared" si="30"/>
        <v>528.23362222937442</v>
      </c>
      <c r="G10" s="22">
        <f t="shared" si="30"/>
        <v>590.19068411193928</v>
      </c>
      <c r="H10" s="22">
        <f t="shared" si="30"/>
        <v>681.70246902067822</v>
      </c>
      <c r="I10" s="22">
        <f t="shared" si="30"/>
        <v>748.75957157600965</v>
      </c>
      <c r="J10" s="22">
        <f t="shared" si="30"/>
        <v>683.72140049693826</v>
      </c>
      <c r="K10" s="22">
        <f t="shared" si="30"/>
        <v>552.93054430953248</v>
      </c>
      <c r="L10" s="22">
        <f t="shared" si="30"/>
        <v>668.08707878699067</v>
      </c>
      <c r="M10" s="22">
        <f t="shared" si="30"/>
        <v>686.57858086859449</v>
      </c>
      <c r="N10" s="22">
        <f t="shared" si="30"/>
        <v>558.01209271445236</v>
      </c>
      <c r="O10" s="22">
        <f t="shared" si="30"/>
        <v>591.2548364951308</v>
      </c>
      <c r="P10" s="22">
        <f t="shared" si="30"/>
        <v>589.43944405123716</v>
      </c>
      <c r="Q10" s="22">
        <f t="shared" si="30"/>
        <v>685.30057452855351</v>
      </c>
      <c r="R10" s="22">
        <f t="shared" si="30"/>
        <v>692.53930896050383</v>
      </c>
      <c r="S10" s="22">
        <f t="shared" si="30"/>
        <v>763.34117298929857</v>
      </c>
      <c r="T10" s="22">
        <f t="shared" si="30"/>
        <v>775.85431922770181</v>
      </c>
      <c r="U10" s="22">
        <f t="shared" si="30"/>
        <v>758.07225908855844</v>
      </c>
      <c r="V10" s="22">
        <f t="shared" si="30"/>
        <v>810.03748040709684</v>
      </c>
      <c r="W10" s="22">
        <f t="shared" ref="W10" si="31">SUM(W11:W13)</f>
        <v>816.09977329408105</v>
      </c>
      <c r="DA10" s="193" t="s">
        <v>330</v>
      </c>
    </row>
    <row r="11" spans="1:105" ht="11.45" customHeight="1" x14ac:dyDescent="0.25">
      <c r="A11" s="92" t="s">
        <v>27</v>
      </c>
      <c r="B11" s="97">
        <v>29.187464784330473</v>
      </c>
      <c r="C11" s="97">
        <v>52.241413057582697</v>
      </c>
      <c r="D11" s="97">
        <v>44.389759314778395</v>
      </c>
      <c r="E11" s="97">
        <v>48.913988498588438</v>
      </c>
      <c r="F11" s="97">
        <v>48.61557533471769</v>
      </c>
      <c r="G11" s="97">
        <v>48.430786685688112</v>
      </c>
      <c r="H11" s="97">
        <v>49.248114480720794</v>
      </c>
      <c r="I11" s="97">
        <v>50.849743439745964</v>
      </c>
      <c r="J11" s="97">
        <v>46.145324215524383</v>
      </c>
      <c r="K11" s="97">
        <v>36.718900982067169</v>
      </c>
      <c r="L11" s="97">
        <v>36.576053250144959</v>
      </c>
      <c r="M11" s="97">
        <v>32.602730030417391</v>
      </c>
      <c r="N11" s="97">
        <v>26.795895103627078</v>
      </c>
      <c r="O11" s="97">
        <v>27.353611328840721</v>
      </c>
      <c r="P11" s="97">
        <v>24.220331998300242</v>
      </c>
      <c r="Q11" s="97">
        <v>23.915174682285123</v>
      </c>
      <c r="R11" s="97">
        <v>19.160402462232788</v>
      </c>
      <c r="S11" s="97">
        <v>22.341448737075186</v>
      </c>
      <c r="T11" s="97">
        <v>25.581249834048712</v>
      </c>
      <c r="U11" s="97">
        <v>25.150904006002961</v>
      </c>
      <c r="V11" s="97">
        <v>18.701014506429576</v>
      </c>
      <c r="W11" s="97">
        <v>30.951786963318042</v>
      </c>
      <c r="DA11" s="175" t="s">
        <v>331</v>
      </c>
    </row>
    <row r="12" spans="1:105" ht="11.45" customHeight="1" x14ac:dyDescent="0.25">
      <c r="A12" s="92" t="s">
        <v>173</v>
      </c>
      <c r="B12" s="97">
        <v>57.509758966620311</v>
      </c>
      <c r="C12" s="97">
        <v>26.553099409994594</v>
      </c>
      <c r="D12" s="97">
        <v>103.33449970476484</v>
      </c>
      <c r="E12" s="97">
        <v>110.89808806937334</v>
      </c>
      <c r="F12" s="97">
        <v>122.55792008041118</v>
      </c>
      <c r="G12" s="97">
        <v>126.68209840728451</v>
      </c>
      <c r="H12" s="97">
        <v>138.77033588696261</v>
      </c>
      <c r="I12" s="97">
        <v>148.51132592168935</v>
      </c>
      <c r="J12" s="97">
        <v>138.2923880849074</v>
      </c>
      <c r="K12" s="97">
        <v>121.89735992453922</v>
      </c>
      <c r="L12" s="97">
        <v>113.50712356642457</v>
      </c>
      <c r="M12" s="97">
        <v>104.98108797617321</v>
      </c>
      <c r="N12" s="97">
        <v>97.11211159108791</v>
      </c>
      <c r="O12" s="97">
        <v>95.943446603943755</v>
      </c>
      <c r="P12" s="97">
        <v>87.213292363898475</v>
      </c>
      <c r="Q12" s="97">
        <v>91.590851241487044</v>
      </c>
      <c r="R12" s="97">
        <v>82.839616544832865</v>
      </c>
      <c r="S12" s="97">
        <v>92.362816766061229</v>
      </c>
      <c r="T12" s="97">
        <v>100.35989808152773</v>
      </c>
      <c r="U12" s="97">
        <v>98.869555086645988</v>
      </c>
      <c r="V12" s="97">
        <v>95.735049794598467</v>
      </c>
      <c r="W12" s="97">
        <v>93.956363618796161</v>
      </c>
      <c r="DA12" s="175" t="s">
        <v>332</v>
      </c>
    </row>
    <row r="13" spans="1:105" ht="11.45" customHeight="1" x14ac:dyDescent="0.25">
      <c r="A13" s="85" t="s">
        <v>174</v>
      </c>
      <c r="B13" s="98">
        <v>408.32586895406814</v>
      </c>
      <c r="C13" s="98">
        <v>127.31630573648229</v>
      </c>
      <c r="D13" s="98">
        <v>318.01986262533433</v>
      </c>
      <c r="E13" s="98">
        <v>359.51741001777731</v>
      </c>
      <c r="F13" s="98">
        <v>357.06012681424556</v>
      </c>
      <c r="G13" s="98">
        <v>415.07779901896663</v>
      </c>
      <c r="H13" s="98">
        <v>493.68401865299484</v>
      </c>
      <c r="I13" s="98">
        <v>549.39850221457436</v>
      </c>
      <c r="J13" s="98">
        <v>499.28368819650643</v>
      </c>
      <c r="K13" s="98">
        <v>394.31428340292615</v>
      </c>
      <c r="L13" s="98">
        <v>518.00390197042111</v>
      </c>
      <c r="M13" s="98">
        <v>548.99476286200388</v>
      </c>
      <c r="N13" s="98">
        <v>434.10408601973734</v>
      </c>
      <c r="O13" s="98">
        <v>467.95777856234633</v>
      </c>
      <c r="P13" s="98">
        <v>478.00581968903839</v>
      </c>
      <c r="Q13" s="98">
        <v>569.79454860478131</v>
      </c>
      <c r="R13" s="98">
        <v>590.53928995343813</v>
      </c>
      <c r="S13" s="98">
        <v>648.63690748616216</v>
      </c>
      <c r="T13" s="98">
        <v>649.91317131212531</v>
      </c>
      <c r="U13" s="98">
        <v>634.05179999590951</v>
      </c>
      <c r="V13" s="98">
        <v>695.60141610606877</v>
      </c>
      <c r="W13" s="98">
        <v>691.19162271196683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3.0095602914150481</v>
      </c>
      <c r="C18" s="97">
        <f>IF(C4=0,0,C4/TrAvia_ene!C4)</f>
        <v>3.0088175225479596</v>
      </c>
      <c r="D18" s="97">
        <f>IF(D4=0,0,D4/TrAvia_ene!D4)</f>
        <v>3.0086846759307684</v>
      </c>
      <c r="E18" s="97">
        <f>IF(E4=0,0,E4/TrAvia_ene!E4)</f>
        <v>3.008509262513595</v>
      </c>
      <c r="F18" s="97">
        <f>IF(F4=0,0,F4/TrAvia_ene!F4)</f>
        <v>3.0086116811702177</v>
      </c>
      <c r="G18" s="97">
        <f>IF(G4=0,0,G4/TrAvia_ene!G4)</f>
        <v>3.008679647320029</v>
      </c>
      <c r="H18" s="97">
        <f>IF(H4=0,0,H4/TrAvia_ene!H4)</f>
        <v>3.0085712252643275</v>
      </c>
      <c r="I18" s="97">
        <f>IF(I4=0,0,I4/TrAvia_ene!I4)</f>
        <v>3.0087721101029037</v>
      </c>
      <c r="J18" s="97">
        <f>IF(J4=0,0,J4/TrAvia_ene!J4)</f>
        <v>3.0093467936707223</v>
      </c>
      <c r="K18" s="97">
        <f>IF(K4=0,0,K4/TrAvia_ene!K4)</f>
        <v>3.0082481379592236</v>
      </c>
      <c r="L18" s="97">
        <f>IF(L4=0,0,L4/TrAvia_ene!L4)</f>
        <v>3.0080885078288677</v>
      </c>
      <c r="M18" s="97">
        <f>IF(M4=0,0,M4/TrAvia_ene!M4)</f>
        <v>3.0094965538680358</v>
      </c>
      <c r="N18" s="97">
        <f>IF(N4=0,0,N4/TrAvia_ene!N4)</f>
        <v>3.0097000318530758</v>
      </c>
      <c r="O18" s="97">
        <f>IF(O4=0,0,O4/TrAvia_ene!O4)</f>
        <v>3.0100644120005882</v>
      </c>
      <c r="P18" s="97">
        <f>IF(P4=0,0,P4/TrAvia_ene!P4)</f>
        <v>3.0100504029123152</v>
      </c>
      <c r="Q18" s="97">
        <f>IF(Q4=0,0,Q4/TrAvia_ene!Q4)</f>
        <v>3.0100694588236259</v>
      </c>
      <c r="R18" s="97">
        <f>IF(R4=0,0,R4/TrAvia_ene!R4)</f>
        <v>3.0101914070029778</v>
      </c>
      <c r="S18" s="97">
        <f>IF(S4=0,0,S4/TrAvia_ene!S4)</f>
        <v>3.0102020786236814</v>
      </c>
      <c r="T18" s="97">
        <f>IF(T4=0,0,T4/TrAvia_ene!T4)</f>
        <v>3.0098338567943737</v>
      </c>
      <c r="U18" s="97">
        <f>IF(U4=0,0,U4/TrAvia_ene!U4)</f>
        <v>3.0101292041394352</v>
      </c>
      <c r="V18" s="97">
        <f>IF(V4=0,0,V4/TrAvia_ene!V4)</f>
        <v>3.0097082942955375</v>
      </c>
      <c r="W18" s="97">
        <f>IF(W4=0,0,W4/TrAvia_ene!W4)</f>
        <v>3.0095912869701356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3.0103092000000009</v>
      </c>
      <c r="D19" s="98">
        <f>IF(D5=0,0,D5/TrAvia_ene!D5)</f>
        <v>3.0103092000000009</v>
      </c>
      <c r="E19" s="98">
        <f>IF(E5=0,0,E5/TrAvia_ene!E5)</f>
        <v>3.0103092000000005</v>
      </c>
      <c r="F19" s="98">
        <f>IF(F5=0,0,F5/TrAvia_ene!F5)</f>
        <v>3.0103091999999996</v>
      </c>
      <c r="G19" s="98">
        <f>IF(G5=0,0,G5/TrAvia_ene!G5)</f>
        <v>3.0103092000000005</v>
      </c>
      <c r="H19" s="98">
        <f>IF(H5=0,0,H5/TrAvia_ene!H5)</f>
        <v>3.0103092000000009</v>
      </c>
      <c r="I19" s="98">
        <f>IF(I5=0,0,I5/TrAvia_ene!I5)</f>
        <v>3.0103092</v>
      </c>
      <c r="J19" s="98">
        <f>IF(J5=0,0,J5/TrAvia_ene!J5)</f>
        <v>3.0103091999999996</v>
      </c>
      <c r="K19" s="98">
        <f>IF(K5=0,0,K5/TrAvia_ene!K5)</f>
        <v>3.0103092000000005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3.0103092000000014</v>
      </c>
      <c r="O19" s="98">
        <f>IF(O5=0,0,O5/TrAvia_ene!O5)</f>
        <v>3.0103092000000005</v>
      </c>
      <c r="P19" s="98">
        <f>IF(P5=0,0,P5/TrAvia_ene!P5)</f>
        <v>3.0103092000000005</v>
      </c>
      <c r="Q19" s="98">
        <f>IF(Q5=0,0,Q5/TrAvia_ene!Q5)</f>
        <v>3.0103092000000014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3.0103092000000014</v>
      </c>
      <c r="V19" s="98">
        <f>IF(V5=0,0,V5/TrAvia_ene!V5)</f>
        <v>3.0103092000000018</v>
      </c>
      <c r="W19" s="98">
        <f>IF(W5=0,0,W5/TrAvia_ene!W5)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16692.66077469946</v>
      </c>
      <c r="C21" s="54">
        <f>IF(C3=0,0,C3/TrAvia_act!C13*1000)</f>
        <v>16991.654892735667</v>
      </c>
      <c r="D21" s="54">
        <f>IF(D3=0,0,D3/TrAvia_act!D13*1000)</f>
        <v>16578.170651471359</v>
      </c>
      <c r="E21" s="54">
        <f>IF(E3=0,0,E3/TrAvia_act!E13*1000)</f>
        <v>15973.448781059815</v>
      </c>
      <c r="F21" s="54">
        <f>IF(F3=0,0,F3/TrAvia_act!F13*1000)</f>
        <v>15041.769235598613</v>
      </c>
      <c r="G21" s="54">
        <f>IF(G3=0,0,G3/TrAvia_act!G13*1000)</f>
        <v>14736.898781155061</v>
      </c>
      <c r="H21" s="54">
        <f>IF(H3=0,0,H3/TrAvia_act!H13*1000)</f>
        <v>15042.843912430237</v>
      </c>
      <c r="I21" s="54">
        <f>IF(I3=0,0,I3/TrAvia_act!I13*1000)</f>
        <v>14411.635524691246</v>
      </c>
      <c r="J21" s="54">
        <f>IF(J3=0,0,J3/TrAvia_act!J13*1000)</f>
        <v>14714.090652117196</v>
      </c>
      <c r="K21" s="54">
        <f>IF(K3=0,0,K3/TrAvia_act!K13*1000)</f>
        <v>14142.968452635128</v>
      </c>
      <c r="L21" s="54">
        <f>IF(L3=0,0,L3/TrAvia_act!L13*1000)</f>
        <v>14281.887070085531</v>
      </c>
      <c r="M21" s="54">
        <f>IF(M3=0,0,M3/TrAvia_act!M13*1000)</f>
        <v>14582.839908126247</v>
      </c>
      <c r="N21" s="54">
        <f>IF(N3=0,0,N3/TrAvia_act!N13*1000)</f>
        <v>14347.035161898026</v>
      </c>
      <c r="O21" s="54">
        <f>IF(O3=0,0,O3/TrAvia_act!O13*1000)</f>
        <v>14506.663641226547</v>
      </c>
      <c r="P21" s="54">
        <f>IF(P3=0,0,P3/TrAvia_act!P13*1000)</f>
        <v>14653.816244114496</v>
      </c>
      <c r="Q21" s="54">
        <f>IF(Q3=0,0,Q3/TrAvia_act!Q13*1000)</f>
        <v>14547.384591208185</v>
      </c>
      <c r="R21" s="54">
        <f>IF(R3=0,0,R3/TrAvia_act!R13*1000)</f>
        <v>14367.525889675893</v>
      </c>
      <c r="S21" s="54">
        <f>IF(S3=0,0,S3/TrAvia_act!S13*1000)</f>
        <v>14307.134571786268</v>
      </c>
      <c r="T21" s="54">
        <f>IF(T3=0,0,T3/TrAvia_act!T13*1000)</f>
        <v>15005.459064264996</v>
      </c>
      <c r="U21" s="54">
        <f>IF(U3=0,0,U3/TrAvia_act!U13*1000)</f>
        <v>14773.903041506617</v>
      </c>
      <c r="V21" s="54">
        <f>IF(V3=0,0,V3/TrAvia_act!V13*1000)</f>
        <v>14847.466746840444</v>
      </c>
      <c r="W21" s="54">
        <f>IF(W3=0,0,W3/TrAvia_act!W13*1000)</f>
        <v>12696.651650669364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16549.967910169828</v>
      </c>
      <c r="C22" s="11">
        <f>IF(C6=0,0,C6/TrAvia_act!C14*1000)</f>
        <v>16962.133062545963</v>
      </c>
      <c r="D22" s="11">
        <f>IF(D6=0,0,D6/TrAvia_act!D14*1000)</f>
        <v>16475.239579984918</v>
      </c>
      <c r="E22" s="11">
        <f>IF(E6=0,0,E6/TrAvia_act!E14*1000)</f>
        <v>15871.702016124749</v>
      </c>
      <c r="F22" s="11">
        <f>IF(F6=0,0,F6/TrAvia_act!F14*1000)</f>
        <v>14962.733558635384</v>
      </c>
      <c r="G22" s="11">
        <f>IF(G6=0,0,G6/TrAvia_act!G14*1000)</f>
        <v>14641.523364285831</v>
      </c>
      <c r="H22" s="11">
        <f>IF(H6=0,0,H6/TrAvia_act!H14*1000)</f>
        <v>14934.269724380567</v>
      </c>
      <c r="I22" s="11">
        <f>IF(I6=0,0,I6/TrAvia_act!I14*1000)</f>
        <v>14297.037347538155</v>
      </c>
      <c r="J22" s="11">
        <f>IF(J6=0,0,J6/TrAvia_act!J14*1000)</f>
        <v>14601.07965670211</v>
      </c>
      <c r="K22" s="11">
        <f>IF(K6=0,0,K6/TrAvia_act!K14*1000)</f>
        <v>14023.857634233187</v>
      </c>
      <c r="L22" s="11">
        <f>IF(L6=0,0,L6/TrAvia_act!L14*1000)</f>
        <v>14119.085483630979</v>
      </c>
      <c r="M22" s="11">
        <f>IF(M6=0,0,M6/TrAvia_act!M14*1000)</f>
        <v>14420.053628632746</v>
      </c>
      <c r="N22" s="11">
        <f>IF(N6=0,0,N6/TrAvia_act!N14*1000)</f>
        <v>14228.425186056491</v>
      </c>
      <c r="O22" s="11">
        <f>IF(O6=0,0,O6/TrAvia_act!O14*1000)</f>
        <v>14367.461396093922</v>
      </c>
      <c r="P22" s="11">
        <f>IF(P6=0,0,P6/TrAvia_act!P14*1000)</f>
        <v>14511.555328634991</v>
      </c>
      <c r="Q22" s="11">
        <f>IF(Q6=0,0,Q6/TrAvia_act!Q14*1000)</f>
        <v>14377.819984540009</v>
      </c>
      <c r="R22" s="11">
        <f>IF(R6=0,0,R6/TrAvia_act!R14*1000)</f>
        <v>14198.759800403959</v>
      </c>
      <c r="S22" s="11">
        <f>IF(S6=0,0,S6/TrAvia_act!S14*1000)</f>
        <v>14151.46771666102</v>
      </c>
      <c r="T22" s="11">
        <f>IF(T6=0,0,T6/TrAvia_act!T14*1000)</f>
        <v>14879.370124328505</v>
      </c>
      <c r="U22" s="11">
        <f>IF(U6=0,0,U6/TrAvia_act!U14*1000)</f>
        <v>14658.399506935255</v>
      </c>
      <c r="V22" s="11">
        <f>IF(V6=0,0,V6/TrAvia_act!V14*1000)</f>
        <v>14215.759245369372</v>
      </c>
      <c r="W22" s="11">
        <f>IF(W6=0,0,W6/TrAvia_act!W14*1000)</f>
        <v>12313.349879196037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11486.069559629337</v>
      </c>
      <c r="C23" s="84">
        <f>IF(C7=0,0,C7/TrAvia_act!C15*1000)</f>
        <v>11312.481971351675</v>
      </c>
      <c r="D23" s="84">
        <f>IF(D7=0,0,D7/TrAvia_act!D15*1000)</f>
        <v>11350.370374649245</v>
      </c>
      <c r="E23" s="84">
        <f>IF(E7=0,0,E7/TrAvia_act!E15*1000)</f>
        <v>11259.613057524879</v>
      </c>
      <c r="F23" s="84">
        <f>IF(F7=0,0,F7/TrAvia_act!F15*1000)</f>
        <v>11474.808590745906</v>
      </c>
      <c r="G23" s="84">
        <f>IF(G7=0,0,G7/TrAvia_act!G15*1000)</f>
        <v>12166.520778528398</v>
      </c>
      <c r="H23" s="84">
        <f>IF(H7=0,0,H7/TrAvia_act!H15*1000)</f>
        <v>12364.589060510976</v>
      </c>
      <c r="I23" s="84">
        <f>IF(I7=0,0,I7/TrAvia_act!I15*1000)</f>
        <v>11759.76855532541</v>
      </c>
      <c r="J23" s="84">
        <f>IF(J7=0,0,J7/TrAvia_act!J15*1000)</f>
        <v>12015.450203704781</v>
      </c>
      <c r="K23" s="84">
        <f>IF(K7=0,0,K7/TrAvia_act!K15*1000)</f>
        <v>10512.932217560376</v>
      </c>
      <c r="L23" s="84">
        <f>IF(L7=0,0,L7/TrAvia_act!L15*1000)</f>
        <v>10883.83628004903</v>
      </c>
      <c r="M23" s="84">
        <f>IF(M7=0,0,M7/TrAvia_act!M15*1000)</f>
        <v>11065.627972054363</v>
      </c>
      <c r="N23" s="84">
        <f>IF(N7=0,0,N7/TrAvia_act!N15*1000)</f>
        <v>11458.552813472681</v>
      </c>
      <c r="O23" s="84">
        <f>IF(O7=0,0,O7/TrAvia_act!O15*1000)</f>
        <v>12554.460634643805</v>
      </c>
      <c r="P23" s="84">
        <f>IF(P7=0,0,P7/TrAvia_act!P15*1000)</f>
        <v>12909.846239620534</v>
      </c>
      <c r="Q23" s="84">
        <f>IF(Q7=0,0,Q7/TrAvia_act!Q15*1000)</f>
        <v>13592.229136180953</v>
      </c>
      <c r="R23" s="84">
        <f>IF(R7=0,0,R7/TrAvia_act!R15*1000)</f>
        <v>13544.134822079628</v>
      </c>
      <c r="S23" s="84">
        <f>IF(S7=0,0,S7/TrAvia_act!S15*1000)</f>
        <v>14387.01980905315</v>
      </c>
      <c r="T23" s="84">
        <f>IF(T7=0,0,T7/TrAvia_act!T15*1000)</f>
        <v>15809.785582803652</v>
      </c>
      <c r="U23" s="84">
        <f>IF(U7=0,0,U7/TrAvia_act!U15*1000)</f>
        <v>15801.933454837523</v>
      </c>
      <c r="V23" s="84">
        <f>IF(V7=0,0,V7/TrAvia_act!V15*1000)</f>
        <v>11820.39694243439</v>
      </c>
      <c r="W23" s="84">
        <f>IF(W7=0,0,W7/TrAvia_act!W15*1000)</f>
        <v>14246.237636916907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14666.083548003362</v>
      </c>
      <c r="C24" s="84">
        <f>IF(C8=0,0,C8/TrAvia_act!C16*1000)</f>
        <v>15192.525399037297</v>
      </c>
      <c r="D24" s="84">
        <f>IF(D8=0,0,D8/TrAvia_act!D16*1000)</f>
        <v>14643.837568662588</v>
      </c>
      <c r="E24" s="84">
        <f>IF(E8=0,0,E8/TrAvia_act!E16*1000)</f>
        <v>14112.825908512772</v>
      </c>
      <c r="F24" s="84">
        <f>IF(F8=0,0,F8/TrAvia_act!F16*1000)</f>
        <v>12821.526137914097</v>
      </c>
      <c r="G24" s="84">
        <f>IF(G8=0,0,G8/TrAvia_act!G16*1000)</f>
        <v>12382.611539005668</v>
      </c>
      <c r="H24" s="84">
        <f>IF(H8=0,0,H8/TrAvia_act!H16*1000)</f>
        <v>12667.140605576758</v>
      </c>
      <c r="I24" s="84">
        <f>IF(I8=0,0,I8/TrAvia_act!I16*1000)</f>
        <v>12343.965555061646</v>
      </c>
      <c r="J24" s="84">
        <f>IF(J8=0,0,J8/TrAvia_act!J16*1000)</f>
        <v>12464.504468466585</v>
      </c>
      <c r="K24" s="84">
        <f>IF(K8=0,0,K8/TrAvia_act!K16*1000)</f>
        <v>11902.695225425819</v>
      </c>
      <c r="L24" s="84">
        <f>IF(L8=0,0,L8/TrAvia_act!L16*1000)</f>
        <v>11923.222835998167</v>
      </c>
      <c r="M24" s="84">
        <f>IF(M8=0,0,M8/TrAvia_act!M16*1000)</f>
        <v>12087.284992077852</v>
      </c>
      <c r="N24" s="84">
        <f>IF(N8=0,0,N8/TrAvia_act!N16*1000)</f>
        <v>11950.900967420101</v>
      </c>
      <c r="O24" s="84">
        <f>IF(O8=0,0,O8/TrAvia_act!O16*1000)</f>
        <v>11916.970044382255</v>
      </c>
      <c r="P24" s="84">
        <f>IF(P8=0,0,P8/TrAvia_act!P16*1000)</f>
        <v>12004.643039755942</v>
      </c>
      <c r="Q24" s="84">
        <f>IF(Q8=0,0,Q8/TrAvia_act!Q16*1000)</f>
        <v>11503.104818868127</v>
      </c>
      <c r="R24" s="84">
        <f>IF(R8=0,0,R8/TrAvia_act!R16*1000)</f>
        <v>11627.074427375132</v>
      </c>
      <c r="S24" s="84">
        <f>IF(S8=0,0,S8/TrAvia_act!S16*1000)</f>
        <v>11798.893876048762</v>
      </c>
      <c r="T24" s="84">
        <f>IF(T8=0,0,T8/TrAvia_act!T16*1000)</f>
        <v>12718.418919244659</v>
      </c>
      <c r="U24" s="84">
        <f>IF(U8=0,0,U8/TrAvia_act!U16*1000)</f>
        <v>12565.314314834144</v>
      </c>
      <c r="V24" s="84">
        <f>IF(V8=0,0,V8/TrAvia_act!V16*1000)</f>
        <v>10823.270538913914</v>
      </c>
      <c r="W24" s="84">
        <f>IF(W8=0,0,W8/TrAvia_act!W16*1000)</f>
        <v>8577.5472656607108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23506.680787853911</v>
      </c>
      <c r="C25" s="84">
        <f>IF(C9=0,0,C9/TrAvia_act!C17*1000)</f>
        <v>24350.464157490536</v>
      </c>
      <c r="D25" s="84">
        <f>IF(D9=0,0,D9/TrAvia_act!D17*1000)</f>
        <v>23471.042461850426</v>
      </c>
      <c r="E25" s="84">
        <f>IF(E9=0,0,E9/TrAvia_act!E17*1000)</f>
        <v>22560.103486000397</v>
      </c>
      <c r="F25" s="84">
        <f>IF(F9=0,0,F9/TrAvia_act!F17*1000)</f>
        <v>20490.921651047101</v>
      </c>
      <c r="G25" s="84">
        <f>IF(G9=0,0,G9/TrAvia_act!G17*1000)</f>
        <v>19320.031890912549</v>
      </c>
      <c r="H25" s="84">
        <f>IF(H9=0,0,H9/TrAvia_act!H17*1000)</f>
        <v>19761.232358956113</v>
      </c>
      <c r="I25" s="84">
        <f>IF(I9=0,0,I9/TrAvia_act!I17*1000)</f>
        <v>18777.530825557973</v>
      </c>
      <c r="J25" s="84">
        <f>IF(J9=0,0,J9/TrAvia_act!J17*1000)</f>
        <v>19222.173723819753</v>
      </c>
      <c r="K25" s="84">
        <f>IF(K9=0,0,K9/TrAvia_act!K17*1000)</f>
        <v>19545.574750695512</v>
      </c>
      <c r="L25" s="84">
        <f>IF(L9=0,0,L9/TrAvia_act!L17*1000)</f>
        <v>19262.422123189313</v>
      </c>
      <c r="M25" s="84">
        <f>IF(M9=0,0,M9/TrAvia_act!M17*1000)</f>
        <v>19871.587932776718</v>
      </c>
      <c r="N25" s="84">
        <f>IF(N9=0,0,N9/TrAvia_act!N17*1000)</f>
        <v>18814.854210504447</v>
      </c>
      <c r="O25" s="84">
        <f>IF(O9=0,0,O9/TrAvia_act!O17*1000)</f>
        <v>18322.350689183138</v>
      </c>
      <c r="P25" s="84">
        <f>IF(P9=0,0,P9/TrAvia_act!P17*1000)</f>
        <v>18341.765564954927</v>
      </c>
      <c r="Q25" s="84">
        <f>IF(Q9=0,0,Q9/TrAvia_act!Q17*1000)</f>
        <v>18396.544569371243</v>
      </c>
      <c r="R25" s="84">
        <f>IF(R9=0,0,R9/TrAvia_act!R17*1000)</f>
        <v>17862.765050526803</v>
      </c>
      <c r="S25" s="84">
        <f>IF(S9=0,0,S9/TrAvia_act!S17*1000)</f>
        <v>16972.027801659515</v>
      </c>
      <c r="T25" s="84">
        <f>IF(T9=0,0,T9/TrAvia_act!T17*1000)</f>
        <v>16919.155660948243</v>
      </c>
      <c r="U25" s="84">
        <f>IF(U9=0,0,U9/TrAvia_act!U17*1000)</f>
        <v>16407.785181556239</v>
      </c>
      <c r="V25" s="84">
        <f>IF(V9=0,0,V9/TrAvia_act!V17*1000)</f>
        <v>19790.511725812485</v>
      </c>
      <c r="W25" s="84">
        <f>IF(W9=0,0,W9/TrAvia_act!W17*1000)</f>
        <v>15189.082834619654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20226.967406194242</v>
      </c>
      <c r="C26" s="13">
        <f>IF(C10=0,0,C10/TrAvia_act!C18*1000)</f>
        <v>18458.712450584433</v>
      </c>
      <c r="D26" s="13">
        <f>IF(D10=0,0,D10/TrAvia_act!D18*1000)</f>
        <v>18899.270465541693</v>
      </c>
      <c r="E26" s="13">
        <f>IF(E10=0,0,E10/TrAvia_act!E18*1000)</f>
        <v>18302.157491839444</v>
      </c>
      <c r="F26" s="13">
        <f>IF(F10=0,0,F10/TrAvia_act!F18*1000)</f>
        <v>16751.355739293114</v>
      </c>
      <c r="G26" s="13">
        <f>IF(G10=0,0,G10/TrAvia_act!G18*1000)</f>
        <v>16687.865668278988</v>
      </c>
      <c r="H26" s="13">
        <f>IF(H10=0,0,H10/TrAvia_act!H18*1000)</f>
        <v>17104.38941645567</v>
      </c>
      <c r="I26" s="13">
        <f>IF(I10=0,0,I10/TrAvia_act!I18*1000)</f>
        <v>16531.071276325194</v>
      </c>
      <c r="J26" s="13">
        <f>IF(J10=0,0,J10/TrAvia_act!J18*1000)</f>
        <v>16934.146792937245</v>
      </c>
      <c r="K26" s="13">
        <f>IF(K10=0,0,K10/TrAvia_act!K18*1000)</f>
        <v>16876.011046619442</v>
      </c>
      <c r="L26" s="13">
        <f>IF(L10=0,0,L10/TrAvia_act!L18*1000)</f>
        <v>17635.586627992056</v>
      </c>
      <c r="M26" s="13">
        <f>IF(M10=0,0,M10/TrAvia_act!M18*1000)</f>
        <v>17897.114767243726</v>
      </c>
      <c r="N26" s="13">
        <f>IF(N10=0,0,N10/TrAvia_act!N18*1000)</f>
        <v>17119.623745471938</v>
      </c>
      <c r="O26" s="13">
        <f>IF(O10=0,0,O10/TrAvia_act!O18*1000)</f>
        <v>17520.93393012866</v>
      </c>
      <c r="P26" s="13">
        <f>IF(P10=0,0,P10/TrAvia_act!P18*1000)</f>
        <v>17795.450415567419</v>
      </c>
      <c r="Q26" s="13">
        <f>IF(Q10=0,0,Q10/TrAvia_act!Q18*1000)</f>
        <v>17923.57866575825</v>
      </c>
      <c r="R26" s="13">
        <f>IF(R10=0,0,R10/TrAvia_act!R18*1000)</f>
        <v>17849.13467102818</v>
      </c>
      <c r="S26" s="13">
        <f>IF(S10=0,0,S10/TrAvia_act!S18*1000)</f>
        <v>17261.958540004507</v>
      </c>
      <c r="T26" s="13">
        <f>IF(T10=0,0,T10/TrAvia_act!T18*1000)</f>
        <v>17581.54023505756</v>
      </c>
      <c r="U26" s="13">
        <f>IF(U10=0,0,U10/TrAvia_act!U18*1000)</f>
        <v>17272.610376334815</v>
      </c>
      <c r="V26" s="13">
        <f>IF(V10=0,0,V10/TrAvia_act!V18*1000)</f>
        <v>20044.222256616224</v>
      </c>
      <c r="W26" s="13">
        <f>IF(W10=0,0,W10/TrAvia_act!W18*1000)</f>
        <v>16082.100780792147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13604.812607398448</v>
      </c>
      <c r="C27" s="102">
        <f>IF(C11=0,0,C11/TrAvia_act!C19*1000)</f>
        <v>13399.204710177593</v>
      </c>
      <c r="D27" s="102">
        <f>IF(D11=0,0,D11/TrAvia_act!D19*1000)</f>
        <v>13444.082083084051</v>
      </c>
      <c r="E27" s="102">
        <f>IF(E11=0,0,E11/TrAvia_act!E19*1000)</f>
        <v>13336.583492219945</v>
      </c>
      <c r="F27" s="102">
        <f>IF(F11=0,0,F11/TrAvia_act!F19*1000)</f>
        <v>13591.474417981997</v>
      </c>
      <c r="G27" s="102">
        <f>IF(G11=0,0,G11/TrAvia_act!G19*1000)</f>
        <v>14507.123657402375</v>
      </c>
      <c r="H27" s="102">
        <f>IF(H11=0,0,H11/TrAvia_act!H19*1000)</f>
        <v>14661.418241477993</v>
      </c>
      <c r="I27" s="102">
        <f>IF(I11=0,0,I11/TrAvia_act!I19*1000)</f>
        <v>13838.963888570801</v>
      </c>
      <c r="J27" s="102">
        <f>IF(J11=0,0,J11/TrAvia_act!J19*1000)</f>
        <v>13989.403566005065</v>
      </c>
      <c r="K27" s="102">
        <f>IF(K11=0,0,K11/TrAvia_act!K19*1000)</f>
        <v>12065.225821208758</v>
      </c>
      <c r="L27" s="102">
        <f>IF(L11=0,0,L11/TrAvia_act!L19*1000)</f>
        <v>12379.016555091643</v>
      </c>
      <c r="M27" s="102">
        <f>IF(M11=0,0,M11/TrAvia_act!M19*1000)</f>
        <v>12417.377763147082</v>
      </c>
      <c r="N27" s="102">
        <f>IF(N11=0,0,N11/TrAvia_act!N19*1000)</f>
        <v>12692.506960812816</v>
      </c>
      <c r="O27" s="102">
        <f>IF(O11=0,0,O11/TrAvia_act!O19*1000)</f>
        <v>14083.475586249862</v>
      </c>
      <c r="P27" s="102">
        <f>IF(P11=0,0,P11/TrAvia_act!P19*1000)</f>
        <v>14673.275699956819</v>
      </c>
      <c r="Q27" s="102">
        <f>IF(Q11=0,0,Q11/TrAvia_act!Q19*1000)</f>
        <v>15711.977328948127</v>
      </c>
      <c r="R27" s="102">
        <f>IF(R11=0,0,R11/TrAvia_act!R19*1000)</f>
        <v>15775.244495893783</v>
      </c>
      <c r="S27" s="102">
        <f>IF(S11=0,0,S11/TrAvia_act!S19*1000)</f>
        <v>16913.902120516672</v>
      </c>
      <c r="T27" s="102">
        <f>IF(T11=0,0,T11/TrAvia_act!T19*1000)</f>
        <v>18776.402486973377</v>
      </c>
      <c r="U27" s="102">
        <f>IF(U11=0,0,U11/TrAvia_act!U19*1000)</f>
        <v>17120.053000868786</v>
      </c>
      <c r="V27" s="102">
        <f>IF(V11=0,0,V11/TrAvia_act!V19*1000)</f>
        <v>12810.854620098218</v>
      </c>
      <c r="W27" s="102">
        <f>IF(W11=0,0,W11/TrAvia_act!W19*1000)</f>
        <v>15323.375164443549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15231.055774968247</v>
      </c>
      <c r="C28" s="102">
        <f>IF(C12=0,0,C12/TrAvia_act!C20*1000)</f>
        <v>15776.769317739225</v>
      </c>
      <c r="D28" s="102">
        <f>IF(D12=0,0,D12/TrAvia_act!D20*1000)</f>
        <v>15040.165802682388</v>
      </c>
      <c r="E28" s="102">
        <f>IF(E12=0,0,E12/TrAvia_act!E20*1000)</f>
        <v>14425.438397071444</v>
      </c>
      <c r="F28" s="102">
        <f>IF(F12=0,0,F12/TrAvia_act!F20*1000)</f>
        <v>13113.02391293598</v>
      </c>
      <c r="G28" s="102">
        <f>IF(G12=0,0,G12/TrAvia_act!G20*1000)</f>
        <v>12626.768232148559</v>
      </c>
      <c r="H28" s="102">
        <f>IF(H12=0,0,H12/TrAvia_act!H20*1000)</f>
        <v>12954.712160838475</v>
      </c>
      <c r="I28" s="102">
        <f>IF(I12=0,0,I12/TrAvia_act!I20*1000)</f>
        <v>12590.759900487987</v>
      </c>
      <c r="J28" s="102">
        <f>IF(J12=0,0,J12/TrAvia_act!J20*1000)</f>
        <v>12750.608207737925</v>
      </c>
      <c r="K28" s="102">
        <f>IF(K12=0,0,K12/TrAvia_act!K20*1000)</f>
        <v>12205.703403816353</v>
      </c>
      <c r="L28" s="102">
        <f>IF(L12=0,0,L12/TrAvia_act!L20*1000)</f>
        <v>12231.8277876011</v>
      </c>
      <c r="M28" s="102">
        <f>IF(M12=0,0,M12/TrAvia_act!M20*1000)</f>
        <v>12399.278525575011</v>
      </c>
      <c r="N28" s="102">
        <f>IF(N12=0,0,N12/TrAvia_act!N20*1000)</f>
        <v>12242.933467372215</v>
      </c>
      <c r="O28" s="102">
        <f>IF(O12=0,0,O12/TrAvia_act!O20*1000)</f>
        <v>12238.963059381571</v>
      </c>
      <c r="P28" s="102">
        <f>IF(P12=0,0,P12/TrAvia_act!P20*1000)</f>
        <v>12351.717388143687</v>
      </c>
      <c r="Q28" s="102">
        <f>IF(Q12=0,0,Q12/TrAvia_act!Q20*1000)</f>
        <v>11832.216912354228</v>
      </c>
      <c r="R28" s="102">
        <f>IF(R12=0,0,R12/TrAvia_act!R20*1000)</f>
        <v>11990.769710524193</v>
      </c>
      <c r="S28" s="102">
        <f>IF(S12=0,0,S12/TrAvia_act!S20*1000)</f>
        <v>12212.600699457387</v>
      </c>
      <c r="T28" s="102">
        <f>IF(T12=0,0,T12/TrAvia_act!T20*1000)</f>
        <v>13164.913237264944</v>
      </c>
      <c r="U28" s="102">
        <f>IF(U12=0,0,U12/TrAvia_act!U20*1000)</f>
        <v>13019.477530665215</v>
      </c>
      <c r="V28" s="102">
        <f>IF(V12=0,0,V12/TrAvia_act!V20*1000)</f>
        <v>11565.172893782765</v>
      </c>
      <c r="W28" s="102">
        <f>IF(W12=0,0,W12/TrAvia_act!W20*1000)</f>
        <v>9009.1656160323964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22009.540982626404</v>
      </c>
      <c r="C29" s="86">
        <f>IF(C13=0,0,C13/TrAvia_act!C21*1000)</f>
        <v>22799.583814367736</v>
      </c>
      <c r="D29" s="86">
        <f>IF(D13=0,0,D13/TrAvia_act!D21*1000)</f>
        <v>21976.172460553684</v>
      </c>
      <c r="E29" s="86">
        <f>IF(E13=0,0,E13/TrAvia_act!E21*1000)</f>
        <v>21123.251161175573</v>
      </c>
      <c r="F29" s="86">
        <f>IF(F13=0,0,F13/TrAvia_act!F21*1000)</f>
        <v>19185.855456187626</v>
      </c>
      <c r="G29" s="86">
        <f>IF(G13=0,0,G13/TrAvia_act!G21*1000)</f>
        <v>18871.270787967867</v>
      </c>
      <c r="H29" s="86">
        <f>IF(H13=0,0,H13/TrAvia_act!H21*1000)</f>
        <v>19146.598183838407</v>
      </c>
      <c r="I29" s="86">
        <f>IF(I13=0,0,I13/TrAvia_act!I21*1000)</f>
        <v>18421.094862454036</v>
      </c>
      <c r="J29" s="86">
        <f>IF(J13=0,0,J13/TrAvia_act!J21*1000)</f>
        <v>19034.272919850355</v>
      </c>
      <c r="K29" s="86">
        <f>IF(K13=0,0,K13/TrAvia_act!K21*1000)</f>
        <v>19981.460475998578</v>
      </c>
      <c r="L29" s="86">
        <f>IF(L13=0,0,L13/TrAvia_act!L21*1000)</f>
        <v>20196.21774959064</v>
      </c>
      <c r="M29" s="86">
        <f>IF(M13=0,0,M13/TrAvia_act!M21*1000)</f>
        <v>20131.639137239144</v>
      </c>
      <c r="N29" s="86">
        <f>IF(N13=0,0,N13/TrAvia_act!N21*1000)</f>
        <v>19249.346635213704</v>
      </c>
      <c r="O29" s="86">
        <f>IF(O13=0,0,O13/TrAvia_act!O21*1000)</f>
        <v>19527.374251462548</v>
      </c>
      <c r="P29" s="86">
        <f>IF(P13=0,0,P13/TrAvia_act!P21*1000)</f>
        <v>19581.11270098871</v>
      </c>
      <c r="Q29" s="86">
        <f>IF(Q13=0,0,Q13/TrAvia_act!Q21*1000)</f>
        <v>19667.291680697799</v>
      </c>
      <c r="R29" s="86">
        <f>IF(R13=0,0,R13/TrAvia_act!R21*1000)</f>
        <v>19250.606523809929</v>
      </c>
      <c r="S29" s="86">
        <f>IF(S13=0,0,S13/TrAvia_act!S21*1000)</f>
        <v>18355.638537007799</v>
      </c>
      <c r="T29" s="86">
        <f>IF(T13=0,0,T13/TrAvia_act!T21*1000)</f>
        <v>18493.275598428601</v>
      </c>
      <c r="U29" s="86">
        <f>IF(U13=0,0,U13/TrAvia_act!U21*1000)</f>
        <v>18206.471341665241</v>
      </c>
      <c r="V29" s="86">
        <f>IF(V13=0,0,V13/TrAvia_act!V21*1000)</f>
        <v>22676.593289173463</v>
      </c>
      <c r="W29" s="86">
        <f>IF(W13=0,0,W13/TrAvia_act!W21*1000)</f>
        <v>18048.210241567202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146.23954942612716</v>
      </c>
      <c r="C32" s="14">
        <f>IF(C6=0,0,C6/TrAvia_act!C4*1000)</f>
        <v>148.60957806001707</v>
      </c>
      <c r="D32" s="14">
        <f>IF(D6=0,0,D6/TrAvia_act!D4*1000)</f>
        <v>143.446087994121</v>
      </c>
      <c r="E32" s="14">
        <f>IF(E6=0,0,E6/TrAvia_act!E4*1000)</f>
        <v>147.79780256553528</v>
      </c>
      <c r="F32" s="14">
        <f>IF(F6=0,0,F6/TrAvia_act!F4*1000)</f>
        <v>127.06348771027825</v>
      </c>
      <c r="G32" s="14">
        <f>IF(G6=0,0,G6/TrAvia_act!G4*1000)</f>
        <v>123.35449008875111</v>
      </c>
      <c r="H32" s="14">
        <f>IF(H6=0,0,H6/TrAvia_act!H4*1000)</f>
        <v>122.68339436217684</v>
      </c>
      <c r="I32" s="14">
        <f>IF(I6=0,0,I6/TrAvia_act!I4*1000)</f>
        <v>118.47888903824816</v>
      </c>
      <c r="J32" s="14">
        <f>IF(J6=0,0,J6/TrAvia_act!J4*1000)</f>
        <v>119.39594762154798</v>
      </c>
      <c r="K32" s="14">
        <f>IF(K6=0,0,K6/TrAvia_act!K4*1000)</f>
        <v>113.02539640963799</v>
      </c>
      <c r="L32" s="14">
        <f>IF(L6=0,0,L6/TrAvia_act!L4*1000)</f>
        <v>109.30354354280833</v>
      </c>
      <c r="M32" s="14">
        <f>IF(M6=0,0,M6/TrAvia_act!M4*1000)</f>
        <v>107.28914926526335</v>
      </c>
      <c r="N32" s="14">
        <f>IF(N6=0,0,N6/TrAvia_act!N4*1000)</f>
        <v>103.50541851645222</v>
      </c>
      <c r="O32" s="14">
        <f>IF(O6=0,0,O6/TrAvia_act!O4*1000)</f>
        <v>101.25657914625374</v>
      </c>
      <c r="P32" s="14">
        <f>IF(P6=0,0,P6/TrAvia_act!P4*1000)</f>
        <v>99.573119668124704</v>
      </c>
      <c r="Q32" s="14">
        <f>IF(Q6=0,0,Q6/TrAvia_act!Q4*1000)</f>
        <v>97.078404709183076</v>
      </c>
      <c r="R32" s="14">
        <f>IF(R6=0,0,R6/TrAvia_act!R4*1000)</f>
        <v>95.031903496013754</v>
      </c>
      <c r="S32" s="14">
        <f>IF(S6=0,0,S6/TrAvia_act!S4*1000)</f>
        <v>91.690113553379263</v>
      </c>
      <c r="T32" s="14">
        <f>IF(T6=0,0,T6/TrAvia_act!T4*1000)</f>
        <v>95.078216609852106</v>
      </c>
      <c r="U32" s="14">
        <f>IF(U6=0,0,U6/TrAvia_act!U4*1000)</f>
        <v>92.20808963039552</v>
      </c>
      <c r="V32" s="14">
        <f>IF(V6=0,0,V6/TrAvia_act!V4*1000)</f>
        <v>124.33099303241428</v>
      </c>
      <c r="W32" s="14">
        <f>IF(W6=0,0,W6/TrAvia_act!W4*1000)</f>
        <v>109.56704482669176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138.10746268992924</v>
      </c>
      <c r="C33" s="87">
        <f>IF(C7=0,0,C7/TrAvia_act!C5*1000)</f>
        <v>134.68191416778168</v>
      </c>
      <c r="D33" s="87">
        <f>IF(D7=0,0,D7/TrAvia_act!D5*1000)</f>
        <v>133.48430502862098</v>
      </c>
      <c r="E33" s="87">
        <f>IF(E7=0,0,E7/TrAvia_act!E5*1000)</f>
        <v>135.21418711300805</v>
      </c>
      <c r="F33" s="87">
        <f>IF(F7=0,0,F7/TrAvia_act!F5*1000)</f>
        <v>131.67516202430204</v>
      </c>
      <c r="G33" s="87">
        <f>IF(G7=0,0,G7/TrAvia_act!G5*1000)</f>
        <v>136.90418566318439</v>
      </c>
      <c r="H33" s="87">
        <f>IF(H7=0,0,H7/TrAvia_act!H5*1000)</f>
        <v>138.51704086076907</v>
      </c>
      <c r="I33" s="87">
        <f>IF(I7=0,0,I7/TrAvia_act!I5*1000)</f>
        <v>131.04370261447227</v>
      </c>
      <c r="J33" s="87">
        <f>IF(J7=0,0,J7/TrAvia_act!J5*1000)</f>
        <v>129.12596060652359</v>
      </c>
      <c r="K33" s="87">
        <f>IF(K7=0,0,K7/TrAvia_act!K5*1000)</f>
        <v>109.31640833113364</v>
      </c>
      <c r="L33" s="87">
        <f>IF(L7=0,0,L7/TrAvia_act!L5*1000)</f>
        <v>106.32779440773257</v>
      </c>
      <c r="M33" s="87">
        <f>IF(M7=0,0,M7/TrAvia_act!M5*1000)</f>
        <v>100.17510176213834</v>
      </c>
      <c r="N33" s="87">
        <f>IF(N7=0,0,N7/TrAvia_act!N5*1000)</f>
        <v>102.23266679762872</v>
      </c>
      <c r="O33" s="87">
        <f>IF(O7=0,0,O7/TrAvia_act!O5*1000)</f>
        <v>107.0015825397651</v>
      </c>
      <c r="P33" s="87">
        <f>IF(P7=0,0,P7/TrAvia_act!P5*1000)</f>
        <v>107.09885311940512</v>
      </c>
      <c r="Q33" s="87">
        <f>IF(Q7=0,0,Q7/TrAvia_act!Q5*1000)</f>
        <v>105.60579965328519</v>
      </c>
      <c r="R33" s="87">
        <f>IF(R7=0,0,R7/TrAvia_act!R5*1000)</f>
        <v>103.7237263687597</v>
      </c>
      <c r="S33" s="87">
        <f>IF(S7=0,0,S7/TrAvia_act!S5*1000)</f>
        <v>109.02948533938726</v>
      </c>
      <c r="T33" s="87">
        <f>IF(T7=0,0,T7/TrAvia_act!T5*1000)</f>
        <v>118.00822995736384</v>
      </c>
      <c r="U33" s="87">
        <f>IF(U7=0,0,U7/TrAvia_act!U5*1000)</f>
        <v>119.06403138743494</v>
      </c>
      <c r="V33" s="87">
        <f>IF(V7=0,0,V7/TrAvia_act!V5*1000)</f>
        <v>114.25922921206498</v>
      </c>
      <c r="W33" s="87">
        <f>IF(W7=0,0,W7/TrAvia_act!W5*1000)</f>
        <v>116.27737019736057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149.28159315417037</v>
      </c>
      <c r="C34" s="87">
        <f>IF(C8=0,0,C8/TrAvia_act!C6*1000)</f>
        <v>152.44245083983776</v>
      </c>
      <c r="D34" s="87">
        <f>IF(D8=0,0,D8/TrAvia_act!D6*1000)</f>
        <v>146.25769331471631</v>
      </c>
      <c r="E34" s="87">
        <f>IF(E8=0,0,E8/TrAvia_act!E6*1000)</f>
        <v>149.45234067317665</v>
      </c>
      <c r="F34" s="87">
        <f>IF(F8=0,0,F8/TrAvia_act!F6*1000)</f>
        <v>126.9109987852917</v>
      </c>
      <c r="G34" s="87">
        <f>IF(G8=0,0,G8/TrAvia_act!G6*1000)</f>
        <v>118.77192749677609</v>
      </c>
      <c r="H34" s="87">
        <f>IF(H8=0,0,H8/TrAvia_act!H6*1000)</f>
        <v>119.29336074297271</v>
      </c>
      <c r="I34" s="87">
        <f>IF(I8=0,0,I8/TrAvia_act!I6*1000)</f>
        <v>121.34760910632917</v>
      </c>
      <c r="J34" s="87">
        <f>IF(J8=0,0,J8/TrAvia_act!J6*1000)</f>
        <v>122.44606312918862</v>
      </c>
      <c r="K34" s="87">
        <f>IF(K8=0,0,K8/TrAvia_act!K6*1000)</f>
        <v>114.12655262211925</v>
      </c>
      <c r="L34" s="87">
        <f>IF(L8=0,0,L8/TrAvia_act!L6*1000)</f>
        <v>111.111166928457</v>
      </c>
      <c r="M34" s="87">
        <f>IF(M8=0,0,M8/TrAvia_act!M6*1000)</f>
        <v>103.72527550852178</v>
      </c>
      <c r="N34" s="87">
        <f>IF(N8=0,0,N8/TrAvia_act!N6*1000)</f>
        <v>100.29405201385602</v>
      </c>
      <c r="O34" s="87">
        <f>IF(O8=0,0,O8/TrAvia_act!O6*1000)</f>
        <v>96.106371355041389</v>
      </c>
      <c r="P34" s="87">
        <f>IF(P8=0,0,P8/TrAvia_act!P6*1000)</f>
        <v>94.438537269251768</v>
      </c>
      <c r="Q34" s="87">
        <f>IF(Q8=0,0,Q8/TrAvia_act!Q6*1000)</f>
        <v>89.582591388360868</v>
      </c>
      <c r="R34" s="87">
        <f>IF(R8=0,0,R8/TrAvia_act!R6*1000)</f>
        <v>89.049931096496437</v>
      </c>
      <c r="S34" s="87">
        <f>IF(S8=0,0,S8/TrAvia_act!S6*1000)</f>
        <v>87.160649760344967</v>
      </c>
      <c r="T34" s="87">
        <f>IF(T8=0,0,T8/TrAvia_act!T6*1000)</f>
        <v>92.575167527610418</v>
      </c>
      <c r="U34" s="87">
        <f>IF(U8=0,0,U8/TrAvia_act!U6*1000)</f>
        <v>90.022646241014101</v>
      </c>
      <c r="V34" s="87">
        <f>IF(V8=0,0,V8/TrAvia_act!V6*1000)</f>
        <v>104.98399539398653</v>
      </c>
      <c r="W34" s="87">
        <f>IF(W8=0,0,W8/TrAvia_act!W6*1000)</f>
        <v>80.689533869500409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147.70699661022553</v>
      </c>
      <c r="C35" s="87">
        <f>IF(C9=0,0,C9/TrAvia_act!C7*1000)</f>
        <v>152.26226146510632</v>
      </c>
      <c r="D35" s="87">
        <f>IF(D9=0,0,D9/TrAvia_act!D7*1000)</f>
        <v>146.04758231289765</v>
      </c>
      <c r="E35" s="87">
        <f>IF(E9=0,0,E9/TrAvia_act!E7*1000)</f>
        <v>152.90505636338622</v>
      </c>
      <c r="F35" s="87">
        <f>IF(F9=0,0,F9/TrAvia_act!F7*1000)</f>
        <v>125.22619628819392</v>
      </c>
      <c r="G35" s="87">
        <f>IF(G9=0,0,G9/TrAvia_act!G7*1000)</f>
        <v>121.74549533882603</v>
      </c>
      <c r="H35" s="87">
        <f>IF(H9=0,0,H9/TrAvia_act!H7*1000)</f>
        <v>119.2395559174565</v>
      </c>
      <c r="I35" s="87">
        <f>IF(I9=0,0,I9/TrAvia_act!I7*1000)</f>
        <v>111.19444620896594</v>
      </c>
      <c r="J35" s="87">
        <f>IF(J9=0,0,J9/TrAvia_act!J7*1000)</f>
        <v>113.1707317820635</v>
      </c>
      <c r="K35" s="87">
        <f>IF(K9=0,0,K9/TrAvia_act!K7*1000)</f>
        <v>113.81482139784706</v>
      </c>
      <c r="L35" s="87">
        <f>IF(L9=0,0,L9/TrAvia_act!L7*1000)</f>
        <v>109.21971820486583</v>
      </c>
      <c r="M35" s="87">
        <f>IF(M9=0,0,M9/TrAvia_act!M7*1000)</f>
        <v>113.64182928772372</v>
      </c>
      <c r="N35" s="87">
        <f>IF(N9=0,0,N9/TrAvia_act!N7*1000)</f>
        <v>106.64801730216749</v>
      </c>
      <c r="O35" s="87">
        <f>IF(O9=0,0,O9/TrAvia_act!O7*1000)</f>
        <v>103.09944267714371</v>
      </c>
      <c r="P35" s="87">
        <f>IF(P9=0,0,P9/TrAvia_act!P7*1000)</f>
        <v>101.01904040823408</v>
      </c>
      <c r="Q35" s="87">
        <f>IF(Q9=0,0,Q9/TrAvia_act!Q7*1000)</f>
        <v>100.23626004985745</v>
      </c>
      <c r="R35" s="87">
        <f>IF(R9=0,0,R9/TrAvia_act!R7*1000)</f>
        <v>97.061918819681381</v>
      </c>
      <c r="S35" s="87">
        <f>IF(S9=0,0,S9/TrAvia_act!S7*1000)</f>
        <v>89.260188709163216</v>
      </c>
      <c r="T35" s="87">
        <f>IF(T9=0,0,T9/TrAvia_act!T7*1000)</f>
        <v>89.305109781974195</v>
      </c>
      <c r="U35" s="87">
        <f>IF(U9=0,0,U9/TrAvia_act!U7*1000)</f>
        <v>85.422060433878372</v>
      </c>
      <c r="V35" s="87">
        <f>IF(V9=0,0,V9/TrAvia_act!V7*1000)</f>
        <v>146.60034949351666</v>
      </c>
      <c r="W35" s="87">
        <f>IF(W9=0,0,W9/TrAvia_act!W7*1000)</f>
        <v>137.0123537888397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280.63386914485579</v>
      </c>
      <c r="C36" s="15">
        <f>IF(C10=0,0,C10/TrAvia_act!C8*1000)</f>
        <v>342.17737436393429</v>
      </c>
      <c r="D36" s="15">
        <f>IF(D10=0,0,D10/TrAvia_act!D8*1000)</f>
        <v>315.56475832898269</v>
      </c>
      <c r="E36" s="15">
        <f>IF(E10=0,0,E10/TrAvia_act!E8*1000)</f>
        <v>325.42643776832006</v>
      </c>
      <c r="F36" s="15">
        <f>IF(F10=0,0,F10/TrAvia_act!F8*1000)</f>
        <v>311.59481740902118</v>
      </c>
      <c r="G36" s="15">
        <f>IF(G10=0,0,G10/TrAvia_act!G8*1000)</f>
        <v>316.61162355269579</v>
      </c>
      <c r="H36" s="15">
        <f>IF(H10=0,0,H10/TrAvia_act!H8*1000)</f>
        <v>331.38676479787262</v>
      </c>
      <c r="I36" s="15">
        <f>IF(I10=0,0,I10/TrAvia_act!I8*1000)</f>
        <v>322.26914497572943</v>
      </c>
      <c r="J36" s="15">
        <f>IF(J10=0,0,J10/TrAvia_act!J8*1000)</f>
        <v>340.37266353081475</v>
      </c>
      <c r="K36" s="15">
        <f>IF(K10=0,0,K10/TrAvia_act!K8*1000)</f>
        <v>320.69244490612067</v>
      </c>
      <c r="L36" s="15">
        <f>IF(L10=0,0,L10/TrAvia_act!L8*1000)</f>
        <v>303.25331625785992</v>
      </c>
      <c r="M36" s="15">
        <f>IF(M10=0,0,M10/TrAvia_act!M8*1000)</f>
        <v>287.78940091680852</v>
      </c>
      <c r="N36" s="15">
        <f>IF(N10=0,0,N10/TrAvia_act!N8*1000)</f>
        <v>259.63644494635503</v>
      </c>
      <c r="O36" s="15">
        <f>IF(O10=0,0,O10/TrAvia_act!O8*1000)</f>
        <v>261.21640280271492</v>
      </c>
      <c r="P36" s="15">
        <f>IF(P10=0,0,P10/TrAvia_act!P8*1000)</f>
        <v>228.6244621121057</v>
      </c>
      <c r="Q36" s="15">
        <f>IF(Q10=0,0,Q10/TrAvia_act!Q8*1000)</f>
        <v>228.40435289033991</v>
      </c>
      <c r="R36" s="15">
        <f>IF(R10=0,0,R10/TrAvia_act!R8*1000)</f>
        <v>203.05405257198879</v>
      </c>
      <c r="S36" s="15">
        <f>IF(S10=0,0,S10/TrAvia_act!S8*1000)</f>
        <v>199.71536350983629</v>
      </c>
      <c r="T36" s="15">
        <f>IF(T10=0,0,T10/TrAvia_act!T8*1000)</f>
        <v>201.80067288497833</v>
      </c>
      <c r="U36" s="15">
        <f>IF(U10=0,0,U10/TrAvia_act!U8*1000)</f>
        <v>191.79282335775784</v>
      </c>
      <c r="V36" s="15">
        <f>IF(V10=0,0,V10/TrAvia_act!V8*1000)</f>
        <v>312.19251132205227</v>
      </c>
      <c r="W36" s="15">
        <f>IF(W10=0,0,W10/TrAvia_act!W8*1000)</f>
        <v>290.7788994601832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1327.4228568709138</v>
      </c>
      <c r="C37" s="101">
        <f>IF(C11=0,0,C11/TrAvia_act!C9*1000)</f>
        <v>1317.4064391538925</v>
      </c>
      <c r="D37" s="101">
        <f>IF(D11=0,0,D11/TrAvia_act!D9*1000)</f>
        <v>1285.40448779587</v>
      </c>
      <c r="E37" s="101">
        <f>IF(E11=0,0,E11/TrAvia_act!E9*1000)</f>
        <v>1198.7792432958679</v>
      </c>
      <c r="F37" s="101">
        <f>IF(F11=0,0,F11/TrAvia_act!F9*1000)</f>
        <v>1297.3821900873218</v>
      </c>
      <c r="G37" s="101">
        <f>IF(G11=0,0,G11/TrAvia_act!G9*1000)</f>
        <v>1415.0230112539912</v>
      </c>
      <c r="H37" s="101">
        <f>IF(H11=0,0,H11/TrAvia_act!H9*1000)</f>
        <v>1486.726627526213</v>
      </c>
      <c r="I37" s="101">
        <f>IF(I11=0,0,I11/TrAvia_act!I9*1000)</f>
        <v>1408.5563147864293</v>
      </c>
      <c r="J37" s="101">
        <f>IF(J11=0,0,J11/TrAvia_act!J9*1000)</f>
        <v>1479.9707183437351</v>
      </c>
      <c r="K37" s="101">
        <f>IF(K11=0,0,K11/TrAvia_act!K9*1000)</f>
        <v>1265.4754727225347</v>
      </c>
      <c r="L37" s="101">
        <f>IF(L11=0,0,L11/TrAvia_act!L9*1000)</f>
        <v>1213.9466907970445</v>
      </c>
      <c r="M37" s="101">
        <f>IF(M11=0,0,M11/TrAvia_act!M9*1000)</f>
        <v>1096.7294786990835</v>
      </c>
      <c r="N37" s="101">
        <f>IF(N11=0,0,N11/TrAvia_act!N9*1000)</f>
        <v>1092.2763420530066</v>
      </c>
      <c r="O37" s="101">
        <f>IF(O11=0,0,O11/TrAvia_act!O9*1000)</f>
        <v>1173.7645433496548</v>
      </c>
      <c r="P37" s="101">
        <f>IF(P11=0,0,P11/TrAvia_act!P9*1000)</f>
        <v>1102.2511705317568</v>
      </c>
      <c r="Q37" s="101">
        <f>IF(Q11=0,0,Q11/TrAvia_act!Q9*1000)</f>
        <v>1121.4908051391992</v>
      </c>
      <c r="R37" s="101">
        <f>IF(R11=0,0,R11/TrAvia_act!R9*1000)</f>
        <v>982.92505506703026</v>
      </c>
      <c r="S37" s="101">
        <f>IF(S11=0,0,S11/TrAvia_act!S9*1000)</f>
        <v>1149.472489308293</v>
      </c>
      <c r="T37" s="101">
        <f>IF(T11=0,0,T11/TrAvia_act!T9*1000)</f>
        <v>1261.9663604191403</v>
      </c>
      <c r="U37" s="101">
        <f>IF(U11=0,0,U11/TrAvia_act!U9*1000)</f>
        <v>1045.2646454867297</v>
      </c>
      <c r="V37" s="101">
        <f>IF(V11=0,0,V11/TrAvia_act!V9*1000)</f>
        <v>837.47825011393661</v>
      </c>
      <c r="W37" s="101">
        <f>IF(W11=0,0,W11/TrAvia_act!W9*1000)</f>
        <v>999.5499270684378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668.65298590110524</v>
      </c>
      <c r="C38" s="101">
        <f>IF(C12=0,0,C12/TrAvia_act!C10*1000)</f>
        <v>654.80330253224668</v>
      </c>
      <c r="D38" s="101">
        <f>IF(D12=0,0,D12/TrAvia_act!D10*1000)</f>
        <v>632.17919590156498</v>
      </c>
      <c r="E38" s="101">
        <f>IF(E12=0,0,E12/TrAvia_act!E10*1000)</f>
        <v>586.28870829647167</v>
      </c>
      <c r="F38" s="101">
        <f>IF(F12=0,0,F12/TrAvia_act!F10*1000)</f>
        <v>589.11219829775109</v>
      </c>
      <c r="G38" s="101">
        <f>IF(G12=0,0,G12/TrAvia_act!G10*1000)</f>
        <v>579.78959122469075</v>
      </c>
      <c r="H38" s="101">
        <f>IF(H12=0,0,H12/TrAvia_act!H10*1000)</f>
        <v>700.9824628344245</v>
      </c>
      <c r="I38" s="101">
        <f>IF(I12=0,0,I12/TrAvia_act!I10*1000)</f>
        <v>706.05575227497184</v>
      </c>
      <c r="J38" s="101">
        <f>IF(J12=0,0,J12/TrAvia_act!J10*1000)</f>
        <v>736.70347529117248</v>
      </c>
      <c r="K38" s="101">
        <f>IF(K12=0,0,K12/TrAvia_act!K10*1000)</f>
        <v>690.36763069542576</v>
      </c>
      <c r="L38" s="101">
        <f>IF(L12=0,0,L12/TrAvia_act!L10*1000)</f>
        <v>682.41849410312284</v>
      </c>
      <c r="M38" s="101">
        <f>IF(M12=0,0,M12/TrAvia_act!M10*1000)</f>
        <v>652.75642515796324</v>
      </c>
      <c r="N38" s="101">
        <f>IF(N12=0,0,N12/TrAvia_act!N10*1000)</f>
        <v>591.6930602658324</v>
      </c>
      <c r="O38" s="101">
        <f>IF(O12=0,0,O12/TrAvia_act!O10*1000)</f>
        <v>596.03659055535081</v>
      </c>
      <c r="P38" s="101">
        <f>IF(P12=0,0,P12/TrAvia_act!P10*1000)</f>
        <v>521.69287175980719</v>
      </c>
      <c r="Q38" s="101">
        <f>IF(Q12=0,0,Q12/TrAvia_act!Q10*1000)</f>
        <v>502.93284890621834</v>
      </c>
      <c r="R38" s="101">
        <f>IF(R12=0,0,R12/TrAvia_act!R10*1000)</f>
        <v>460.48665783710504</v>
      </c>
      <c r="S38" s="101">
        <f>IF(S12=0,0,S12/TrAvia_act!S10*1000)</f>
        <v>509.89302398581617</v>
      </c>
      <c r="T38" s="101">
        <f>IF(T12=0,0,T12/TrAvia_act!T10*1000)</f>
        <v>543.71488987872954</v>
      </c>
      <c r="U38" s="101">
        <f>IF(U12=0,0,U12/TrAvia_act!U10*1000)</f>
        <v>513.4859179290255</v>
      </c>
      <c r="V38" s="101">
        <f>IF(V12=0,0,V12/TrAvia_act!V10*1000)</f>
        <v>547.32850123075457</v>
      </c>
      <c r="W38" s="101">
        <f>IF(W12=0,0,W12/TrAvia_act!W10*1000)</f>
        <v>461.19480066505963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246.58104998837027</v>
      </c>
      <c r="C39" s="88">
        <f>IF(C13=0,0,C13/TrAvia_act!C11*1000)</f>
        <v>243.83332813429723</v>
      </c>
      <c r="D39" s="88">
        <f>IF(D13=0,0,D13/TrAvia_act!D11*1000)</f>
        <v>248.85831841536785</v>
      </c>
      <c r="E39" s="88">
        <f>IF(E13=0,0,E13/TrAvia_act!E11*1000)</f>
        <v>263.21166097756577</v>
      </c>
      <c r="F39" s="88">
        <f>IF(F13=0,0,F13/TrAvia_act!F11*1000)</f>
        <v>246.29122454778746</v>
      </c>
      <c r="G39" s="88">
        <f>IF(G13=0,0,G13/TrAvia_act!G11*1000)</f>
        <v>257.59450262721958</v>
      </c>
      <c r="H39" s="88">
        <f>IF(H13=0,0,H13/TrAvia_act!H11*1000)</f>
        <v>270.35924956448122</v>
      </c>
      <c r="I39" s="88">
        <f>IF(I13=0,0,I13/TrAvia_act!I11*1000)</f>
        <v>264.52072169057107</v>
      </c>
      <c r="J39" s="88">
        <f>IF(J13=0,0,J13/TrAvia_act!J11*1000)</f>
        <v>278.95345910022945</v>
      </c>
      <c r="K39" s="88">
        <f>IF(K13=0,0,K13/TrAvia_act!K11*1000)</f>
        <v>259.65775478721548</v>
      </c>
      <c r="L39" s="88">
        <f>IF(L13=0,0,L13/TrAvia_act!L11*1000)</f>
        <v>258.1493492035579</v>
      </c>
      <c r="M39" s="88">
        <f>IF(M13=0,0,M13/TrAvia_act!M11*1000)</f>
        <v>250.09517545771232</v>
      </c>
      <c r="N39" s="88">
        <f>IF(N13=0,0,N13/TrAvia_act!N11*1000)</f>
        <v>221.41981634649798</v>
      </c>
      <c r="O39" s="88">
        <f>IF(O13=0,0,O13/TrAvia_act!O11*1000)</f>
        <v>225.06688584671198</v>
      </c>
      <c r="P39" s="88">
        <f>IF(P13=0,0,P13/TrAvia_act!P11*1000)</f>
        <v>200.08177936286503</v>
      </c>
      <c r="Q39" s="88">
        <f>IF(Q13=0,0,Q13/TrAvia_act!Q11*1000)</f>
        <v>203.72030960013504</v>
      </c>
      <c r="R39" s="88">
        <f>IF(R13=0,0,R13/TrAvia_act!R11*1000)</f>
        <v>183.89836102958267</v>
      </c>
      <c r="S39" s="88">
        <f>IF(S13=0,0,S13/TrAvia_act!S11*1000)</f>
        <v>179.10390451305759</v>
      </c>
      <c r="T39" s="88">
        <f>IF(T13=0,0,T13/TrAvia_act!T11*1000)</f>
        <v>178.55719111734606</v>
      </c>
      <c r="U39" s="88">
        <f>IF(U13=0,0,U13/TrAvia_act!U11*1000)</f>
        <v>169.71633013040517</v>
      </c>
      <c r="V39" s="88">
        <f>IF(V13=0,0,V13/TrAvia_act!V11*1000)</f>
        <v>290.14467753820685</v>
      </c>
      <c r="W39" s="88">
        <f>IF(W13=0,0,W13/TrAvia_act!W11*1000)</f>
        <v>268.74648127794916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18792.105375273793</v>
      </c>
      <c r="C41" s="54">
        <f>IF(C3=0,0,C3/TrAvia_act!C23*1000000)</f>
        <v>18724.411918025038</v>
      </c>
      <c r="D41" s="54">
        <f>IF(D3=0,0,D3/TrAvia_act!D23*1000000)</f>
        <v>18478.024413071245</v>
      </c>
      <c r="E41" s="54">
        <f>IF(E3=0,0,E3/TrAvia_act!E23*1000000)</f>
        <v>17831.13448670441</v>
      </c>
      <c r="F41" s="54">
        <f>IF(F3=0,0,F3/TrAvia_act!F23*1000000)</f>
        <v>17336.54829918261</v>
      </c>
      <c r="G41" s="54">
        <f>IF(G3=0,0,G3/TrAvia_act!G23*1000000)</f>
        <v>17207.787289598251</v>
      </c>
      <c r="H41" s="54">
        <f>IF(H3=0,0,H3/TrAvia_act!H23*1000000)</f>
        <v>17516.542993144376</v>
      </c>
      <c r="I41" s="54">
        <f>IF(I3=0,0,I3/TrAvia_act!I23*1000000)</f>
        <v>16777.961191217364</v>
      </c>
      <c r="J41" s="54">
        <f>IF(J3=0,0,J3/TrAvia_act!J23*1000000)</f>
        <v>17321.143341086747</v>
      </c>
      <c r="K41" s="54">
        <f>IF(K3=0,0,K3/TrAvia_act!K23*1000000)</f>
        <v>16446.990160839669</v>
      </c>
      <c r="L41" s="54">
        <f>IF(L3=0,0,L3/TrAvia_act!L23*1000000)</f>
        <v>17008.152685378969</v>
      </c>
      <c r="M41" s="54">
        <f>IF(M3=0,0,M3/TrAvia_act!M23*1000000)</f>
        <v>17305.993476133786</v>
      </c>
      <c r="N41" s="54">
        <f>IF(N3=0,0,N3/TrAvia_act!N23*1000000)</f>
        <v>17100.961958855223</v>
      </c>
      <c r="O41" s="54">
        <f>IF(O3=0,0,O3/TrAvia_act!O23*1000000)</f>
        <v>17656.187855431359</v>
      </c>
      <c r="P41" s="54">
        <f>IF(P3=0,0,P3/TrAvia_act!P23*1000000)</f>
        <v>18367.580123277883</v>
      </c>
      <c r="Q41" s="54">
        <f>IF(Q3=0,0,Q3/TrAvia_act!Q23*1000000)</f>
        <v>18236.849311728958</v>
      </c>
      <c r="R41" s="54">
        <f>IF(R3=0,0,R3/TrAvia_act!R23*1000000)</f>
        <v>18356.869996361398</v>
      </c>
      <c r="S41" s="54">
        <f>IF(S3=0,0,S3/TrAvia_act!S23*1000000)</f>
        <v>18661.384379641564</v>
      </c>
      <c r="T41" s="54">
        <f>IF(T3=0,0,T3/TrAvia_act!T23*1000000)</f>
        <v>20180.754947858823</v>
      </c>
      <c r="U41" s="54">
        <f>IF(U3=0,0,U3/TrAvia_act!U23*1000000)</f>
        <v>20284.30260500823</v>
      </c>
      <c r="V41" s="54">
        <f>IF(V3=0,0,V3/TrAvia_act!V23*1000000)</f>
        <v>19069.652738339228</v>
      </c>
      <c r="W41" s="54">
        <f>IF(W3=0,0,W3/TrAvia_act!W23*1000000)</f>
        <v>16106.875455188016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18302.325539465608</v>
      </c>
      <c r="C42" s="11">
        <f>IF(C6=0,0,C6/TrAvia_act!C24*1000000)</f>
        <v>18721.000426284758</v>
      </c>
      <c r="D42" s="11">
        <f>IF(D6=0,0,D6/TrAvia_act!D24*1000000)</f>
        <v>18176.863143477673</v>
      </c>
      <c r="E42" s="11">
        <f>IF(E6=0,0,E6/TrAvia_act!E24*1000000)</f>
        <v>17530.039875874172</v>
      </c>
      <c r="F42" s="11">
        <f>IF(F6=0,0,F6/TrAvia_act!F24*1000000)</f>
        <v>17063.896878353306</v>
      </c>
      <c r="G42" s="11">
        <f>IF(G6=0,0,G6/TrAvia_act!G24*1000000)</f>
        <v>16877.373987791783</v>
      </c>
      <c r="H42" s="11">
        <f>IF(H6=0,0,H6/TrAvia_act!H24*1000000)</f>
        <v>17107.914674955035</v>
      </c>
      <c r="I42" s="11">
        <f>IF(I6=0,0,I6/TrAvia_act!I24*1000000)</f>
        <v>16346.803419177741</v>
      </c>
      <c r="J42" s="11">
        <f>IF(J6=0,0,J6/TrAvia_act!J24*1000000)</f>
        <v>16903.506345219401</v>
      </c>
      <c r="K42" s="11">
        <f>IF(K6=0,0,K6/TrAvia_act!K24*1000000)</f>
        <v>16104.367764219414</v>
      </c>
      <c r="L42" s="11">
        <f>IF(L6=0,0,L6/TrAvia_act!L24*1000000)</f>
        <v>16514.981436922488</v>
      </c>
      <c r="M42" s="11">
        <f>IF(M6=0,0,M6/TrAvia_act!M24*1000000)</f>
        <v>16773.388315374727</v>
      </c>
      <c r="N42" s="11">
        <f>IF(N6=0,0,N6/TrAvia_act!N24*1000000)</f>
        <v>16689.904216242405</v>
      </c>
      <c r="O42" s="11">
        <f>IF(O6=0,0,O6/TrAvia_act!O24*1000000)</f>
        <v>17178.965209045597</v>
      </c>
      <c r="P42" s="11">
        <f>IF(P6=0,0,P6/TrAvia_act!P24*1000000)</f>
        <v>17855.642225447977</v>
      </c>
      <c r="Q42" s="11">
        <f>IF(Q6=0,0,Q6/TrAvia_act!Q24*1000000)</f>
        <v>17627.635790283795</v>
      </c>
      <c r="R42" s="11">
        <f>IF(R6=0,0,R6/TrAvia_act!R24*1000000)</f>
        <v>17719.727718044684</v>
      </c>
      <c r="S42" s="11">
        <f>IF(S6=0,0,S6/TrAvia_act!S24*1000000)</f>
        <v>17987.752963133964</v>
      </c>
      <c r="T42" s="11">
        <f>IF(T6=0,0,T6/TrAvia_act!T24*1000000)</f>
        <v>19550.648400375852</v>
      </c>
      <c r="U42" s="11">
        <f>IF(U6=0,0,U6/TrAvia_act!U24*1000000)</f>
        <v>19681.05465313738</v>
      </c>
      <c r="V42" s="11">
        <f>IF(V6=0,0,V6/TrAvia_act!V24*1000000)</f>
        <v>17260.92291067995</v>
      </c>
      <c r="W42" s="11">
        <f>IF(W6=0,0,W6/TrAvia_act!W24*1000000)</f>
        <v>14809.227061191303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7209.3552234109702</v>
      </c>
      <c r="C43" s="84">
        <f>IF(C7=0,0,C7/TrAvia_act!C25*1000000)</f>
        <v>7100.4011047046533</v>
      </c>
      <c r="D43" s="84">
        <f>IF(D7=0,0,D7/TrAvia_act!D25*1000000)</f>
        <v>7124.1821689583549</v>
      </c>
      <c r="E43" s="84">
        <f>IF(E7=0,0,E7/TrAvia_act!E25*1000000)</f>
        <v>7067.2173617302142</v>
      </c>
      <c r="F43" s="84">
        <f>IF(F7=0,0,F7/TrAvia_act!F25*1000000)</f>
        <v>7202.2871550505133</v>
      </c>
      <c r="G43" s="84">
        <f>IF(G7=0,0,G7/TrAvia_act!G25*1000000)</f>
        <v>7471.3034184888811</v>
      </c>
      <c r="H43" s="84">
        <f>IF(H7=0,0,H7/TrAvia_act!H25*1000000)</f>
        <v>7553.0527357296905</v>
      </c>
      <c r="I43" s="84">
        <f>IF(I7=0,0,I7/TrAvia_act!I25*1000000)</f>
        <v>7195.9036400056711</v>
      </c>
      <c r="J43" s="84">
        <f>IF(J7=0,0,J7/TrAvia_act!J25*1000000)</f>
        <v>7455.5325571301728</v>
      </c>
      <c r="K43" s="84">
        <f>IF(K7=0,0,K7/TrAvia_act!K25*1000000)</f>
        <v>6728.948365155833</v>
      </c>
      <c r="L43" s="84">
        <f>IF(L7=0,0,L7/TrAvia_act!L25*1000000)</f>
        <v>7051.4460112616962</v>
      </c>
      <c r="M43" s="84">
        <f>IF(M7=0,0,M7/TrAvia_act!M25*1000000)</f>
        <v>7099.1139129972644</v>
      </c>
      <c r="N43" s="84">
        <f>IF(N7=0,0,N7/TrAvia_act!N25*1000000)</f>
        <v>7261.6170595754793</v>
      </c>
      <c r="O43" s="84">
        <f>IF(O7=0,0,O7/TrAvia_act!O25*1000000)</f>
        <v>7985.6217443123687</v>
      </c>
      <c r="P43" s="84">
        <f>IF(P7=0,0,P7/TrAvia_act!P25*1000000)</f>
        <v>8234.0845615130984</v>
      </c>
      <c r="Q43" s="84">
        <f>IF(Q7=0,0,Q7/TrAvia_act!Q25*1000000)</f>
        <v>8571.6170846937657</v>
      </c>
      <c r="R43" s="84">
        <f>IF(R7=0,0,R7/TrAvia_act!R25*1000000)</f>
        <v>8773.1642169420902</v>
      </c>
      <c r="S43" s="84">
        <f>IF(S7=0,0,S7/TrAvia_act!S25*1000000)</f>
        <v>9488.7374371912974</v>
      </c>
      <c r="T43" s="84">
        <f>IF(T7=0,0,T7/TrAvia_act!T25*1000000)</f>
        <v>10573.950171875813</v>
      </c>
      <c r="U43" s="84">
        <f>IF(U7=0,0,U7/TrAvia_act!U25*1000000)</f>
        <v>10715.332617714183</v>
      </c>
      <c r="V43" s="84">
        <f>IF(V7=0,0,V7/TrAvia_act!V25*1000000)</f>
        <v>7996.3951737565458</v>
      </c>
      <c r="W43" s="84">
        <f>IF(W7=0,0,W7/TrAvia_act!W25*1000000)</f>
        <v>10165.38377548252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16201.940865199993</v>
      </c>
      <c r="C44" s="84">
        <f>IF(C8=0,0,C8/TrAvia_act!C26*1000000)</f>
        <v>16783.496610531973</v>
      </c>
      <c r="D44" s="84">
        <f>IF(D8=0,0,D8/TrAvia_act!D26*1000000)</f>
        <v>16177.323621033882</v>
      </c>
      <c r="E44" s="84">
        <f>IF(E8=0,0,E8/TrAvia_act!E26*1000000)</f>
        <v>15726.099604905647</v>
      </c>
      <c r="F44" s="84">
        <f>IF(F8=0,0,F8/TrAvia_act!F26*1000000)</f>
        <v>14300.445783864046</v>
      </c>
      <c r="G44" s="84">
        <f>IF(G8=0,0,G8/TrAvia_act!G26*1000000)</f>
        <v>13947.052553010986</v>
      </c>
      <c r="H44" s="84">
        <f>IF(H8=0,0,H8/TrAvia_act!H26*1000000)</f>
        <v>14222.69224037098</v>
      </c>
      <c r="I44" s="84">
        <f>IF(I8=0,0,I8/TrAvia_act!I26*1000000)</f>
        <v>13943.825160717335</v>
      </c>
      <c r="J44" s="84">
        <f>IF(J8=0,0,J8/TrAvia_act!J26*1000000)</f>
        <v>14099.17290210628</v>
      </c>
      <c r="K44" s="84">
        <f>IF(K8=0,0,K8/TrAvia_act!K26*1000000)</f>
        <v>13441.310908044898</v>
      </c>
      <c r="L44" s="84">
        <f>IF(L8=0,0,L8/TrAvia_act!L26*1000000)</f>
        <v>13536.45652339916</v>
      </c>
      <c r="M44" s="84">
        <f>IF(M8=0,0,M8/TrAvia_act!M26*1000000)</f>
        <v>13612.648949490538</v>
      </c>
      <c r="N44" s="84">
        <f>IF(N8=0,0,N8/TrAvia_act!N26*1000000)</f>
        <v>13350.380927743659</v>
      </c>
      <c r="O44" s="84">
        <f>IF(O8=0,0,O8/TrAvia_act!O26*1000000)</f>
        <v>13412.348349878879</v>
      </c>
      <c r="P44" s="84">
        <f>IF(P8=0,0,P8/TrAvia_act!P26*1000000)</f>
        <v>13661.056071126632</v>
      </c>
      <c r="Q44" s="84">
        <f>IF(Q8=0,0,Q8/TrAvia_act!Q26*1000000)</f>
        <v>13154.670609044599</v>
      </c>
      <c r="R44" s="84">
        <f>IF(R8=0,0,R8/TrAvia_act!R26*1000000)</f>
        <v>13400.51943086187</v>
      </c>
      <c r="S44" s="84">
        <f>IF(S8=0,0,S8/TrAvia_act!S26*1000000)</f>
        <v>13701.595158846172</v>
      </c>
      <c r="T44" s="84">
        <f>IF(T8=0,0,T8/TrAvia_act!T26*1000000)</f>
        <v>14906.100006081508</v>
      </c>
      <c r="U44" s="84">
        <f>IF(U8=0,0,U8/TrAvia_act!U26*1000000)</f>
        <v>14695.253122629725</v>
      </c>
      <c r="V44" s="84">
        <f>IF(V8=0,0,V8/TrAvia_act!V26*1000000)</f>
        <v>12605.116798734867</v>
      </c>
      <c r="W44" s="84">
        <f>IF(W8=0,0,W8/TrAvia_act!W26*1000000)</f>
        <v>10169.872828361595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83818.66313594894</v>
      </c>
      <c r="C45" s="84">
        <f>IF(C9=0,0,C9/TrAvia_act!C27*1000000)</f>
        <v>86827.373496104585</v>
      </c>
      <c r="D45" s="84">
        <f>IF(D9=0,0,D9/TrAvia_act!D27*1000000)</f>
        <v>83691.58620539571</v>
      </c>
      <c r="E45" s="84">
        <f>IF(E9=0,0,E9/TrAvia_act!E27*1000000)</f>
        <v>80443.416553403309</v>
      </c>
      <c r="F45" s="84">
        <f>IF(F9=0,0,F9/TrAvia_act!F27*1000000)</f>
        <v>73065.256414325282</v>
      </c>
      <c r="G45" s="84">
        <f>IF(G9=0,0,G9/TrAvia_act!G27*1000000)</f>
        <v>65888.743177039316</v>
      </c>
      <c r="H45" s="84">
        <f>IF(H9=0,0,H9/TrAvia_act!H27*1000000)</f>
        <v>68363.392442459488</v>
      </c>
      <c r="I45" s="84">
        <f>IF(I9=0,0,I9/TrAvia_act!I27*1000000)</f>
        <v>64420.732938569672</v>
      </c>
      <c r="J45" s="84">
        <f>IF(J9=0,0,J9/TrAvia_act!J27*1000000)</f>
        <v>65587.688758918724</v>
      </c>
      <c r="K45" s="84">
        <f>IF(K9=0,0,K9/TrAvia_act!K27*1000000)</f>
        <v>64657.329713966916</v>
      </c>
      <c r="L45" s="84">
        <f>IF(L9=0,0,L9/TrAvia_act!L27*1000000)</f>
        <v>62132.119694123066</v>
      </c>
      <c r="M45" s="84">
        <f>IF(M9=0,0,M9/TrAvia_act!M27*1000000)</f>
        <v>65363.98116052054</v>
      </c>
      <c r="N45" s="84">
        <f>IF(N9=0,0,N9/TrAvia_act!N27*1000000)</f>
        <v>59647.765534035963</v>
      </c>
      <c r="O45" s="84">
        <f>IF(O9=0,0,O9/TrAvia_act!O27*1000000)</f>
        <v>56452.738478460415</v>
      </c>
      <c r="P45" s="84">
        <f>IF(P9=0,0,P9/TrAvia_act!P27*1000000)</f>
        <v>57994.969597477233</v>
      </c>
      <c r="Q45" s="84">
        <f>IF(Q9=0,0,Q9/TrAvia_act!Q27*1000000)</f>
        <v>59550.709852836073</v>
      </c>
      <c r="R45" s="84">
        <f>IF(R9=0,0,R9/TrAvia_act!R27*1000000)</f>
        <v>58645.018739297651</v>
      </c>
      <c r="S45" s="84">
        <f>IF(S9=0,0,S9/TrAvia_act!S27*1000000)</f>
        <v>56328.63074903981</v>
      </c>
      <c r="T45" s="84">
        <f>IF(T9=0,0,T9/TrAvia_act!T27*1000000)</f>
        <v>56638.331973299151</v>
      </c>
      <c r="U45" s="84">
        <f>IF(U9=0,0,U9/TrAvia_act!U27*1000000)</f>
        <v>56535.849667382994</v>
      </c>
      <c r="V45" s="84">
        <f>IF(V9=0,0,V9/TrAvia_act!V27*1000000)</f>
        <v>66077.394662842213</v>
      </c>
      <c r="W45" s="84">
        <f>IF(W9=0,0,W9/TrAvia_act!W27*1000000)</f>
        <v>48804.978119986547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41060.30961388677</v>
      </c>
      <c r="C46" s="13">
        <f>IF(C10=0,0,C10/TrAvia_act!C28*1000000)</f>
        <v>18881.533364241441</v>
      </c>
      <c r="D46" s="13">
        <f>IF(D10=0,0,D10/TrAvia_act!D28*1000000)</f>
        <v>27403.160840484677</v>
      </c>
      <c r="E46" s="13">
        <f>IF(E10=0,0,E10/TrAvia_act!E28*1000000)</f>
        <v>27054.047019469635</v>
      </c>
      <c r="F46" s="13">
        <f>IF(F10=0,0,F10/TrAvia_act!F28*1000000)</f>
        <v>25078.745773601786</v>
      </c>
      <c r="G46" s="13">
        <f>IF(G10=0,0,G10/TrAvia_act!G28*1000000)</f>
        <v>26529.000948979156</v>
      </c>
      <c r="H46" s="13">
        <f>IF(H10=0,0,H10/TrAvia_act!H28*1000000)</f>
        <v>28999.977411863627</v>
      </c>
      <c r="I46" s="13">
        <f>IF(I10=0,0,I10/TrAvia_act!I28*1000000)</f>
        <v>29021.688820775569</v>
      </c>
      <c r="J46" s="13">
        <f>IF(J10=0,0,J10/TrAvia_act!J28*1000000)</f>
        <v>29786.590594098558</v>
      </c>
      <c r="K46" s="13">
        <f>IF(K10=0,0,K10/TrAvia_act!K28*1000000)</f>
        <v>27672.81639104812</v>
      </c>
      <c r="L46" s="13">
        <f>IF(L10=0,0,L10/TrAvia_act!L28*1000000)</f>
        <v>33513.272073588698</v>
      </c>
      <c r="M46" s="13">
        <f>IF(M10=0,0,M10/TrAvia_act!M28*1000000)</f>
        <v>36120.506148389861</v>
      </c>
      <c r="N46" s="13">
        <f>IF(N10=0,0,N10/TrAvia_act!N28*1000000)</f>
        <v>32791.449298610351</v>
      </c>
      <c r="O46" s="13">
        <f>IF(O10=0,0,O10/TrAvia_act!O28*1000000)</f>
        <v>34843.233926285036</v>
      </c>
      <c r="P46" s="13">
        <f>IF(P10=0,0,P10/TrAvia_act!P28*1000000)</f>
        <v>37974.452006908723</v>
      </c>
      <c r="Q46" s="13">
        <f>IF(Q10=0,0,Q10/TrAvia_act!Q28*1000000)</f>
        <v>40706.894833890918</v>
      </c>
      <c r="R46" s="13">
        <f>IF(R10=0,0,R10/TrAvia_act!R28*1000000)</f>
        <v>44781.073970934616</v>
      </c>
      <c r="S46" s="13">
        <f>IF(S10=0,0,S10/TrAvia_act!S28*1000000)</f>
        <v>44726.14829725778</v>
      </c>
      <c r="T46" s="13">
        <f>IF(T10=0,0,T10/TrAvia_act!T28*1000000)</f>
        <v>45582.181965084412</v>
      </c>
      <c r="U46" s="13">
        <f>IF(U10=0,0,U10/TrAvia_act!U28*1000000)</f>
        <v>46387.973264506079</v>
      </c>
      <c r="V46" s="13">
        <f>IF(V10=0,0,V10/TrAvia_act!V28*1000000)</f>
        <v>49069.389411624477</v>
      </c>
      <c r="W46" s="13">
        <f>IF(W10=0,0,W10/TrAvia_act!W28*1000000)</f>
        <v>39532.056447107199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6566.3587816266527</v>
      </c>
      <c r="C47" s="102">
        <f>IF(C11=0,0,C11/TrAvia_act!C29*1000000)</f>
        <v>6467.1221908371745</v>
      </c>
      <c r="D47" s="102">
        <f>IF(D11=0,0,D11/TrAvia_act!D29*1000000)</f>
        <v>6488.7822415989467</v>
      </c>
      <c r="E47" s="102">
        <f>IF(E11=0,0,E11/TrAvia_act!E29*1000000)</f>
        <v>6436.8980785088088</v>
      </c>
      <c r="F47" s="102">
        <f>IF(F11=0,0,F11/TrAvia_act!F29*1000000)</f>
        <v>6559.9211084492899</v>
      </c>
      <c r="G47" s="102">
        <f>IF(G11=0,0,G11/TrAvia_act!G29*1000000)</f>
        <v>6804.9440333972343</v>
      </c>
      <c r="H47" s="102">
        <f>IF(H11=0,0,H11/TrAvia_act!H29*1000000)</f>
        <v>6902.3285887485345</v>
      </c>
      <c r="I47" s="102">
        <f>IF(I11=0,0,I11/TrAvia_act!I29*1000000)</f>
        <v>6597.8647255411915</v>
      </c>
      <c r="J47" s="102">
        <f>IF(J11=0,0,J11/TrAvia_act!J29*1000000)</f>
        <v>6858.6986051611748</v>
      </c>
      <c r="K47" s="102">
        <f>IF(K11=0,0,K11/TrAvia_act!K29*1000000)</f>
        <v>6210.9101796460027</v>
      </c>
      <c r="L47" s="102">
        <f>IF(L11=0,0,L11/TrAvia_act!L29*1000000)</f>
        <v>6530.2719603901014</v>
      </c>
      <c r="M47" s="102">
        <f>IF(M11=0,0,M11/TrAvia_act!M29*1000000)</f>
        <v>6642.7730298323941</v>
      </c>
      <c r="N47" s="102">
        <f>IF(N11=0,0,N11/TrAvia_act!N29*1000000)</f>
        <v>6865.4612102554647</v>
      </c>
      <c r="O47" s="102">
        <f>IF(O11=0,0,O11/TrAvia_act!O29*1000000)</f>
        <v>7496.1938418308355</v>
      </c>
      <c r="P47" s="102">
        <f>IF(P11=0,0,P11/TrAvia_act!P29*1000000)</f>
        <v>7674.3764253169338</v>
      </c>
      <c r="Q47" s="102">
        <f>IF(Q11=0,0,Q11/TrAvia_act!Q29*1000000)</f>
        <v>7932.0645712388468</v>
      </c>
      <c r="R47" s="102">
        <f>IF(R11=0,0,R11/TrAvia_act!R29*1000000)</f>
        <v>8060.7498789368065</v>
      </c>
      <c r="S47" s="102">
        <f>IF(S11=0,0,S11/TrAvia_act!S29*1000000)</f>
        <v>8656.1211689559041</v>
      </c>
      <c r="T47" s="102">
        <f>IF(T11=0,0,T11/TrAvia_act!T29*1000000)</f>
        <v>9577.4054039867897</v>
      </c>
      <c r="U47" s="102">
        <f>IF(U11=0,0,U11/TrAvia_act!U29*1000000)</f>
        <v>10129.240437375336</v>
      </c>
      <c r="V47" s="102">
        <f>IF(V11=0,0,V11/TrAvia_act!V29*1000000)</f>
        <v>7559.0196064792144</v>
      </c>
      <c r="W47" s="102">
        <f>IF(W11=0,0,W11/TrAvia_act!W29*1000000)</f>
        <v>9609.3719227935562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15146.104547437531</v>
      </c>
      <c r="C48" s="102">
        <f>IF(C12=0,0,C12/TrAvia_act!C30*1000000)</f>
        <v>15711.893142008636</v>
      </c>
      <c r="D48" s="102">
        <f>IF(D12=0,0,D12/TrAvia_act!D30*1000000)</f>
        <v>14391.991602334936</v>
      </c>
      <c r="E48" s="102">
        <f>IF(E12=0,0,E12/TrAvia_act!E30*1000000)</f>
        <v>13694.503342723308</v>
      </c>
      <c r="F48" s="102">
        <f>IF(F12=0,0,F12/TrAvia_act!F30*1000000)</f>
        <v>12472.819059679543</v>
      </c>
      <c r="G48" s="102">
        <f>IF(G12=0,0,G12/TrAvia_act!G30*1000000)</f>
        <v>12112.25723370155</v>
      </c>
      <c r="H48" s="102">
        <f>IF(H12=0,0,H12/TrAvia_act!H30*1000000)</f>
        <v>12491.703653520803</v>
      </c>
      <c r="I48" s="102">
        <f>IF(I12=0,0,I12/TrAvia_act!I30*1000000)</f>
        <v>12231.207867047384</v>
      </c>
      <c r="J48" s="102">
        <f>IF(J12=0,0,J12/TrAvia_act!J30*1000000)</f>
        <v>12439.721875047891</v>
      </c>
      <c r="K48" s="102">
        <f>IF(K12=0,0,K12/TrAvia_act!K30*1000000)</f>
        <v>11888.945667076876</v>
      </c>
      <c r="L48" s="102">
        <f>IF(L12=0,0,L12/TrAvia_act!L30*1000000)</f>
        <v>12036.810558475565</v>
      </c>
      <c r="M48" s="102">
        <f>IF(M12=0,0,M12/TrAvia_act!M30*1000000)</f>
        <v>12154.809306029087</v>
      </c>
      <c r="N48" s="102">
        <f>IF(N12=0,0,N12/TrAvia_act!N30*1000000)</f>
        <v>11871.896282529086</v>
      </c>
      <c r="O48" s="102">
        <f>IF(O12=0,0,O12/TrAvia_act!O30*1000000)</f>
        <v>11673.372259878788</v>
      </c>
      <c r="P48" s="102">
        <f>IF(P12=0,0,P12/TrAvia_act!P30*1000000)</f>
        <v>11661.090033948185</v>
      </c>
      <c r="Q48" s="102">
        <f>IF(Q12=0,0,Q12/TrAvia_act!Q30*1000000)</f>
        <v>10982.116455813795</v>
      </c>
      <c r="R48" s="102">
        <f>IF(R12=0,0,R12/TrAvia_act!R30*1000000)</f>
        <v>10957.621236089004</v>
      </c>
      <c r="S48" s="102">
        <f>IF(S12=0,0,S12/TrAvia_act!S30*1000000)</f>
        <v>11002.122306856609</v>
      </c>
      <c r="T48" s="102">
        <f>IF(T12=0,0,T12/TrAvia_act!T30*1000000)</f>
        <v>11754.497315709503</v>
      </c>
      <c r="U48" s="102">
        <f>IF(U12=0,0,U12/TrAvia_act!U30*1000000)</f>
        <v>11543.439006029888</v>
      </c>
      <c r="V48" s="102">
        <f>IF(V12=0,0,V12/TrAvia_act!V30*1000000)</f>
        <v>10300.737012545564</v>
      </c>
      <c r="W48" s="102">
        <f>IF(W12=0,0,W12/TrAvia_act!W30*1000000)</f>
        <v>8250.470988654386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107059.74539959835</v>
      </c>
      <c r="C49" s="86">
        <f>IF(C13=0,0,C13/TrAvia_act!C31*1000000)</f>
        <v>110902.70534536785</v>
      </c>
      <c r="D49" s="86">
        <f>IF(D13=0,0,D13/TrAvia_act!D31*1000000)</f>
        <v>106897.43281523843</v>
      </c>
      <c r="E49" s="86">
        <f>IF(E13=0,0,E13/TrAvia_act!E31*1000000)</f>
        <v>102748.61675272287</v>
      </c>
      <c r="F49" s="86">
        <f>IF(F13=0,0,F13/TrAvia_act!F31*1000000)</f>
        <v>93324.654159499623</v>
      </c>
      <c r="G49" s="86">
        <f>IF(G13=0,0,G13/TrAvia_act!G31*1000000)</f>
        <v>88862.727257325329</v>
      </c>
      <c r="H49" s="86">
        <f>IF(H13=0,0,H13/TrAvia_act!H31*1000000)</f>
        <v>93802.777627397852</v>
      </c>
      <c r="I49" s="86">
        <f>IF(I13=0,0,I13/TrAvia_act!I31*1000000)</f>
        <v>92320.366697122226</v>
      </c>
      <c r="J49" s="86">
        <f>IF(J13=0,0,J13/TrAvia_act!J31*1000000)</f>
        <v>97726.304207576119</v>
      </c>
      <c r="K49" s="86">
        <f>IF(K13=0,0,K13/TrAvia_act!K31*1000000)</f>
        <v>103331.8352733035</v>
      </c>
      <c r="L49" s="86">
        <f>IF(L13=0,0,L13/TrAvia_act!L31*1000000)</f>
        <v>105628.85439853612</v>
      </c>
      <c r="M49" s="86">
        <f>IF(M13=0,0,M13/TrAvia_act!M31*1000000)</f>
        <v>100493.27528134795</v>
      </c>
      <c r="N49" s="86">
        <f>IF(N13=0,0,N13/TrAvia_act!N31*1000000)</f>
        <v>87982.182006432369</v>
      </c>
      <c r="O49" s="86">
        <f>IF(O13=0,0,O13/TrAvia_act!O31*1000000)</f>
        <v>91738.439239824802</v>
      </c>
      <c r="P49" s="86">
        <f>IF(P13=0,0,P13/TrAvia_act!P31*1000000)</f>
        <v>97811.70855106166</v>
      </c>
      <c r="Q49" s="86">
        <f>IF(Q13=0,0,Q13/TrAvia_act!Q31*1000000)</f>
        <v>103977.10740963162</v>
      </c>
      <c r="R49" s="86">
        <f>IF(R13=0,0,R13/TrAvia_act!R31*1000000)</f>
        <v>106826.93378318344</v>
      </c>
      <c r="S49" s="86">
        <f>IF(S13=0,0,S13/TrAvia_act!S31*1000000)</f>
        <v>106491.03718374029</v>
      </c>
      <c r="T49" s="86">
        <f>IF(T13=0,0,T13/TrAvia_act!T31*1000000)</f>
        <v>111822.63787201056</v>
      </c>
      <c r="U49" s="86">
        <f>IF(U13=0,0,U13/TrAvia_act!U31*1000000)</f>
        <v>119768.00151037202</v>
      </c>
      <c r="V49" s="86">
        <f>IF(V13=0,0,V13/TrAvia_act!V31*1000000)</f>
        <v>146751.35360887524</v>
      </c>
      <c r="W49" s="86">
        <f>IF(W13=0,0,W13/TrAvia_act!W31*1000000)</f>
        <v>114530.50914862748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0.95297661455666016</v>
      </c>
      <c r="C52" s="16">
        <f t="shared" si="35"/>
        <v>0.97857063786990928</v>
      </c>
      <c r="D52" s="16">
        <f t="shared" ref="D52:V52" si="36">IF(D6=0,0,D6/D$3)</f>
        <v>0.95159204022830945</v>
      </c>
      <c r="E52" s="16">
        <f t="shared" si="36"/>
        <v>0.95203366516684385</v>
      </c>
      <c r="F52" s="16">
        <f t="shared" si="36"/>
        <v>0.95078974614957301</v>
      </c>
      <c r="G52" s="16">
        <f t="shared" si="36"/>
        <v>0.94722200820963731</v>
      </c>
      <c r="H52" s="16">
        <f t="shared" si="36"/>
        <v>0.94311201792429533</v>
      </c>
      <c r="I52" s="16">
        <f t="shared" si="36"/>
        <v>0.94115959228782675</v>
      </c>
      <c r="J52" s="16">
        <f t="shared" si="36"/>
        <v>0.94425276178271722</v>
      </c>
      <c r="K52" s="16">
        <f t="shared" si="36"/>
        <v>0.95016808750344117</v>
      </c>
      <c r="L52" s="16">
        <f t="shared" si="36"/>
        <v>0.94283210707398402</v>
      </c>
      <c r="M52" s="16">
        <f t="shared" si="36"/>
        <v>0.94254254504527812</v>
      </c>
      <c r="N52" s="16">
        <f t="shared" si="36"/>
        <v>0.9510474464150247</v>
      </c>
      <c r="O52" s="16">
        <f t="shared" si="36"/>
        <v>0.94668530885307511</v>
      </c>
      <c r="P52" s="16">
        <f t="shared" si="36"/>
        <v>0.94739166358460469</v>
      </c>
      <c r="Q52" s="16">
        <f t="shared" si="36"/>
        <v>0.94107957948565257</v>
      </c>
      <c r="R52" s="16">
        <f t="shared" si="36"/>
        <v>0.94256417036148388</v>
      </c>
      <c r="S52" s="16">
        <f t="shared" si="36"/>
        <v>0.93961839757420862</v>
      </c>
      <c r="T52" s="16">
        <f t="shared" si="36"/>
        <v>0.94532712146808739</v>
      </c>
      <c r="U52" s="16">
        <f t="shared" si="36"/>
        <v>0.94834440236379813</v>
      </c>
      <c r="V52" s="16">
        <f t="shared" si="36"/>
        <v>0.85368163557800358</v>
      </c>
      <c r="W52" s="16">
        <f t="shared" ref="W52" si="37">IF(W6=0,0,W6/W$3)</f>
        <v>0.87117594419165922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0.18870512614730603</v>
      </c>
      <c r="C53" s="103">
        <f t="shared" si="38"/>
        <v>0.18742168116250527</v>
      </c>
      <c r="D53" s="103">
        <f t="shared" ref="D53:V53" si="39">IF(D7=0,0,D7/D$3)</f>
        <v>0.18849790053132481</v>
      </c>
      <c r="E53" s="103">
        <f t="shared" si="39"/>
        <v>0.18907278828414578</v>
      </c>
      <c r="F53" s="103">
        <f t="shared" si="39"/>
        <v>0.18871902762645956</v>
      </c>
      <c r="G53" s="103">
        <f t="shared" si="39"/>
        <v>0.18891131136170761</v>
      </c>
      <c r="H53" s="103">
        <f t="shared" si="39"/>
        <v>0.18911811278633139</v>
      </c>
      <c r="I53" s="103">
        <f t="shared" si="39"/>
        <v>0.18889862701244772</v>
      </c>
      <c r="J53" s="103">
        <f t="shared" si="39"/>
        <v>0.18806321629213643</v>
      </c>
      <c r="K53" s="103">
        <f t="shared" si="39"/>
        <v>0.18363636413430676</v>
      </c>
      <c r="L53" s="103">
        <f t="shared" si="39"/>
        <v>0.18098166579892302</v>
      </c>
      <c r="M53" s="103">
        <f t="shared" si="39"/>
        <v>0.17863725760920815</v>
      </c>
      <c r="N53" s="103">
        <f t="shared" si="39"/>
        <v>0.17882219465517091</v>
      </c>
      <c r="O53" s="103">
        <f t="shared" si="39"/>
        <v>0.18292343742665376</v>
      </c>
      <c r="P53" s="103">
        <f t="shared" si="39"/>
        <v>0.17140169374829914</v>
      </c>
      <c r="Q53" s="103">
        <f t="shared" si="39"/>
        <v>0.17843128122218219</v>
      </c>
      <c r="R53" s="103">
        <f t="shared" si="39"/>
        <v>0.17558962142638301</v>
      </c>
      <c r="S53" s="103">
        <f t="shared" si="39"/>
        <v>0.18405762168492223</v>
      </c>
      <c r="T53" s="103">
        <f t="shared" si="39"/>
        <v>0.18470749607279444</v>
      </c>
      <c r="U53" s="103">
        <f t="shared" si="39"/>
        <v>0.18424620088006646</v>
      </c>
      <c r="V53" s="103">
        <f t="shared" si="39"/>
        <v>0.18374233230003337</v>
      </c>
      <c r="W53" s="103">
        <f t="shared" ref="W53" si="40">IF(W7=0,0,W7/W$3)</f>
        <v>0.28693522442138064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0.33692018392594208</v>
      </c>
      <c r="C54" s="103">
        <f t="shared" si="41"/>
        <v>0.34876776750739824</v>
      </c>
      <c r="D54" s="103">
        <f t="shared" ref="D54:V54" si="42">IF(D8=0,0,D8/D$3)</f>
        <v>0.3363999106069922</v>
      </c>
      <c r="E54" s="103">
        <f t="shared" si="42"/>
        <v>0.35323801126715071</v>
      </c>
      <c r="F54" s="103">
        <f t="shared" si="42"/>
        <v>0.33937088427450335</v>
      </c>
      <c r="G54" s="103">
        <f t="shared" si="42"/>
        <v>0.34198513669009639</v>
      </c>
      <c r="H54" s="103">
        <f t="shared" si="42"/>
        <v>0.34228721934115808</v>
      </c>
      <c r="I54" s="103">
        <f t="shared" si="42"/>
        <v>0.3496206724183345</v>
      </c>
      <c r="J54" s="103">
        <f t="shared" si="42"/>
        <v>0.34316578343924475</v>
      </c>
      <c r="K54" s="103">
        <f t="shared" si="42"/>
        <v>0.33691487867054304</v>
      </c>
      <c r="L54" s="103">
        <f t="shared" si="42"/>
        <v>0.33163520165187088</v>
      </c>
      <c r="M54" s="103">
        <f t="shared" si="42"/>
        <v>0.33256118270586787</v>
      </c>
      <c r="N54" s="103">
        <f t="shared" si="42"/>
        <v>0.33387665584299447</v>
      </c>
      <c r="O54" s="103">
        <f t="shared" si="42"/>
        <v>0.32846627925891392</v>
      </c>
      <c r="P54" s="103">
        <f t="shared" si="42"/>
        <v>0.33707432074796523</v>
      </c>
      <c r="Q54" s="103">
        <f t="shared" si="42"/>
        <v>0.33369299590727852</v>
      </c>
      <c r="R54" s="103">
        <f t="shared" si="42"/>
        <v>0.34913136913605969</v>
      </c>
      <c r="S54" s="103">
        <f t="shared" si="42"/>
        <v>0.35171469604328398</v>
      </c>
      <c r="T54" s="103">
        <f t="shared" si="42"/>
        <v>0.35312329604628362</v>
      </c>
      <c r="U54" s="103">
        <f t="shared" si="42"/>
        <v>0.34700719647184453</v>
      </c>
      <c r="V54" s="103">
        <f t="shared" si="42"/>
        <v>0.25453040535221649</v>
      </c>
      <c r="W54" s="103">
        <f t="shared" ref="W54" si="43">IF(W8=0,0,W8/W$3)</f>
        <v>0.23932369749895993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0.42735130448341219</v>
      </c>
      <c r="C55" s="103">
        <f t="shared" si="44"/>
        <v>0.44238118920000574</v>
      </c>
      <c r="D55" s="103">
        <f t="shared" ref="D55:V55" si="45">IF(D9=0,0,D9/D$3)</f>
        <v>0.42669422908999238</v>
      </c>
      <c r="E55" s="103">
        <f t="shared" si="45"/>
        <v>0.40972286561554722</v>
      </c>
      <c r="F55" s="103">
        <f t="shared" si="45"/>
        <v>0.42269983424861013</v>
      </c>
      <c r="G55" s="103">
        <f t="shared" si="45"/>
        <v>0.41632556015783323</v>
      </c>
      <c r="H55" s="103">
        <f t="shared" si="45"/>
        <v>0.41170668579680597</v>
      </c>
      <c r="I55" s="103">
        <f t="shared" si="45"/>
        <v>0.40264029285704456</v>
      </c>
      <c r="J55" s="103">
        <f t="shared" si="45"/>
        <v>0.41302376205133606</v>
      </c>
      <c r="K55" s="103">
        <f t="shared" si="45"/>
        <v>0.42961684469859129</v>
      </c>
      <c r="L55" s="103">
        <f t="shared" si="45"/>
        <v>0.43021523962319003</v>
      </c>
      <c r="M55" s="103">
        <f t="shared" si="45"/>
        <v>0.43134410473020207</v>
      </c>
      <c r="N55" s="103">
        <f t="shared" si="45"/>
        <v>0.43834859591685926</v>
      </c>
      <c r="O55" s="103">
        <f t="shared" si="45"/>
        <v>0.43529559216750735</v>
      </c>
      <c r="P55" s="103">
        <f t="shared" si="45"/>
        <v>0.4389156490883403</v>
      </c>
      <c r="Q55" s="103">
        <f t="shared" si="45"/>
        <v>0.42895530235619178</v>
      </c>
      <c r="R55" s="103">
        <f t="shared" si="45"/>
        <v>0.41784317979904112</v>
      </c>
      <c r="S55" s="103">
        <f t="shared" si="45"/>
        <v>0.40384607984600246</v>
      </c>
      <c r="T55" s="103">
        <f t="shared" si="45"/>
        <v>0.40749632934900937</v>
      </c>
      <c r="U55" s="103">
        <f t="shared" si="45"/>
        <v>0.41709100501188723</v>
      </c>
      <c r="V55" s="103">
        <f t="shared" si="45"/>
        <v>0.41540889792575375</v>
      </c>
      <c r="W55" s="103">
        <f t="shared" ref="W55" si="46">IF(W9=0,0,W9/W$3)</f>
        <v>0.34491702227131865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4.7023385443339547E-2</v>
      </c>
      <c r="C56" s="17">
        <f t="shared" si="47"/>
        <v>2.1429362130090626E-2</v>
      </c>
      <c r="D56" s="17">
        <f t="shared" ref="D56:V56" si="48">IF(D10=0,0,D10/D$3)</f>
        <v>4.8407959771690628E-2</v>
      </c>
      <c r="E56" s="17">
        <f t="shared" si="48"/>
        <v>4.7966334833156384E-2</v>
      </c>
      <c r="F56" s="17">
        <f t="shared" si="48"/>
        <v>4.9210253850426953E-2</v>
      </c>
      <c r="G56" s="17">
        <f t="shared" si="48"/>
        <v>5.2777991790362806E-2</v>
      </c>
      <c r="H56" s="17">
        <f t="shared" si="48"/>
        <v>5.6887982075704627E-2</v>
      </c>
      <c r="I56" s="17">
        <f t="shared" si="48"/>
        <v>5.8840407712173394E-2</v>
      </c>
      <c r="J56" s="17">
        <f t="shared" si="48"/>
        <v>5.5747238217282849E-2</v>
      </c>
      <c r="K56" s="17">
        <f t="shared" si="48"/>
        <v>4.9831912496558835E-2</v>
      </c>
      <c r="L56" s="17">
        <f t="shared" si="48"/>
        <v>5.7167892926016074E-2</v>
      </c>
      <c r="M56" s="17">
        <f t="shared" si="48"/>
        <v>5.7457454954721751E-2</v>
      </c>
      <c r="N56" s="17">
        <f t="shared" si="48"/>
        <v>4.895255358497546E-2</v>
      </c>
      <c r="O56" s="17">
        <f t="shared" si="48"/>
        <v>5.3314691146924935E-2</v>
      </c>
      <c r="P56" s="17">
        <f t="shared" si="48"/>
        <v>5.2608336415395335E-2</v>
      </c>
      <c r="Q56" s="17">
        <f t="shared" si="48"/>
        <v>5.8920420514347559E-2</v>
      </c>
      <c r="R56" s="17">
        <f t="shared" si="48"/>
        <v>5.7435829638516227E-2</v>
      </c>
      <c r="S56" s="17">
        <f t="shared" si="48"/>
        <v>6.0381602425791457E-2</v>
      </c>
      <c r="T56" s="17">
        <f t="shared" si="48"/>
        <v>5.4672878531912487E-2</v>
      </c>
      <c r="U56" s="17">
        <f t="shared" si="48"/>
        <v>5.1655597636201631E-2</v>
      </c>
      <c r="V56" s="17">
        <f t="shared" si="48"/>
        <v>0.14631836442199636</v>
      </c>
      <c r="W56" s="17">
        <f t="shared" ref="W56" si="49">IF(W10=0,0,W10/W$3)</f>
        <v>0.12882405580834083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2.7725846064424534E-3</v>
      </c>
      <c r="C57" s="104">
        <f t="shared" si="50"/>
        <v>5.4315448764568289E-3</v>
      </c>
      <c r="D57" s="104">
        <f t="shared" ref="D57:V57" si="51">IF(D11=0,0,D11/D$3)</f>
        <v>4.6137301220159277E-3</v>
      </c>
      <c r="E57" s="104">
        <f t="shared" si="51"/>
        <v>4.5177961408919562E-3</v>
      </c>
      <c r="F57" s="104">
        <f t="shared" si="51"/>
        <v>4.5290278820365772E-3</v>
      </c>
      <c r="G57" s="104">
        <f t="shared" si="51"/>
        <v>4.3309386794950786E-3</v>
      </c>
      <c r="H57" s="104">
        <f t="shared" si="51"/>
        <v>4.1097487264000381E-3</v>
      </c>
      <c r="I57" s="104">
        <f t="shared" si="51"/>
        <v>3.9959684652262706E-3</v>
      </c>
      <c r="J57" s="104">
        <f t="shared" si="51"/>
        <v>3.7624599431681947E-3</v>
      </c>
      <c r="K57" s="104">
        <f t="shared" si="51"/>
        <v>3.3092276770368937E-3</v>
      </c>
      <c r="L57" s="104">
        <f t="shared" si="51"/>
        <v>3.1297954447151114E-3</v>
      </c>
      <c r="M57" s="104">
        <f t="shared" si="51"/>
        <v>2.7284129512950678E-3</v>
      </c>
      <c r="N57" s="104">
        <f t="shared" si="51"/>
        <v>2.3507151691583988E-3</v>
      </c>
      <c r="O57" s="104">
        <f t="shared" si="51"/>
        <v>2.4665326179740773E-3</v>
      </c>
      <c r="P57" s="104">
        <f t="shared" si="51"/>
        <v>2.1617002165677671E-3</v>
      </c>
      <c r="Q57" s="104">
        <f t="shared" si="51"/>
        <v>2.056166595108563E-3</v>
      </c>
      <c r="R57" s="104">
        <f t="shared" si="51"/>
        <v>1.5890702482694329E-3</v>
      </c>
      <c r="S57" s="104">
        <f t="shared" si="51"/>
        <v>1.7672471012868929E-3</v>
      </c>
      <c r="T57" s="104">
        <f t="shared" si="51"/>
        <v>1.8026587340051697E-3</v>
      </c>
      <c r="U57" s="104">
        <f t="shared" si="51"/>
        <v>1.7138009760215339E-3</v>
      </c>
      <c r="V57" s="104">
        <f t="shared" si="51"/>
        <v>3.3779941321204453E-3</v>
      </c>
      <c r="W57" s="104">
        <f t="shared" ref="W57" si="52">IF(W11=0,0,W11/W$3)</f>
        <v>4.8858422237222287E-3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5.4629846617123704E-3</v>
      </c>
      <c r="C58" s="104">
        <f t="shared" si="53"/>
        <v>2.7607283688026356E-3</v>
      </c>
      <c r="D58" s="104">
        <f t="shared" ref="D58:V58" si="54">IF(D12=0,0,D12/D$3)</f>
        <v>1.0740258593215568E-2</v>
      </c>
      <c r="E58" s="104">
        <f t="shared" si="54"/>
        <v>1.0242774504609649E-2</v>
      </c>
      <c r="F58" s="104">
        <f t="shared" si="54"/>
        <v>1.1417498062852371E-2</v>
      </c>
      <c r="G58" s="104">
        <f t="shared" si="54"/>
        <v>1.1328587403554274E-2</v>
      </c>
      <c r="H58" s="104">
        <f t="shared" si="54"/>
        <v>1.1580366419851676E-2</v>
      </c>
      <c r="I58" s="104">
        <f t="shared" si="54"/>
        <v>1.167059133376379E-2</v>
      </c>
      <c r="J58" s="104">
        <f t="shared" si="54"/>
        <v>1.1275672659365275E-2</v>
      </c>
      <c r="K58" s="104">
        <f t="shared" si="54"/>
        <v>1.0985789509795497E-2</v>
      </c>
      <c r="L58" s="104">
        <f t="shared" si="54"/>
        <v>9.7127504668509564E-3</v>
      </c>
      <c r="M58" s="104">
        <f t="shared" si="54"/>
        <v>8.7855145813864523E-3</v>
      </c>
      <c r="N58" s="104">
        <f t="shared" si="54"/>
        <v>8.5193240585298927E-3</v>
      </c>
      <c r="O58" s="104">
        <f t="shared" si="54"/>
        <v>8.6514222083710103E-3</v>
      </c>
      <c r="P58" s="104">
        <f t="shared" si="54"/>
        <v>7.7839144815957965E-3</v>
      </c>
      <c r="Q58" s="104">
        <f t="shared" si="54"/>
        <v>7.8747511252679064E-3</v>
      </c>
      <c r="R58" s="104">
        <f t="shared" si="54"/>
        <v>6.8703134127226584E-3</v>
      </c>
      <c r="S58" s="104">
        <f t="shared" si="54"/>
        <v>7.306057996393076E-3</v>
      </c>
      <c r="T58" s="104">
        <f t="shared" si="54"/>
        <v>7.0721582406711326E-3</v>
      </c>
      <c r="U58" s="104">
        <f t="shared" si="54"/>
        <v>6.7370437247848622E-3</v>
      </c>
      <c r="V58" s="104">
        <f t="shared" si="54"/>
        <v>1.7292775016736501E-2</v>
      </c>
      <c r="W58" s="104">
        <f t="shared" ref="W58" si="55">IF(W12=0,0,W12/W$3)</f>
        <v>1.4831323603388565E-2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3.8787816175184717E-2</v>
      </c>
      <c r="C59" s="105">
        <f t="shared" si="56"/>
        <v>1.3237088884831164E-2</v>
      </c>
      <c r="D59" s="105">
        <f t="shared" ref="D59:V59" si="57">IF(D13=0,0,D13/D$3)</f>
        <v>3.305397105645913E-2</v>
      </c>
      <c r="E59" s="105">
        <f t="shared" si="57"/>
        <v>3.3205764187654779E-2</v>
      </c>
      <c r="F59" s="105">
        <f t="shared" si="57"/>
        <v>3.3263727905538013E-2</v>
      </c>
      <c r="G59" s="105">
        <f t="shared" si="57"/>
        <v>3.7118465707313454E-2</v>
      </c>
      <c r="H59" s="105">
        <f t="shared" si="57"/>
        <v>4.1197866929452917E-2</v>
      </c>
      <c r="I59" s="105">
        <f t="shared" si="57"/>
        <v>4.3173847913183336E-2</v>
      </c>
      <c r="J59" s="105">
        <f t="shared" si="57"/>
        <v>4.0709105614749379E-2</v>
      </c>
      <c r="K59" s="105">
        <f t="shared" si="57"/>
        <v>3.5536895309726452E-2</v>
      </c>
      <c r="L59" s="105">
        <f t="shared" si="57"/>
        <v>4.4325347014450005E-2</v>
      </c>
      <c r="M59" s="105">
        <f t="shared" si="57"/>
        <v>4.5943527422040234E-2</v>
      </c>
      <c r="N59" s="105">
        <f t="shared" si="57"/>
        <v>3.8082514357287163E-2</v>
      </c>
      <c r="O59" s="105">
        <f t="shared" si="57"/>
        <v>4.2196736320579846E-2</v>
      </c>
      <c r="P59" s="105">
        <f t="shared" si="57"/>
        <v>4.2662721717231768E-2</v>
      </c>
      <c r="Q59" s="105">
        <f t="shared" si="57"/>
        <v>4.8989502793971088E-2</v>
      </c>
      <c r="R59" s="105">
        <f t="shared" si="57"/>
        <v>4.8976445977524131E-2</v>
      </c>
      <c r="S59" s="105">
        <f t="shared" si="57"/>
        <v>5.1308297328111492E-2</v>
      </c>
      <c r="T59" s="105">
        <f t="shared" si="57"/>
        <v>4.5798061557236182E-2</v>
      </c>
      <c r="U59" s="105">
        <f t="shared" si="57"/>
        <v>4.3204752935395233E-2</v>
      </c>
      <c r="V59" s="105">
        <f t="shared" si="57"/>
        <v>0.12564759527313943</v>
      </c>
      <c r="W59" s="105">
        <f t="shared" ref="W59" si="58">IF(W13=0,0,W13/W$3)</f>
        <v>0.10910688998123004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71053417</v>
      </c>
      <c r="C4" s="11">
        <f t="shared" si="0"/>
        <v>65725293</v>
      </c>
      <c r="D4" s="11">
        <f t="shared" ref="D4" si="1">SUM(D5:D7)</f>
        <v>66403929</v>
      </c>
      <c r="E4" s="11">
        <f t="shared" ref="E4" si="2">SUM(E5:E7)</f>
        <v>77258424</v>
      </c>
      <c r="F4" s="11">
        <f t="shared" ref="F4" si="3">SUM(F5:F7)</f>
        <v>81867511</v>
      </c>
      <c r="G4" s="11">
        <f t="shared" ref="G4" si="4">SUM(G5:G7)</f>
        <v>86091061</v>
      </c>
      <c r="H4" s="11">
        <f t="shared" ref="H4" si="5">SUM(H5:H7)</f>
        <v>92159218</v>
      </c>
      <c r="I4" s="11">
        <f t="shared" ref="I4" si="6">SUM(I5:I7)</f>
        <v>100427870</v>
      </c>
      <c r="J4" s="11">
        <f t="shared" ref="J4" si="7">SUM(J5:J7)</f>
        <v>99744987</v>
      </c>
      <c r="K4" s="11">
        <f t="shared" ref="K4" si="8">SUM(K5:K7)</f>
        <v>97040439</v>
      </c>
      <c r="L4" s="11">
        <f t="shared" ref="L4" si="9">SUM(L5:L7)</f>
        <v>102802192</v>
      </c>
      <c r="M4" s="11">
        <f t="shared" ref="M4" si="10">SUM(M5:M7)</f>
        <v>102684670</v>
      </c>
      <c r="N4" s="11">
        <f t="shared" ref="N4" si="11">SUM(N5:N7)</f>
        <v>99310133</v>
      </c>
      <c r="O4" s="11">
        <f t="shared" ref="O4" si="12">SUM(O5:O7)</f>
        <v>98192031</v>
      </c>
      <c r="P4" s="11">
        <f t="shared" ref="P4" si="13">SUM(P5:P7)</f>
        <v>96419501</v>
      </c>
      <c r="Q4" s="11">
        <f t="shared" ref="Q4" si="14">SUM(Q5:Q7)</f>
        <v>98327326</v>
      </c>
      <c r="R4" s="11">
        <f t="shared" ref="R4" si="15">SUM(R5:R7)</f>
        <v>99399203</v>
      </c>
      <c r="S4" s="11">
        <f t="shared" ref="S4" si="16">SUM(S5:S7)</f>
        <v>106082571</v>
      </c>
      <c r="T4" s="11">
        <f t="shared" ref="T4" si="17">SUM(T5:T7)</f>
        <v>117089868</v>
      </c>
      <c r="U4" s="11">
        <f t="shared" ref="U4" si="18">SUM(U5:U7)</f>
        <v>119976145</v>
      </c>
      <c r="V4" s="11">
        <f t="shared" ref="V4:W4" si="19">SUM(V5:V7)</f>
        <v>44214709</v>
      </c>
      <c r="W4" s="11">
        <f t="shared" si="19"/>
        <v>59907066</v>
      </c>
      <c r="DA4" s="189" t="s">
        <v>361</v>
      </c>
    </row>
    <row r="5" spans="1:105" ht="11.45" customHeight="1" x14ac:dyDescent="0.25">
      <c r="A5" s="83" t="s">
        <v>27</v>
      </c>
      <c r="B5" s="84">
        <v>38315916</v>
      </c>
      <c r="C5" s="84">
        <v>35552354</v>
      </c>
      <c r="D5" s="84">
        <v>35856577</v>
      </c>
      <c r="E5" s="84">
        <v>39779144</v>
      </c>
      <c r="F5" s="84">
        <v>40253219</v>
      </c>
      <c r="G5" s="84">
        <v>40744409</v>
      </c>
      <c r="H5" s="84">
        <v>42992062</v>
      </c>
      <c r="I5" s="84">
        <v>45560477</v>
      </c>
      <c r="J5" s="84">
        <v>44758844</v>
      </c>
      <c r="K5" s="84">
        <v>45220781</v>
      </c>
      <c r="L5" s="84">
        <v>48518500</v>
      </c>
      <c r="M5" s="84">
        <v>45363912</v>
      </c>
      <c r="N5" s="84">
        <v>42112355</v>
      </c>
      <c r="O5" s="84">
        <v>39799649</v>
      </c>
      <c r="P5" s="84">
        <v>36658746</v>
      </c>
      <c r="Q5" s="84">
        <v>37124271</v>
      </c>
      <c r="R5" s="84">
        <v>36809855</v>
      </c>
      <c r="S5" s="84">
        <v>38539924</v>
      </c>
      <c r="T5" s="84">
        <v>41113417</v>
      </c>
      <c r="U5" s="84">
        <v>41367068</v>
      </c>
      <c r="V5" s="84">
        <v>20047278</v>
      </c>
      <c r="W5" s="84">
        <v>29196018</v>
      </c>
      <c r="DA5" s="171" t="s">
        <v>362</v>
      </c>
    </row>
    <row r="6" spans="1:105" ht="11.45" customHeight="1" x14ac:dyDescent="0.25">
      <c r="A6" s="83" t="s">
        <v>173</v>
      </c>
      <c r="B6" s="84">
        <v>24334970</v>
      </c>
      <c r="C6" s="84">
        <v>22453438</v>
      </c>
      <c r="D6" s="84">
        <v>22791545</v>
      </c>
      <c r="E6" s="84">
        <v>28654505</v>
      </c>
      <c r="F6" s="84">
        <v>31377600</v>
      </c>
      <c r="G6" s="84">
        <v>34056237</v>
      </c>
      <c r="H6" s="84">
        <v>37175168</v>
      </c>
      <c r="I6" s="84">
        <v>41862309</v>
      </c>
      <c r="J6" s="84">
        <v>41020840</v>
      </c>
      <c r="K6" s="84">
        <v>38564012</v>
      </c>
      <c r="L6" s="84">
        <v>39941943</v>
      </c>
      <c r="M6" s="84">
        <v>43490913</v>
      </c>
      <c r="N6" s="84">
        <v>41600363</v>
      </c>
      <c r="O6" s="84">
        <v>41798605</v>
      </c>
      <c r="P6" s="84">
        <v>43030107</v>
      </c>
      <c r="Q6" s="84">
        <v>45281606</v>
      </c>
      <c r="R6" s="84">
        <v>47247310</v>
      </c>
      <c r="S6" s="84">
        <v>50548126</v>
      </c>
      <c r="T6" s="84">
        <v>55118842</v>
      </c>
      <c r="U6" s="84">
        <v>57522800</v>
      </c>
      <c r="V6" s="84">
        <v>17771579</v>
      </c>
      <c r="W6" s="84">
        <v>23517949</v>
      </c>
      <c r="DA6" s="171" t="s">
        <v>363</v>
      </c>
    </row>
    <row r="7" spans="1:105" ht="11.45" customHeight="1" x14ac:dyDescent="0.25">
      <c r="A7" s="85" t="s">
        <v>174</v>
      </c>
      <c r="B7" s="86">
        <v>8402531</v>
      </c>
      <c r="C7" s="86">
        <v>7719501</v>
      </c>
      <c r="D7" s="86">
        <v>7755807</v>
      </c>
      <c r="E7" s="86">
        <v>8824775</v>
      </c>
      <c r="F7" s="86">
        <v>10236692</v>
      </c>
      <c r="G7" s="86">
        <v>11290415</v>
      </c>
      <c r="H7" s="86">
        <v>11991988</v>
      </c>
      <c r="I7" s="86">
        <v>13005084</v>
      </c>
      <c r="J7" s="86">
        <v>13965303</v>
      </c>
      <c r="K7" s="86">
        <v>13255646</v>
      </c>
      <c r="L7" s="86">
        <v>14341749</v>
      </c>
      <c r="M7" s="86">
        <v>13829845</v>
      </c>
      <c r="N7" s="86">
        <v>15597415</v>
      </c>
      <c r="O7" s="86">
        <v>16593777</v>
      </c>
      <c r="P7" s="86">
        <v>16730648</v>
      </c>
      <c r="Q7" s="86">
        <v>15921449</v>
      </c>
      <c r="R7" s="86">
        <v>15342038</v>
      </c>
      <c r="S7" s="86">
        <v>16994521</v>
      </c>
      <c r="T7" s="86">
        <v>20857609</v>
      </c>
      <c r="U7" s="86">
        <v>21086277</v>
      </c>
      <c r="V7" s="86">
        <v>6395852</v>
      </c>
      <c r="W7" s="86">
        <v>7193099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129.62758626980579</v>
      </c>
      <c r="C12" s="14">
        <f>IF(C4=0,0,C4/TrAvia_act!C24)</f>
        <v>130.73078231258691</v>
      </c>
      <c r="D12" s="14">
        <f>IF(D4=0,0,D4/TrAvia_act!D24)</f>
        <v>131.83517805630061</v>
      </c>
      <c r="E12" s="14">
        <f>IF(E4=0,0,E4/TrAvia_act!E24)</f>
        <v>131.39232446368865</v>
      </c>
      <c r="F12" s="14">
        <f>IF(F4=0,0,F4/TrAvia_act!F24)</f>
        <v>136.87838737075828</v>
      </c>
      <c r="G12" s="14">
        <f>IF(G4=0,0,G4/TrAvia_act!G24)</f>
        <v>137.17395654910334</v>
      </c>
      <c r="H12" s="14">
        <f>IF(H4=0,0,H4/TrAvia_act!H24)</f>
        <v>139.50771946236998</v>
      </c>
      <c r="I12" s="14">
        <f>IF(I4=0,0,I4/TrAvia_act!I24)</f>
        <v>137.07463717377033</v>
      </c>
      <c r="J12" s="14">
        <f>IF(J4=0,0,J4/TrAvia_act!J24)</f>
        <v>145.58740280913884</v>
      </c>
      <c r="K12" s="14">
        <f>IF(K4=0,0,K4/TrAvia_act!K24)</f>
        <v>148.22892742253302</v>
      </c>
      <c r="L12" s="14">
        <f>IF(L4=0,0,L4/TrAvia_act!L24)</f>
        <v>154.08672139526448</v>
      </c>
      <c r="M12" s="14">
        <f>IF(M4=0,0,M4/TrAvia_act!M24)</f>
        <v>152.92609007753185</v>
      </c>
      <c r="N12" s="14">
        <f>IF(N4=0,0,N4/TrAvia_act!N24)</f>
        <v>152.88925512196022</v>
      </c>
      <c r="O12" s="14">
        <f>IF(O4=0,0,O4/TrAvia_act!O24)</f>
        <v>160.67185101794368</v>
      </c>
      <c r="P12" s="14">
        <f>IF(P4=0,0,P4/TrAvia_act!P24)</f>
        <v>162.19078290007099</v>
      </c>
      <c r="Q12" s="14">
        <f>IF(Q4=0,0,Q4/TrAvia_act!Q24)</f>
        <v>158.35314371667334</v>
      </c>
      <c r="R12" s="14">
        <f>IF(R4=0,0,R4/TrAvia_act!R24)</f>
        <v>154.97708534722005</v>
      </c>
      <c r="S12" s="14">
        <f>IF(S4=0,0,S4/TrAvia_act!S24)</f>
        <v>160.64062528393089</v>
      </c>
      <c r="T12" s="14">
        <f>IF(T4=0,0,T4/TrAvia_act!T24)</f>
        <v>170.64364599819868</v>
      </c>
      <c r="U12" s="14">
        <f>IF(U4=0,0,U4/TrAvia_act!U24)</f>
        <v>169.66176152409182</v>
      </c>
      <c r="V12" s="14">
        <f>IF(V4=0,0,V4/TrAvia_act!V24)</f>
        <v>161.48365430619825</v>
      </c>
      <c r="W12" s="14">
        <f>IF(W4=0,0,W4/TrAvia_act!W24)</f>
        <v>160.75270080984043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139.05300327709409</v>
      </c>
      <c r="C13" s="87">
        <f>IF(C5=0,0,C5/TrAvia_act!C25)</f>
        <v>140.0360564046006</v>
      </c>
      <c r="D13" s="87">
        <f>IF(D5=0,0,D5/TrAvia_act!D25)</f>
        <v>140.85320171114088</v>
      </c>
      <c r="E13" s="87">
        <f>IF(E5=0,0,E5/TrAvia_act!E25)</f>
        <v>137.33094431728344</v>
      </c>
      <c r="F13" s="87">
        <f>IF(F5=0,0,F5/TrAvia_act!F25)</f>
        <v>143.11492364851654</v>
      </c>
      <c r="G13" s="87">
        <f>IF(G5=0,0,G5/TrAvia_act!G25)</f>
        <v>144.10098355785519</v>
      </c>
      <c r="H13" s="87">
        <f>IF(H5=0,0,H5/TrAvia_act!H25)</f>
        <v>143.28585807414913</v>
      </c>
      <c r="I13" s="87">
        <f>IF(I5=0,0,I5/TrAvia_act!I25)</f>
        <v>136.38860466578257</v>
      </c>
      <c r="J13" s="87">
        <f>IF(J5=0,0,J5/TrAvia_act!J25)</f>
        <v>144.67645423632391</v>
      </c>
      <c r="K13" s="87">
        <f>IF(K5=0,0,K5/TrAvia_act!K25)</f>
        <v>149.33566590602121</v>
      </c>
      <c r="L13" s="87">
        <f>IF(L5=0,0,L5/TrAvia_act!L25)</f>
        <v>161.75960685732574</v>
      </c>
      <c r="M13" s="87">
        <f>IF(M5=0,0,M5/TrAvia_act!M25)</f>
        <v>150.86855679531735</v>
      </c>
      <c r="N13" s="87">
        <f>IF(N5=0,0,N5/TrAvia_act!N25)</f>
        <v>150.02139226031227</v>
      </c>
      <c r="O13" s="87">
        <f>IF(O5=0,0,O5/TrAvia_act!O25)</f>
        <v>156.67179331737734</v>
      </c>
      <c r="P13" s="87">
        <f>IF(P5=0,0,P5/TrAvia_act!P25)</f>
        <v>157.17851905844017</v>
      </c>
      <c r="Q13" s="87">
        <f>IF(Q5=0,0,Q5/TrAvia_act!Q25)</f>
        <v>153.33258025078888</v>
      </c>
      <c r="R13" s="87">
        <f>IF(R5=0,0,R5/TrAvia_act!R25)</f>
        <v>152.53165842055975</v>
      </c>
      <c r="S13" s="87">
        <f>IF(S5=0,0,S5/TrAvia_act!S25)</f>
        <v>157.1634029573203</v>
      </c>
      <c r="T13" s="87">
        <f>IF(T5=0,0,T5/TrAvia_act!T25)</f>
        <v>165.85480943006519</v>
      </c>
      <c r="U13" s="87">
        <f>IF(U5=0,0,U5/TrAvia_act!U25)</f>
        <v>163.93385115320598</v>
      </c>
      <c r="V13" s="87">
        <f>IF(V5=0,0,V5/TrAvia_act!V25)</f>
        <v>157.59199748447449</v>
      </c>
      <c r="W13" s="87">
        <f>IF(W5=0,0,W5/TrAvia_act!W25)</f>
        <v>163.27408061918396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111.16274501742701</v>
      </c>
      <c r="C14" s="87">
        <f>IF(C6=0,0,C6/TrAvia_act!C26)</f>
        <v>112.34077320645022</v>
      </c>
      <c r="D14" s="87">
        <f>IF(D6=0,0,D6/TrAvia_act!D26)</f>
        <v>113.91842314401532</v>
      </c>
      <c r="E14" s="87">
        <f>IF(E6=0,0,E6/TrAvia_act!E26)</f>
        <v>117.82570704869363</v>
      </c>
      <c r="F14" s="87">
        <f>IF(F6=0,0,F6/TrAvia_act!F26)</f>
        <v>123.17548549692037</v>
      </c>
      <c r="G14" s="87">
        <f>IF(G6=0,0,G6/TrAvia_act!G26)</f>
        <v>124.20308317347319</v>
      </c>
      <c r="H14" s="87">
        <f>IF(H6=0,0,H6/TrAvia_act!H26)</f>
        <v>128.90499042969293</v>
      </c>
      <c r="I14" s="87">
        <f>IF(I6=0,0,I6/TrAvia_act!I26)</f>
        <v>131.20225219154597</v>
      </c>
      <c r="J14" s="87">
        <f>IF(J6=0,0,J6/TrAvia_act!J26)</f>
        <v>137.41634423730801</v>
      </c>
      <c r="K14" s="87">
        <f>IF(K6=0,0,K6/TrAvia_act!K26)</f>
        <v>138.65662325708493</v>
      </c>
      <c r="L14" s="87">
        <f>IF(L6=0,0,L6/TrAvia_act!L26)</f>
        <v>139.50593063462679</v>
      </c>
      <c r="M14" s="87">
        <f>IF(M6=0,0,M6/TrAvia_act!M26)</f>
        <v>148.97923788905408</v>
      </c>
      <c r="N14" s="87">
        <f>IF(N6=0,0,N6/TrAvia_act!N26)</f>
        <v>145.92727202570543</v>
      </c>
      <c r="O14" s="87">
        <f>IF(O6=0,0,O6/TrAvia_act!O26)</f>
        <v>153.90332854670643</v>
      </c>
      <c r="P14" s="87">
        <f>IF(P6=0,0,P6/TrAvia_act!P26)</f>
        <v>155.64902552304886</v>
      </c>
      <c r="Q14" s="87">
        <f>IF(Q6=0,0,Q6/TrAvia_act!Q26)</f>
        <v>153.47563897898937</v>
      </c>
      <c r="R14" s="87">
        <f>IF(R6=0,0,R6/TrAvia_act!R26)</f>
        <v>150.40016680248547</v>
      </c>
      <c r="S14" s="87">
        <f>IF(S6=0,0,S6/TrAvia_act!S26)</f>
        <v>155.76562490370216</v>
      </c>
      <c r="T14" s="87">
        <f>IF(T6=0,0,T6/TrAvia_act!T26)</f>
        <v>163.95682657155859</v>
      </c>
      <c r="U14" s="87">
        <f>IF(U6=0,0,U6/TrAvia_act!U26)</f>
        <v>165.99132570172071</v>
      </c>
      <c r="V14" s="87">
        <f>IF(V6=0,0,V6/TrAvia_act!V26)</f>
        <v>158.97430874236284</v>
      </c>
      <c r="W14" s="87">
        <f>IF(W6=0,0,W6/TrAvia_act!W26)</f>
        <v>157.75494201061181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156.55042572615653</v>
      </c>
      <c r="C15" s="88">
        <f>IF(C7=0,0,C7/TrAvia_act!C27)</f>
        <v>157.52797730797485</v>
      </c>
      <c r="D15" s="88">
        <f>IF(D7=0,0,D7/TrAvia_act!D27)</f>
        <v>158.11075775181945</v>
      </c>
      <c r="E15" s="88">
        <f>IF(E7=0,0,E7/TrAvia_act!E27)</f>
        <v>160.02856106627982</v>
      </c>
      <c r="F15" s="88">
        <f>IF(F7=0,0,F7/TrAvia_act!F27)</f>
        <v>164.84206119162641</v>
      </c>
      <c r="G15" s="88">
        <f>IF(G7=0,0,G7/TrAvia_act!G27)</f>
        <v>159.78962042514647</v>
      </c>
      <c r="H15" s="88">
        <f>IF(H7=0,0,H7/TrAvia_act!H27)</f>
        <v>166.16996688237006</v>
      </c>
      <c r="I15" s="88">
        <f>IF(I7=0,0,I7/TrAvia_act!I27)</f>
        <v>163.51397497956873</v>
      </c>
      <c r="J15" s="88">
        <f>IF(J7=0,0,J7/TrAvia_act!J27)</f>
        <v>180.818072351555</v>
      </c>
      <c r="K15" s="88">
        <f>IF(K7=0,0,K7/TrAvia_act!K27)</f>
        <v>179.79364411952201</v>
      </c>
      <c r="L15" s="88">
        <f>IF(L7=0,0,L7/TrAvia_act!L27)</f>
        <v>177.23586549512476</v>
      </c>
      <c r="M15" s="88">
        <f>IF(M7=0,0,M7/TrAvia_act!M27)</f>
        <v>175.38323505167713</v>
      </c>
      <c r="N15" s="88">
        <f>IF(N7=0,0,N7/TrAvia_act!N27)</f>
        <v>186.19110432011078</v>
      </c>
      <c r="O15" s="88">
        <f>IF(O7=0,0,O7/TrAvia_act!O27)</f>
        <v>194.05202778557396</v>
      </c>
      <c r="P15" s="88">
        <f>IF(P7=0,0,P7/TrAvia_act!P27)</f>
        <v>197.30468418321618</v>
      </c>
      <c r="Q15" s="88">
        <f>IF(Q7=0,0,Q7/TrAvia_act!Q27)</f>
        <v>190.03878013845787</v>
      </c>
      <c r="R15" s="88">
        <f>IF(R7=0,0,R7/TrAvia_act!R27)</f>
        <v>178.58267954836458</v>
      </c>
      <c r="S15" s="88">
        <f>IF(S7=0,0,S7/TrAvia_act!S27)</f>
        <v>187.50298998190564</v>
      </c>
      <c r="T15" s="88">
        <f>IF(T7=0,0,T7/TrAvia_act!T27)</f>
        <v>204.28808313499641</v>
      </c>
      <c r="U15" s="88">
        <f>IF(U7=0,0,U7/TrAvia_act!U27)</f>
        <v>194.76001219196809</v>
      </c>
      <c r="V15" s="88">
        <f>IF(V7=0,0,V7/TrAvia_act!V27)</f>
        <v>183.76772784737386</v>
      </c>
      <c r="W15" s="88">
        <f>IF(W7=0,0,W7/TrAvia_act!W27)</f>
        <v>160.66424694556744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0.63974696670815989</v>
      </c>
      <c r="C18" s="25">
        <f>IF(TrAvia_act!C34=0,0,(TrAvia_act!C34/TrAvia_act!C24)/TrAvia_png!C12)</f>
        <v>0.64101830630104595</v>
      </c>
      <c r="D18" s="25">
        <f>IF(TrAvia_act!D34=0,0,(TrAvia_act!D34/TrAvia_act!D24)/TrAvia_png!D12)</f>
        <v>0.64375077866250963</v>
      </c>
      <c r="E18" s="25">
        <f>IF(TrAvia_act!E34=0,0,(TrAvia_act!E34/TrAvia_act!E24)/TrAvia_png!E12)</f>
        <v>0.624658626223077</v>
      </c>
      <c r="F18" s="25">
        <f>IF(TrAvia_act!F34=0,0,(TrAvia_act!F34/TrAvia_act!F24)/TrAvia_png!F12)</f>
        <v>0.64545478853021432</v>
      </c>
      <c r="G18" s="25">
        <f>IF(TrAvia_act!G34=0,0,(TrAvia_act!G34/TrAvia_act!G24)/TrAvia_png!G12)</f>
        <v>0.66128419534752858</v>
      </c>
      <c r="H18" s="25">
        <f>IF(TrAvia_act!H34=0,0,(TrAvia_act!H34/TrAvia_act!H24)/TrAvia_png!H12)</f>
        <v>0.67035637173049811</v>
      </c>
      <c r="I18" s="25">
        <f>IF(TrAvia_act!I34=0,0,(TrAvia_act!I34/TrAvia_act!I24)/TrAvia_png!I12)</f>
        <v>0.68793201528619496</v>
      </c>
      <c r="J18" s="25">
        <f>IF(TrAvia_act!J34=0,0,(TrAvia_act!J34/TrAvia_act!J24)/TrAvia_png!J12)</f>
        <v>0.66932895585018215</v>
      </c>
      <c r="K18" s="25">
        <f>IF(TrAvia_act!K34=0,0,(TrAvia_act!K34/TrAvia_act!K24)/TrAvia_png!K12)</f>
        <v>0.67432456689525078</v>
      </c>
      <c r="L18" s="25">
        <f>IF(TrAvia_act!L34=0,0,(TrAvia_act!L34/TrAvia_act!L24)/TrAvia_png!L12)</f>
        <v>0.68011326061996813</v>
      </c>
      <c r="M18" s="25">
        <f>IF(TrAvia_act!M34=0,0,(TrAvia_act!M34/TrAvia_act!M24)/TrAvia_png!M12)</f>
        <v>0.72395433515051466</v>
      </c>
      <c r="N18" s="25">
        <f>IF(TrAvia_act!N34=0,0,(TrAvia_act!N34/TrAvia_act!N24)/TrAvia_png!N12)</f>
        <v>0.73989118512206609</v>
      </c>
      <c r="O18" s="25">
        <f>IF(TrAvia_act!O34=0,0,(TrAvia_act!O34/TrAvia_act!O24)/TrAvia_png!O12)</f>
        <v>0.73532432586102636</v>
      </c>
      <c r="P18" s="25">
        <f>IF(TrAvia_act!P34=0,0,(TrAvia_act!P34/TrAvia_act!P24)/TrAvia_png!P12)</f>
        <v>0.75754830965159214</v>
      </c>
      <c r="Q18" s="25">
        <f>IF(TrAvia_act!Q34=0,0,(TrAvia_act!Q34/TrAvia_act!Q24)/TrAvia_png!Q12)</f>
        <v>0.80001354862431628</v>
      </c>
      <c r="R18" s="25">
        <f>IF(TrAvia_act!R34=0,0,(TrAvia_act!R34/TrAvia_act!R24)/TrAvia_png!R12)</f>
        <v>0.82813340062696483</v>
      </c>
      <c r="S18" s="25">
        <f>IF(TrAvia_act!S34=0,0,(TrAvia_act!S34/TrAvia_act!S24)/TrAvia_png!S12)</f>
        <v>0.82607234321272249</v>
      </c>
      <c r="T18" s="25">
        <f>IF(TrAvia_act!T34=0,0,(TrAvia_act!T34/TrAvia_act!T24)/TrAvia_png!T12)</f>
        <v>0.79341621599573409</v>
      </c>
      <c r="U18" s="25">
        <f>IF(TrAvia_act!U34=0,0,(TrAvia_act!U34/TrAvia_act!U24)/TrAvia_png!U12)</f>
        <v>0.8067189523384003</v>
      </c>
      <c r="V18" s="25">
        <f>IF(TrAvia_act!V34=0,0,(TrAvia_act!V34/TrAvia_act!V24)/TrAvia_png!V12)</f>
        <v>0.60088863188039987</v>
      </c>
      <c r="W18" s="25">
        <f>IF(TrAvia_act!W34=0,0,(TrAvia_act!W34/TrAvia_act!W24)/TrAvia_png!W12)</f>
        <v>0.67605392325506319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0.58492431709057935</v>
      </c>
      <c r="C19" s="89">
        <f>IF(TrAvia_act!C35=0,0,(TrAvia_act!C35/TrAvia_act!C25)/TrAvia_png!C13)</f>
        <v>0.58658979374474052</v>
      </c>
      <c r="D19" s="89">
        <f>IF(TrAvia_act!D35=0,0,(TrAvia_act!D35/TrAvia_act!D25)/TrAvia_png!D13)</f>
        <v>0.59038981886084663</v>
      </c>
      <c r="E19" s="89">
        <f>IF(TrAvia_act!E35=0,0,(TrAvia_act!E35/TrAvia_act!E25)/TrAvia_png!E13)</f>
        <v>0.5930052692938792</v>
      </c>
      <c r="F19" s="89">
        <f>IF(TrAvia_act!F35=0,0,(TrAvia_act!F35/TrAvia_act!F25)/TrAvia_png!F13)</f>
        <v>0.59550089646246673</v>
      </c>
      <c r="G19" s="89">
        <f>IF(TrAvia_act!G35=0,0,(TrAvia_act!G35/TrAvia_act!G25)/TrAvia_png!G13)</f>
        <v>0.60312660321076206</v>
      </c>
      <c r="H19" s="89">
        <f>IF(TrAvia_act!H35=0,0,(TrAvia_act!H35/TrAvia_act!H25)/TrAvia_png!H13)</f>
        <v>0.60925472707031358</v>
      </c>
      <c r="I19" s="89">
        <f>IF(TrAvia_act!I35=0,0,(TrAvia_act!I35/TrAvia_act!I25)/TrAvia_png!I13)</f>
        <v>0.64347293817841278</v>
      </c>
      <c r="J19" s="89">
        <f>IF(TrAvia_act!J35=0,0,(TrAvia_act!J35/TrAvia_act!J25)/TrAvia_png!J13)</f>
        <v>0.62900540952308781</v>
      </c>
      <c r="K19" s="89">
        <f>IF(TrAvia_act!K35=0,0,(TrAvia_act!K35/TrAvia_act!K25)/TrAvia_png!K13)</f>
        <v>0.62979719434743953</v>
      </c>
      <c r="L19" s="89">
        <f>IF(TrAvia_act!L35=0,0,(TrAvia_act!L35/TrAvia_act!L25)/TrAvia_png!L13)</f>
        <v>0.61885779651060946</v>
      </c>
      <c r="M19" s="89">
        <f>IF(TrAvia_act!M35=0,0,(TrAvia_act!M35/TrAvia_act!M25)/TrAvia_png!M13)</f>
        <v>0.70458092326781707</v>
      </c>
      <c r="N19" s="89">
        <f>IF(TrAvia_act!N35=0,0,(TrAvia_act!N35/TrAvia_act!N25)/TrAvia_png!N13)</f>
        <v>0.71953663004598067</v>
      </c>
      <c r="O19" s="89">
        <f>IF(TrAvia_act!O35=0,0,(TrAvia_act!O35/TrAvia_act!O25)/TrAvia_png!O13)</f>
        <v>0.71605480741802519</v>
      </c>
      <c r="P19" s="89">
        <f>IF(TrAvia_act!P35=0,0,(TrAvia_act!P35/TrAvia_act!P25)/TrAvia_png!P13)</f>
        <v>0.74126668162626186</v>
      </c>
      <c r="Q19" s="89">
        <f>IF(TrAvia_act!Q35=0,0,(TrAvia_act!Q35/TrAvia_act!Q25)/TrAvia_png!Q13)</f>
        <v>0.79328499137397201</v>
      </c>
      <c r="R19" s="89">
        <f>IF(TrAvia_act!R35=0,0,(TrAvia_act!R35/TrAvia_act!R25)/TrAvia_png!R13)</f>
        <v>0.81404754243123201</v>
      </c>
      <c r="S19" s="89">
        <f>IF(TrAvia_act!S35=0,0,(TrAvia_act!S35/TrAvia_act!S25)/TrAvia_png!S13)</f>
        <v>0.80096551306120889</v>
      </c>
      <c r="T19" s="89">
        <f>IF(TrAvia_act!T35=0,0,(TrAvia_act!T35/TrAvia_act!T25)/TrAvia_png!T13)</f>
        <v>0.77568814092976024</v>
      </c>
      <c r="U19" s="89">
        <f>IF(TrAvia_act!U35=0,0,(TrAvia_act!U35/TrAvia_act!U25)/TrAvia_png!U13)</f>
        <v>0.78114291300509875</v>
      </c>
      <c r="V19" s="89">
        <f>IF(TrAvia_act!V35=0,0,(TrAvia_act!V35/TrAvia_act!V25)/TrAvia_png!V13)</f>
        <v>0.62506740316565668</v>
      </c>
      <c r="W19" s="89">
        <f>IF(TrAvia_act!W35=0,0,(TrAvia_act!W35/TrAvia_act!W25)/TrAvia_png!W13)</f>
        <v>0.72119876073511124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0.69101420712661654</v>
      </c>
      <c r="C20" s="89">
        <f>IF(TrAvia_act!C36=0,0,(TrAvia_act!C36/TrAvia_act!C26)/TrAvia_png!C14)</f>
        <v>0.69307453050174328</v>
      </c>
      <c r="D20" s="89">
        <f>IF(TrAvia_act!D36=0,0,(TrAvia_act!D36/TrAvia_act!D26)/TrAvia_png!D14)</f>
        <v>0.69455208060708473</v>
      </c>
      <c r="E20" s="89">
        <f>IF(TrAvia_act!E36=0,0,(TrAvia_act!E36/TrAvia_act!E26)/TrAvia_png!E14)</f>
        <v>0.65393103108917783</v>
      </c>
      <c r="F20" s="89">
        <f>IF(TrAvia_act!F36=0,0,(TrAvia_act!F36/TrAvia_act!F26)/TrAvia_png!F14)</f>
        <v>0.6839706032328795</v>
      </c>
      <c r="G20" s="89">
        <f>IF(TrAvia_act!G36=0,0,(TrAvia_act!G36/TrAvia_act!G26)/TrAvia_png!G14)</f>
        <v>0.71001379277458043</v>
      </c>
      <c r="H20" s="89">
        <f>IF(TrAvia_act!H36=0,0,(TrAvia_act!H36/TrAvia_act!H26)/TrAvia_png!H14)</f>
        <v>0.72266928289335497</v>
      </c>
      <c r="I20" s="89">
        <f>IF(TrAvia_act!I36=0,0,(TrAvia_act!I36/TrAvia_act!I26)/TrAvia_png!I14)</f>
        <v>0.71608181001196092</v>
      </c>
      <c r="J20" s="89">
        <f>IF(TrAvia_act!J36=0,0,(TrAvia_act!J36/TrAvia_act!J26)/TrAvia_png!J14)</f>
        <v>0.70800666197961815</v>
      </c>
      <c r="K20" s="89">
        <f>IF(TrAvia_act!K36=0,0,(TrAvia_act!K36/TrAvia_act!K26)/TrAvia_png!K14)</f>
        <v>0.71892086850299697</v>
      </c>
      <c r="L20" s="89">
        <f>IF(TrAvia_act!L36=0,0,(TrAvia_act!L36/TrAvia_act!L26)/TrAvia_png!L14)</f>
        <v>0.73819070344174298</v>
      </c>
      <c r="M20" s="89">
        <f>IF(TrAvia_act!M36=0,0,(TrAvia_act!M36/TrAvia_act!M26)/TrAvia_png!M14)</f>
        <v>0.74007843891435432</v>
      </c>
      <c r="N20" s="89">
        <f>IF(TrAvia_act!N36=0,0,(TrAvia_act!N36/TrAvia_act!N26)/TrAvia_png!N14)</f>
        <v>0.7743510795807238</v>
      </c>
      <c r="O20" s="89">
        <f>IF(TrAvia_act!O36=0,0,(TrAvia_act!O36/TrAvia_act!O26)/TrAvia_png!O14)</f>
        <v>0.77333568907383388</v>
      </c>
      <c r="P20" s="89">
        <f>IF(TrAvia_act!P36=0,0,(TrAvia_act!P36/TrAvia_act!P26)/TrAvia_png!P14)</f>
        <v>0.79243086706709798</v>
      </c>
      <c r="Q20" s="89">
        <f>IF(TrAvia_act!Q36=0,0,(TrAvia_act!Q36/TrAvia_act!Q26)/TrAvia_png!Q14)</f>
        <v>0.82418024219370667</v>
      </c>
      <c r="R20" s="89">
        <f>IF(TrAvia_act!R36=0,0,(TrAvia_act!R36/TrAvia_act!R26)/TrAvia_png!R14)</f>
        <v>0.84845710792847262</v>
      </c>
      <c r="S20" s="89">
        <f>IF(TrAvia_act!S36=0,0,(TrAvia_act!S36/TrAvia_act!S26)/TrAvia_png!S14)</f>
        <v>0.85429869348667831</v>
      </c>
      <c r="T20" s="89">
        <f>IF(TrAvia_act!T36=0,0,(TrAvia_act!T36/TrAvia_act!T26)/TrAvia_png!T14)</f>
        <v>0.82839091575980506</v>
      </c>
      <c r="U20" s="89">
        <f>IF(TrAvia_act!U36=0,0,(TrAvia_act!U36/TrAvia_act!U26)/TrAvia_png!U14)</f>
        <v>0.83198868970217021</v>
      </c>
      <c r="V20" s="89">
        <f>IF(TrAvia_act!V36=0,0,(TrAvia_act!V36/TrAvia_act!V26)/TrAvia_png!V14)</f>
        <v>0.60296110998353047</v>
      </c>
      <c r="W20" s="89">
        <f>IF(TrAvia_act!W36=0,0,(TrAvia_act!W36/TrAvia_act!W26)/TrAvia_png!W14)</f>
        <v>0.65238069867402138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0.74126319795785345</v>
      </c>
      <c r="C21" s="90">
        <f>IF(TrAvia_act!C37=0,0,(TrAvia_act!C37/TrAvia_act!C27)/TrAvia_png!C15)</f>
        <v>0.74027608779375775</v>
      </c>
      <c r="D21" s="90">
        <f>IF(TrAvia_act!D37=0,0,(TrAvia_act!D37/TrAvia_act!D27)/TrAvia_png!D15)</f>
        <v>0.74116181591419183</v>
      </c>
      <c r="E21" s="90">
        <f>IF(TrAvia_act!E37=0,0,(TrAvia_act!E37/TrAvia_act!E27)/TrAvia_png!E15)</f>
        <v>0.67229238139216008</v>
      </c>
      <c r="F21" s="90">
        <f>IF(TrAvia_act!F37=0,0,(TrAvia_act!F37/TrAvia_act!F27)/TrAvia_png!F15)</f>
        <v>0.72382689642318043</v>
      </c>
      <c r="G21" s="90">
        <f>IF(TrAvia_act!G37=0,0,(TrAvia_act!G37/TrAvia_act!G27)/TrAvia_png!G15)</f>
        <v>0.72417382354855875</v>
      </c>
      <c r="H21" s="90">
        <f>IF(TrAvia_act!H37=0,0,(TrAvia_act!H37/TrAvia_act!H27)/TrAvia_png!H15)</f>
        <v>0.72723972038664486</v>
      </c>
      <c r="I21" s="90">
        <f>IF(TrAvia_act!I37=0,0,(TrAvia_act!I37/TrAvia_act!I27)/TrAvia_png!I15)</f>
        <v>0.75307279829949592</v>
      </c>
      <c r="J21" s="90">
        <f>IF(TrAvia_act!J37=0,0,(TrAvia_act!J37/TrAvia_act!J27)/TrAvia_png!J15)</f>
        <v>0.68495649539433556</v>
      </c>
      <c r="K21" s="90">
        <f>IF(TrAvia_act!K37=0,0,(TrAvia_act!K37/TrAvia_act!K27)/TrAvia_png!K15)</f>
        <v>0.69648495441112412</v>
      </c>
      <c r="L21" s="90">
        <f>IF(TrAvia_act!L37=0,0,(TrAvia_act!L37/TrAvia_act!L27)/TrAvia_png!L15)</f>
        <v>0.72559567176918238</v>
      </c>
      <c r="M21" s="90">
        <f>IF(TrAvia_act!M37=0,0,(TrAvia_act!M37/TrAvia_act!M27)/TrAvia_png!M15)</f>
        <v>0.73679625476641275</v>
      </c>
      <c r="N21" s="90">
        <f>IF(TrAvia_act!N37=0,0,(TrAvia_act!N37/TrAvia_act!N27)/TrAvia_png!N15)</f>
        <v>0.70293853180158372</v>
      </c>
      <c r="O21" s="90">
        <f>IF(TrAvia_act!O37=0,0,(TrAvia_act!O37/TrAvia_act!O27)/TrAvia_png!O15)</f>
        <v>0.68579359599686074</v>
      </c>
      <c r="P21" s="90">
        <f>IF(TrAvia_act!P37=0,0,(TrAvia_act!P37/TrAvia_act!P27)/TrAvia_png!P15)</f>
        <v>0.70350759874931323</v>
      </c>
      <c r="Q21" s="90">
        <f>IF(TrAvia_act!Q37=0,0,(TrAvia_act!Q37/TrAvia_act!Q27)/TrAvia_png!Q15)</f>
        <v>0.74697102003718374</v>
      </c>
      <c r="R21" s="90">
        <f>IF(TrAvia_act!R37=0,0,(TrAvia_act!R37/TrAvia_act!R27)/TrAvia_png!R15)</f>
        <v>0.79934047875516923</v>
      </c>
      <c r="S21" s="90">
        <f>IF(TrAvia_act!S37=0,0,(TrAvia_act!S37/TrAvia_act!S27)/TrAvia_png!S15)</f>
        <v>0.79905341256749751</v>
      </c>
      <c r="T21" s="90">
        <f>IF(TrAvia_act!T37=0,0,(TrAvia_act!T37/TrAvia_act!T27)/TrAvia_png!T15)</f>
        <v>0.73593584000927437</v>
      </c>
      <c r="U21" s="90">
        <f>IF(TrAvia_act!U37=0,0,(TrAvia_act!U37/TrAvia_act!U27)/TrAvia_png!U15)</f>
        <v>0.78795887012202304</v>
      </c>
      <c r="V21" s="90">
        <f>IF(TrAvia_act!V37=0,0,(TrAvia_act!V37/TrAvia_act!V27)/TrAvia_png!V15)</f>
        <v>0.51934363084073865</v>
      </c>
      <c r="W21" s="90">
        <f>IF(TrAvia_act!W37=0,0,(TrAvia_act!W37/TrAvia_act!W27)/TrAvia_png!W15)</f>
        <v>0.57021584160040062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4.2414076483159965E-2</v>
      </c>
      <c r="C24" s="23">
        <f>IF(TrAvia_ene!C6=0,0,TrAvia_ene!C6/(C12*TrAvia_act!C14))</f>
        <v>4.3105504786480855E-2</v>
      </c>
      <c r="D24" s="23">
        <f>IF(TrAvia_ene!D6=0,0,TrAvia_ene!D6/(D12*TrAvia_act!D14))</f>
        <v>4.1517937491646437E-2</v>
      </c>
      <c r="E24" s="23">
        <f>IF(TrAvia_ene!E6=0,0,TrAvia_ene!E6/(E12*TrAvia_act!E14))</f>
        <v>4.0132295237325456E-2</v>
      </c>
      <c r="F24" s="23">
        <f>IF(TrAvia_ene!F6=0,0,TrAvia_ene!F6/(F12*TrAvia_act!F14))</f>
        <v>3.6317303105229307E-2</v>
      </c>
      <c r="G24" s="23">
        <f>IF(TrAvia_ene!G6=0,0,TrAvia_ene!G6/(G12*TrAvia_act!G14))</f>
        <v>3.5460953008930381E-2</v>
      </c>
      <c r="H24" s="23">
        <f>IF(TrAvia_ene!H6=0,0,TrAvia_ene!H6/(H12*TrAvia_act!H14))</f>
        <v>3.5565175052741392E-2</v>
      </c>
      <c r="I24" s="23">
        <f>IF(TrAvia_ene!I6=0,0,TrAvia_ene!I6/(I12*TrAvia_act!I14))</f>
        <v>3.465152633443154E-2</v>
      </c>
      <c r="J24" s="23">
        <f>IF(TrAvia_ene!J6=0,0,TrAvia_ene!J6/(J12*TrAvia_act!J14))</f>
        <v>3.3317908190081687E-2</v>
      </c>
      <c r="K24" s="23">
        <f>IF(TrAvia_ene!K6=0,0,TrAvia_ene!K6/(K12*TrAvia_act!K14))</f>
        <v>3.143264483858451E-2</v>
      </c>
      <c r="L24" s="23">
        <f>IF(TrAvia_ene!L6=0,0,TrAvia_ene!L6/(L12*TrAvia_act!L14))</f>
        <v>3.0443304138264841E-2</v>
      </c>
      <c r="M24" s="23">
        <f>IF(TrAvia_ene!M6=0,0,TrAvia_ene!M6/(M12*TrAvia_act!M14))</f>
        <v>3.1325384492238234E-2</v>
      </c>
      <c r="N24" s="23">
        <f>IF(TrAvia_ene!N6=0,0,TrAvia_ene!N6/(N12*TrAvia_act!N14))</f>
        <v>3.0916141873183457E-2</v>
      </c>
      <c r="O24" s="23">
        <f>IF(TrAvia_ene!O6=0,0,TrAvia_ene!O6/(O12*TrAvia_act!O14))</f>
        <v>2.9705438000349173E-2</v>
      </c>
      <c r="P24" s="23">
        <f>IF(TrAvia_ene!P6=0,0,TrAvia_ene!P6/(P12*TrAvia_act!P14))</f>
        <v>2.9722370354972931E-2</v>
      </c>
      <c r="Q24" s="23">
        <f>IF(TrAvia_ene!Q6=0,0,TrAvia_ene!Q6/(Q12*TrAvia_act!Q14))</f>
        <v>3.0162115909739336E-2</v>
      </c>
      <c r="R24" s="23">
        <f>IF(TrAvia_ene!R6=0,0,TrAvia_ene!R6/(R12*TrAvia_act!R14))</f>
        <v>3.0435117549492959E-2</v>
      </c>
      <c r="S24" s="23">
        <f>IF(TrAvia_ene!S6=0,0,TrAvia_ene!S6/(S12*TrAvia_act!S14))</f>
        <v>2.9264291930140074E-2</v>
      </c>
      <c r="T24" s="23">
        <f>IF(TrAvia_ene!T6=0,0,TrAvia_ene!T6/(T12*TrAvia_act!T14))</f>
        <v>2.8966546534416E-2</v>
      </c>
      <c r="U24" s="23">
        <f>IF(TrAvia_ene!U6=0,0,TrAvia_ene!U6/(U12*TrAvia_act!U14))</f>
        <v>2.870096649407863E-2</v>
      </c>
      <c r="V24" s="23">
        <f>IF(TrAvia_ene!V6=0,0,TrAvia_ene!V6/(V12*TrAvia_act!V14))</f>
        <v>2.9244826396516158E-2</v>
      </c>
      <c r="W24" s="23">
        <f>IF(TrAvia_ene!W6=0,0,TrAvia_ene!W6/(W12*TrAvia_act!W14))</f>
        <v>2.5447255826198334E-2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2.7446566356897587E-2</v>
      </c>
      <c r="C25" s="91">
        <f>IF(TrAvia_ene!C7=0,0,TrAvia_ene!C7/(C13*TrAvia_act!C15))</f>
        <v>2.6848633000312316E-2</v>
      </c>
      <c r="D25" s="91">
        <f>IF(TrAvia_ene!D7=0,0,TrAvia_ene!D7/(D13*TrAvia_act!D15))</f>
        <v>2.6783457261639561E-2</v>
      </c>
      <c r="E25" s="91">
        <f>IF(TrAvia_ene!E7=0,0,TrAvia_ene!E7/(E13*TrAvia_act!E15))</f>
        <v>2.7252334237315129E-2</v>
      </c>
      <c r="F25" s="91">
        <f>IF(TrAvia_ene!F7=0,0,TrAvia_ene!F7/(F13*TrAvia_act!F15))</f>
        <v>2.6649826706034701E-2</v>
      </c>
      <c r="G25" s="91">
        <f>IF(TrAvia_ene!G7=0,0,TrAvia_ene!G7/(G13*TrAvia_act!G15))</f>
        <v>2.806231587886927E-2</v>
      </c>
      <c r="H25" s="91">
        <f>IF(TrAvia_ene!H7=0,0,TrAvia_ene!H7/(H13*TrAvia_act!H15))</f>
        <v>2.8682437820297755E-2</v>
      </c>
      <c r="I25" s="91">
        <f>IF(TrAvia_ene!I7=0,0,TrAvia_ene!I7/(I13*TrAvia_act!I15))</f>
        <v>2.8657044191181928E-2</v>
      </c>
      <c r="J25" s="91">
        <f>IF(TrAvia_ene!J7=0,0,TrAvia_ene!J7/(J13*TrAvia_act!J15))</f>
        <v>2.7597513423427852E-2</v>
      </c>
      <c r="K25" s="91">
        <f>IF(TrAvia_ene!K7=0,0,TrAvia_ene!K7/(K13*TrAvia_act!K15))</f>
        <v>2.3401659980333153E-2</v>
      </c>
      <c r="L25" s="91">
        <f>IF(TrAvia_ene!L7=0,0,TrAvia_ene!L7/(L13*TrAvia_act!L15))</f>
        <v>2.2367698857556809E-2</v>
      </c>
      <c r="M25" s="91">
        <f>IF(TrAvia_ene!M7=0,0,TrAvia_ene!M7/(M13*TrAvia_act!M15))</f>
        <v>2.4371568416015506E-2</v>
      </c>
      <c r="N25" s="91">
        <f>IF(TrAvia_ene!N7=0,0,TrAvia_ene!N7/(N13*TrAvia_act!N15))</f>
        <v>2.5377764700677551E-2</v>
      </c>
      <c r="O25" s="91">
        <f>IF(TrAvia_ene!O7=0,0,TrAvia_ene!O7/(O13*TrAvia_act!O15))</f>
        <v>2.6621434612490079E-2</v>
      </c>
      <c r="P25" s="91">
        <f>IF(TrAvia_ene!P7=0,0,TrAvia_ene!P7/(P13*TrAvia_act!P15))</f>
        <v>2.7286894346902447E-2</v>
      </c>
      <c r="Q25" s="91">
        <f>IF(TrAvia_ene!Q7=0,0,TrAvia_ene!Q7/(Q13*TrAvia_act!Q15))</f>
        <v>2.9449622081368143E-2</v>
      </c>
      <c r="R25" s="91">
        <f>IF(TrAvia_ene!R7=0,0,TrAvia_ene!R7/(R13*TrAvia_act!R15))</f>
        <v>2.9498311969392878E-2</v>
      </c>
      <c r="S25" s="91">
        <f>IF(TrAvia_ene!S7=0,0,TrAvia_ene!S7/(S13*TrAvia_act!S15))</f>
        <v>3.0410514410155076E-2</v>
      </c>
      <c r="T25" s="91">
        <f>IF(TrAvia_ene!T7=0,0,TrAvia_ene!T7/(T13*TrAvia_act!T15))</f>
        <v>3.1670534075678207E-2</v>
      </c>
      <c r="U25" s="91">
        <f>IF(TrAvia_ene!U7=0,0,TrAvia_ene!U7/(U13*TrAvia_act!U15))</f>
        <v>3.2022589622472779E-2</v>
      </c>
      <c r="V25" s="91">
        <f>IF(TrAvia_ene!V7=0,0,TrAvia_ene!V7/(V13*TrAvia_act!V15))</f>
        <v>2.4921460806492178E-2</v>
      </c>
      <c r="W25" s="91">
        <f>IF(TrAvia_ene!W7=0,0,TrAvia_ene!W7/(W13*TrAvia_act!W15))</f>
        <v>2.899181578874389E-2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4.3827206115994444E-2</v>
      </c>
      <c r="C26" s="93">
        <f>IF(TrAvia_ene!C8=0,0,TrAvia_ene!C8/(C14*TrAvia_act!C16))</f>
        <v>4.4924314252045315E-2</v>
      </c>
      <c r="D26" s="93">
        <f>IF(TrAvia_ene!D8=0,0,TrAvia_ene!D8/(D14*TrAvia_act!D16))</f>
        <v>4.2702158898943549E-2</v>
      </c>
      <c r="E26" s="93">
        <f>IF(TrAvia_ene!E8=0,0,TrAvia_ene!E8/(E14*TrAvia_act!E16))</f>
        <v>3.9788981627428867E-2</v>
      </c>
      <c r="F26" s="93">
        <f>IF(TrAvia_ene!F8=0,0,TrAvia_ene!F8/(F14*TrAvia_act!F16))</f>
        <v>3.457835537876551E-2</v>
      </c>
      <c r="G26" s="93">
        <f>IF(TrAvia_ene!G8=0,0,TrAvia_ene!G8/(G14*TrAvia_act!G16))</f>
        <v>3.3118355682719383E-2</v>
      </c>
      <c r="H26" s="93">
        <f>IF(TrAvia_ene!H8=0,0,TrAvia_ene!H8/(H14*TrAvia_act!H16))</f>
        <v>3.2643577965311213E-2</v>
      </c>
      <c r="I26" s="93">
        <f>IF(TrAvia_ene!I8=0,0,TrAvia_ene!I8/(I14*TrAvia_act!I16))</f>
        <v>3.1253762327805294E-2</v>
      </c>
      <c r="J26" s="93">
        <f>IF(TrAvia_ene!J8=0,0,TrAvia_ene!J8/(J14*TrAvia_act!J16))</f>
        <v>3.0131830876400995E-2</v>
      </c>
      <c r="K26" s="93">
        <f>IF(TrAvia_ene!K8=0,0,TrAvia_ene!K8/(K14*TrAvia_act!K16))</f>
        <v>2.8516327121967843E-2</v>
      </c>
      <c r="L26" s="93">
        <f>IF(TrAvia_ene!L8=0,0,TrAvia_ene!L8/(L14*TrAvia_act!L16))</f>
        <v>2.8391601074577593E-2</v>
      </c>
      <c r="M26" s="93">
        <f>IF(TrAvia_ene!M8=0,0,TrAvia_ene!M8/(M14*TrAvia_act!M16))</f>
        <v>2.6952056462514126E-2</v>
      </c>
      <c r="N26" s="93">
        <f>IF(TrAvia_ene!N8=0,0,TrAvia_ene!N8/(N14*TrAvia_act!N16))</f>
        <v>2.7205272345685157E-2</v>
      </c>
      <c r="O26" s="93">
        <f>IF(TrAvia_ene!O8=0,0,TrAvia_ene!O8/(O14*TrAvia_act!O16))</f>
        <v>2.572211817289298E-2</v>
      </c>
      <c r="P26" s="93">
        <f>IF(TrAvia_ene!P8=0,0,TrAvia_ene!P8/(P14*TrAvia_act!P16))</f>
        <v>2.5620744106172606E-2</v>
      </c>
      <c r="Q26" s="93">
        <f>IF(TrAvia_ene!Q8=0,0,TrAvia_ene!Q8/(Q14*TrAvia_act!Q16))</f>
        <v>2.4898003355053384E-2</v>
      </c>
      <c r="R26" s="93">
        <f>IF(TrAvia_ene!R8=0,0,TrAvia_ene!R8/(R14*TrAvia_act!R16))</f>
        <v>2.5680946653335757E-2</v>
      </c>
      <c r="S26" s="93">
        <f>IF(TrAvia_ene!S8=0,0,TrAvia_ene!S8/(S14*TrAvia_act!S16))</f>
        <v>2.5162776914680947E-2</v>
      </c>
      <c r="T26" s="93">
        <f>IF(TrAvia_ene!T8=0,0,TrAvia_ene!T8/(T14*TrAvia_act!T16))</f>
        <v>2.5768700384937289E-2</v>
      </c>
      <c r="U26" s="93">
        <f>IF(TrAvia_ene!U8=0,0,TrAvia_ene!U8/(U14*TrAvia_act!U16))</f>
        <v>2.5146460092579582E-2</v>
      </c>
      <c r="V26" s="93">
        <f>IF(TrAvia_ene!V8=0,0,TrAvia_ene!V8/(V14*TrAvia_act!V16))</f>
        <v>2.2616243068840389E-2</v>
      </c>
      <c r="W26" s="93">
        <f>IF(TrAvia_ene!W8=0,0,TrAvia_ene!W8/(W14*TrAvia_act!W16))</f>
        <v>1.8062133199190401E-2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4.9879943278018729E-2</v>
      </c>
      <c r="C27" s="94">
        <f>IF(TrAvia_ene!C9=0,0,TrAvia_ene!C9/(C15*TrAvia_act!C17))</f>
        <v>5.134976276016591E-2</v>
      </c>
      <c r="D27" s="94">
        <f>IF(TrAvia_ene!D9=0,0,TrAvia_ene!D9/(D15*TrAvia_act!D17))</f>
        <v>4.9312821638108358E-2</v>
      </c>
      <c r="E27" s="94">
        <f>IF(TrAvia_ene!E9=0,0,TrAvia_ene!E9/(E15*TrAvia_act!E17))</f>
        <v>4.6830897545182049E-2</v>
      </c>
      <c r="F27" s="94">
        <f>IF(TrAvia_ene!F9=0,0,TrAvia_ene!F9/(F15*TrAvia_act!F17))</f>
        <v>4.1293562346306115E-2</v>
      </c>
      <c r="G27" s="94">
        <f>IF(TrAvia_ene!G9=0,0,TrAvia_ene!G9/(G15*TrAvia_act!G17))</f>
        <v>4.0165036686019701E-2</v>
      </c>
      <c r="H27" s="94">
        <f>IF(TrAvia_ene!H9=0,0,TrAvia_ene!H9/(H15*TrAvia_act!H17))</f>
        <v>3.9504847130779279E-2</v>
      </c>
      <c r="I27" s="94">
        <f>IF(TrAvia_ene!I9=0,0,TrAvia_ene!I9/(I15*TrAvia_act!I17))</f>
        <v>3.8148063904092297E-2</v>
      </c>
      <c r="J27" s="94">
        <f>IF(TrAvia_ene!J9=0,0,TrAvia_ene!J9/(J15*TrAvia_act!J17))</f>
        <v>3.5314215021414838E-2</v>
      </c>
      <c r="K27" s="94">
        <f>IF(TrAvia_ene!K9=0,0,TrAvia_ene!K9/(K15*TrAvia_act!K17))</f>
        <v>3.6112953182582543E-2</v>
      </c>
      <c r="L27" s="94">
        <f>IF(TrAvia_ene!L9=0,0,TrAvia_ene!L9/(L15*TrAvia_act!L17))</f>
        <v>3.6103406365944411E-2</v>
      </c>
      <c r="M27" s="94">
        <f>IF(TrAvia_ene!M9=0,0,TrAvia_ene!M9/(M15*TrAvia_act!M17))</f>
        <v>3.7638593865684307E-2</v>
      </c>
      <c r="N27" s="94">
        <f>IF(TrAvia_ene!N9=0,0,TrAvia_ene!N9/(N15*TrAvia_act!N17))</f>
        <v>3.3568414085033277E-2</v>
      </c>
      <c r="O27" s="94">
        <f>IF(TrAvia_ene!O9=0,0,TrAvia_ene!O9/(O15*TrAvia_act!O17))</f>
        <v>3.1365477249357399E-2</v>
      </c>
      <c r="P27" s="94">
        <f>IF(TrAvia_ene!P9=0,0,TrAvia_ene!P9/(P15*TrAvia_act!P17))</f>
        <v>3.0881091091416273E-2</v>
      </c>
      <c r="Q27" s="94">
        <f>IF(TrAvia_ene!Q9=0,0,TrAvia_ene!Q9/(Q15*TrAvia_act!Q17))</f>
        <v>3.215754729679323E-2</v>
      </c>
      <c r="R27" s="94">
        <f>IF(TrAvia_ene!R9=0,0,TrAvia_ene!R9/(R15*TrAvia_act!R17))</f>
        <v>3.3227544250023465E-2</v>
      </c>
      <c r="S27" s="94">
        <f>IF(TrAvia_ene!S9=0,0,TrAvia_ene!S9/(S15*TrAvia_act!S17))</f>
        <v>3.0068684701391079E-2</v>
      </c>
      <c r="T27" s="94">
        <f>IF(TrAvia_ene!T9=0,0,TrAvia_ene!T9/(T15*TrAvia_act!T17))</f>
        <v>2.7512151022456313E-2</v>
      </c>
      <c r="U27" s="94">
        <f>IF(TrAvia_ene!U9=0,0,TrAvia_ene!U9/(U15*TrAvia_act!U17))</f>
        <v>2.7985886113497428E-2</v>
      </c>
      <c r="V27" s="94">
        <f>IF(TrAvia_ene!V9=0,0,TrAvia_ene!V9/(V15*TrAvia_act!V17))</f>
        <v>3.5774755348476392E-2</v>
      </c>
      <c r="W27" s="94">
        <f>IF(TrAvia_ene!W9=0,0,TrAvia_ene!W9/(W15*TrAvia_act!W17))</f>
        <v>3.1405173852521971E-2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27342.11</v>
      </c>
      <c r="C3" s="54">
        <f t="shared" si="0"/>
        <v>26488.593000000001</v>
      </c>
      <c r="D3" s="54">
        <f t="shared" si="0"/>
        <v>29084.048999999999</v>
      </c>
      <c r="E3" s="54">
        <f t="shared" si="0"/>
        <v>32106.807000000001</v>
      </c>
      <c r="F3" s="54">
        <f t="shared" si="0"/>
        <v>32002.659000000003</v>
      </c>
      <c r="G3" s="54">
        <f t="shared" si="0"/>
        <v>36327.760000000002</v>
      </c>
      <c r="H3" s="54">
        <f t="shared" si="0"/>
        <v>36166.824000000001</v>
      </c>
      <c r="I3" s="54">
        <f t="shared" si="0"/>
        <v>40779.588000000003</v>
      </c>
      <c r="J3" s="54">
        <f t="shared" si="0"/>
        <v>37407.728000000003</v>
      </c>
      <c r="K3" s="54">
        <f t="shared" si="0"/>
        <v>39934.504999999997</v>
      </c>
      <c r="L3" s="54">
        <f t="shared" si="0"/>
        <v>40497.341999999997</v>
      </c>
      <c r="M3" s="54">
        <f t="shared" si="0"/>
        <v>42238.108</v>
      </c>
      <c r="N3" s="54">
        <f t="shared" si="0"/>
        <v>38617.879000000001</v>
      </c>
      <c r="O3" s="54">
        <f t="shared" si="0"/>
        <v>38141.118000000002</v>
      </c>
      <c r="P3" s="54">
        <f t="shared" si="0"/>
        <v>41283.500999999997</v>
      </c>
      <c r="Q3" s="54">
        <f t="shared" si="0"/>
        <v>40030.474999999999</v>
      </c>
      <c r="R3" s="54">
        <f t="shared" ref="R3:V3" si="1">SUM(R4:R5)</f>
        <v>44831.692000000003</v>
      </c>
      <c r="S3" s="54">
        <f t="shared" si="1"/>
        <v>46228.118999999999</v>
      </c>
      <c r="T3" s="54">
        <f t="shared" si="1"/>
        <v>45347.991999999998</v>
      </c>
      <c r="U3" s="54">
        <f t="shared" si="1"/>
        <v>44216.866000000002</v>
      </c>
      <c r="V3" s="54">
        <f t="shared" si="1"/>
        <v>43318.196000000004</v>
      </c>
      <c r="W3" s="54">
        <f t="shared" ref="W3" si="2">SUM(W4:W5)</f>
        <v>42395.232000000004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27172.544000000002</v>
      </c>
      <c r="C4" s="56">
        <v>26327.569</v>
      </c>
      <c r="D4" s="56">
        <v>28993.986000000001</v>
      </c>
      <c r="E4" s="56">
        <v>32015.987000000001</v>
      </c>
      <c r="F4" s="56">
        <v>31892.829000000002</v>
      </c>
      <c r="G4" s="56">
        <v>36239.01</v>
      </c>
      <c r="H4" s="56">
        <v>36090.85</v>
      </c>
      <c r="I4" s="56">
        <v>40686.588000000003</v>
      </c>
      <c r="J4" s="56">
        <v>37343.728000000003</v>
      </c>
      <c r="K4" s="56">
        <v>39880.504999999997</v>
      </c>
      <c r="L4" s="56">
        <v>40389.341999999997</v>
      </c>
      <c r="M4" s="56">
        <v>42094.108</v>
      </c>
      <c r="N4" s="56">
        <v>38536.879000000001</v>
      </c>
      <c r="O4" s="56">
        <v>38052.118000000002</v>
      </c>
      <c r="P4" s="56">
        <v>41219.500999999997</v>
      </c>
      <c r="Q4" s="56">
        <v>39968.474999999999</v>
      </c>
      <c r="R4" s="56">
        <v>44764.692000000003</v>
      </c>
      <c r="S4" s="56">
        <v>46167.118999999999</v>
      </c>
      <c r="T4" s="56">
        <v>45273.991999999998</v>
      </c>
      <c r="U4" s="56">
        <v>44161.866000000002</v>
      </c>
      <c r="V4" s="56">
        <v>43194.196000000004</v>
      </c>
      <c r="W4" s="56">
        <v>42255.232000000004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169.566</v>
      </c>
      <c r="C5" s="58">
        <v>161.024</v>
      </c>
      <c r="D5" s="58">
        <v>90.063000000000002</v>
      </c>
      <c r="E5" s="58">
        <v>90.82</v>
      </c>
      <c r="F5" s="58">
        <v>109.83</v>
      </c>
      <c r="G5" s="58">
        <v>88.75</v>
      </c>
      <c r="H5" s="58">
        <v>75.974000000000004</v>
      </c>
      <c r="I5" s="58">
        <v>93</v>
      </c>
      <c r="J5" s="58">
        <v>64</v>
      </c>
      <c r="K5" s="58">
        <v>54</v>
      </c>
      <c r="L5" s="58">
        <v>108</v>
      </c>
      <c r="M5" s="58">
        <v>144</v>
      </c>
      <c r="N5" s="58">
        <v>81</v>
      </c>
      <c r="O5" s="58">
        <v>89</v>
      </c>
      <c r="P5" s="58">
        <v>64</v>
      </c>
      <c r="Q5" s="58">
        <v>62</v>
      </c>
      <c r="R5" s="58">
        <v>67</v>
      </c>
      <c r="S5" s="58">
        <v>61</v>
      </c>
      <c r="T5" s="58">
        <v>74</v>
      </c>
      <c r="U5" s="58">
        <v>55</v>
      </c>
      <c r="V5" s="58">
        <v>124</v>
      </c>
      <c r="W5" s="58">
        <v>140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17.488</v>
      </c>
      <c r="C7" s="59">
        <f t="shared" si="3"/>
        <v>16.577000000000002</v>
      </c>
      <c r="D7" s="59">
        <f t="shared" si="3"/>
        <v>15.943999999999999</v>
      </c>
      <c r="E7" s="59">
        <f t="shared" si="3"/>
        <v>17.355</v>
      </c>
      <c r="F7" s="59">
        <f t="shared" si="3"/>
        <v>17.190999999999999</v>
      </c>
      <c r="G7" s="59">
        <f t="shared" si="3"/>
        <v>17.975000000000001</v>
      </c>
      <c r="H7" s="59">
        <f t="shared" si="3"/>
        <v>17.844999999999999</v>
      </c>
      <c r="I7" s="59">
        <f t="shared" si="3"/>
        <v>19.169999999999998</v>
      </c>
      <c r="J7" s="59">
        <f t="shared" si="3"/>
        <v>17.055999999999997</v>
      </c>
      <c r="K7" s="59">
        <f t="shared" si="3"/>
        <v>19.110000000000003</v>
      </c>
      <c r="L7" s="59">
        <f t="shared" si="3"/>
        <v>19.663</v>
      </c>
      <c r="M7" s="59">
        <f t="shared" si="3"/>
        <v>20.413999999999998</v>
      </c>
      <c r="N7" s="59">
        <f t="shared" si="3"/>
        <v>18.541</v>
      </c>
      <c r="O7" s="59">
        <f t="shared" si="3"/>
        <v>19.032999999999998</v>
      </c>
      <c r="P7" s="59">
        <f t="shared" si="3"/>
        <v>21.053999999999998</v>
      </c>
      <c r="Q7" s="59">
        <f t="shared" si="3"/>
        <v>18.662000000000003</v>
      </c>
      <c r="R7" s="59">
        <f t="shared" ref="R7:V7" si="4">SUM(R8:R9)</f>
        <v>20.102999999999998</v>
      </c>
      <c r="S7" s="59">
        <f t="shared" si="4"/>
        <v>20.326000000000001</v>
      </c>
      <c r="T7" s="59">
        <f t="shared" si="4"/>
        <v>20.901999999999997</v>
      </c>
      <c r="U7" s="59">
        <f t="shared" si="4"/>
        <v>21.212</v>
      </c>
      <c r="V7" s="59">
        <f t="shared" si="4"/>
        <v>20.286999999999999</v>
      </c>
      <c r="W7" s="59">
        <f t="shared" ref="W7" si="5">SUM(W8:W9)</f>
        <v>19.913999999999998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16.077999999999999</v>
      </c>
      <c r="C8" s="60">
        <v>15.127000000000001</v>
      </c>
      <c r="D8" s="60">
        <v>15.228999999999999</v>
      </c>
      <c r="E8" s="60">
        <v>16.652000000000001</v>
      </c>
      <c r="F8" s="60">
        <v>16.314</v>
      </c>
      <c r="G8" s="60">
        <v>17.385000000000002</v>
      </c>
      <c r="H8" s="60">
        <v>17.207999999999998</v>
      </c>
      <c r="I8" s="60">
        <v>18.472999999999999</v>
      </c>
      <c r="J8" s="60">
        <v>16.620999999999999</v>
      </c>
      <c r="K8" s="60">
        <v>18.856000000000002</v>
      </c>
      <c r="L8" s="60">
        <v>19.184999999999999</v>
      </c>
      <c r="M8" s="60">
        <v>19.725999999999999</v>
      </c>
      <c r="N8" s="60">
        <v>18.152999999999999</v>
      </c>
      <c r="O8" s="60">
        <v>18.594999999999999</v>
      </c>
      <c r="P8" s="60">
        <v>20.757999999999999</v>
      </c>
      <c r="Q8" s="60">
        <v>18.437000000000001</v>
      </c>
      <c r="R8" s="60">
        <v>19.86</v>
      </c>
      <c r="S8" s="60">
        <v>20.103999999999999</v>
      </c>
      <c r="T8" s="60">
        <v>20.632999999999999</v>
      </c>
      <c r="U8" s="60">
        <v>21.012</v>
      </c>
      <c r="V8" s="60">
        <v>19.837</v>
      </c>
      <c r="W8" s="60">
        <v>19.405999999999999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1.41</v>
      </c>
      <c r="C9" s="61">
        <v>1.45</v>
      </c>
      <c r="D9" s="61">
        <v>0.71499999999999997</v>
      </c>
      <c r="E9" s="61">
        <v>0.70299999999999996</v>
      </c>
      <c r="F9" s="61">
        <v>0.877</v>
      </c>
      <c r="G9" s="61">
        <v>0.59</v>
      </c>
      <c r="H9" s="61">
        <v>0.63700000000000001</v>
      </c>
      <c r="I9" s="61">
        <v>0.69699999999999995</v>
      </c>
      <c r="J9" s="61">
        <v>0.435</v>
      </c>
      <c r="K9" s="61">
        <v>0.254</v>
      </c>
      <c r="L9" s="61">
        <v>0.47799999999999998</v>
      </c>
      <c r="M9" s="61">
        <v>0.68799999999999994</v>
      </c>
      <c r="N9" s="61">
        <v>0.38800000000000001</v>
      </c>
      <c r="O9" s="61">
        <v>0.438</v>
      </c>
      <c r="P9" s="61">
        <v>0.29599999999999999</v>
      </c>
      <c r="Q9" s="61">
        <v>0.22500000000000001</v>
      </c>
      <c r="R9" s="61">
        <v>0.24299999999999999</v>
      </c>
      <c r="S9" s="61">
        <v>0.222</v>
      </c>
      <c r="T9" s="61">
        <v>0.26900000000000002</v>
      </c>
      <c r="U9" s="61">
        <v>0.2</v>
      </c>
      <c r="V9" s="61">
        <v>0.45</v>
      </c>
      <c r="W9" s="61">
        <v>0.50800000000000001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1563.4783851784082</v>
      </c>
      <c r="C13" s="62">
        <f t="shared" si="6"/>
        <v>1597.912348434578</v>
      </c>
      <c r="D13" s="62">
        <f t="shared" si="6"/>
        <v>1824.1375439036628</v>
      </c>
      <c r="E13" s="62">
        <f t="shared" si="6"/>
        <v>1850.0032843560934</v>
      </c>
      <c r="F13" s="62">
        <f t="shared" ref="F13:V13" si="7">IF(F3=0,0,F3/F7)</f>
        <v>1861.5937990809148</v>
      </c>
      <c r="G13" s="62">
        <f t="shared" si="7"/>
        <v>2021.0158553546592</v>
      </c>
      <c r="H13" s="62">
        <f t="shared" si="7"/>
        <v>2026.7203138133932</v>
      </c>
      <c r="I13" s="62">
        <f t="shared" si="7"/>
        <v>2127.2607198748046</v>
      </c>
      <c r="J13" s="62">
        <f t="shared" si="7"/>
        <v>2193.2298311444656</v>
      </c>
      <c r="K13" s="62">
        <f t="shared" si="7"/>
        <v>2089.7176870748294</v>
      </c>
      <c r="L13" s="62">
        <f t="shared" si="7"/>
        <v>2059.5708691450945</v>
      </c>
      <c r="M13" s="62">
        <f t="shared" si="7"/>
        <v>2069.0755363965909</v>
      </c>
      <c r="N13" s="62">
        <f t="shared" si="7"/>
        <v>2082.8369020009709</v>
      </c>
      <c r="O13" s="62">
        <f t="shared" si="7"/>
        <v>2003.9467241107554</v>
      </c>
      <c r="P13" s="62">
        <f t="shared" si="7"/>
        <v>1960.8388429752065</v>
      </c>
      <c r="Q13" s="62">
        <f t="shared" si="7"/>
        <v>2145.0259886400167</v>
      </c>
      <c r="R13" s="62">
        <f t="shared" si="7"/>
        <v>2230.0995871262999</v>
      </c>
      <c r="S13" s="62">
        <f t="shared" si="7"/>
        <v>2274.3343008954048</v>
      </c>
      <c r="T13" s="62">
        <f t="shared" si="7"/>
        <v>2169.5527700698499</v>
      </c>
      <c r="U13" s="62">
        <f t="shared" si="7"/>
        <v>2084.5213086931926</v>
      </c>
      <c r="V13" s="62">
        <f t="shared" si="7"/>
        <v>2135.2686942376895</v>
      </c>
      <c r="W13" s="62">
        <f t="shared" ref="W13" si="8">IF(W3=0,0,W3/W7)</f>
        <v>2128.9159385357038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1690.0450304764277</v>
      </c>
      <c r="C14" s="63">
        <f t="shared" si="6"/>
        <v>1740.435578766444</v>
      </c>
      <c r="D14" s="63">
        <f t="shared" si="6"/>
        <v>1903.86670168757</v>
      </c>
      <c r="E14" s="63">
        <f t="shared" si="6"/>
        <v>1922.6511530146529</v>
      </c>
      <c r="F14" s="63">
        <f t="shared" ref="F14:V14" si="9">IF(F4=0,0,F4/F8)</f>
        <v>1954.9361897756528</v>
      </c>
      <c r="G14" s="63">
        <f t="shared" si="9"/>
        <v>2084.4987057808453</v>
      </c>
      <c r="H14" s="63">
        <f t="shared" si="9"/>
        <v>2097.3297303579729</v>
      </c>
      <c r="I14" s="63">
        <f t="shared" si="9"/>
        <v>2202.4894711200131</v>
      </c>
      <c r="J14" s="63">
        <f t="shared" si="9"/>
        <v>2246.7798568076532</v>
      </c>
      <c r="K14" s="63">
        <f t="shared" si="9"/>
        <v>2115.0034471786166</v>
      </c>
      <c r="L14" s="63">
        <f t="shared" si="9"/>
        <v>2105.2562939796717</v>
      </c>
      <c r="M14" s="63">
        <f t="shared" si="9"/>
        <v>2133.9403832505322</v>
      </c>
      <c r="N14" s="63">
        <f t="shared" si="9"/>
        <v>2122.8931306120203</v>
      </c>
      <c r="O14" s="63">
        <f t="shared" si="9"/>
        <v>2046.3628932508741</v>
      </c>
      <c r="P14" s="63">
        <f t="shared" si="9"/>
        <v>1985.716398496965</v>
      </c>
      <c r="Q14" s="63">
        <f t="shared" si="9"/>
        <v>2167.8404838097304</v>
      </c>
      <c r="R14" s="63">
        <f t="shared" si="9"/>
        <v>2254.0126888217524</v>
      </c>
      <c r="S14" s="63">
        <f t="shared" si="9"/>
        <v>2296.4145941106249</v>
      </c>
      <c r="T14" s="63">
        <f t="shared" si="9"/>
        <v>2194.2515387970725</v>
      </c>
      <c r="U14" s="63">
        <f t="shared" si="9"/>
        <v>2101.7450028555113</v>
      </c>
      <c r="V14" s="63">
        <f t="shared" si="9"/>
        <v>2177.4560669456068</v>
      </c>
      <c r="W14" s="63">
        <f t="shared" ref="W14" si="10">IF(W4=0,0,W4/W8)</f>
        <v>2177.4313099041537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120.25957446808512</v>
      </c>
      <c r="C15" s="64">
        <f t="shared" si="6"/>
        <v>111.05103448275862</v>
      </c>
      <c r="D15" s="64">
        <f t="shared" si="6"/>
        <v>125.96223776223778</v>
      </c>
      <c r="E15" s="64">
        <f t="shared" si="6"/>
        <v>129.18918918918919</v>
      </c>
      <c r="F15" s="64">
        <f t="shared" ref="F15:V15" si="11">IF(F5=0,0,F5/F9)</f>
        <v>125.23375142531357</v>
      </c>
      <c r="G15" s="64">
        <f t="shared" si="11"/>
        <v>150.42372881355934</v>
      </c>
      <c r="H15" s="64">
        <f t="shared" si="11"/>
        <v>119.26844583987442</v>
      </c>
      <c r="I15" s="64">
        <f t="shared" si="11"/>
        <v>133.42898134863702</v>
      </c>
      <c r="J15" s="64">
        <f t="shared" si="11"/>
        <v>147.12643678160919</v>
      </c>
      <c r="K15" s="64">
        <f t="shared" si="11"/>
        <v>212.5984251968504</v>
      </c>
      <c r="L15" s="64">
        <f t="shared" si="11"/>
        <v>225.94142259414227</v>
      </c>
      <c r="M15" s="64">
        <f t="shared" si="11"/>
        <v>209.30232558139537</v>
      </c>
      <c r="N15" s="64">
        <f t="shared" si="11"/>
        <v>208.76288659793815</v>
      </c>
      <c r="O15" s="64">
        <f t="shared" si="11"/>
        <v>203.19634703196348</v>
      </c>
      <c r="P15" s="64">
        <f t="shared" si="11"/>
        <v>216.21621621621622</v>
      </c>
      <c r="Q15" s="64">
        <f t="shared" si="11"/>
        <v>275.55555555555554</v>
      </c>
      <c r="R15" s="64">
        <f t="shared" si="11"/>
        <v>275.72016460905348</v>
      </c>
      <c r="S15" s="64">
        <f t="shared" si="11"/>
        <v>274.77477477477476</v>
      </c>
      <c r="T15" s="64">
        <f t="shared" si="11"/>
        <v>275.09293680297395</v>
      </c>
      <c r="U15" s="64">
        <f t="shared" si="11"/>
        <v>275</v>
      </c>
      <c r="V15" s="64">
        <f t="shared" si="11"/>
        <v>275.55555555555554</v>
      </c>
      <c r="W15" s="64">
        <f t="shared" ref="W15" si="12">IF(W5=0,0,W5/W9)</f>
        <v>275.59055118110234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0.99379835718604015</v>
      </c>
      <c r="C18" s="66">
        <f t="shared" si="16"/>
        <v>0.9939210059213035</v>
      </c>
      <c r="D18" s="66">
        <f t="shared" si="16"/>
        <v>0.99690335413752063</v>
      </c>
      <c r="E18" s="66">
        <f t="shared" si="16"/>
        <v>0.99717131635045486</v>
      </c>
      <c r="F18" s="66">
        <f t="shared" ref="F18:V18" si="17">IF(F4=0,0,F4/F$3)</f>
        <v>0.99656809766963417</v>
      </c>
      <c r="G18" s="66">
        <f t="shared" si="17"/>
        <v>0.99755696470137434</v>
      </c>
      <c r="H18" s="66">
        <f t="shared" si="17"/>
        <v>0.99789934554386084</v>
      </c>
      <c r="I18" s="66">
        <f t="shared" si="17"/>
        <v>0.9977194472881874</v>
      </c>
      <c r="J18" s="66">
        <f t="shared" si="17"/>
        <v>0.99828912357361022</v>
      </c>
      <c r="K18" s="66">
        <f t="shared" si="17"/>
        <v>0.99864778591846826</v>
      </c>
      <c r="L18" s="66">
        <f t="shared" si="17"/>
        <v>0.99733315830950087</v>
      </c>
      <c r="M18" s="66">
        <f t="shared" si="17"/>
        <v>0.99659075638520556</v>
      </c>
      <c r="N18" s="66">
        <f t="shared" si="17"/>
        <v>0.99790252592588014</v>
      </c>
      <c r="O18" s="66">
        <f t="shared" si="17"/>
        <v>0.99766656027230249</v>
      </c>
      <c r="P18" s="66">
        <f t="shared" si="17"/>
        <v>0.99844974388194452</v>
      </c>
      <c r="Q18" s="66">
        <f t="shared" si="17"/>
        <v>0.99845118000723199</v>
      </c>
      <c r="R18" s="66">
        <f t="shared" si="17"/>
        <v>0.99850552149582039</v>
      </c>
      <c r="S18" s="66">
        <f t="shared" si="17"/>
        <v>0.99868045680162765</v>
      </c>
      <c r="T18" s="66">
        <f t="shared" si="17"/>
        <v>0.99836817471432915</v>
      </c>
      <c r="U18" s="66">
        <f t="shared" si="17"/>
        <v>0.9987561307488414</v>
      </c>
      <c r="V18" s="66">
        <f t="shared" si="17"/>
        <v>0.99713746158773553</v>
      </c>
      <c r="W18" s="66">
        <f t="shared" ref="W18" si="18">IF(W4=0,0,W4/W$3)</f>
        <v>0.99669774185927318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6.201642813959859E-3</v>
      </c>
      <c r="C19" s="67">
        <f t="shared" si="19"/>
        <v>6.0789940786964407E-3</v>
      </c>
      <c r="D19" s="67">
        <f t="shared" si="19"/>
        <v>3.0966458624794644E-3</v>
      </c>
      <c r="E19" s="67">
        <f t="shared" si="19"/>
        <v>2.8286836495450946E-3</v>
      </c>
      <c r="F19" s="67">
        <f t="shared" ref="F19:V19" si="20">IF(F5=0,0,F5/F$3)</f>
        <v>3.4319023303657358E-3</v>
      </c>
      <c r="G19" s="67">
        <f t="shared" si="20"/>
        <v>2.4430352986256239E-3</v>
      </c>
      <c r="H19" s="67">
        <f t="shared" si="20"/>
        <v>2.1006544561391403E-3</v>
      </c>
      <c r="I19" s="67">
        <f t="shared" si="20"/>
        <v>2.2805527118125862E-3</v>
      </c>
      <c r="J19" s="67">
        <f t="shared" si="20"/>
        <v>1.7108764263897554E-3</v>
      </c>
      <c r="K19" s="67">
        <f t="shared" si="20"/>
        <v>1.3522140815317482E-3</v>
      </c>
      <c r="L19" s="67">
        <f t="shared" si="20"/>
        <v>2.6668416904990951E-3</v>
      </c>
      <c r="M19" s="67">
        <f t="shared" si="20"/>
        <v>3.4092436147944885E-3</v>
      </c>
      <c r="N19" s="67">
        <f t="shared" si="20"/>
        <v>2.0974740741199174E-3</v>
      </c>
      <c r="O19" s="67">
        <f t="shared" si="20"/>
        <v>2.3334397276975468E-3</v>
      </c>
      <c r="P19" s="67">
        <f t="shared" si="20"/>
        <v>1.5502561180554917E-3</v>
      </c>
      <c r="Q19" s="67">
        <f t="shared" si="20"/>
        <v>1.5488199927680098E-3</v>
      </c>
      <c r="R19" s="67">
        <f t="shared" si="20"/>
        <v>1.4944785041795879E-3</v>
      </c>
      <c r="S19" s="67">
        <f t="shared" si="20"/>
        <v>1.3195431983724019E-3</v>
      </c>
      <c r="T19" s="67">
        <f t="shared" si="20"/>
        <v>1.6318252856708628E-3</v>
      </c>
      <c r="U19" s="67">
        <f t="shared" si="20"/>
        <v>1.2438692511585964E-3</v>
      </c>
      <c r="V19" s="67">
        <f t="shared" si="20"/>
        <v>2.8625384122644439E-3</v>
      </c>
      <c r="W19" s="67">
        <f t="shared" ref="W19" si="21">IF(W5=0,0,W5/W$3)</f>
        <v>3.3022581407267681E-3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0.91937328453796885</v>
      </c>
      <c r="C22" s="66">
        <f t="shared" si="25"/>
        <v>0.9125294082162031</v>
      </c>
      <c r="D22" s="66">
        <f t="shared" si="25"/>
        <v>0.95515554440541894</v>
      </c>
      <c r="E22" s="66">
        <f t="shared" si="25"/>
        <v>0.95949294151541342</v>
      </c>
      <c r="F22" s="66">
        <f t="shared" ref="F22:V22" si="26">IF(F8=0,0,F8/F$7)</f>
        <v>0.94898493397708106</v>
      </c>
      <c r="G22" s="66">
        <f t="shared" si="26"/>
        <v>0.96717663421418643</v>
      </c>
      <c r="H22" s="66">
        <f t="shared" si="26"/>
        <v>0.96430372653404317</v>
      </c>
      <c r="I22" s="66">
        <f t="shared" si="26"/>
        <v>0.96364110589462704</v>
      </c>
      <c r="J22" s="66">
        <f t="shared" si="26"/>
        <v>0.97449577861163239</v>
      </c>
      <c r="K22" s="66">
        <f t="shared" si="26"/>
        <v>0.98670852956567234</v>
      </c>
      <c r="L22" s="66">
        <f t="shared" si="26"/>
        <v>0.97569038295275379</v>
      </c>
      <c r="M22" s="66">
        <f t="shared" si="26"/>
        <v>0.96629763887528175</v>
      </c>
      <c r="N22" s="66">
        <f t="shared" si="26"/>
        <v>0.97907340488646777</v>
      </c>
      <c r="O22" s="66">
        <f t="shared" si="26"/>
        <v>0.97698733778174751</v>
      </c>
      <c r="P22" s="66">
        <f t="shared" si="26"/>
        <v>0.98594091384060034</v>
      </c>
      <c r="Q22" s="66">
        <f t="shared" si="26"/>
        <v>0.98794341442503475</v>
      </c>
      <c r="R22" s="66">
        <f t="shared" si="26"/>
        <v>0.98791225190270116</v>
      </c>
      <c r="S22" s="66">
        <f t="shared" si="26"/>
        <v>0.98907802814129675</v>
      </c>
      <c r="T22" s="66">
        <f t="shared" si="26"/>
        <v>0.98713041814180469</v>
      </c>
      <c r="U22" s="66">
        <f t="shared" si="26"/>
        <v>0.99057137469356971</v>
      </c>
      <c r="V22" s="66">
        <f t="shared" si="26"/>
        <v>0.97781830729038299</v>
      </c>
      <c r="W22" s="66">
        <f t="shared" ref="W22" si="27">IF(W8=0,0,W8/W$7)</f>
        <v>0.97449030832580097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8.0626715462031109E-2</v>
      </c>
      <c r="C23" s="67">
        <f t="shared" si="28"/>
        <v>8.7470591783796819E-2</v>
      </c>
      <c r="D23" s="67">
        <f t="shared" si="28"/>
        <v>4.4844455594581036E-2</v>
      </c>
      <c r="E23" s="67">
        <f t="shared" si="28"/>
        <v>4.0507058484586571E-2</v>
      </c>
      <c r="F23" s="67">
        <f t="shared" ref="F23:V23" si="29">IF(F9=0,0,F9/F$7)</f>
        <v>5.101506602291897E-2</v>
      </c>
      <c r="G23" s="67">
        <f t="shared" si="29"/>
        <v>3.2823365785813623E-2</v>
      </c>
      <c r="H23" s="67">
        <f t="shared" si="29"/>
        <v>3.569627346595685E-2</v>
      </c>
      <c r="I23" s="67">
        <f t="shared" si="29"/>
        <v>3.6358894105372977E-2</v>
      </c>
      <c r="J23" s="67">
        <f t="shared" si="29"/>
        <v>2.5504221388367734E-2</v>
      </c>
      <c r="K23" s="67">
        <f t="shared" si="29"/>
        <v>1.3291470434327575E-2</v>
      </c>
      <c r="L23" s="67">
        <f t="shared" si="29"/>
        <v>2.4309617047246095E-2</v>
      </c>
      <c r="M23" s="67">
        <f t="shared" si="29"/>
        <v>3.3702361124718333E-2</v>
      </c>
      <c r="N23" s="67">
        <f t="shared" si="29"/>
        <v>2.0926595113532172E-2</v>
      </c>
      <c r="O23" s="67">
        <f t="shared" si="29"/>
        <v>2.3012662218252513E-2</v>
      </c>
      <c r="P23" s="67">
        <f t="shared" si="29"/>
        <v>1.4059086159399639E-2</v>
      </c>
      <c r="Q23" s="67">
        <f t="shared" si="29"/>
        <v>1.2056585574965169E-2</v>
      </c>
      <c r="R23" s="67">
        <f t="shared" si="29"/>
        <v>1.2087748097298911E-2</v>
      </c>
      <c r="S23" s="67">
        <f t="shared" si="29"/>
        <v>1.0921971858703139E-2</v>
      </c>
      <c r="T23" s="67">
        <f t="shared" si="29"/>
        <v>1.2869581858195391E-2</v>
      </c>
      <c r="U23" s="67">
        <f t="shared" si="29"/>
        <v>9.4286253064303233E-3</v>
      </c>
      <c r="V23" s="67">
        <f t="shared" si="29"/>
        <v>2.2181692709616996E-2</v>
      </c>
      <c r="W23" s="67">
        <f t="shared" ref="W23" si="30">IF(W9=0,0,W9/W$7)</f>
        <v>2.5509691674199059E-2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1269.3465176268269</v>
      </c>
      <c r="C3" s="62">
        <f t="shared" ref="C3:V3" si="0">SUM(C4,C10)</f>
        <v>1318.8783319002578</v>
      </c>
      <c r="D3" s="62">
        <f t="shared" si="0"/>
        <v>1311.827687016337</v>
      </c>
      <c r="E3" s="62">
        <f t="shared" si="0"/>
        <v>1409.1430782459156</v>
      </c>
      <c r="F3" s="62">
        <f t="shared" si="0"/>
        <v>1409.1286328460874</v>
      </c>
      <c r="G3" s="62">
        <f t="shared" si="0"/>
        <v>1386.6436801375753</v>
      </c>
      <c r="H3" s="62">
        <f t="shared" si="0"/>
        <v>1384.7807394668957</v>
      </c>
      <c r="I3" s="62">
        <f t="shared" si="0"/>
        <v>1330.9639724849526</v>
      </c>
      <c r="J3" s="62">
        <f t="shared" si="0"/>
        <v>1414.445399828031</v>
      </c>
      <c r="K3" s="62">
        <f t="shared" si="0"/>
        <v>1189.7104901117798</v>
      </c>
      <c r="L3" s="62">
        <f t="shared" si="0"/>
        <v>1128.0357695614789</v>
      </c>
      <c r="M3" s="62">
        <f t="shared" si="0"/>
        <v>1075.3033533963887</v>
      </c>
      <c r="N3" s="62">
        <f t="shared" si="0"/>
        <v>977.34780739466896</v>
      </c>
      <c r="O3" s="62">
        <f t="shared" si="0"/>
        <v>984.54660361134995</v>
      </c>
      <c r="P3" s="62">
        <f t="shared" si="0"/>
        <v>968.9214101461738</v>
      </c>
      <c r="Q3" s="62">
        <f t="shared" si="0"/>
        <v>932.05305245055899</v>
      </c>
      <c r="R3" s="62">
        <f t="shared" si="0"/>
        <v>959.31023215821153</v>
      </c>
      <c r="S3" s="62">
        <f t="shared" si="0"/>
        <v>868.74935511607896</v>
      </c>
      <c r="T3" s="62">
        <f t="shared" si="0"/>
        <v>630.63439380911427</v>
      </c>
      <c r="U3" s="62">
        <f t="shared" si="0"/>
        <v>602.49062768701629</v>
      </c>
      <c r="V3" s="62">
        <f t="shared" si="0"/>
        <v>557.16698194325033</v>
      </c>
      <c r="W3" s="62">
        <f t="shared" ref="W3" si="1">SUM(W4,W10)</f>
        <v>538.07033533963875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1259.9786805628314</v>
      </c>
      <c r="C4" s="71">
        <f t="shared" ref="C4:V4" si="2">SUM(C5:C9)</f>
        <v>1308.3960652876624</v>
      </c>
      <c r="D4" s="71">
        <f t="shared" si="2"/>
        <v>1306.9370868045191</v>
      </c>
      <c r="E4" s="71">
        <f t="shared" si="2"/>
        <v>1404.2920305173031</v>
      </c>
      <c r="F4" s="71">
        <f t="shared" si="2"/>
        <v>1402.9801210586388</v>
      </c>
      <c r="G4" s="71">
        <f t="shared" si="2"/>
        <v>1382.8639429996351</v>
      </c>
      <c r="H4" s="71">
        <f t="shared" si="2"/>
        <v>1380.7892568482441</v>
      </c>
      <c r="I4" s="71">
        <f t="shared" si="2"/>
        <v>1327.0053739354237</v>
      </c>
      <c r="J4" s="71">
        <f t="shared" si="2"/>
        <v>1411.6501828621292</v>
      </c>
      <c r="K4" s="71">
        <f t="shared" si="2"/>
        <v>1188.3633039758042</v>
      </c>
      <c r="L4" s="71">
        <f t="shared" si="2"/>
        <v>1125.7467562375825</v>
      </c>
      <c r="M4" s="71">
        <f t="shared" si="2"/>
        <v>1072.3463866796767</v>
      </c>
      <c r="N4" s="71">
        <f t="shared" si="2"/>
        <v>975.65093619968343</v>
      </c>
      <c r="O4" s="71">
        <f t="shared" si="2"/>
        <v>982.60030994372073</v>
      </c>
      <c r="P4" s="71">
        <f t="shared" si="2"/>
        <v>967.77077252908452</v>
      </c>
      <c r="Q4" s="71">
        <f t="shared" si="2"/>
        <v>931.05927706265311</v>
      </c>
      <c r="R4" s="71">
        <f t="shared" si="2"/>
        <v>958.33223301668977</v>
      </c>
      <c r="S4" s="71">
        <f t="shared" si="2"/>
        <v>868.00719838188775</v>
      </c>
      <c r="T4" s="71">
        <f t="shared" si="2"/>
        <v>629.97763664864317</v>
      </c>
      <c r="U4" s="71">
        <f t="shared" si="2"/>
        <v>602.02049228333601</v>
      </c>
      <c r="V4" s="71">
        <f t="shared" si="2"/>
        <v>556.06913204488501</v>
      </c>
      <c r="W4" s="71">
        <f t="shared" ref="W4" si="3">SUM(W5:W9)</f>
        <v>536.86357870935831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833.22891576593679</v>
      </c>
      <c r="C5" s="73">
        <v>845.87440468037585</v>
      </c>
      <c r="D5" s="73">
        <v>796.76054309824792</v>
      </c>
      <c r="E5" s="73">
        <v>841.60407607599336</v>
      </c>
      <c r="F5" s="73">
        <v>809.42203947221515</v>
      </c>
      <c r="G5" s="73">
        <v>771.17960606914892</v>
      </c>
      <c r="H5" s="73">
        <v>740.62200580426349</v>
      </c>
      <c r="I5" s="73">
        <v>657.36832091564099</v>
      </c>
      <c r="J5" s="73">
        <v>710.83091453847476</v>
      </c>
      <c r="K5" s="73">
        <v>567.11289733719445</v>
      </c>
      <c r="L5" s="73">
        <v>620.42093938054791</v>
      </c>
      <c r="M5" s="73">
        <v>616.92884367637976</v>
      </c>
      <c r="N5" s="73">
        <v>656.15313066026908</v>
      </c>
      <c r="O5" s="73">
        <v>695.59837007891065</v>
      </c>
      <c r="P5" s="73">
        <v>628.05808122222527</v>
      </c>
      <c r="Q5" s="73">
        <v>540.72405657871582</v>
      </c>
      <c r="R5" s="73">
        <v>502.1244582962907</v>
      </c>
      <c r="S5" s="73">
        <v>479.84192191361404</v>
      </c>
      <c r="T5" s="73">
        <v>286.00742376940622</v>
      </c>
      <c r="U5" s="73">
        <v>241.97208593474048</v>
      </c>
      <c r="V5" s="73">
        <v>192.76422262653398</v>
      </c>
      <c r="W5" s="73">
        <v>222.97180704230078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426.74976479689474</v>
      </c>
      <c r="C6" s="73">
        <v>462.52166060728655</v>
      </c>
      <c r="D6" s="73">
        <v>510.17654370627122</v>
      </c>
      <c r="E6" s="73">
        <v>562.68795444130978</v>
      </c>
      <c r="F6" s="73">
        <v>593.55808158642378</v>
      </c>
      <c r="G6" s="73">
        <v>611.68433693048621</v>
      </c>
      <c r="H6" s="73">
        <v>640.16725104398063</v>
      </c>
      <c r="I6" s="73">
        <v>669.63705301978268</v>
      </c>
      <c r="J6" s="73">
        <v>700.81926832365446</v>
      </c>
      <c r="K6" s="73">
        <v>621.25040663860977</v>
      </c>
      <c r="L6" s="73">
        <v>505.32581685703462</v>
      </c>
      <c r="M6" s="73">
        <v>455.41754300329694</v>
      </c>
      <c r="N6" s="73">
        <v>319.4978055394144</v>
      </c>
      <c r="O6" s="73">
        <v>287.00193986481003</v>
      </c>
      <c r="P6" s="73">
        <v>339.7126913068592</v>
      </c>
      <c r="Q6" s="73">
        <v>390.33522048393735</v>
      </c>
      <c r="R6" s="73">
        <v>456.20777472039907</v>
      </c>
      <c r="S6" s="73">
        <v>388.1652764682737</v>
      </c>
      <c r="T6" s="73">
        <v>343.97021287923695</v>
      </c>
      <c r="U6" s="73">
        <v>360.04840634859556</v>
      </c>
      <c r="V6" s="73">
        <v>363.30490941835097</v>
      </c>
      <c r="W6" s="73">
        <v>313.89177166705753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9.3678370639953936</v>
      </c>
      <c r="C10" s="71">
        <f t="shared" ref="C10:V10" si="4">SUM(C11:C15)</f>
        <v>10.482266612595431</v>
      </c>
      <c r="D10" s="71">
        <f t="shared" si="4"/>
        <v>4.8906002118179046</v>
      </c>
      <c r="E10" s="71">
        <f t="shared" si="4"/>
        <v>4.8510477286123708</v>
      </c>
      <c r="F10" s="71">
        <f t="shared" si="4"/>
        <v>6.1485117874486797</v>
      </c>
      <c r="G10" s="71">
        <f t="shared" si="4"/>
        <v>3.7797371379402822</v>
      </c>
      <c r="H10" s="71">
        <f t="shared" si="4"/>
        <v>3.9914826186517103</v>
      </c>
      <c r="I10" s="71">
        <f t="shared" si="4"/>
        <v>3.958598549529027</v>
      </c>
      <c r="J10" s="71">
        <f t="shared" si="4"/>
        <v>2.795216965901691</v>
      </c>
      <c r="K10" s="71">
        <f t="shared" si="4"/>
        <v>1.3471861359755484</v>
      </c>
      <c r="L10" s="71">
        <f t="shared" si="4"/>
        <v>2.2890133238964774</v>
      </c>
      <c r="M10" s="71">
        <f t="shared" si="4"/>
        <v>2.9569667167120111</v>
      </c>
      <c r="N10" s="71">
        <f t="shared" si="4"/>
        <v>1.6968711949855266</v>
      </c>
      <c r="O10" s="71">
        <f t="shared" si="4"/>
        <v>1.9462936676291827</v>
      </c>
      <c r="P10" s="71">
        <f t="shared" si="4"/>
        <v>1.1506376170892618</v>
      </c>
      <c r="Q10" s="71">
        <f t="shared" si="4"/>
        <v>0.99377538790583031</v>
      </c>
      <c r="R10" s="71">
        <f t="shared" si="4"/>
        <v>0.97799914152176948</v>
      </c>
      <c r="S10" s="71">
        <f t="shared" si="4"/>
        <v>0.74215673419121586</v>
      </c>
      <c r="T10" s="71">
        <f t="shared" si="4"/>
        <v>0.65675716047113619</v>
      </c>
      <c r="U10" s="71">
        <f t="shared" si="4"/>
        <v>0.47013540368023921</v>
      </c>
      <c r="V10" s="71">
        <f t="shared" si="4"/>
        <v>1.097849898365276</v>
      </c>
      <c r="W10" s="71">
        <f t="shared" ref="W10" si="5">SUM(W11:W15)</f>
        <v>1.206756630280456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6.1949879313974616</v>
      </c>
      <c r="C11" s="73">
        <v>6.7767561106817622</v>
      </c>
      <c r="D11" s="73">
        <v>2.9815033333943997</v>
      </c>
      <c r="E11" s="73">
        <v>2.9072738810142065</v>
      </c>
      <c r="F11" s="73">
        <v>3.547264053150228</v>
      </c>
      <c r="G11" s="73">
        <v>2.1078401905244326</v>
      </c>
      <c r="H11" s="73">
        <v>2.1409348664157397</v>
      </c>
      <c r="I11" s="73">
        <v>1.960999806628984</v>
      </c>
      <c r="J11" s="73">
        <v>1.4075205432105382</v>
      </c>
      <c r="K11" s="73">
        <v>0.6429066180935763</v>
      </c>
      <c r="L11" s="73">
        <v>1.2615197768038051</v>
      </c>
      <c r="M11" s="73">
        <v>1.7011649220725216</v>
      </c>
      <c r="N11" s="73">
        <v>1.1411943612270643</v>
      </c>
      <c r="O11" s="73">
        <v>1.3778122082775517</v>
      </c>
      <c r="P11" s="73">
        <v>0.74673391105069464</v>
      </c>
      <c r="Q11" s="73">
        <v>0.57714720460313651</v>
      </c>
      <c r="R11" s="73">
        <v>0.51242906398443511</v>
      </c>
      <c r="S11" s="73">
        <v>0.41027069171696756</v>
      </c>
      <c r="T11" s="73">
        <v>0.29816522457482497</v>
      </c>
      <c r="U11" s="73">
        <v>0.18896307643750224</v>
      </c>
      <c r="V11" s="73">
        <v>0.38057530983741</v>
      </c>
      <c r="W11" s="73">
        <v>0.5011938175444357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3.1728491325979324</v>
      </c>
      <c r="C12" s="73">
        <v>3.7055105019136687</v>
      </c>
      <c r="D12" s="73">
        <v>1.9090968784235047</v>
      </c>
      <c r="E12" s="73">
        <v>1.9437738475981643</v>
      </c>
      <c r="F12" s="73">
        <v>2.6012477342984517</v>
      </c>
      <c r="G12" s="73">
        <v>1.6718969474158494</v>
      </c>
      <c r="H12" s="73">
        <v>1.8505477522359706</v>
      </c>
      <c r="I12" s="73">
        <v>1.9975987429000432</v>
      </c>
      <c r="J12" s="73">
        <v>1.387696422691153</v>
      </c>
      <c r="K12" s="73">
        <v>0.70427951788197218</v>
      </c>
      <c r="L12" s="73">
        <v>1.027493547092672</v>
      </c>
      <c r="M12" s="73">
        <v>1.2558017946394897</v>
      </c>
      <c r="N12" s="73">
        <v>0.55567683375846222</v>
      </c>
      <c r="O12" s="73">
        <v>0.56848145935163097</v>
      </c>
      <c r="P12" s="73">
        <v>0.40390370603856723</v>
      </c>
      <c r="Q12" s="73">
        <v>0.4166281833026938</v>
      </c>
      <c r="R12" s="73">
        <v>0.46557007753733443</v>
      </c>
      <c r="S12" s="73">
        <v>0.33188604247424824</v>
      </c>
      <c r="T12" s="73">
        <v>0.35859193589631128</v>
      </c>
      <c r="U12" s="73">
        <v>0.281172327242737</v>
      </c>
      <c r="V12" s="73">
        <v>0.71727458852786596</v>
      </c>
      <c r="W12" s="73">
        <v>0.70556281273602028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7258.3858510225691</v>
      </c>
      <c r="C19" s="62">
        <f>IF(C3=0,0,C3/TrNavi_act!C7*100)</f>
        <v>7956.0736677339546</v>
      </c>
      <c r="D19" s="62">
        <f>IF(D3=0,0,D3/TrNavi_act!D7*100)</f>
        <v>8227.7200640763731</v>
      </c>
      <c r="E19" s="62">
        <f>IF(E3=0,0,E3/TrNavi_act!E7*100)</f>
        <v>8119.5222025117573</v>
      </c>
      <c r="F19" s="62">
        <f>IF(F3=0,0,F3/TrNavi_act!F7*100)</f>
        <v>8196.8974047239099</v>
      </c>
      <c r="G19" s="62">
        <f>IF(G3=0,0,G3/TrNavi_act!G7*100)</f>
        <v>7714.2902928376925</v>
      </c>
      <c r="H19" s="62">
        <f>IF(H3=0,0,H3/TrNavi_act!H7*100)</f>
        <v>7760.048974317152</v>
      </c>
      <c r="I19" s="62">
        <f>IF(I3=0,0,I3/TrNavi_act!I7*100)</f>
        <v>6942.9523864629773</v>
      </c>
      <c r="J19" s="62">
        <f>IF(J3=0,0,J3/TrNavi_act!J7*100)</f>
        <v>8292.9491078097508</v>
      </c>
      <c r="K19" s="62">
        <f>IF(K3=0,0,K3/TrNavi_act!K7*100)</f>
        <v>6225.5912617047597</v>
      </c>
      <c r="L19" s="62">
        <f>IF(L3=0,0,L3/TrNavi_act!L7*100)</f>
        <v>5736.8446806767988</v>
      </c>
      <c r="M19" s="62">
        <f>IF(M3=0,0,M3/TrNavi_act!M7*100)</f>
        <v>5267.4799323816442</v>
      </c>
      <c r="N19" s="62">
        <f>IF(N3=0,0,N3/TrNavi_act!N7*100)</f>
        <v>5271.2788274347058</v>
      </c>
      <c r="O19" s="62">
        <f>IF(O3=0,0,O3/TrNavi_act!O7*100)</f>
        <v>5172.839823524143</v>
      </c>
      <c r="P19" s="62">
        <f>IF(P3=0,0,P3/TrNavi_act!P7*100)</f>
        <v>4602.0775631527204</v>
      </c>
      <c r="Q19" s="62">
        <f>IF(Q3=0,0,Q3/TrNavi_act!Q7*100)</f>
        <v>4994.3899499011832</v>
      </c>
      <c r="R19" s="62">
        <f>IF(R3=0,0,R3/TrNavi_act!R7*100)</f>
        <v>4771.9754870328388</v>
      </c>
      <c r="S19" s="62">
        <f>IF(S3=0,0,S3/TrNavi_act!S7*100)</f>
        <v>4274.0792832632042</v>
      </c>
      <c r="T19" s="62">
        <f>IF(T3=0,0,T3/TrNavi_act!T7*100)</f>
        <v>3017.1007262898975</v>
      </c>
      <c r="U19" s="62">
        <f>IF(U3=0,0,U3/TrNavi_act!U7*100)</f>
        <v>2840.3291895484458</v>
      </c>
      <c r="V19" s="62">
        <f>IF(V3=0,0,V3/TrNavi_act!V7*100)</f>
        <v>2746.4237292022003</v>
      </c>
      <c r="W19" s="62">
        <f>IF(W3=0,0,W3/TrNavi_act!W7*100)</f>
        <v>2701.9701483360391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7836.6630212889131</v>
      </c>
      <c r="C20" s="63">
        <f>IF(C4=0,0,C4/TrNavi_act!C8*100)</f>
        <v>8649.4087742953816</v>
      </c>
      <c r="D20" s="63">
        <f>IF(D4=0,0,D4/TrNavi_act!D8*100)</f>
        <v>8581.8969518978211</v>
      </c>
      <c r="E20" s="63">
        <f>IF(E4=0,0,E4/TrNavi_act!E8*100)</f>
        <v>8433.1733756744106</v>
      </c>
      <c r="F20" s="63">
        <f>IF(F4=0,0,F4/TrNavi_act!F8*100)</f>
        <v>8599.8536291445307</v>
      </c>
      <c r="G20" s="63">
        <f>IF(G4=0,0,G4/TrNavi_act!G8*100)</f>
        <v>7954.3511245305435</v>
      </c>
      <c r="H20" s="63">
        <f>IF(H4=0,0,H4/TrNavi_act!H8*100)</f>
        <v>8024.1123712705967</v>
      </c>
      <c r="I20" s="63">
        <f>IF(I4=0,0,I4/TrNavi_act!I8*100)</f>
        <v>7183.4860279078857</v>
      </c>
      <c r="J20" s="63">
        <f>IF(J4=0,0,J4/TrNavi_act!J8*100)</f>
        <v>8493.1723895200612</v>
      </c>
      <c r="K20" s="63">
        <f>IF(K4=0,0,K4/TrNavi_act!K8*100)</f>
        <v>6302.3085700880574</v>
      </c>
      <c r="L20" s="63">
        <f>IF(L4=0,0,L4/TrNavi_act!L8*100)</f>
        <v>5867.8486121323049</v>
      </c>
      <c r="M20" s="63">
        <f>IF(M4=0,0,M4/TrNavi_act!M8*100)</f>
        <v>5436.2079827622256</v>
      </c>
      <c r="N20" s="63">
        <f>IF(N4=0,0,N4/TrNavi_act!N8*100)</f>
        <v>5374.5988883362725</v>
      </c>
      <c r="O20" s="63">
        <f>IF(O4=0,0,O4/TrNavi_act!O8*100)</f>
        <v>5284.2178539592405</v>
      </c>
      <c r="P20" s="63">
        <f>IF(P4=0,0,P4/TrNavi_act!P8*100)</f>
        <v>4662.1580717269708</v>
      </c>
      <c r="Q20" s="63">
        <f>IF(Q4=0,0,Q4/TrNavi_act!Q8*100)</f>
        <v>5049.9499759323808</v>
      </c>
      <c r="R20" s="63">
        <f>IF(R4=0,0,R4/TrNavi_act!R8*100)</f>
        <v>4825.4392397617812</v>
      </c>
      <c r="S20" s="63">
        <f>IF(S4=0,0,S4/TrNavi_act!S8*100)</f>
        <v>4317.5845522378022</v>
      </c>
      <c r="T20" s="63">
        <f>IF(T4=0,0,T4/TrNavi_act!T8*100)</f>
        <v>3053.2527342056082</v>
      </c>
      <c r="U20" s="63">
        <f>IF(U4=0,0,U4/TrNavi_act!U8*100)</f>
        <v>2865.1270335205409</v>
      </c>
      <c r="V20" s="63">
        <f>IF(V4=0,0,V4/TrNavi_act!V8*100)</f>
        <v>2803.1916723541112</v>
      </c>
      <c r="W20" s="63">
        <f>IF(W4=0,0,W4/TrNavi_act!W8*100)</f>
        <v>2766.4824214642808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664.38560737555986</v>
      </c>
      <c r="C21" s="64">
        <f>IF(C10=0,0,C10/TrNavi_act!C9*100)</f>
        <v>722.91493879968493</v>
      </c>
      <c r="D21" s="64">
        <f>IF(D10=0,0,D10/TrNavi_act!D9*100)</f>
        <v>684.00002962488179</v>
      </c>
      <c r="E21" s="64">
        <f>IF(E10=0,0,E10/TrNavi_act!E9*100)</f>
        <v>690.04946352949798</v>
      </c>
      <c r="F21" s="64">
        <f>IF(F10=0,0,F10/TrNavi_act!F9*100)</f>
        <v>701.08458237727245</v>
      </c>
      <c r="G21" s="64">
        <f>IF(G10=0,0,G10/TrNavi_act!G9*100)</f>
        <v>640.63341321021744</v>
      </c>
      <c r="H21" s="64">
        <f>IF(H10=0,0,H10/TrNavi_act!H9*100)</f>
        <v>626.60637655442861</v>
      </c>
      <c r="I21" s="64">
        <f>IF(I10=0,0,I10/TrNavi_act!I9*100)</f>
        <v>567.9481419697313</v>
      </c>
      <c r="J21" s="64">
        <f>IF(J10=0,0,J10/TrNavi_act!J9*100)</f>
        <v>642.5786128509634</v>
      </c>
      <c r="K21" s="64">
        <f>IF(K10=0,0,K10/TrNavi_act!K9*100)</f>
        <v>530.38824251005838</v>
      </c>
      <c r="L21" s="64">
        <f>IF(L10=0,0,L10/TrNavi_act!L9*100)</f>
        <v>478.8730803130706</v>
      </c>
      <c r="M21" s="64">
        <f>IF(M10=0,0,M10/TrNavi_act!M9*100)</f>
        <v>429.7916739406993</v>
      </c>
      <c r="N21" s="64">
        <f>IF(N10=0,0,N10/TrNavi_act!N9*100)</f>
        <v>437.33793685193979</v>
      </c>
      <c r="O21" s="64">
        <f>IF(O10=0,0,O10/TrNavi_act!O9*100)</f>
        <v>444.35928484684536</v>
      </c>
      <c r="P21" s="64">
        <f>IF(P10=0,0,P10/TrNavi_act!P9*100)</f>
        <v>388.72892469231817</v>
      </c>
      <c r="Q21" s="64">
        <f>IF(Q10=0,0,Q10/TrNavi_act!Q9*100)</f>
        <v>441.67795018036901</v>
      </c>
      <c r="R21" s="64">
        <f>IF(R10=0,0,R10/TrNavi_act!R9*100)</f>
        <v>402.46878251924676</v>
      </c>
      <c r="S21" s="64">
        <f>IF(S10=0,0,S10/TrNavi_act!S9*100)</f>
        <v>334.30483522126838</v>
      </c>
      <c r="T21" s="64">
        <f>IF(T10=0,0,T10/TrNavi_act!T9*100)</f>
        <v>244.14764329782014</v>
      </c>
      <c r="U21" s="64">
        <f>IF(U10=0,0,U10/TrNavi_act!U9*100)</f>
        <v>235.06770184011958</v>
      </c>
      <c r="V21" s="64">
        <f>IF(V10=0,0,V10/TrNavi_act!V9*100)</f>
        <v>243.96664408117243</v>
      </c>
      <c r="W21" s="64">
        <f>IF(W10=0,0,W10/TrNavi_act!W9*100)</f>
        <v>237.55051777174333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46.424599916642386</v>
      </c>
      <c r="C23" s="62">
        <f>IF(C3=0,0,C3/TrNavi_act!C3*1000)</f>
        <v>49.790426086438707</v>
      </c>
      <c r="D23" s="62">
        <f>IF(D3=0,0,D3/TrNavi_act!D3*1000)</f>
        <v>45.104713137305502</v>
      </c>
      <c r="E23" s="62">
        <f>IF(E3=0,0,E3/TrNavi_act!E3*1000)</f>
        <v>43.88923128500182</v>
      </c>
      <c r="F23" s="62">
        <f>IF(F3=0,0,F3/TrNavi_act!F3*1000)</f>
        <v>44.031611024761638</v>
      </c>
      <c r="G23" s="62">
        <f>IF(G3=0,0,G3/TrNavi_act!G3*1000)</f>
        <v>38.17036008103927</v>
      </c>
      <c r="H23" s="62">
        <f>IF(H3=0,0,H3/TrNavi_act!H3*1000)</f>
        <v>38.288701807681413</v>
      </c>
      <c r="I23" s="62">
        <f>IF(I3=0,0,I3/TrNavi_act!I3*1000)</f>
        <v>32.637994588982913</v>
      </c>
      <c r="J23" s="62">
        <f>IF(J3=0,0,J3/TrNavi_act!J3*1000)</f>
        <v>37.811582671581412</v>
      </c>
      <c r="K23" s="62">
        <f>IF(K3=0,0,K3/TrNavi_act!K3*1000)</f>
        <v>29.791542179170118</v>
      </c>
      <c r="L23" s="62">
        <f>IF(L3=0,0,L3/TrNavi_act!L3*1000)</f>
        <v>27.854563135562799</v>
      </c>
      <c r="M23" s="62">
        <f>IF(M3=0,0,M3/TrNavi_act!M3*1000)</f>
        <v>25.458132580095413</v>
      </c>
      <c r="N23" s="62">
        <f>IF(N3=0,0,N3/TrNavi_act!N3*1000)</f>
        <v>25.308168980348945</v>
      </c>
      <c r="O23" s="62">
        <f>IF(O3=0,0,O3/TrNavi_act!O3*1000)</f>
        <v>25.813260209397896</v>
      </c>
      <c r="P23" s="62">
        <f>IF(P3=0,0,P3/TrNavi_act!P3*1000)</f>
        <v>23.46994287490719</v>
      </c>
      <c r="Q23" s="62">
        <f>IF(Q3=0,0,Q3/TrNavi_act!Q3*1000)</f>
        <v>23.283587128320583</v>
      </c>
      <c r="R23" s="62">
        <f>IF(R3=0,0,R3/TrNavi_act!R3*1000)</f>
        <v>21.398037623880256</v>
      </c>
      <c r="S23" s="62">
        <f>IF(S3=0,0,S3/TrNavi_act!S3*1000)</f>
        <v>18.792660698915284</v>
      </c>
      <c r="T23" s="62">
        <f>IF(T3=0,0,T3/TrNavi_act!T3*1000)</f>
        <v>13.906556078803098</v>
      </c>
      <c r="U23" s="62">
        <f>IF(U3=0,0,U3/TrNavi_act!U3*1000)</f>
        <v>13.625810288929483</v>
      </c>
      <c r="V23" s="62">
        <f>IF(V3=0,0,V3/TrNavi_act!V3*1000)</f>
        <v>12.862192644016162</v>
      </c>
      <c r="W23" s="62">
        <f>IF(W3=0,0,W3/TrNavi_act!W3*1000)</f>
        <v>12.691765322563601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46.369551579816424</v>
      </c>
      <c r="C24" s="63">
        <f>IF(C4=0,0,C4/TrNavi_act!C4*1000)</f>
        <v>49.696805097639754</v>
      </c>
      <c r="D24" s="63">
        <f>IF(D4=0,0,D4/TrNavi_act!D4*1000)</f>
        <v>45.07614395635423</v>
      </c>
      <c r="E24" s="63">
        <f>IF(E4=0,0,E4/TrNavi_act!E4*1000)</f>
        <v>43.862212666356442</v>
      </c>
      <c r="F24" s="63">
        <f>IF(F4=0,0,F4/TrNavi_act!F4*1000)</f>
        <v>43.990456947504995</v>
      </c>
      <c r="G24" s="63">
        <f>IF(G4=0,0,G4/TrNavi_act!G4*1000)</f>
        <v>38.159539761147869</v>
      </c>
      <c r="H24" s="63">
        <f>IF(H4=0,0,H4/TrNavi_act!H4*1000)</f>
        <v>38.258707036499395</v>
      </c>
      <c r="I24" s="63">
        <f>IF(I4=0,0,I4/TrNavi_act!I4*1000)</f>
        <v>32.615302466144946</v>
      </c>
      <c r="J24" s="63">
        <f>IF(J4=0,0,J4/TrNavi_act!J4*1000)</f>
        <v>37.801533442567091</v>
      </c>
      <c r="K24" s="63">
        <f>IF(K4=0,0,K4/TrNavi_act!K4*1000)</f>
        <v>29.798100700475189</v>
      </c>
      <c r="L24" s="63">
        <f>IF(L4=0,0,L4/TrNavi_act!L4*1000)</f>
        <v>27.872371781584917</v>
      </c>
      <c r="M24" s="63">
        <f>IF(M4=0,0,M4/TrNavi_act!M4*1000)</f>
        <v>25.474975896381427</v>
      </c>
      <c r="N24" s="63">
        <f>IF(N4=0,0,N4/TrNavi_act!N4*1000)</f>
        <v>25.317331385338274</v>
      </c>
      <c r="O24" s="63">
        <f>IF(O4=0,0,O4/TrNavi_act!O4*1000)</f>
        <v>25.822486673244331</v>
      </c>
      <c r="P24" s="63">
        <f>IF(P4=0,0,P4/TrNavi_act!P4*1000)</f>
        <v>23.478468905508695</v>
      </c>
      <c r="Q24" s="63">
        <f>IF(Q4=0,0,Q4/TrNavi_act!Q4*1000)</f>
        <v>23.294841173266008</v>
      </c>
      <c r="R24" s="63">
        <f>IF(R4=0,0,R4/TrNavi_act!R4*1000)</f>
        <v>21.408216837875031</v>
      </c>
      <c r="S24" s="63">
        <f>IF(S4=0,0,S4/TrNavi_act!S4*1000)</f>
        <v>18.801415751801358</v>
      </c>
      <c r="T24" s="63">
        <f>IF(T4=0,0,T4/TrNavi_act!T4*1000)</f>
        <v>13.914779961277619</v>
      </c>
      <c r="U24" s="63">
        <f>IF(U4=0,0,U4/TrNavi_act!U4*1000)</f>
        <v>13.63213439131707</v>
      </c>
      <c r="V24" s="63">
        <f>IF(V4=0,0,V4/TrNavi_act!V4*1000)</f>
        <v>12.873700254656551</v>
      </c>
      <c r="W24" s="63">
        <f>IF(W4=0,0,W4/TrNavi_act!W4*1000)</f>
        <v>12.705256918465345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55.245963601166466</v>
      </c>
      <c r="C25" s="64">
        <f>IF(C10=0,0,C10/TrNavi_act!C5*1000)</f>
        <v>65.097542059540388</v>
      </c>
      <c r="D25" s="64">
        <f>IF(D10=0,0,D10/TrNavi_act!D5*1000)</f>
        <v>54.301990959860376</v>
      </c>
      <c r="E25" s="64">
        <f>IF(E10=0,0,E10/TrNavi_act!E5*1000)</f>
        <v>53.413870607931855</v>
      </c>
      <c r="F25" s="64">
        <f>IF(F10=0,0,F10/TrNavi_act!F5*1000)</f>
        <v>55.982079463249377</v>
      </c>
      <c r="G25" s="64">
        <f>IF(G10=0,0,G10/TrNavi_act!G5*1000)</f>
        <v>42.588587469749662</v>
      </c>
      <c r="H25" s="64">
        <f>IF(H10=0,0,H10/TrNavi_act!H5*1000)</f>
        <v>52.537481489084556</v>
      </c>
      <c r="I25" s="64">
        <f>IF(I10=0,0,I10/TrNavi_act!I5*1000)</f>
        <v>42.565575801387389</v>
      </c>
      <c r="J25" s="64">
        <f>IF(J10=0,0,J10/TrNavi_act!J5*1000)</f>
        <v>43.67526509221392</v>
      </c>
      <c r="K25" s="64">
        <f>IF(K10=0,0,K10/TrNavi_act!K5*1000)</f>
        <v>24.9478914069546</v>
      </c>
      <c r="L25" s="64">
        <f>IF(L10=0,0,L10/TrNavi_act!L5*1000)</f>
        <v>21.194567813856271</v>
      </c>
      <c r="M25" s="64">
        <f>IF(M10=0,0,M10/TrNavi_act!M5*1000)</f>
        <v>20.534491088277857</v>
      </c>
      <c r="N25" s="64">
        <f>IF(N10=0,0,N10/TrNavi_act!N5*1000)</f>
        <v>20.949027098586747</v>
      </c>
      <c r="O25" s="64">
        <f>IF(O10=0,0,O10/TrNavi_act!O5*1000)</f>
        <v>21.868468175608793</v>
      </c>
      <c r="P25" s="64">
        <f>IF(P10=0,0,P10/TrNavi_act!P5*1000)</f>
        <v>17.978712767019715</v>
      </c>
      <c r="Q25" s="64">
        <f>IF(Q10=0,0,Q10/TrNavi_act!Q5*1000)</f>
        <v>16.028635288803713</v>
      </c>
      <c r="R25" s="64">
        <f>IF(R10=0,0,R10/TrNavi_act!R5*1000)</f>
        <v>14.597002112265216</v>
      </c>
      <c r="S25" s="64">
        <f>IF(S10=0,0,S10/TrNavi_act!S5*1000)</f>
        <v>12.16650383920026</v>
      </c>
      <c r="T25" s="64">
        <f>IF(T10=0,0,T10/TrNavi_act!T5*1000)</f>
        <v>8.8750967631234623</v>
      </c>
      <c r="U25" s="64">
        <f>IF(U10=0,0,U10/TrNavi_act!U5*1000)</f>
        <v>8.5479164305498028</v>
      </c>
      <c r="V25" s="64">
        <f>IF(V10=0,0,V10/TrNavi_act!V5*1000)</f>
        <v>8.8536282126231942</v>
      </c>
      <c r="W25" s="64">
        <f>IF(W10=0,0,W10/TrNavi_act!W5*1000)</f>
        <v>8.6196902162889728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0.9926199529175771</v>
      </c>
      <c r="C28" s="77">
        <f t="shared" si="8"/>
        <v>0.99205213524321656</v>
      </c>
      <c r="D28" s="77">
        <f t="shared" si="8"/>
        <v>0.99627191874342791</v>
      </c>
      <c r="E28" s="77">
        <f t="shared" si="8"/>
        <v>0.99655744842131222</v>
      </c>
      <c r="F28" s="77">
        <f t="shared" si="8"/>
        <v>0.99563665683591274</v>
      </c>
      <c r="G28" s="77">
        <f t="shared" si="8"/>
        <v>0.99727418284013292</v>
      </c>
      <c r="H28" s="77">
        <f t="shared" si="8"/>
        <v>0.99711760677709294</v>
      </c>
      <c r="I28" s="77">
        <f t="shared" si="8"/>
        <v>0.99702576581232472</v>
      </c>
      <c r="J28" s="77">
        <f t="shared" si="8"/>
        <v>0.9980238070934081</v>
      </c>
      <c r="K28" s="77">
        <f t="shared" si="8"/>
        <v>0.99886763532206146</v>
      </c>
      <c r="L28" s="77">
        <f t="shared" si="8"/>
        <v>0.99797079721613247</v>
      </c>
      <c r="M28" s="77">
        <f t="shared" si="8"/>
        <v>0.99725010927625923</v>
      </c>
      <c r="N28" s="77">
        <f t="shared" si="8"/>
        <v>0.99826380006979409</v>
      </c>
      <c r="O28" s="77">
        <f t="shared" si="8"/>
        <v>0.99802315740007619</v>
      </c>
      <c r="P28" s="77">
        <f t="shared" si="8"/>
        <v>0.99881245516402029</v>
      </c>
      <c r="Q28" s="77">
        <f t="shared" si="8"/>
        <v>0.99893377808774608</v>
      </c>
      <c r="R28" s="77">
        <f t="shared" si="8"/>
        <v>0.99898051838838253</v>
      </c>
      <c r="S28" s="77">
        <f t="shared" si="8"/>
        <v>0.99914571823297404</v>
      </c>
      <c r="T28" s="77">
        <f t="shared" si="8"/>
        <v>0.99895857700290625</v>
      </c>
      <c r="U28" s="77">
        <f t="shared" si="8"/>
        <v>0.99921968013762286</v>
      </c>
      <c r="V28" s="77">
        <f t="shared" ref="V28:W28" si="9">IF(V4=0,0,V4/V$3)</f>
        <v>0.99802958550318921</v>
      </c>
      <c r="W28" s="77">
        <f t="shared" si="9"/>
        <v>0.99775725114167702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7.3800470824227906E-3</v>
      </c>
      <c r="C29" s="78">
        <f t="shared" si="10"/>
        <v>7.9478647567834699E-3</v>
      </c>
      <c r="D29" s="78">
        <f t="shared" si="10"/>
        <v>3.7280812565720751E-3</v>
      </c>
      <c r="E29" s="78">
        <f t="shared" si="10"/>
        <v>3.4425515786877347E-3</v>
      </c>
      <c r="F29" s="78">
        <f t="shared" si="10"/>
        <v>4.3633431640873153E-3</v>
      </c>
      <c r="G29" s="78">
        <f t="shared" si="10"/>
        <v>2.7258171598671097E-3</v>
      </c>
      <c r="H29" s="78">
        <f t="shared" si="10"/>
        <v>2.8823932229071342E-3</v>
      </c>
      <c r="I29" s="78">
        <f t="shared" si="10"/>
        <v>2.9742341876754157E-3</v>
      </c>
      <c r="J29" s="78">
        <f t="shared" si="10"/>
        <v>1.9761929065918948E-3</v>
      </c>
      <c r="K29" s="78">
        <f t="shared" si="10"/>
        <v>1.1323646779385571E-3</v>
      </c>
      <c r="L29" s="78">
        <f t="shared" si="10"/>
        <v>2.0292027838676834E-3</v>
      </c>
      <c r="M29" s="78">
        <f t="shared" si="10"/>
        <v>2.7498907237407128E-3</v>
      </c>
      <c r="N29" s="78">
        <f t="shared" si="10"/>
        <v>1.7361999302059133E-3</v>
      </c>
      <c r="O29" s="78">
        <f t="shared" si="10"/>
        <v>1.9768425999237742E-3</v>
      </c>
      <c r="P29" s="78">
        <f t="shared" si="10"/>
        <v>1.1875448359797043E-3</v>
      </c>
      <c r="Q29" s="78">
        <f t="shared" si="10"/>
        <v>1.0662219122538042E-3</v>
      </c>
      <c r="R29" s="78">
        <f t="shared" si="10"/>
        <v>1.0194816116174561E-3</v>
      </c>
      <c r="S29" s="78">
        <f t="shared" si="10"/>
        <v>8.5428176702594702E-4</v>
      </c>
      <c r="T29" s="78">
        <f t="shared" si="10"/>
        <v>1.0414229970938263E-3</v>
      </c>
      <c r="U29" s="78">
        <f t="shared" si="10"/>
        <v>7.8031986237712329E-4</v>
      </c>
      <c r="V29" s="78">
        <f t="shared" ref="V29:W29" si="11">IF(V10=0,0,V10/V$3)</f>
        <v>1.9704144968107538E-3</v>
      </c>
      <c r="W29" s="78">
        <f t="shared" si="11"/>
        <v>2.2427488583230139E-3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3997.4445000000001</v>
      </c>
      <c r="C3" s="54">
        <f t="shared" ref="C3:V3" si="1">SUM(C4:C5)</f>
        <v>4156.1289291600006</v>
      </c>
      <c r="D3" s="54">
        <f t="shared" si="1"/>
        <v>4140.5908838400001</v>
      </c>
      <c r="E3" s="54">
        <f t="shared" si="1"/>
        <v>4449.7639818000007</v>
      </c>
      <c r="F3" s="54">
        <f t="shared" si="1"/>
        <v>4454.0751581999994</v>
      </c>
      <c r="G3" s="54">
        <f t="shared" si="1"/>
        <v>4386.6934182000005</v>
      </c>
      <c r="H3" s="54">
        <f t="shared" si="1"/>
        <v>4384.8738039599993</v>
      </c>
      <c r="I3" s="54">
        <f t="shared" si="1"/>
        <v>4222.0036490400007</v>
      </c>
      <c r="J3" s="54">
        <f t="shared" si="1"/>
        <v>4485.2220039600006</v>
      </c>
      <c r="K3" s="54">
        <f t="shared" si="1"/>
        <v>3776.9121871200005</v>
      </c>
      <c r="L3" s="54">
        <f t="shared" si="1"/>
        <v>3569.5993798800005</v>
      </c>
      <c r="M3" s="54">
        <f t="shared" si="1"/>
        <v>3399.13733796</v>
      </c>
      <c r="N3" s="54">
        <f t="shared" si="1"/>
        <v>3076.3622091600005</v>
      </c>
      <c r="O3" s="54">
        <f t="shared" si="1"/>
        <v>3094.2078872399998</v>
      </c>
      <c r="P3" s="54">
        <f t="shared" si="1"/>
        <v>3052.9920038400005</v>
      </c>
      <c r="Q3" s="54">
        <f t="shared" si="1"/>
        <v>2945.6069072400001</v>
      </c>
      <c r="R3" s="54">
        <f t="shared" si="1"/>
        <v>3039.2780979600002</v>
      </c>
      <c r="S3" s="54">
        <f t="shared" si="1"/>
        <v>2748.9008091599999</v>
      </c>
      <c r="T3" s="54">
        <f t="shared" si="1"/>
        <v>2004.0659820000001</v>
      </c>
      <c r="U3" s="54">
        <f t="shared" si="1"/>
        <v>1918.9629702000002</v>
      </c>
      <c r="V3" s="54">
        <f t="shared" si="1"/>
        <v>1778.8602261599999</v>
      </c>
      <c r="W3" s="54">
        <f t="shared" ref="W3" si="2">SUM(W4:W5)</f>
        <v>1712.78567604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3967.943171380628</v>
      </c>
      <c r="C4" s="56">
        <v>4123.0965785192811</v>
      </c>
      <c r="D4" s="56">
        <v>4125.1544245748228</v>
      </c>
      <c r="E4" s="56">
        <v>4434.4454397796671</v>
      </c>
      <c r="F4" s="56">
        <v>4434.6404998061362</v>
      </c>
      <c r="G4" s="56">
        <v>4374.7360940055951</v>
      </c>
      <c r="H4" s="56">
        <v>4372.2348734241623</v>
      </c>
      <c r="I4" s="56">
        <v>4209.4464214465352</v>
      </c>
      <c r="J4" s="56">
        <v>4476.3583400512853</v>
      </c>
      <c r="K4" s="56">
        <v>3772.63534516763</v>
      </c>
      <c r="L4" s="56">
        <v>3562.3559388810554</v>
      </c>
      <c r="M4" s="56">
        <v>3389.7900817256232</v>
      </c>
      <c r="N4" s="56">
        <v>3071.0210293071686</v>
      </c>
      <c r="O4" s="56">
        <v>3088.0911252754836</v>
      </c>
      <c r="P4" s="56">
        <v>3049.3664389515529</v>
      </c>
      <c r="Q4" s="56">
        <v>2942.4662366106145</v>
      </c>
      <c r="R4" s="56">
        <v>3036.1796098265381</v>
      </c>
      <c r="S4" s="56">
        <v>2746.5524733193715</v>
      </c>
      <c r="T4" s="56">
        <v>2001.9789015986519</v>
      </c>
      <c r="U4" s="56">
        <v>1917.4655652791869</v>
      </c>
      <c r="V4" s="56">
        <v>1775.3551341825741</v>
      </c>
      <c r="W4" s="56">
        <v>1708.9443279205093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29.501328619372028</v>
      </c>
      <c r="C5" s="58">
        <v>33.032350640718988</v>
      </c>
      <c r="D5" s="58">
        <v>15.436459265177106</v>
      </c>
      <c r="E5" s="58">
        <v>15.318542020333412</v>
      </c>
      <c r="F5" s="58">
        <v>19.434658393863092</v>
      </c>
      <c r="G5" s="58">
        <v>11.957324194405667</v>
      </c>
      <c r="H5" s="58">
        <v>12.638930535837329</v>
      </c>
      <c r="I5" s="58">
        <v>12.557227593465125</v>
      </c>
      <c r="J5" s="58">
        <v>8.8636639087156368</v>
      </c>
      <c r="K5" s="58">
        <v>4.2768419523703507</v>
      </c>
      <c r="L5" s="58">
        <v>7.2434409989448501</v>
      </c>
      <c r="M5" s="58">
        <v>9.347256234376907</v>
      </c>
      <c r="N5" s="58">
        <v>5.3411798528317016</v>
      </c>
      <c r="O5" s="58">
        <v>6.1167619645161713</v>
      </c>
      <c r="P5" s="58">
        <v>3.625564888447522</v>
      </c>
      <c r="Q5" s="58">
        <v>3.1406706293854474</v>
      </c>
      <c r="R5" s="58">
        <v>3.0984881334618977</v>
      </c>
      <c r="S5" s="58">
        <v>2.34833584062826</v>
      </c>
      <c r="T5" s="58">
        <v>2.0870804013482225</v>
      </c>
      <c r="U5" s="58">
        <v>1.4974049208132603</v>
      </c>
      <c r="V5" s="58">
        <v>3.505091977425721</v>
      </c>
      <c r="W5" s="58">
        <v>3.8413481194907213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3.1492145324301446</v>
      </c>
      <c r="C9" s="79">
        <f>IF(C3=0,0,C3/TrNavi_ene!C3)</f>
        <v>3.1512603009951596</v>
      </c>
      <c r="D9" s="79">
        <f>IF(D3=0,0,D3/TrNavi_ene!D3)</f>
        <v>3.1563527167638097</v>
      </c>
      <c r="E9" s="79">
        <f>IF(E3=0,0,E3/TrNavi_ene!E3)</f>
        <v>3.1577801079923078</v>
      </c>
      <c r="F9" s="79">
        <f>IF(F3=0,0,F3/TrNavi_ene!F3)</f>
        <v>3.1608719419772782</v>
      </c>
      <c r="G9" s="79">
        <f>IF(G3=0,0,G3/TrNavi_ene!G3)</f>
        <v>3.1635332717665263</v>
      </c>
      <c r="H9" s="79">
        <f>IF(H3=0,0,H3/TrNavi_ene!H3)</f>
        <v>3.1664751530614592</v>
      </c>
      <c r="I9" s="79">
        <f>IF(I3=0,0,I3/TrNavi_ene!I3)</f>
        <v>3.1721396944782692</v>
      </c>
      <c r="J9" s="79">
        <f>IF(J3=0,0,J3/TrNavi_ene!J3)</f>
        <v>3.1710110581188333</v>
      </c>
      <c r="K9" s="79">
        <f>IF(K3=0,0,K3/TrNavi_ene!K3)</f>
        <v>3.1746481337364174</v>
      </c>
      <c r="L9" s="79">
        <f>IF(L3=0,0,L3/TrNavi_ene!L3)</f>
        <v>3.1644381110961342</v>
      </c>
      <c r="M9" s="79">
        <f>IF(M3=0,0,M3/TrNavi_ene!M3)</f>
        <v>3.1610961941332074</v>
      </c>
      <c r="N9" s="79">
        <f>IF(N3=0,0,N3/TrNavi_ene!N3)</f>
        <v>3.1476636933996982</v>
      </c>
      <c r="O9" s="79">
        <f>IF(O3=0,0,O3/TrNavi_ene!O3)</f>
        <v>3.1427744262083088</v>
      </c>
      <c r="P9" s="79">
        <f>IF(P3=0,0,P3/TrNavi_ene!P3)</f>
        <v>3.1509180949767832</v>
      </c>
      <c r="Q9" s="79">
        <f>IF(Q3=0,0,Q3/TrNavi_ene!Q3)</f>
        <v>3.1603425357552277</v>
      </c>
      <c r="R9" s="79">
        <f>IF(R3=0,0,R3/TrNavi_ene!R3)</f>
        <v>3.1681910565285785</v>
      </c>
      <c r="S9" s="79">
        <f>IF(S3=0,0,S3/TrNavi_ene!S3)</f>
        <v>3.1642047190845997</v>
      </c>
      <c r="T9" s="79">
        <f>IF(T3=0,0,T3/TrNavi_ene!T3)</f>
        <v>3.1778570938625457</v>
      </c>
      <c r="U9" s="79">
        <f>IF(U3=0,0,U3/TrNavi_ene!U3)</f>
        <v>3.1850503261220342</v>
      </c>
      <c r="V9" s="79">
        <f>IF(V3=0,0,V3/TrNavi_ene!V3)</f>
        <v>3.1926878006227293</v>
      </c>
      <c r="W9" s="79">
        <f>IF(W3=0,0,W3/TrNavi_ene!W3)</f>
        <v>3.1832003430534073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3.149214532430145</v>
      </c>
      <c r="C10" s="80">
        <f>IF(C4=0,0,C4/TrNavi_ene!C4)</f>
        <v>3.1512603009951592</v>
      </c>
      <c r="D10" s="80">
        <f>IF(D4=0,0,D4/TrNavi_ene!D4)</f>
        <v>3.1563527167638097</v>
      </c>
      <c r="E10" s="80">
        <f>IF(E4=0,0,E4/TrNavi_ene!E4)</f>
        <v>3.1577801079923082</v>
      </c>
      <c r="F10" s="80">
        <f>IF(F4=0,0,F4/TrNavi_ene!F4)</f>
        <v>3.1608719419772782</v>
      </c>
      <c r="G10" s="80">
        <f>IF(G4=0,0,G4/TrNavi_ene!G4)</f>
        <v>3.1635332717665263</v>
      </c>
      <c r="H10" s="80">
        <f>IF(H4=0,0,H4/TrNavi_ene!H4)</f>
        <v>3.1664751530614592</v>
      </c>
      <c r="I10" s="80">
        <f>IF(I4=0,0,I4/TrNavi_ene!I4)</f>
        <v>3.1721396944782683</v>
      </c>
      <c r="J10" s="80">
        <f>IF(J4=0,0,J4/TrNavi_ene!J4)</f>
        <v>3.1710110581188338</v>
      </c>
      <c r="K10" s="80">
        <f>IF(K4=0,0,K4/TrNavi_ene!K4)</f>
        <v>3.1746481337364174</v>
      </c>
      <c r="L10" s="80">
        <f>IF(L4=0,0,L4/TrNavi_ene!L4)</f>
        <v>3.1644381110961337</v>
      </c>
      <c r="M10" s="80">
        <f>IF(M4=0,0,M4/TrNavi_ene!M4)</f>
        <v>3.1610961941332079</v>
      </c>
      <c r="N10" s="80">
        <f>IF(N4=0,0,N4/TrNavi_ene!N4)</f>
        <v>3.1476636933996982</v>
      </c>
      <c r="O10" s="80">
        <f>IF(O4=0,0,O4/TrNavi_ene!O4)</f>
        <v>3.1427744262083093</v>
      </c>
      <c r="P10" s="80">
        <f>IF(P4=0,0,P4/TrNavi_ene!P4)</f>
        <v>3.1509180949767832</v>
      </c>
      <c r="Q10" s="80">
        <f>IF(Q4=0,0,Q4/TrNavi_ene!Q4)</f>
        <v>3.1603425357552282</v>
      </c>
      <c r="R10" s="80">
        <f>IF(R4=0,0,R4/TrNavi_ene!R4)</f>
        <v>3.1681910565285785</v>
      </c>
      <c r="S10" s="80">
        <f>IF(S4=0,0,S4/TrNavi_ene!S4)</f>
        <v>3.1642047190845997</v>
      </c>
      <c r="T10" s="80">
        <f>IF(T4=0,0,T4/TrNavi_ene!T4)</f>
        <v>3.1778570938625457</v>
      </c>
      <c r="U10" s="80">
        <f>IF(U4=0,0,U4/TrNavi_ene!U4)</f>
        <v>3.1850503261220342</v>
      </c>
      <c r="V10" s="80">
        <f>IF(V4=0,0,V4/TrNavi_ene!V4)</f>
        <v>3.1926878006227297</v>
      </c>
      <c r="W10" s="80">
        <f>IF(W4=0,0,W4/TrNavi_ene!W4)</f>
        <v>3.1832003430534073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3.1492145324301442</v>
      </c>
      <c r="C11" s="81">
        <f>IF(C5=0,0,C5/TrNavi_ene!C10)</f>
        <v>3.1512603009951592</v>
      </c>
      <c r="D11" s="81">
        <f>IF(D5=0,0,D5/TrNavi_ene!D10)</f>
        <v>3.1563527167638097</v>
      </c>
      <c r="E11" s="81">
        <f>IF(E5=0,0,E5/TrNavi_ene!E10)</f>
        <v>3.1577801079923078</v>
      </c>
      <c r="F11" s="81">
        <f>IF(F5=0,0,F5/TrNavi_ene!F10)</f>
        <v>3.1608719419772777</v>
      </c>
      <c r="G11" s="81">
        <f>IF(G5=0,0,G5/TrNavi_ene!G10)</f>
        <v>3.1635332717665263</v>
      </c>
      <c r="H11" s="81">
        <f>IF(H5=0,0,H5/TrNavi_ene!H10)</f>
        <v>3.1664751530614592</v>
      </c>
      <c r="I11" s="81">
        <f>IF(I5=0,0,I5/TrNavi_ene!I10)</f>
        <v>3.1721396944782687</v>
      </c>
      <c r="J11" s="81">
        <f>IF(J5=0,0,J5/TrNavi_ene!J10)</f>
        <v>3.1710110581188338</v>
      </c>
      <c r="K11" s="81">
        <f>IF(K5=0,0,K5/TrNavi_ene!K10)</f>
        <v>3.1746481337364179</v>
      </c>
      <c r="L11" s="81">
        <f>IF(L5=0,0,L5/TrNavi_ene!L10)</f>
        <v>3.1644381110961333</v>
      </c>
      <c r="M11" s="81">
        <f>IF(M5=0,0,M5/TrNavi_ene!M10)</f>
        <v>3.1610961941332083</v>
      </c>
      <c r="N11" s="81">
        <f>IF(N5=0,0,N5/TrNavi_ene!N10)</f>
        <v>3.1476636933996978</v>
      </c>
      <c r="O11" s="81">
        <f>IF(O5=0,0,O5/TrNavi_ene!O10)</f>
        <v>3.1427744262083097</v>
      </c>
      <c r="P11" s="81">
        <f>IF(P5=0,0,P5/TrNavi_ene!P10)</f>
        <v>3.1509180949767832</v>
      </c>
      <c r="Q11" s="81">
        <f>IF(Q5=0,0,Q5/TrNavi_ene!Q10)</f>
        <v>3.1603425357552282</v>
      </c>
      <c r="R11" s="81">
        <f>IF(R5=0,0,R5/TrNavi_ene!R10)</f>
        <v>3.1681910565285785</v>
      </c>
      <c r="S11" s="81">
        <f>IF(S5=0,0,S5/TrNavi_ene!S10)</f>
        <v>3.1642047190845997</v>
      </c>
      <c r="T11" s="81">
        <f>IF(T5=0,0,T5/TrNavi_ene!T10)</f>
        <v>3.1778570938625457</v>
      </c>
      <c r="U11" s="81">
        <f>IF(U5=0,0,U5/TrNavi_ene!U10)</f>
        <v>3.1850503261220346</v>
      </c>
      <c r="V11" s="81">
        <f>IF(V5=0,0,V5/TrNavi_ene!V10)</f>
        <v>3.1926878006227302</v>
      </c>
      <c r="W11" s="81">
        <f>IF(W5=0,0,W5/TrNavi_ene!W10)</f>
        <v>3.1832003430534073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228582.14204025618</v>
      </c>
      <c r="C13" s="54">
        <f>IF(C3=0,0,C3/TrNavi_act!C7*1000)</f>
        <v>250716.59100922965</v>
      </c>
      <c r="D13" s="54">
        <f>IF(D3=0,0,D3/TrNavi_act!D7*1000)</f>
        <v>259695.86577019573</v>
      </c>
      <c r="E13" s="54">
        <f>IF(E3=0,0,E3/TrNavi_act!E7*1000)</f>
        <v>256396.65697493518</v>
      </c>
      <c r="F13" s="54">
        <f>IF(F3=0,0,F3/TrNavi_act!F7*1000)</f>
        <v>259093.4301785818</v>
      </c>
      <c r="G13" s="54">
        <f>IF(G3=0,0,G3/TrNavi_act!G7*1000)</f>
        <v>244044.14009457579</v>
      </c>
      <c r="H13" s="54">
        <f>IF(H3=0,0,H3/TrNavi_act!H7*1000)</f>
        <v>245720.02263715325</v>
      </c>
      <c r="I13" s="54">
        <f>IF(I3=0,0,I3/TrNavi_act!I7*1000)</f>
        <v>220240.14861971835</v>
      </c>
      <c r="J13" s="54">
        <f>IF(J3=0,0,J3/TrNavi_act!J7*1000)</f>
        <v>262970.33325281431</v>
      </c>
      <c r="K13" s="54">
        <f>IF(K3=0,0,K3/TrNavi_act!K7*1000)</f>
        <v>197640.61680376765</v>
      </c>
      <c r="L13" s="54">
        <f>IF(L3=0,0,L3/TrNavi_act!L7*1000)</f>
        <v>181538.89944972796</v>
      </c>
      <c r="M13" s="54">
        <f>IF(M3=0,0,M3/TrNavi_act!M7*1000)</f>
        <v>166510.10766924662</v>
      </c>
      <c r="N13" s="54">
        <f>IF(N3=0,0,N3/TrNavi_act!N7*1000)</f>
        <v>165922.1298290276</v>
      </c>
      <c r="O13" s="54">
        <f>IF(O3=0,0,O3/TrNavi_act!O7*1000)</f>
        <v>162570.68708243576</v>
      </c>
      <c r="P13" s="54">
        <f>IF(P3=0,0,P3/TrNavi_act!P7*1000)</f>
        <v>145007.6946822457</v>
      </c>
      <c r="Q13" s="54">
        <f>IF(Q3=0,0,Q3/TrNavi_act!Q7*1000)</f>
        <v>157839.82998821131</v>
      </c>
      <c r="R13" s="54">
        <f>IF(R3=0,0,R3/TrNavi_act!R7*1000)</f>
        <v>151185.30059991046</v>
      </c>
      <c r="S13" s="54">
        <f>IF(S3=0,0,S3/TrNavi_act!S7*1000)</f>
        <v>135240.61837843154</v>
      </c>
      <c r="T13" s="54">
        <f>IF(T3=0,0,T3/TrNavi_act!T7*1000)</f>
        <v>95879.149459381893</v>
      </c>
      <c r="U13" s="54">
        <f>IF(U3=0,0,U3/TrNavi_act!U7*1000)</f>
        <v>90465.9141146521</v>
      </c>
      <c r="V13" s="54">
        <f>IF(V3=0,0,V3/TrNavi_act!V7*1000)</f>
        <v>87684.735355646466</v>
      </c>
      <c r="W13" s="54">
        <f>IF(W3=0,0,W3/TrNavi_act!W7*1000)</f>
        <v>86009.12303103345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246793.33072400972</v>
      </c>
      <c r="C14" s="56">
        <f>IF(C4=0,0,C4/TrNavi_act!C8*1000)</f>
        <v>272565.38497516239</v>
      </c>
      <c r="D14" s="56">
        <f>IF(D4=0,0,D4/TrNavi_act!D8*1000)</f>
        <v>270874.93759109743</v>
      </c>
      <c r="E14" s="56">
        <f>IF(E4=0,0,E4/TrNavi_act!E8*1000)</f>
        <v>266301.07132955006</v>
      </c>
      <c r="F14" s="56">
        <f>IF(F4=0,0,F4/TrNavi_act!F8*1000)</f>
        <v>271830.36041474418</v>
      </c>
      <c r="G14" s="56">
        <f>IF(G4=0,0,G4/TrNavi_act!G8*1000)</f>
        <v>251638.5443776586</v>
      </c>
      <c r="H14" s="56">
        <f>IF(H4=0,0,H4/TrNavi_act!H8*1000)</f>
        <v>254081.5244900141</v>
      </c>
      <c r="I14" s="56">
        <f>IF(I4=0,0,I4/TrNavi_act!I8*1000)</f>
        <v>227870.21173856629</v>
      </c>
      <c r="J14" s="56">
        <f>IF(J4=0,0,J4/TrNavi_act!J8*1000)</f>
        <v>269319.43565677671</v>
      </c>
      <c r="K14" s="56">
        <f>IF(K4=0,0,K4/TrNavi_act!K8*1000)</f>
        <v>200076.12140261082</v>
      </c>
      <c r="L14" s="56">
        <f>IF(L4=0,0,L4/TrNavi_act!L8*1000)</f>
        <v>185684.4377837402</v>
      </c>
      <c r="M14" s="56">
        <f>IF(M4=0,0,M4/TrNavi_act!M8*1000)</f>
        <v>171843.76364826236</v>
      </c>
      <c r="N14" s="56">
        <f>IF(N4=0,0,N4/TrNavi_act!N8*1000)</f>
        <v>169174.2978740246</v>
      </c>
      <c r="O14" s="56">
        <f>IF(O4=0,0,O4/TrNavi_act!O8*1000)</f>
        <v>166071.04733936457</v>
      </c>
      <c r="P14" s="56">
        <f>IF(P4=0,0,P4/TrNavi_act!P8*1000)</f>
        <v>146900.78229846581</v>
      </c>
      <c r="Q14" s="56">
        <f>IF(Q4=0,0,Q4/TrNavi_act!Q8*1000)</f>
        <v>159595.71712375194</v>
      </c>
      <c r="R14" s="56">
        <f>IF(R4=0,0,R4/TrNavi_act!R8*1000)</f>
        <v>152879.1344323534</v>
      </c>
      <c r="S14" s="56">
        <f>IF(S4=0,0,S4/TrNavi_act!S8*1000)</f>
        <v>136617.21415237623</v>
      </c>
      <c r="T14" s="56">
        <f>IF(T4=0,0,T4/TrNavi_act!T8*1000)</f>
        <v>97028.008607505064</v>
      </c>
      <c r="U14" s="56">
        <f>IF(U4=0,0,U4/TrNavi_act!U8*1000)</f>
        <v>91255.737924956527</v>
      </c>
      <c r="V14" s="56">
        <f>IF(V4=0,0,V4/TrNavi_act!V8*1000)</f>
        <v>89497.158551321991</v>
      </c>
      <c r="W14" s="56">
        <f>IF(W4=0,0,W4/TrNavi_act!W8*1000)</f>
        <v>88062.677930563194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20922.928098845412</v>
      </c>
      <c r="C15" s="58">
        <f>IF(C5=0,0,C5/TrNavi_act!C9*1000)</f>
        <v>22780.931476357924</v>
      </c>
      <c r="D15" s="58">
        <f>IF(D5=0,0,D5/TrNavi_act!D9*1000)</f>
        <v>21589.45351773022</v>
      </c>
      <c r="E15" s="58">
        <f>IF(E5=0,0,E5/TrNavi_act!E9*1000)</f>
        <v>21790.244694642122</v>
      </c>
      <c r="F15" s="58">
        <f>IF(F5=0,0,F5/TrNavi_act!F9*1000)</f>
        <v>22160.385853891781</v>
      </c>
      <c r="G15" s="58">
        <f>IF(G5=0,0,G5/TrNavi_act!G9*1000)</f>
        <v>20266.651176958756</v>
      </c>
      <c r="H15" s="58">
        <f>IF(H5=0,0,H5/TrNavi_act!H9*1000)</f>
        <v>19841.335221094705</v>
      </c>
      <c r="I15" s="58">
        <f>IF(I5=0,0,I5/TrNavi_act!I9*1000)</f>
        <v>18016.108455473637</v>
      </c>
      <c r="J15" s="58">
        <f>IF(J5=0,0,J5/TrNavi_act!J9*1000)</f>
        <v>20376.238870610661</v>
      </c>
      <c r="K15" s="58">
        <f>IF(K5=0,0,K5/TrNavi_act!K9*1000)</f>
        <v>16837.960442402957</v>
      </c>
      <c r="L15" s="58">
        <f>IF(L5=0,0,L5/TrNavi_act!L9*1000)</f>
        <v>15153.642257206799</v>
      </c>
      <c r="M15" s="58">
        <f>IF(M5=0,0,M5/TrNavi_act!M9*1000)</f>
        <v>13586.128247640854</v>
      </c>
      <c r="N15" s="58">
        <f>IF(N5=0,0,N5/TrNavi_act!N9*1000)</f>
        <v>13765.927455751807</v>
      </c>
      <c r="O15" s="58">
        <f>IF(O5=0,0,O5/TrNavi_act!O9*1000)</f>
        <v>13965.209964648793</v>
      </c>
      <c r="P15" s="58">
        <f>IF(P5=0,0,P5/TrNavi_act!P9*1000)</f>
        <v>12248.530028538926</v>
      </c>
      <c r="Q15" s="58">
        <f>IF(Q5=0,0,Q5/TrNavi_act!Q9*1000)</f>
        <v>13958.536130601988</v>
      </c>
      <c r="R15" s="58">
        <f>IF(R5=0,0,R5/TrNavi_act!R9*1000)</f>
        <v>12750.97997309423</v>
      </c>
      <c r="S15" s="58">
        <f>IF(S5=0,0,S5/TrNavi_act!S9*1000)</f>
        <v>10578.089372199369</v>
      </c>
      <c r="T15" s="58">
        <f>IF(T5=0,0,T5/TrNavi_act!T9*1000)</f>
        <v>7758.6632020380011</v>
      </c>
      <c r="U15" s="58">
        <f>IF(U5=0,0,U5/TrNavi_act!U9*1000)</f>
        <v>7487.0246040663005</v>
      </c>
      <c r="V15" s="58">
        <f>IF(V5=0,0,V5/TrNavi_act!V9*1000)</f>
        <v>7789.0932831682685</v>
      </c>
      <c r="W15" s="58">
        <f>IF(W5=0,0,W5/TrNavi_act!W9*1000)</f>
        <v>7561.7088966352785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146.20102471974548</v>
      </c>
      <c r="C17" s="62">
        <f>IF(C3=0,0,C3/TrNavi_act!C3*1000)</f>
        <v>156.90259309582811</v>
      </c>
      <c r="D17" s="62">
        <f>IF(D3=0,0,D3/TrNavi_act!D3*1000)</f>
        <v>142.36638384978653</v>
      </c>
      <c r="E17" s="62">
        <f>IF(E3=0,0,E3/TrNavi_act!E3*1000)</f>
        <v>138.59254150685243</v>
      </c>
      <c r="F17" s="62">
        <f>IF(F3=0,0,F3/TrNavi_act!F3*1000)</f>
        <v>139.17828384822644</v>
      </c>
      <c r="G17" s="62">
        <f>IF(G3=0,0,G3/TrNavi_act!G3*1000)</f>
        <v>120.75320411167658</v>
      </c>
      <c r="H17" s="62">
        <f>IF(H3=0,0,H3/TrNavi_act!H3*1000)</f>
        <v>121.2402229170026</v>
      </c>
      <c r="I17" s="62">
        <f>IF(I3=0,0,I3/TrNavi_act!I3*1000)</f>
        <v>103.53227818387965</v>
      </c>
      <c r="J17" s="62">
        <f>IF(J3=0,0,J3/TrNavi_act!J3*1000)</f>
        <v>119.90094677655912</v>
      </c>
      <c r="K17" s="62">
        <f>IF(K3=0,0,K3/TrNavi_act!K3*1000)</f>
        <v>94.577663780232172</v>
      </c>
      <c r="L17" s="62">
        <f>IF(L3=0,0,L3/TrNavi_act!L3*1000)</f>
        <v>88.144041154108351</v>
      </c>
      <c r="M17" s="62">
        <f>IF(M3=0,0,M3/TrNavi_act!M3*1000)</f>
        <v>80.475606008678227</v>
      </c>
      <c r="N17" s="62">
        <f>IF(N3=0,0,N3/TrNavi_act!N3*1000)</f>
        <v>79.661604645868834</v>
      </c>
      <c r="O17" s="62">
        <f>IF(O3=0,0,O3/TrNavi_act!O3*1000)</f>
        <v>81.125254043156247</v>
      </c>
      <c r="P17" s="62">
        <f>IF(P3=0,0,P3/TrNavi_act!P3*1000)</f>
        <v>73.951867692616503</v>
      </c>
      <c r="Q17" s="62">
        <f>IF(Q3=0,0,Q3/TrNavi_act!Q3*1000)</f>
        <v>73.584110786594465</v>
      </c>
      <c r="R17" s="62">
        <f>IF(R3=0,0,R3/TrNavi_act!R3*1000)</f>
        <v>67.793071427239468</v>
      </c>
      <c r="S17" s="62">
        <f>IF(S3=0,0,S3/TrNavi_act!S3*1000)</f>
        <v>59.463825667663443</v>
      </c>
      <c r="T17" s="62">
        <f>IF(T3=0,0,T3/TrNavi_act!T3*1000)</f>
        <v>44.193047886221734</v>
      </c>
      <c r="U17" s="62">
        <f>IF(U3=0,0,U3/TrNavi_act!U3*1000)</f>
        <v>43.398891504431816</v>
      </c>
      <c r="V17" s="62">
        <f>IF(V3=0,0,V3/TrNavi_act!V3*1000)</f>
        <v>41.064965543809805</v>
      </c>
      <c r="W17" s="62">
        <f>IF(W3=0,0,W3/TrNavi_act!W3*1000)</f>
        <v>40.400431728737793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146.02766569742707</v>
      </c>
      <c r="C18" s="63">
        <f>IF(C4=0,0,C4/TrNavi_act!C4*1000)</f>
        <v>156.60756899048602</v>
      </c>
      <c r="D18" s="63">
        <f>IF(D4=0,0,D4/TrNavi_act!D4*1000)</f>
        <v>142.27620943787525</v>
      </c>
      <c r="E18" s="63">
        <f>IF(E4=0,0,E4/TrNavi_act!E4*1000)</f>
        <v>138.50722265034861</v>
      </c>
      <c r="F18" s="63">
        <f>IF(F4=0,0,F4/TrNavi_act!F4*1000)</f>
        <v>139.04820108012794</v>
      </c>
      <c r="G18" s="63">
        <f>IF(G4=0,0,G4/TrNavi_act!G4*1000)</f>
        <v>120.71897366968896</v>
      </c>
      <c r="H18" s="63">
        <f>IF(H4=0,0,H4/TrNavi_act!H4*1000)</f>
        <v>121.14524521933295</v>
      </c>
      <c r="I18" s="63">
        <f>IF(I4=0,0,I4/TrNavi_act!I4*1000)</f>
        <v>103.46029560027335</v>
      </c>
      <c r="J18" s="63">
        <f>IF(J4=0,0,J4/TrNavi_act!J4*1000)</f>
        <v>119.86908056022915</v>
      </c>
      <c r="K18" s="63">
        <f>IF(K4=0,0,K4/TrNavi_act!K4*1000)</f>
        <v>94.598484777653397</v>
      </c>
      <c r="L18" s="63">
        <f>IF(L4=0,0,L4/TrNavi_act!L4*1000)</f>
        <v>88.20039551228777</v>
      </c>
      <c r="M18" s="63">
        <f>IF(M4=0,0,M4/TrNavi_act!M4*1000)</f>
        <v>80.528849351686546</v>
      </c>
      <c r="N18" s="63">
        <f>IF(N4=0,0,N4/TrNavi_act!N4*1000)</f>
        <v>79.690444815397953</v>
      </c>
      <c r="O18" s="63">
        <f>IF(O4=0,0,O4/TrNavi_act!O4*1000)</f>
        <v>81.154250737777161</v>
      </c>
      <c r="P18" s="63">
        <f>IF(P4=0,0,P4/TrNavi_act!P4*1000)</f>
        <v>73.978732516717102</v>
      </c>
      <c r="Q18" s="63">
        <f>IF(Q4=0,0,Q4/TrNavi_act!Q4*1000)</f>
        <v>73.619677423534782</v>
      </c>
      <c r="R18" s="63">
        <f>IF(R4=0,0,R4/TrNavi_act!R4*1000)</f>
        <v>67.825321121980195</v>
      </c>
      <c r="S18" s="63">
        <f>IF(S4=0,0,S4/TrNavi_act!S4*1000)</f>
        <v>59.491528447321386</v>
      </c>
      <c r="T18" s="63">
        <f>IF(T4=0,0,T4/TrNavi_act!T4*1000)</f>
        <v>44.219182209482476</v>
      </c>
      <c r="U18" s="63">
        <f>IF(U4=0,0,U4/TrNavi_act!U4*1000)</f>
        <v>43.419034088803826</v>
      </c>
      <c r="V18" s="63">
        <f>IF(V4=0,0,V4/TrNavi_act!V4*1000)</f>
        <v>41.101705751915702</v>
      </c>
      <c r="W18" s="63">
        <f>IF(W4=0,0,W4/TrNavi_act!W4*1000)</f>
        <v>40.443378181440565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173.98139143090023</v>
      </c>
      <c r="C19" s="64">
        <f>IF(C5=0,0,C5/TrNavi_act!C5*1000)</f>
        <v>205.1392999845923</v>
      </c>
      <c r="D19" s="64">
        <f>IF(D5=0,0,D5/TrNavi_act!D5*1000)</f>
        <v>171.39623669183914</v>
      </c>
      <c r="E19" s="64">
        <f>IF(E5=0,0,E5/TrNavi_act!E5*1000)</f>
        <v>168.66925809660222</v>
      </c>
      <c r="F19" s="64">
        <f>IF(F5=0,0,F5/TrNavi_act!F5*1000)</f>
        <v>176.95218422892736</v>
      </c>
      <c r="G19" s="64">
        <f>IF(G5=0,0,G5/TrNavi_act!G5*1000)</f>
        <v>134.73041345809202</v>
      </c>
      <c r="H19" s="64">
        <f>IF(H5=0,0,H5/TrNavi_act!H5*1000)</f>
        <v>166.35862973961261</v>
      </c>
      <c r="I19" s="64">
        <f>IF(I5=0,0,I5/TrNavi_act!I5*1000)</f>
        <v>135.02395261790457</v>
      </c>
      <c r="J19" s="64">
        <f>IF(J5=0,0,J5/TrNavi_act!J5*1000)</f>
        <v>138.49474857368182</v>
      </c>
      <c r="K19" s="64">
        <f>IF(K5=0,0,K5/TrNavi_act!K5*1000)</f>
        <v>79.200776895747239</v>
      </c>
      <c r="L19" s="64">
        <f>IF(L5=0,0,L5/TrNavi_act!L5*1000)</f>
        <v>67.068898138378245</v>
      </c>
      <c r="M19" s="64">
        <f>IF(M5=0,0,M5/TrNavi_act!M5*1000)</f>
        <v>64.911501627617412</v>
      </c>
      <c r="N19" s="64">
        <f>IF(N5=0,0,N5/TrNavi_act!N5*1000)</f>
        <v>65.940492010267917</v>
      </c>
      <c r="O19" s="64">
        <f>IF(O5=0,0,O5/TrNavi_act!O5*1000)</f>
        <v>68.727662522653617</v>
      </c>
      <c r="P19" s="64">
        <f>IF(P5=0,0,P5/TrNavi_act!P5*1000)</f>
        <v>56.649451381992534</v>
      </c>
      <c r="Q19" s="64">
        <f>IF(Q5=0,0,Q5/TrNavi_act!Q5*1000)</f>
        <v>50.655977893313668</v>
      </c>
      <c r="R19" s="64">
        <f>IF(R5=0,0,R5/TrNavi_act!R5*1000)</f>
        <v>46.246091544207424</v>
      </c>
      <c r="S19" s="64">
        <f>IF(S5=0,0,S5/TrNavi_act!S5*1000)</f>
        <v>38.497308862758359</v>
      </c>
      <c r="T19" s="64">
        <f>IF(T5=0,0,T5/TrNavi_act!T5*1000)</f>
        <v>28.203789207408413</v>
      </c>
      <c r="U19" s="64">
        <f>IF(U5=0,0,U5/TrNavi_act!U5*1000)</f>
        <v>27.22554401478655</v>
      </c>
      <c r="V19" s="64">
        <f>IF(V5=0,0,V5/TrNavi_act!V5*1000)</f>
        <v>28.2668707856913</v>
      </c>
      <c r="W19" s="64">
        <f>IF(W5=0,0,W5/TrNavi_act!W5*1000)</f>
        <v>27.438200853505151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0.99261995291757721</v>
      </c>
      <c r="C22" s="77">
        <f t="shared" si="5"/>
        <v>0.99205213524321645</v>
      </c>
      <c r="D22" s="77">
        <f t="shared" si="5"/>
        <v>0.99627191874342791</v>
      </c>
      <c r="E22" s="77">
        <f t="shared" si="5"/>
        <v>0.99655744842131222</v>
      </c>
      <c r="F22" s="77">
        <f t="shared" si="5"/>
        <v>0.99563665683591263</v>
      </c>
      <c r="G22" s="77">
        <f t="shared" si="5"/>
        <v>0.99727418284013292</v>
      </c>
      <c r="H22" s="77">
        <f t="shared" si="5"/>
        <v>0.99711760677709294</v>
      </c>
      <c r="I22" s="77">
        <f t="shared" si="5"/>
        <v>0.99702576581232449</v>
      </c>
      <c r="J22" s="77">
        <f t="shared" si="5"/>
        <v>0.99802380709340821</v>
      </c>
      <c r="K22" s="77">
        <f t="shared" si="5"/>
        <v>0.99886763532206146</v>
      </c>
      <c r="L22" s="77">
        <f t="shared" si="5"/>
        <v>0.99797079721613224</v>
      </c>
      <c r="M22" s="77">
        <f t="shared" si="5"/>
        <v>0.99725010927625934</v>
      </c>
      <c r="N22" s="77">
        <f t="shared" si="5"/>
        <v>0.99826380006979409</v>
      </c>
      <c r="O22" s="77">
        <f t="shared" si="5"/>
        <v>0.99802315740007619</v>
      </c>
      <c r="P22" s="77">
        <f t="shared" si="5"/>
        <v>0.99881245516402029</v>
      </c>
      <c r="Q22" s="77">
        <f t="shared" si="5"/>
        <v>0.99893377808774619</v>
      </c>
      <c r="R22" s="77">
        <f t="shared" si="5"/>
        <v>0.99898051838838253</v>
      </c>
      <c r="S22" s="77">
        <f t="shared" si="5"/>
        <v>0.99914571823297404</v>
      </c>
      <c r="T22" s="77">
        <f t="shared" si="5"/>
        <v>0.99895857700290613</v>
      </c>
      <c r="U22" s="77">
        <f t="shared" si="5"/>
        <v>0.99921968013762286</v>
      </c>
      <c r="V22" s="77">
        <f t="shared" ref="V22:W22" si="6">IF(V4=0,0,V4/V$3)</f>
        <v>0.99802958550318921</v>
      </c>
      <c r="W22" s="77">
        <f t="shared" si="6"/>
        <v>0.99775725114167702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7.3800470824227898E-3</v>
      </c>
      <c r="C23" s="78">
        <f t="shared" si="7"/>
        <v>7.9478647567834699E-3</v>
      </c>
      <c r="D23" s="78">
        <f t="shared" si="7"/>
        <v>3.7280812565720751E-3</v>
      </c>
      <c r="E23" s="78">
        <f t="shared" si="7"/>
        <v>3.4425515786877347E-3</v>
      </c>
      <c r="F23" s="78">
        <f t="shared" si="7"/>
        <v>4.3633431640873145E-3</v>
      </c>
      <c r="G23" s="78">
        <f t="shared" si="7"/>
        <v>2.7258171598671093E-3</v>
      </c>
      <c r="H23" s="78">
        <f t="shared" si="7"/>
        <v>2.8823932229071342E-3</v>
      </c>
      <c r="I23" s="78">
        <f t="shared" si="7"/>
        <v>2.9742341876754152E-3</v>
      </c>
      <c r="J23" s="78">
        <f t="shared" si="7"/>
        <v>1.9761929065918948E-3</v>
      </c>
      <c r="K23" s="78">
        <f t="shared" si="7"/>
        <v>1.1323646779385571E-3</v>
      </c>
      <c r="L23" s="78">
        <f t="shared" si="7"/>
        <v>2.0292027838676825E-3</v>
      </c>
      <c r="M23" s="78">
        <f t="shared" si="7"/>
        <v>2.7498907237407137E-3</v>
      </c>
      <c r="N23" s="78">
        <f t="shared" si="7"/>
        <v>1.7361999302059131E-3</v>
      </c>
      <c r="O23" s="78">
        <f t="shared" si="7"/>
        <v>1.9768425999237746E-3</v>
      </c>
      <c r="P23" s="78">
        <f t="shared" si="7"/>
        <v>1.1875448359797043E-3</v>
      </c>
      <c r="Q23" s="78">
        <f t="shared" si="7"/>
        <v>1.0662219122538044E-3</v>
      </c>
      <c r="R23" s="78">
        <f t="shared" si="7"/>
        <v>1.0194816116174561E-3</v>
      </c>
      <c r="S23" s="78">
        <f t="shared" si="7"/>
        <v>8.5428176702594691E-4</v>
      </c>
      <c r="T23" s="78">
        <f t="shared" si="7"/>
        <v>1.0414229970938265E-3</v>
      </c>
      <c r="U23" s="78">
        <f t="shared" si="7"/>
        <v>7.8031986237712351E-4</v>
      </c>
      <c r="V23" s="78">
        <f t="shared" ref="V23:W23" si="8">IF(V5=0,0,V5/V$3)</f>
        <v>1.9704144968107542E-3</v>
      </c>
      <c r="W23" s="78">
        <f t="shared" si="8"/>
        <v>2.2427488583230139E-3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744676.87866399996</v>
      </c>
      <c r="C3" s="54">
        <f t="shared" si="0"/>
        <v>765278.34657499997</v>
      </c>
      <c r="D3" s="54">
        <f t="shared" si="0"/>
        <v>762486.09917299997</v>
      </c>
      <c r="E3" s="54">
        <f t="shared" si="0"/>
        <v>791666.98267399997</v>
      </c>
      <c r="F3" s="54">
        <f t="shared" si="0"/>
        <v>816257.25641199993</v>
      </c>
      <c r="G3" s="54">
        <f t="shared" si="0"/>
        <v>816250.22021599999</v>
      </c>
      <c r="H3" s="54">
        <f t="shared" si="0"/>
        <v>864046.68154700007</v>
      </c>
      <c r="I3" s="54">
        <f t="shared" si="0"/>
        <v>863025.60061500012</v>
      </c>
      <c r="J3" s="54">
        <f t="shared" si="0"/>
        <v>829212.691139</v>
      </c>
      <c r="K3" s="54">
        <f t="shared" si="0"/>
        <v>690006.21739999996</v>
      </c>
      <c r="L3" s="54">
        <f t="shared" si="0"/>
        <v>713591.26067300001</v>
      </c>
      <c r="M3" s="54">
        <f t="shared" si="0"/>
        <v>761897.38502699998</v>
      </c>
      <c r="N3" s="54">
        <f t="shared" si="0"/>
        <v>715583.39110499993</v>
      </c>
      <c r="O3" s="54">
        <f t="shared" si="0"/>
        <v>684209.66777099995</v>
      </c>
      <c r="P3" s="54">
        <f t="shared" si="0"/>
        <v>634356.60387999995</v>
      </c>
      <c r="Q3" s="54">
        <f t="shared" si="0"/>
        <v>677382.35869899997</v>
      </c>
      <c r="R3" s="54">
        <f t="shared" ref="R3:W3" si="1">SUM(R4:R5)</f>
        <v>629265.51125500002</v>
      </c>
      <c r="S3" s="54">
        <f t="shared" si="1"/>
        <v>627198.51276399998</v>
      </c>
      <c r="T3" s="54">
        <f t="shared" si="1"/>
        <v>682759.43365599995</v>
      </c>
      <c r="U3" s="54">
        <f t="shared" si="1"/>
        <v>736425.64009699994</v>
      </c>
      <c r="V3" s="54">
        <f t="shared" si="1"/>
        <v>641891.01420400001</v>
      </c>
      <c r="W3" s="54">
        <f t="shared" si="1"/>
        <v>709209.08941500005</v>
      </c>
      <c r="DA3" s="172" t="s">
        <v>387</v>
      </c>
    </row>
    <row r="4" spans="1:105" ht="11.45" customHeight="1" x14ac:dyDescent="0.25">
      <c r="A4" s="55" t="s">
        <v>170</v>
      </c>
      <c r="B4" s="56">
        <v>104817.92207300001</v>
      </c>
      <c r="C4" s="56">
        <v>101321.57058700001</v>
      </c>
      <c r="D4" s="56">
        <v>106850.541595</v>
      </c>
      <c r="E4" s="56">
        <v>108663.211146</v>
      </c>
      <c r="F4" s="56">
        <v>105685.678747</v>
      </c>
      <c r="G4" s="56">
        <v>101382.096909</v>
      </c>
      <c r="H4" s="56">
        <v>105378.11022500001</v>
      </c>
      <c r="I4" s="56">
        <v>100630.200759</v>
      </c>
      <c r="J4" s="56">
        <v>112844.030644</v>
      </c>
      <c r="K4" s="56">
        <v>89502.935462000009</v>
      </c>
      <c r="L4" s="56">
        <v>96085.299278999999</v>
      </c>
      <c r="M4" s="56">
        <v>100957.01861500001</v>
      </c>
      <c r="N4" s="56">
        <v>97975.156336999993</v>
      </c>
      <c r="O4" s="56">
        <v>105005.784998</v>
      </c>
      <c r="P4" s="56">
        <v>94732.316141999996</v>
      </c>
      <c r="Q4" s="56">
        <v>94630.156516999996</v>
      </c>
      <c r="R4" s="56">
        <v>98930.110269000012</v>
      </c>
      <c r="S4" s="56">
        <v>100392.38990400001</v>
      </c>
      <c r="T4" s="56">
        <v>127294.739329</v>
      </c>
      <c r="U4" s="56">
        <v>124706.173981</v>
      </c>
      <c r="V4" s="56">
        <v>107709.919824</v>
      </c>
      <c r="W4" s="56">
        <v>110868.096381</v>
      </c>
      <c r="DA4" s="181" t="s">
        <v>388</v>
      </c>
    </row>
    <row r="5" spans="1:105" ht="11.45" customHeight="1" x14ac:dyDescent="0.25">
      <c r="A5" s="57" t="s">
        <v>171</v>
      </c>
      <c r="B5" s="58">
        <v>639858.95659099997</v>
      </c>
      <c r="C5" s="58">
        <v>663956.77598799998</v>
      </c>
      <c r="D5" s="58">
        <v>655635.55757800001</v>
      </c>
      <c r="E5" s="58">
        <v>683003.77152800001</v>
      </c>
      <c r="F5" s="58">
        <v>710571.57766499999</v>
      </c>
      <c r="G5" s="58">
        <v>714868.12330700003</v>
      </c>
      <c r="H5" s="58">
        <v>758668.571322</v>
      </c>
      <c r="I5" s="58">
        <v>762395.39985600009</v>
      </c>
      <c r="J5" s="58">
        <v>716368.66049499996</v>
      </c>
      <c r="K5" s="58">
        <v>600503.281938</v>
      </c>
      <c r="L5" s="58">
        <v>617505.96139399998</v>
      </c>
      <c r="M5" s="58">
        <v>660940.36641200003</v>
      </c>
      <c r="N5" s="58">
        <v>617608.23476799997</v>
      </c>
      <c r="O5" s="58">
        <v>579203.88277299993</v>
      </c>
      <c r="P5" s="58">
        <v>539624.28773799993</v>
      </c>
      <c r="Q5" s="58">
        <v>582752.20218200004</v>
      </c>
      <c r="R5" s="58">
        <v>530335.40098599996</v>
      </c>
      <c r="S5" s="58">
        <v>526806.12286</v>
      </c>
      <c r="T5" s="58">
        <v>555464.69432699995</v>
      </c>
      <c r="U5" s="58">
        <v>611719.46611599997</v>
      </c>
      <c r="V5" s="58">
        <v>534181.09438000002</v>
      </c>
      <c r="W5" s="58">
        <v>598340.99303400004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56.984204000000005</v>
      </c>
      <c r="C7" s="59">
        <f t="shared" si="2"/>
        <v>54.883113999999999</v>
      </c>
      <c r="D7" s="59">
        <f t="shared" si="2"/>
        <v>50.424628999999996</v>
      </c>
      <c r="E7" s="59">
        <f t="shared" si="2"/>
        <v>51.705732999999995</v>
      </c>
      <c r="F7" s="59">
        <f t="shared" si="2"/>
        <v>52.076926</v>
      </c>
      <c r="G7" s="59">
        <f t="shared" si="2"/>
        <v>47.660882999999998</v>
      </c>
      <c r="H7" s="59">
        <f t="shared" si="2"/>
        <v>48.747349</v>
      </c>
      <c r="I7" s="59">
        <f t="shared" si="2"/>
        <v>45.140829999999994</v>
      </c>
      <c r="J7" s="59">
        <f t="shared" si="2"/>
        <v>45.510973000000007</v>
      </c>
      <c r="K7" s="59">
        <f t="shared" si="2"/>
        <v>43.961396000000001</v>
      </c>
      <c r="L7" s="59">
        <f t="shared" si="2"/>
        <v>37.953085000000002</v>
      </c>
      <c r="M7" s="59">
        <f t="shared" si="2"/>
        <v>37.972681000000001</v>
      </c>
      <c r="N7" s="59">
        <f t="shared" si="2"/>
        <v>35.168047999999999</v>
      </c>
      <c r="O7" s="59">
        <f t="shared" si="2"/>
        <v>35.411421000000004</v>
      </c>
      <c r="P7" s="59">
        <f t="shared" si="2"/>
        <v>33.064893999999995</v>
      </c>
      <c r="Q7" s="59">
        <f t="shared" si="2"/>
        <v>32.231430000000003</v>
      </c>
      <c r="R7" s="59">
        <f t="shared" si="2"/>
        <v>31.215961</v>
      </c>
      <c r="S7" s="59">
        <f t="shared" si="2"/>
        <v>30.592285</v>
      </c>
      <c r="T7" s="59">
        <f t="shared" si="2"/>
        <v>36.755858000000003</v>
      </c>
      <c r="U7" s="59">
        <f t="shared" si="2"/>
        <v>38.410240000000002</v>
      </c>
      <c r="V7" s="59">
        <f t="shared" si="2"/>
        <v>32.873506999999996</v>
      </c>
      <c r="W7" s="59">
        <f t="shared" si="2"/>
        <v>33.512432000000004</v>
      </c>
      <c r="DA7" s="172" t="s">
        <v>961</v>
      </c>
    </row>
    <row r="8" spans="1:105" ht="11.45" customHeight="1" x14ac:dyDescent="0.25">
      <c r="A8" s="55" t="s">
        <v>170</v>
      </c>
      <c r="B8" s="60">
        <v>24.932666000000001</v>
      </c>
      <c r="C8" s="60">
        <v>23.569033999999998</v>
      </c>
      <c r="D8" s="60">
        <v>23.063593999999998</v>
      </c>
      <c r="E8" s="60">
        <v>23.114830999999999</v>
      </c>
      <c r="F8" s="60">
        <v>22.252153999999997</v>
      </c>
      <c r="G8" s="60">
        <v>19.539857000000001</v>
      </c>
      <c r="H8" s="60">
        <v>19.843430000000001</v>
      </c>
      <c r="I8" s="60">
        <v>17.865675</v>
      </c>
      <c r="J8" s="60">
        <v>19.738265000000002</v>
      </c>
      <c r="K8" s="60">
        <v>16.199403</v>
      </c>
      <c r="L8" s="60">
        <v>17.609152999999999</v>
      </c>
      <c r="M8" s="60">
        <v>17.351468000000001</v>
      </c>
      <c r="N8" s="60">
        <v>16.861394999999998</v>
      </c>
      <c r="O8" s="60">
        <v>18.701708</v>
      </c>
      <c r="P8" s="60">
        <v>17.211713</v>
      </c>
      <c r="Q8" s="60">
        <v>16.126708000000001</v>
      </c>
      <c r="R8" s="60">
        <v>16.351194</v>
      </c>
      <c r="S8" s="60">
        <v>16.261551000000001</v>
      </c>
      <c r="T8" s="60">
        <v>21.305724000000001</v>
      </c>
      <c r="U8" s="60">
        <v>21.606824000000003</v>
      </c>
      <c r="V8" s="60">
        <v>18.185132999999997</v>
      </c>
      <c r="W8" s="60">
        <v>17.783913999999999</v>
      </c>
      <c r="DA8" s="181" t="s">
        <v>962</v>
      </c>
    </row>
    <row r="9" spans="1:105" ht="11.45" customHeight="1" x14ac:dyDescent="0.25">
      <c r="A9" s="57" t="s">
        <v>171</v>
      </c>
      <c r="B9" s="61">
        <v>32.051538000000001</v>
      </c>
      <c r="C9" s="61">
        <v>31.314080000000001</v>
      </c>
      <c r="D9" s="61">
        <v>27.361035000000001</v>
      </c>
      <c r="E9" s="61">
        <v>28.590902</v>
      </c>
      <c r="F9" s="61">
        <v>29.824771999999999</v>
      </c>
      <c r="G9" s="61">
        <v>28.121026000000001</v>
      </c>
      <c r="H9" s="61">
        <v>28.903918999999998</v>
      </c>
      <c r="I9" s="61">
        <v>27.275154999999998</v>
      </c>
      <c r="J9" s="61">
        <v>25.772708000000002</v>
      </c>
      <c r="K9" s="61">
        <v>27.761993</v>
      </c>
      <c r="L9" s="61">
        <v>20.343932000000002</v>
      </c>
      <c r="M9" s="61">
        <v>20.621213000000001</v>
      </c>
      <c r="N9" s="61">
        <v>18.306652999999997</v>
      </c>
      <c r="O9" s="61">
        <v>16.709713000000001</v>
      </c>
      <c r="P9" s="61">
        <v>15.853180999999999</v>
      </c>
      <c r="Q9" s="61">
        <v>16.104721999999999</v>
      </c>
      <c r="R9" s="61">
        <v>14.864766999999999</v>
      </c>
      <c r="S9" s="61">
        <v>14.330734</v>
      </c>
      <c r="T9" s="61">
        <v>15.450134</v>
      </c>
      <c r="U9" s="61">
        <v>16.803415999999999</v>
      </c>
      <c r="V9" s="61">
        <v>14.688374</v>
      </c>
      <c r="W9" s="61">
        <v>15.728518000000001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13068.128119575029</v>
      </c>
      <c r="C13" s="62">
        <f t="shared" si="3"/>
        <v>13943.785087978062</v>
      </c>
      <c r="D13" s="62">
        <f t="shared" si="3"/>
        <v>15121.303107118547</v>
      </c>
      <c r="E13" s="62">
        <f t="shared" si="3"/>
        <v>15311.009761219322</v>
      </c>
      <c r="F13" s="62">
        <f t="shared" si="3"/>
        <v>15674.067559440815</v>
      </c>
      <c r="G13" s="62">
        <f t="shared" si="3"/>
        <v>17126.208513929549</v>
      </c>
      <c r="H13" s="62">
        <f t="shared" si="3"/>
        <v>17724.998369593392</v>
      </c>
      <c r="I13" s="62">
        <f t="shared" si="3"/>
        <v>19118.514227917392</v>
      </c>
      <c r="J13" s="62">
        <f t="shared" si="3"/>
        <v>18220.060712369297</v>
      </c>
      <c r="K13" s="62">
        <f t="shared" si="3"/>
        <v>15695.730349418383</v>
      </c>
      <c r="L13" s="62">
        <f t="shared" si="3"/>
        <v>18801.930348297115</v>
      </c>
      <c r="M13" s="62">
        <f t="shared" si="3"/>
        <v>20064.355872765474</v>
      </c>
      <c r="N13" s="62">
        <f t="shared" si="3"/>
        <v>20347.543631224569</v>
      </c>
      <c r="O13" s="62">
        <f t="shared" si="3"/>
        <v>19321.72300487461</v>
      </c>
      <c r="P13" s="62">
        <f t="shared" si="3"/>
        <v>19185.19998521695</v>
      </c>
      <c r="Q13" s="62">
        <f t="shared" si="3"/>
        <v>21016.205570122082</v>
      </c>
      <c r="R13" s="62">
        <f t="shared" si="3"/>
        <v>20158.453915770846</v>
      </c>
      <c r="S13" s="62">
        <f t="shared" si="3"/>
        <v>20501.852436455792</v>
      </c>
      <c r="T13" s="62">
        <f t="shared" si="3"/>
        <v>18575.527026358624</v>
      </c>
      <c r="U13" s="62">
        <f t="shared" si="3"/>
        <v>19172.638340635203</v>
      </c>
      <c r="V13" s="62">
        <f t="shared" si="3"/>
        <v>19526.088719527248</v>
      </c>
      <c r="W13" s="62">
        <f t="shared" si="3"/>
        <v>21162.567056159933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4204.0398757597768</v>
      </c>
      <c r="C14" s="63">
        <f t="shared" si="3"/>
        <v>4298.9275923230462</v>
      </c>
      <c r="D14" s="63">
        <f t="shared" si="3"/>
        <v>4632.8660483270742</v>
      </c>
      <c r="E14" s="63">
        <f t="shared" si="3"/>
        <v>4701.0168988905871</v>
      </c>
      <c r="F14" s="63">
        <f t="shared" si="3"/>
        <v>4749.4583556719954</v>
      </c>
      <c r="G14" s="63">
        <f t="shared" si="3"/>
        <v>5188.4769120367664</v>
      </c>
      <c r="H14" s="63">
        <f t="shared" si="3"/>
        <v>5310.4785929146328</v>
      </c>
      <c r="I14" s="63">
        <f t="shared" si="3"/>
        <v>5632.5999862305789</v>
      </c>
      <c r="J14" s="63">
        <f t="shared" si="3"/>
        <v>5717.0187270259057</v>
      </c>
      <c r="K14" s="63">
        <f t="shared" si="3"/>
        <v>5525.0761686711548</v>
      </c>
      <c r="L14" s="63">
        <f t="shared" si="3"/>
        <v>5456.5542862283046</v>
      </c>
      <c r="M14" s="63">
        <f t="shared" si="3"/>
        <v>5818.3560385207757</v>
      </c>
      <c r="N14" s="63">
        <f t="shared" si="3"/>
        <v>5810.6198411815867</v>
      </c>
      <c r="O14" s="63">
        <f t="shared" si="3"/>
        <v>5614.7697845565763</v>
      </c>
      <c r="P14" s="63">
        <f t="shared" si="3"/>
        <v>5503.9446766280616</v>
      </c>
      <c r="Q14" s="63">
        <f t="shared" si="3"/>
        <v>5867.9152941195434</v>
      </c>
      <c r="R14" s="63">
        <f t="shared" si="3"/>
        <v>6050.3294297040338</v>
      </c>
      <c r="S14" s="63">
        <f t="shared" si="3"/>
        <v>6173.6048365866209</v>
      </c>
      <c r="T14" s="63">
        <f t="shared" si="3"/>
        <v>5974.673253488123</v>
      </c>
      <c r="U14" s="63">
        <f t="shared" si="3"/>
        <v>5771.610579185538</v>
      </c>
      <c r="V14" s="63">
        <f t="shared" si="3"/>
        <v>5922.9657448202342</v>
      </c>
      <c r="W14" s="63">
        <f t="shared" si="3"/>
        <v>6234.1786167544442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19963.440025592528</v>
      </c>
      <c r="C15" s="64">
        <f t="shared" si="3"/>
        <v>21203.138523884463</v>
      </c>
      <c r="D15" s="64">
        <f t="shared" si="3"/>
        <v>23962.381451505764</v>
      </c>
      <c r="E15" s="64">
        <f t="shared" si="3"/>
        <v>23888.85007993102</v>
      </c>
      <c r="F15" s="64">
        <f t="shared" si="3"/>
        <v>23824.878784152985</v>
      </c>
      <c r="G15" s="64">
        <f t="shared" si="3"/>
        <v>25421.125221640206</v>
      </c>
      <c r="H15" s="64">
        <f t="shared" si="3"/>
        <v>26247.948291095061</v>
      </c>
      <c r="I15" s="64">
        <f t="shared" si="3"/>
        <v>27952.009799980977</v>
      </c>
      <c r="J15" s="64">
        <f t="shared" si="3"/>
        <v>27795.630187367191</v>
      </c>
      <c r="K15" s="64">
        <f t="shared" si="3"/>
        <v>21630.409673325685</v>
      </c>
      <c r="L15" s="64">
        <f t="shared" si="3"/>
        <v>30353.324096541412</v>
      </c>
      <c r="M15" s="64">
        <f t="shared" si="3"/>
        <v>32051.478562972992</v>
      </c>
      <c r="N15" s="64">
        <f t="shared" si="3"/>
        <v>33736.818782111623</v>
      </c>
      <c r="O15" s="64">
        <f t="shared" si="3"/>
        <v>34662.706820458254</v>
      </c>
      <c r="P15" s="64">
        <f t="shared" si="3"/>
        <v>34038.864991070244</v>
      </c>
      <c r="Q15" s="64">
        <f t="shared" si="3"/>
        <v>36185.176135421651</v>
      </c>
      <c r="R15" s="64">
        <f t="shared" si="3"/>
        <v>35677.343680260848</v>
      </c>
      <c r="S15" s="64">
        <f t="shared" si="3"/>
        <v>36760.582037179673</v>
      </c>
      <c r="T15" s="64">
        <f t="shared" si="3"/>
        <v>35952.095582277791</v>
      </c>
      <c r="U15" s="64">
        <f t="shared" si="3"/>
        <v>36404.470740711295</v>
      </c>
      <c r="V15" s="64">
        <f t="shared" si="3"/>
        <v>36367.612533558859</v>
      </c>
      <c r="W15" s="64">
        <f t="shared" si="3"/>
        <v>38041.790907064482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0.14075624620043309</v>
      </c>
      <c r="C18" s="66">
        <f t="shared" si="4"/>
        <v>0.1323983241397908</v>
      </c>
      <c r="D18" s="66">
        <f t="shared" si="4"/>
        <v>0.14013441256291906</v>
      </c>
      <c r="E18" s="66">
        <f t="shared" si="4"/>
        <v>0.13725873823734588</v>
      </c>
      <c r="F18" s="66">
        <f t="shared" si="4"/>
        <v>0.12947594390959499</v>
      </c>
      <c r="G18" s="66">
        <f t="shared" si="4"/>
        <v>0.12420467939619274</v>
      </c>
      <c r="H18" s="66">
        <f t="shared" si="4"/>
        <v>0.12195881597083356</v>
      </c>
      <c r="I18" s="66">
        <f t="shared" si="4"/>
        <v>0.11660164042328522</v>
      </c>
      <c r="J18" s="66">
        <f t="shared" si="4"/>
        <v>0.13608574959097447</v>
      </c>
      <c r="K18" s="66">
        <f t="shared" si="4"/>
        <v>0.12971323041008878</v>
      </c>
      <c r="L18" s="66">
        <f t="shared" si="4"/>
        <v>0.13465033076271188</v>
      </c>
      <c r="M18" s="66">
        <f t="shared" si="4"/>
        <v>0.13250736988869219</v>
      </c>
      <c r="N18" s="66">
        <f t="shared" si="4"/>
        <v>0.13691647619952063</v>
      </c>
      <c r="O18" s="66">
        <f t="shared" si="4"/>
        <v>0.15347018603242638</v>
      </c>
      <c r="P18" s="66">
        <f t="shared" si="4"/>
        <v>0.14933606044703576</v>
      </c>
      <c r="Q18" s="66">
        <f t="shared" si="4"/>
        <v>0.13969976528285943</v>
      </c>
      <c r="R18" s="66">
        <f t="shared" si="4"/>
        <v>0.15721521122569537</v>
      </c>
      <c r="S18" s="66">
        <f t="shared" si="4"/>
        <v>0.1600647767189067</v>
      </c>
      <c r="T18" s="66">
        <f t="shared" si="4"/>
        <v>0.18644156792879396</v>
      </c>
      <c r="U18" s="66">
        <f t="shared" si="4"/>
        <v>0.16933980457901229</v>
      </c>
      <c r="V18" s="66">
        <f t="shared" si="4"/>
        <v>0.16780094664133841</v>
      </c>
      <c r="W18" s="66">
        <f t="shared" si="4"/>
        <v>0.15632638954536091</v>
      </c>
      <c r="DA18" s="181"/>
    </row>
    <row r="19" spans="1:105" ht="11.45" customHeight="1" x14ac:dyDescent="0.25">
      <c r="A19" s="57" t="s">
        <v>171</v>
      </c>
      <c r="B19" s="67">
        <f t="shared" si="4"/>
        <v>0.85924375379956697</v>
      </c>
      <c r="C19" s="67">
        <f t="shared" si="4"/>
        <v>0.8676016758602092</v>
      </c>
      <c r="D19" s="67">
        <f t="shared" si="4"/>
        <v>0.85986558743708097</v>
      </c>
      <c r="E19" s="67">
        <f t="shared" si="4"/>
        <v>0.8627412617626542</v>
      </c>
      <c r="F19" s="67">
        <f t="shared" si="4"/>
        <v>0.87052405609040506</v>
      </c>
      <c r="G19" s="67">
        <f t="shared" si="4"/>
        <v>0.87579532060380727</v>
      </c>
      <c r="H19" s="67">
        <f t="shared" si="4"/>
        <v>0.87804118402916642</v>
      </c>
      <c r="I19" s="67">
        <f t="shared" si="4"/>
        <v>0.88339835957671475</v>
      </c>
      <c r="J19" s="67">
        <f t="shared" si="4"/>
        <v>0.86391425040902547</v>
      </c>
      <c r="K19" s="67">
        <f t="shared" si="4"/>
        <v>0.87028676958991125</v>
      </c>
      <c r="L19" s="67">
        <f t="shared" si="4"/>
        <v>0.86534966923728807</v>
      </c>
      <c r="M19" s="67">
        <f t="shared" si="4"/>
        <v>0.86749263011130795</v>
      </c>
      <c r="N19" s="67">
        <f t="shared" si="4"/>
        <v>0.86308352380047937</v>
      </c>
      <c r="O19" s="67">
        <f t="shared" si="4"/>
        <v>0.84652981396757365</v>
      </c>
      <c r="P19" s="67">
        <f t="shared" si="4"/>
        <v>0.85066393955296415</v>
      </c>
      <c r="Q19" s="67">
        <f t="shared" si="4"/>
        <v>0.86030023471714068</v>
      </c>
      <c r="R19" s="67">
        <f t="shared" si="4"/>
        <v>0.84278478877430452</v>
      </c>
      <c r="S19" s="67">
        <f t="shared" si="4"/>
        <v>0.83993522328109338</v>
      </c>
      <c r="T19" s="67">
        <f t="shared" si="4"/>
        <v>0.81355843207120604</v>
      </c>
      <c r="U19" s="67">
        <f t="shared" si="4"/>
        <v>0.83066019542098779</v>
      </c>
      <c r="V19" s="67">
        <f t="shared" si="4"/>
        <v>0.83219905335866162</v>
      </c>
      <c r="W19" s="67">
        <f t="shared" si="4"/>
        <v>0.84367361045463907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0.43753644431007582</v>
      </c>
      <c r="C22" s="66">
        <f t="shared" si="5"/>
        <v>0.42944053794032166</v>
      </c>
      <c r="D22" s="66">
        <f t="shared" si="5"/>
        <v>0.45738748023312181</v>
      </c>
      <c r="E22" s="66">
        <f t="shared" si="5"/>
        <v>0.44704580437917785</v>
      </c>
      <c r="F22" s="66">
        <f t="shared" si="5"/>
        <v>0.42729392284022288</v>
      </c>
      <c r="G22" s="66">
        <f t="shared" si="5"/>
        <v>0.40997681473924857</v>
      </c>
      <c r="H22" s="66">
        <f t="shared" si="5"/>
        <v>0.4070668540354882</v>
      </c>
      <c r="I22" s="66">
        <f t="shared" si="5"/>
        <v>0.39577639578182328</v>
      </c>
      <c r="J22" s="66">
        <f t="shared" si="5"/>
        <v>0.43370342796230699</v>
      </c>
      <c r="K22" s="66">
        <f t="shared" si="5"/>
        <v>0.3684915510872312</v>
      </c>
      <c r="L22" s="66">
        <f t="shared" si="5"/>
        <v>0.46397158491859092</v>
      </c>
      <c r="M22" s="66">
        <f t="shared" si="5"/>
        <v>0.4569460871093089</v>
      </c>
      <c r="N22" s="66">
        <f t="shared" si="5"/>
        <v>0.47945211516999747</v>
      </c>
      <c r="O22" s="66">
        <f t="shared" si="5"/>
        <v>0.52812644824391541</v>
      </c>
      <c r="P22" s="66">
        <f t="shared" si="5"/>
        <v>0.52054341985793151</v>
      </c>
      <c r="Q22" s="66">
        <f t="shared" si="5"/>
        <v>0.50034106460681393</v>
      </c>
      <c r="R22" s="66">
        <f t="shared" si="5"/>
        <v>0.52380876565036716</v>
      </c>
      <c r="S22" s="66">
        <f t="shared" si="5"/>
        <v>0.53155725373243612</v>
      </c>
      <c r="T22" s="66">
        <f t="shared" si="5"/>
        <v>0.57965519401016297</v>
      </c>
      <c r="U22" s="66">
        <f t="shared" si="5"/>
        <v>0.56252770094641436</v>
      </c>
      <c r="V22" s="66">
        <f t="shared" si="5"/>
        <v>0.55318506175808979</v>
      </c>
      <c r="W22" s="66">
        <f t="shared" si="5"/>
        <v>0.53066617188510812</v>
      </c>
      <c r="DA22" s="181"/>
    </row>
    <row r="23" spans="1:105" ht="11.45" customHeight="1" x14ac:dyDescent="0.25">
      <c r="A23" s="57" t="s">
        <v>171</v>
      </c>
      <c r="B23" s="67">
        <f t="shared" si="5"/>
        <v>0.56246355568992412</v>
      </c>
      <c r="C23" s="67">
        <f t="shared" si="5"/>
        <v>0.57055946205967834</v>
      </c>
      <c r="D23" s="67">
        <f t="shared" si="5"/>
        <v>0.5426125197668783</v>
      </c>
      <c r="E23" s="67">
        <f t="shared" si="5"/>
        <v>0.55295419562082226</v>
      </c>
      <c r="F23" s="67">
        <f t="shared" si="5"/>
        <v>0.57270607715977706</v>
      </c>
      <c r="G23" s="67">
        <f t="shared" si="5"/>
        <v>0.59002318526075148</v>
      </c>
      <c r="H23" s="67">
        <f t="shared" si="5"/>
        <v>0.59293314596451185</v>
      </c>
      <c r="I23" s="67">
        <f t="shared" si="5"/>
        <v>0.60422360421817678</v>
      </c>
      <c r="J23" s="67">
        <f t="shared" si="5"/>
        <v>0.5662965720376929</v>
      </c>
      <c r="K23" s="67">
        <f t="shared" si="5"/>
        <v>0.6315084489127688</v>
      </c>
      <c r="L23" s="67">
        <f t="shared" si="5"/>
        <v>0.53602841508140908</v>
      </c>
      <c r="M23" s="67">
        <f t="shared" si="5"/>
        <v>0.54305391289069105</v>
      </c>
      <c r="N23" s="67">
        <f t="shared" si="5"/>
        <v>0.52054788483000247</v>
      </c>
      <c r="O23" s="67">
        <f t="shared" si="5"/>
        <v>0.47187355175608453</v>
      </c>
      <c r="P23" s="67">
        <f t="shared" si="5"/>
        <v>0.47945658014206854</v>
      </c>
      <c r="Q23" s="67">
        <f t="shared" si="5"/>
        <v>0.49965893539318601</v>
      </c>
      <c r="R23" s="67">
        <f t="shared" si="5"/>
        <v>0.47619123434963284</v>
      </c>
      <c r="S23" s="67">
        <f t="shared" si="5"/>
        <v>0.46844274626756383</v>
      </c>
      <c r="T23" s="67">
        <f t="shared" si="5"/>
        <v>0.42034480598983703</v>
      </c>
      <c r="U23" s="67">
        <f t="shared" si="5"/>
        <v>0.43747229905358564</v>
      </c>
      <c r="V23" s="67">
        <f t="shared" si="5"/>
        <v>0.44681493824191015</v>
      </c>
      <c r="W23" s="67">
        <f t="shared" si="5"/>
        <v>0.46933382811489177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1645.5431642304379</v>
      </c>
      <c r="C3" s="62">
        <f t="shared" ref="C3:W3" si="0">SUM(C4,C10)</f>
        <v>1756.7641444539981</v>
      </c>
      <c r="D3" s="62">
        <f t="shared" si="0"/>
        <v>1912.53456577816</v>
      </c>
      <c r="E3" s="62">
        <f t="shared" si="0"/>
        <v>2085.2059329320718</v>
      </c>
      <c r="F3" s="62">
        <f t="shared" si="0"/>
        <v>2187.350730868443</v>
      </c>
      <c r="G3" s="62">
        <f t="shared" si="0"/>
        <v>2241.4875322441958</v>
      </c>
      <c r="H3" s="62">
        <f t="shared" si="0"/>
        <v>2329.6789337919167</v>
      </c>
      <c r="I3" s="62">
        <f t="shared" si="0"/>
        <v>2403.9218400687869</v>
      </c>
      <c r="J3" s="62">
        <f t="shared" si="0"/>
        <v>2520.3448839208936</v>
      </c>
      <c r="K3" s="62">
        <f t="shared" si="0"/>
        <v>2351.7101461736884</v>
      </c>
      <c r="L3" s="62">
        <f t="shared" si="0"/>
        <v>2974.6871023215817</v>
      </c>
      <c r="M3" s="62">
        <f t="shared" si="0"/>
        <v>2496.5988822012041</v>
      </c>
      <c r="N3" s="62">
        <f t="shared" si="0"/>
        <v>2467.1395528804806</v>
      </c>
      <c r="O3" s="62">
        <f t="shared" si="0"/>
        <v>2179.2203783319001</v>
      </c>
      <c r="P3" s="62">
        <f t="shared" si="0"/>
        <v>1912.7830610490112</v>
      </c>
      <c r="Q3" s="62">
        <f t="shared" si="0"/>
        <v>1899.9283748925195</v>
      </c>
      <c r="R3" s="62">
        <f t="shared" si="0"/>
        <v>2212.7830610490109</v>
      </c>
      <c r="S3" s="62">
        <f t="shared" si="0"/>
        <v>2302.6127257093717</v>
      </c>
      <c r="T3" s="62">
        <f t="shared" si="0"/>
        <v>2721.2651762682708</v>
      </c>
      <c r="U3" s="62">
        <f t="shared" si="0"/>
        <v>2653.7713671539123</v>
      </c>
      <c r="V3" s="62">
        <f t="shared" si="0"/>
        <v>2439.4720550300935</v>
      </c>
      <c r="W3" s="62">
        <f t="shared" si="0"/>
        <v>2518.059329320723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529.84018963176061</v>
      </c>
      <c r="C4" s="71">
        <f t="shared" ref="C4:W4" si="1">SUM(C5:C9)</f>
        <v>552.72503472647395</v>
      </c>
      <c r="D4" s="71">
        <f t="shared" si="1"/>
        <v>626.92074578785298</v>
      </c>
      <c r="E4" s="71">
        <f t="shared" si="1"/>
        <v>673.37713453212723</v>
      </c>
      <c r="F4" s="71">
        <f t="shared" si="1"/>
        <v>678.88788055086047</v>
      </c>
      <c r="G4" s="71">
        <f t="shared" si="1"/>
        <v>680.82378170622587</v>
      </c>
      <c r="H4" s="71">
        <f t="shared" si="1"/>
        <v>701.49799831201869</v>
      </c>
      <c r="I4" s="71">
        <f t="shared" si="1"/>
        <v>711.27835533495102</v>
      </c>
      <c r="J4" s="71">
        <f t="shared" si="1"/>
        <v>817.64673073396057</v>
      </c>
      <c r="K4" s="71">
        <f t="shared" si="1"/>
        <v>737.16650174855658</v>
      </c>
      <c r="L4" s="71">
        <f t="shared" si="1"/>
        <v>980.28249093515171</v>
      </c>
      <c r="M4" s="71">
        <f t="shared" si="1"/>
        <v>808.82686074876005</v>
      </c>
      <c r="N4" s="71">
        <f t="shared" si="1"/>
        <v>821.42899929683381</v>
      </c>
      <c r="O4" s="71">
        <f t="shared" si="1"/>
        <v>780.97887684392686</v>
      </c>
      <c r="P4" s="71">
        <f t="shared" si="1"/>
        <v>670.95076634097154</v>
      </c>
      <c r="Q4" s="71">
        <f t="shared" si="1"/>
        <v>644.73913069213233</v>
      </c>
      <c r="R4" s="71">
        <f t="shared" si="1"/>
        <v>791.5613101516501</v>
      </c>
      <c r="S4" s="71">
        <f t="shared" si="1"/>
        <v>837.23609085935993</v>
      </c>
      <c r="T4" s="71">
        <f t="shared" si="1"/>
        <v>1066.1690382017946</v>
      </c>
      <c r="U4" s="71">
        <f t="shared" si="1"/>
        <v>997.93876863946048</v>
      </c>
      <c r="V4" s="71">
        <f t="shared" si="1"/>
        <v>818.57252203774351</v>
      </c>
      <c r="W4" s="71">
        <f t="shared" si="1"/>
        <v>817.71082464535993</v>
      </c>
      <c r="DA4" s="186" t="s">
        <v>969</v>
      </c>
    </row>
    <row r="5" spans="1:105" ht="11.45" customHeight="1" x14ac:dyDescent="0.25">
      <c r="A5" s="72" t="s">
        <v>145</v>
      </c>
      <c r="B5" s="73">
        <v>105.86297763884502</v>
      </c>
      <c r="C5" s="73">
        <v>98.729123463650609</v>
      </c>
      <c r="D5" s="73">
        <v>96.434535313516221</v>
      </c>
      <c r="E5" s="73">
        <v>94.716925381967428</v>
      </c>
      <c r="F5" s="73">
        <v>93.123757874393647</v>
      </c>
      <c r="G5" s="73">
        <v>85.81022155277023</v>
      </c>
      <c r="H5" s="73">
        <v>81.57154458800926</v>
      </c>
      <c r="I5" s="73">
        <v>69.591649258990145</v>
      </c>
      <c r="J5" s="73">
        <v>82.578183906587043</v>
      </c>
      <c r="K5" s="73">
        <v>158.12340001223734</v>
      </c>
      <c r="L5" s="73">
        <v>174.16453758285442</v>
      </c>
      <c r="M5" s="73">
        <v>156.33691162165161</v>
      </c>
      <c r="N5" s="73">
        <v>107.68826478859745</v>
      </c>
      <c r="O5" s="73">
        <v>95.079017013243757</v>
      </c>
      <c r="P5" s="73">
        <v>85.481372013765295</v>
      </c>
      <c r="Q5" s="73">
        <v>166.72522650053853</v>
      </c>
      <c r="R5" s="73">
        <v>201.94809641917385</v>
      </c>
      <c r="S5" s="73">
        <v>214.36682580471984</v>
      </c>
      <c r="T5" s="73">
        <v>376.18581331593703</v>
      </c>
      <c r="U5" s="73">
        <v>393.59366801493252</v>
      </c>
      <c r="V5" s="73">
        <v>416.51530486342114</v>
      </c>
      <c r="W5" s="73">
        <v>508.4857830980726</v>
      </c>
      <c r="DA5" s="187" t="s">
        <v>970</v>
      </c>
    </row>
    <row r="6" spans="1:105" ht="11.45" customHeight="1" x14ac:dyDescent="0.25">
      <c r="A6" s="72" t="s">
        <v>146</v>
      </c>
      <c r="B6" s="73">
        <v>423.97721199291561</v>
      </c>
      <c r="C6" s="73">
        <v>453.99591126282331</v>
      </c>
      <c r="D6" s="73">
        <v>530.48621047433676</v>
      </c>
      <c r="E6" s="73">
        <v>578.66020915015974</v>
      </c>
      <c r="F6" s="73">
        <v>585.76412267646685</v>
      </c>
      <c r="G6" s="73">
        <v>595.01356015345561</v>
      </c>
      <c r="H6" s="73">
        <v>619.92645372400943</v>
      </c>
      <c r="I6" s="73">
        <v>641.68670607596084</v>
      </c>
      <c r="J6" s="73">
        <v>735.06854682737355</v>
      </c>
      <c r="K6" s="73">
        <v>579.04310173631927</v>
      </c>
      <c r="L6" s="73">
        <v>806.11795335229726</v>
      </c>
      <c r="M6" s="73">
        <v>652.4899491271085</v>
      </c>
      <c r="N6" s="73">
        <v>713.74073450823641</v>
      </c>
      <c r="O6" s="73">
        <v>685.89985983068311</v>
      </c>
      <c r="P6" s="73">
        <v>585.46939432720626</v>
      </c>
      <c r="Q6" s="73">
        <v>478.01390419159378</v>
      </c>
      <c r="R6" s="73">
        <v>589.61321373247631</v>
      </c>
      <c r="S6" s="73">
        <v>622.8692650546401</v>
      </c>
      <c r="T6" s="73">
        <v>689.98322488585768</v>
      </c>
      <c r="U6" s="73">
        <v>604.34510062452796</v>
      </c>
      <c r="V6" s="73">
        <v>402.05721717432243</v>
      </c>
      <c r="W6" s="73">
        <v>309.22504154728728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1115.7029745986774</v>
      </c>
      <c r="C10" s="71">
        <f t="shared" ref="C10:W10" si="2">SUM(C11:C15)</f>
        <v>1204.0391097275242</v>
      </c>
      <c r="D10" s="71">
        <f t="shared" si="2"/>
        <v>1285.6138199903069</v>
      </c>
      <c r="E10" s="71">
        <f t="shared" si="2"/>
        <v>1411.8287983999446</v>
      </c>
      <c r="F10" s="71">
        <f t="shared" si="2"/>
        <v>1508.4628503175827</v>
      </c>
      <c r="G10" s="71">
        <f t="shared" si="2"/>
        <v>1560.6637505379701</v>
      </c>
      <c r="H10" s="71">
        <f t="shared" si="2"/>
        <v>1628.1809354798982</v>
      </c>
      <c r="I10" s="71">
        <f t="shared" si="2"/>
        <v>1692.643484733836</v>
      </c>
      <c r="J10" s="71">
        <f t="shared" si="2"/>
        <v>1702.698153186933</v>
      </c>
      <c r="K10" s="71">
        <f t="shared" si="2"/>
        <v>1614.543644425132</v>
      </c>
      <c r="L10" s="71">
        <f t="shared" si="2"/>
        <v>1994.4046113864299</v>
      </c>
      <c r="M10" s="71">
        <f t="shared" si="2"/>
        <v>1687.7720214524441</v>
      </c>
      <c r="N10" s="71">
        <f t="shared" si="2"/>
        <v>1645.710553583647</v>
      </c>
      <c r="O10" s="71">
        <f t="shared" si="2"/>
        <v>1398.2415014879732</v>
      </c>
      <c r="P10" s="71">
        <f t="shared" si="2"/>
        <v>1241.8322947080396</v>
      </c>
      <c r="Q10" s="71">
        <f t="shared" si="2"/>
        <v>1255.1892442003873</v>
      </c>
      <c r="R10" s="71">
        <f t="shared" si="2"/>
        <v>1421.2217508973608</v>
      </c>
      <c r="S10" s="71">
        <f t="shared" si="2"/>
        <v>1465.3766348500117</v>
      </c>
      <c r="T10" s="71">
        <f t="shared" si="2"/>
        <v>1655.0961380664762</v>
      </c>
      <c r="U10" s="71">
        <f t="shared" si="2"/>
        <v>1655.8325985144518</v>
      </c>
      <c r="V10" s="71">
        <f t="shared" si="2"/>
        <v>1620.8995329923503</v>
      </c>
      <c r="W10" s="71">
        <f t="shared" si="2"/>
        <v>1700.3485046753628</v>
      </c>
      <c r="DA10" s="186" t="s">
        <v>975</v>
      </c>
    </row>
    <row r="11" spans="1:105" ht="11.45" customHeight="1" x14ac:dyDescent="0.25">
      <c r="A11" s="72" t="s">
        <v>145</v>
      </c>
      <c r="B11" s="73">
        <v>42.689644889099867</v>
      </c>
      <c r="C11" s="73">
        <v>40.666147387596077</v>
      </c>
      <c r="D11" s="73">
        <v>35.838293577283366</v>
      </c>
      <c r="E11" s="73">
        <v>36.53844865070667</v>
      </c>
      <c r="F11" s="73">
        <v>39.149071016405948</v>
      </c>
      <c r="G11" s="73">
        <v>37.305255661331273</v>
      </c>
      <c r="H11" s="73">
        <v>35.439031508293432</v>
      </c>
      <c r="I11" s="73">
        <v>31.139219184689942</v>
      </c>
      <c r="J11" s="73">
        <v>32.397482473464564</v>
      </c>
      <c r="K11" s="73">
        <v>64.705490787418768</v>
      </c>
      <c r="L11" s="73">
        <v>66.979056570197983</v>
      </c>
      <c r="M11" s="73">
        <v>63.439528619105012</v>
      </c>
      <c r="N11" s="73">
        <v>41.881812597473051</v>
      </c>
      <c r="O11" s="73">
        <v>33.123906460530925</v>
      </c>
      <c r="P11" s="73">
        <v>30.511749224411798</v>
      </c>
      <c r="Q11" s="73">
        <v>64.243561117690192</v>
      </c>
      <c r="R11" s="73">
        <v>70.737458180998033</v>
      </c>
      <c r="S11" s="73">
        <v>72.563526731823586</v>
      </c>
      <c r="T11" s="73">
        <v>114.47936295233454</v>
      </c>
      <c r="U11" s="73">
        <v>127.38535176150764</v>
      </c>
      <c r="V11" s="73">
        <v>158.05460055360371</v>
      </c>
      <c r="W11" s="73">
        <v>202.63244562075798</v>
      </c>
      <c r="DA11" s="187" t="s">
        <v>976</v>
      </c>
    </row>
    <row r="12" spans="1:105" ht="11.45" customHeight="1" x14ac:dyDescent="0.25">
      <c r="A12" s="72" t="s">
        <v>146</v>
      </c>
      <c r="B12" s="73">
        <v>1073.0133297095776</v>
      </c>
      <c r="C12" s="73">
        <v>1163.3729623399281</v>
      </c>
      <c r="D12" s="73">
        <v>1249.7755264130235</v>
      </c>
      <c r="E12" s="73">
        <v>1375.290349749238</v>
      </c>
      <c r="F12" s="73">
        <v>1469.3137793011767</v>
      </c>
      <c r="G12" s="73">
        <v>1523.3584948766388</v>
      </c>
      <c r="H12" s="73">
        <v>1592.7419039716046</v>
      </c>
      <c r="I12" s="73">
        <v>1661.5042655491461</v>
      </c>
      <c r="J12" s="73">
        <v>1670.3006707134684</v>
      </c>
      <c r="K12" s="73">
        <v>1549.8381536377133</v>
      </c>
      <c r="L12" s="73">
        <v>1927.4255548162319</v>
      </c>
      <c r="M12" s="73">
        <v>1624.3324928333391</v>
      </c>
      <c r="N12" s="73">
        <v>1603.8287409861739</v>
      </c>
      <c r="O12" s="73">
        <v>1365.1175950274423</v>
      </c>
      <c r="P12" s="73">
        <v>1211.3205454836279</v>
      </c>
      <c r="Q12" s="73">
        <v>1190.9456830826971</v>
      </c>
      <c r="R12" s="73">
        <v>1350.4842927163627</v>
      </c>
      <c r="S12" s="73">
        <v>1392.813108118188</v>
      </c>
      <c r="T12" s="73">
        <v>1540.6167751141418</v>
      </c>
      <c r="U12" s="73">
        <v>1528.4472467529442</v>
      </c>
      <c r="V12" s="73">
        <v>1462.8449324387466</v>
      </c>
      <c r="W12" s="73">
        <v>1497.7160590546048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2887.718084524683</v>
      </c>
      <c r="C19" s="62">
        <f>IF(C3=0,0,C3/MBunk_act!C7*100)</f>
        <v>3200.9192198059282</v>
      </c>
      <c r="D19" s="62">
        <f>IF(D3=0,0,D3/MBunk_act!D7*100)</f>
        <v>3792.857981717942</v>
      </c>
      <c r="E19" s="62">
        <f>IF(E3=0,0,E3/MBunk_act!E7*100)</f>
        <v>4032.8331346391933</v>
      </c>
      <c r="F19" s="62">
        <f>IF(F3=0,0,F3/MBunk_act!F7*100)</f>
        <v>4200.2301189368263</v>
      </c>
      <c r="G19" s="62">
        <f>IF(G3=0,0,G3/MBunk_act!G7*100)</f>
        <v>4702.9920369796673</v>
      </c>
      <c r="H19" s="62">
        <f>IF(H3=0,0,H3/MBunk_act!H7*100)</f>
        <v>4779.0884665172598</v>
      </c>
      <c r="I19" s="62">
        <f>IF(I3=0,0,I3/MBunk_act!I7*100)</f>
        <v>5325.3824532441849</v>
      </c>
      <c r="J19" s="62">
        <f>IF(J3=0,0,J3/MBunk_act!J7*100)</f>
        <v>5537.8839822231294</v>
      </c>
      <c r="K19" s="62">
        <f>IF(K3=0,0,K3/MBunk_act!K7*100)</f>
        <v>5349.4892340854885</v>
      </c>
      <c r="L19" s="62">
        <f>IF(L3=0,0,L3/MBunk_act!L7*100)</f>
        <v>7837.8005432801619</v>
      </c>
      <c r="M19" s="62">
        <f>IF(M3=0,0,M3/MBunk_act!M7*100)</f>
        <v>6574.7237657546593</v>
      </c>
      <c r="N19" s="62">
        <f>IF(N3=0,0,N3/MBunk_act!N7*100)</f>
        <v>7015.2871517932426</v>
      </c>
      <c r="O19" s="62">
        <f>IF(O3=0,0,O3/MBunk_act!O7*100)</f>
        <v>6154.0043206170676</v>
      </c>
      <c r="P19" s="62">
        <f>IF(P3=0,0,P3/MBunk_act!P7*100)</f>
        <v>5784.9363165930954</v>
      </c>
      <c r="Q19" s="62">
        <f>IF(Q3=0,0,Q3/MBunk_act!Q7*100)</f>
        <v>5894.6449936987574</v>
      </c>
      <c r="R19" s="62">
        <f>IF(R3=0,0,R3/MBunk_act!R7*100)</f>
        <v>7088.6270682136328</v>
      </c>
      <c r="S19" s="62">
        <f>IF(S3=0,0,S3/MBunk_act!S7*100)</f>
        <v>7526.7758708098181</v>
      </c>
      <c r="T19" s="62">
        <f>IF(T3=0,0,T3/MBunk_act!T7*100)</f>
        <v>7403.6230531423598</v>
      </c>
      <c r="U19" s="62">
        <f>IF(U3=0,0,U3/MBunk_act!U7*100)</f>
        <v>6909.0205298220271</v>
      </c>
      <c r="V19" s="62">
        <f>IF(V3=0,0,V3/MBunk_act!V7*100)</f>
        <v>7420.7843265097754</v>
      </c>
      <c r="W19" s="62">
        <f>IF(W3=0,0,W3/MBunk_act!W7*100)</f>
        <v>7513.8066056224234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2125.0843757813968</v>
      </c>
      <c r="C20" s="63">
        <f>IF(C4=0,0,C4/MBunk_act!C8*100)</f>
        <v>2345.1323237366196</v>
      </c>
      <c r="D20" s="63">
        <f>IF(D4=0,0,D4/MBunk_act!D8*100)</f>
        <v>2718.2265946402499</v>
      </c>
      <c r="E20" s="63">
        <f>IF(E4=0,0,E4/MBunk_act!E8*100)</f>
        <v>2913.1821666017254</v>
      </c>
      <c r="F20" s="63">
        <f>IF(F4=0,0,F4/MBunk_act!F8*100)</f>
        <v>3050.8861324205313</v>
      </c>
      <c r="G20" s="63">
        <f>IF(G4=0,0,G4/MBunk_act!G8*100)</f>
        <v>3484.2823143804267</v>
      </c>
      <c r="H20" s="63">
        <f>IF(H4=0,0,H4/MBunk_act!H8*100)</f>
        <v>3535.1650310053183</v>
      </c>
      <c r="I20" s="63">
        <f>IF(I4=0,0,I4/MBunk_act!I8*100)</f>
        <v>3981.2565454982869</v>
      </c>
      <c r="J20" s="63">
        <f>IF(J4=0,0,J4/MBunk_act!J8*100)</f>
        <v>4142.4447930654514</v>
      </c>
      <c r="K20" s="63">
        <f>IF(K4=0,0,K4/MBunk_act!K8*100)</f>
        <v>4550.5782018544542</v>
      </c>
      <c r="L20" s="63">
        <f>IF(L4=0,0,L4/MBunk_act!L8*100)</f>
        <v>5566.8917802869437</v>
      </c>
      <c r="M20" s="63">
        <f>IF(M4=0,0,M4/MBunk_act!M8*100)</f>
        <v>4661.4318785520627</v>
      </c>
      <c r="N20" s="63">
        <f>IF(N4=0,0,N4/MBunk_act!N8*100)</f>
        <v>4871.6550397925785</v>
      </c>
      <c r="O20" s="63">
        <f>IF(O4=0,0,O4/MBunk_act!O8*100)</f>
        <v>4175.9762094666794</v>
      </c>
      <c r="P20" s="63">
        <f>IF(P4=0,0,P4/MBunk_act!P8*100)</f>
        <v>3898.2219047050785</v>
      </c>
      <c r="Q20" s="63">
        <f>IF(Q4=0,0,Q4/MBunk_act!Q8*100)</f>
        <v>3997.958732136356</v>
      </c>
      <c r="R20" s="63">
        <f>IF(R4=0,0,R4/MBunk_act!R8*100)</f>
        <v>4841.0000526667973</v>
      </c>
      <c r="S20" s="63">
        <f>IF(S4=0,0,S4/MBunk_act!S8*100)</f>
        <v>5148.5623410667276</v>
      </c>
      <c r="T20" s="63">
        <f>IF(T4=0,0,T4/MBunk_act!T8*100)</f>
        <v>5004.1436667526268</v>
      </c>
      <c r="U20" s="63">
        <f>IF(U4=0,0,U4/MBunk_act!U8*100)</f>
        <v>4618.6277476016858</v>
      </c>
      <c r="V20" s="63">
        <f>IF(V4=0,0,V4/MBunk_act!V8*100)</f>
        <v>4501.3282115547008</v>
      </c>
      <c r="W20" s="63">
        <f>IF(W4=0,0,W4/MBunk_act!W8*100)</f>
        <v>4598.0363189192212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3480.9654831499111</v>
      </c>
      <c r="C21" s="64">
        <f>IF(C10=0,0,C10/MBunk_act!C9*100)</f>
        <v>3845.0406645429921</v>
      </c>
      <c r="D21" s="64">
        <f>IF(D10=0,0,D10/MBunk_act!D9*100)</f>
        <v>4698.7031740221337</v>
      </c>
      <c r="E21" s="64">
        <f>IF(E10=0,0,E10/MBunk_act!E9*100)</f>
        <v>4938.035177763697</v>
      </c>
      <c r="F21" s="64">
        <f>IF(F10=0,0,F10/MBunk_act!F9*100)</f>
        <v>5057.7514903301953</v>
      </c>
      <c r="G21" s="64">
        <f>IF(G10=0,0,G10/MBunk_act!G9*100)</f>
        <v>5549.8108445188673</v>
      </c>
      <c r="H21" s="64">
        <f>IF(H10=0,0,H10/MBunk_act!H9*100)</f>
        <v>5633.0801905440512</v>
      </c>
      <c r="I21" s="64">
        <f>IF(I10=0,0,I10/MBunk_act!I9*100)</f>
        <v>6205.8070237688335</v>
      </c>
      <c r="J21" s="64">
        <f>IF(J10=0,0,J10/MBunk_act!J9*100)</f>
        <v>6606.5938945450871</v>
      </c>
      <c r="K21" s="64">
        <f>IF(K10=0,0,K10/MBunk_act!K9*100)</f>
        <v>5815.6618814259191</v>
      </c>
      <c r="L21" s="64">
        <f>IF(L10=0,0,L10/MBunk_act!L9*100)</f>
        <v>9803.4372676158655</v>
      </c>
      <c r="M21" s="64">
        <f>IF(M10=0,0,M10/MBunk_act!M9*100)</f>
        <v>8184.6398727972219</v>
      </c>
      <c r="N21" s="64">
        <f>IF(N10=0,0,N10/MBunk_act!N9*100)</f>
        <v>8989.6856273161848</v>
      </c>
      <c r="O21" s="64">
        <f>IF(O10=0,0,O10/MBunk_act!O9*100)</f>
        <v>8367.8367275845685</v>
      </c>
      <c r="P21" s="64">
        <f>IF(P10=0,0,P10/MBunk_act!P9*100)</f>
        <v>7833.331964783848</v>
      </c>
      <c r="Q21" s="64">
        <f>IF(Q10=0,0,Q10/MBunk_act!Q9*100)</f>
        <v>7793.9205917394138</v>
      </c>
      <c r="R21" s="64">
        <f>IF(R10=0,0,R10/MBunk_act!R9*100)</f>
        <v>9561.0092704269155</v>
      </c>
      <c r="S21" s="64">
        <f>IF(S10=0,0,S10/MBunk_act!S9*100)</f>
        <v>10225.412284185944</v>
      </c>
      <c r="T21" s="64">
        <f>IF(T10=0,0,T10/MBunk_act!T9*100)</f>
        <v>10712.503451856639</v>
      </c>
      <c r="U21" s="64">
        <f>IF(U10=0,0,U10/MBunk_act!U9*100)</f>
        <v>9854.1427440375919</v>
      </c>
      <c r="V21" s="64">
        <f>IF(V10=0,0,V10/MBunk_act!V9*100)</f>
        <v>11035.255045877442</v>
      </c>
      <c r="W21" s="64">
        <f>IF(W10=0,0,W10/MBunk_act!W9*100)</f>
        <v>10810.608505361808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2.2097411795336686</v>
      </c>
      <c r="C23" s="62">
        <f>IF(C3=0,0,C3/MBunk_act!C3*1000)</f>
        <v>2.2955884644017286</v>
      </c>
      <c r="D23" s="62">
        <f>IF(D3=0,0,D3/MBunk_act!D3*1000)</f>
        <v>2.5082877810526827</v>
      </c>
      <c r="E23" s="62">
        <f>IF(E3=0,0,E3/MBunk_act!E3*1000)</f>
        <v>2.6339432849515938</v>
      </c>
      <c r="F23" s="62">
        <f>IF(F3=0,0,F3/MBunk_act!F3*1000)</f>
        <v>2.679732049774751</v>
      </c>
      <c r="G23" s="62">
        <f>IF(G3=0,0,G3/MBunk_act!G3*1000)</f>
        <v>2.7460789311040465</v>
      </c>
      <c r="H23" s="62">
        <f>IF(H3=0,0,H3/MBunk_act!H3*1000)</f>
        <v>2.6962419780616833</v>
      </c>
      <c r="I23" s="62">
        <f>IF(I3=0,0,I3/MBunk_act!I3*1000)</f>
        <v>2.7854583205361809</v>
      </c>
      <c r="J23" s="62">
        <f>IF(J3=0,0,J3/MBunk_act!J3*1000)</f>
        <v>3.0394432102323083</v>
      </c>
      <c r="K23" s="62">
        <f>IF(K3=0,0,K3/MBunk_act!K3*1000)</f>
        <v>3.4082448634088038</v>
      </c>
      <c r="L23" s="62">
        <f>IF(L3=0,0,L3/MBunk_act!L3*1000)</f>
        <v>4.1686148167174917</v>
      </c>
      <c r="M23" s="62">
        <f>IF(M3=0,0,M3/MBunk_act!M3*1000)</f>
        <v>3.2768177595369097</v>
      </c>
      <c r="N23" s="62">
        <f>IF(N3=0,0,N3/MBunk_act!N3*1000)</f>
        <v>3.4477317158951064</v>
      </c>
      <c r="O23" s="62">
        <f>IF(O3=0,0,O3/MBunk_act!O3*1000)</f>
        <v>3.1850183956495473</v>
      </c>
      <c r="P23" s="62">
        <f>IF(P3=0,0,P3/MBunk_act!P3*1000)</f>
        <v>3.0153119701909006</v>
      </c>
      <c r="Q23" s="62">
        <f>IF(Q3=0,0,Q3/MBunk_act!Q3*1000)</f>
        <v>2.8048093524926991</v>
      </c>
      <c r="R23" s="62">
        <f>IF(R3=0,0,R3/MBunk_act!R3*1000)</f>
        <v>3.5164537408634735</v>
      </c>
      <c r="S23" s="62">
        <f>IF(S3=0,0,S3/MBunk_act!S3*1000)</f>
        <v>3.6712662400329874</v>
      </c>
      <c r="T23" s="62">
        <f>IF(T3=0,0,T3/MBunk_act!T3*1000)</f>
        <v>3.9856866739967263</v>
      </c>
      <c r="U23" s="62">
        <f>IF(U3=0,0,U3/MBunk_act!U3*1000)</f>
        <v>3.6035836107015022</v>
      </c>
      <c r="V23" s="62">
        <f>IF(V3=0,0,V3/MBunk_act!V3*1000)</f>
        <v>3.8004458717267582</v>
      </c>
      <c r="W23" s="62">
        <f>IF(W3=0,0,W3/MBunk_act!W3*1000)</f>
        <v>3.5505175651341068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5.0548625574045971</v>
      </c>
      <c r="C24" s="63">
        <f>IF(C4=0,0,C4/MBunk_act!C4*1000)</f>
        <v>5.4551566021361193</v>
      </c>
      <c r="D24" s="63">
        <f>IF(D4=0,0,D4/MBunk_act!D4*1000)</f>
        <v>5.8672678343933571</v>
      </c>
      <c r="E24" s="63">
        <f>IF(E4=0,0,E4/MBunk_act!E4*1000)</f>
        <v>6.1969191544263955</v>
      </c>
      <c r="F24" s="63">
        <f>IF(F4=0,0,F4/MBunk_act!F4*1000)</f>
        <v>6.4236506648743221</v>
      </c>
      <c r="G24" s="63">
        <f>IF(G4=0,0,G4/MBunk_act!G4*1000)</f>
        <v>6.7154241474935112</v>
      </c>
      <c r="H24" s="63">
        <f>IF(H4=0,0,H4/MBunk_act!H4*1000)</f>
        <v>6.6569612684664996</v>
      </c>
      <c r="I24" s="63">
        <f>IF(I4=0,0,I4/MBunk_act!I4*1000)</f>
        <v>7.0682394546583156</v>
      </c>
      <c r="J24" s="63">
        <f>IF(J4=0,0,J4/MBunk_act!J4*1000)</f>
        <v>7.2458128805543112</v>
      </c>
      <c r="K24" s="63">
        <f>IF(K4=0,0,K4/MBunk_act!K4*1000)</f>
        <v>8.2362270906917132</v>
      </c>
      <c r="L24" s="63">
        <f>IF(L4=0,0,L4/MBunk_act!L4*1000)</f>
        <v>10.202210934356721</v>
      </c>
      <c r="M24" s="63">
        <f>IF(M4=0,0,M4/MBunk_act!M4*1000)</f>
        <v>8.0115961410590444</v>
      </c>
      <c r="N24" s="63">
        <f>IF(N4=0,0,N4/MBunk_act!N4*1000)</f>
        <v>8.384053978657688</v>
      </c>
      <c r="O24" s="63">
        <f>IF(O4=0,0,O4/MBunk_act!O4*1000)</f>
        <v>7.4374842953538396</v>
      </c>
      <c r="P24" s="63">
        <f>IF(P4=0,0,P4/MBunk_act!P4*1000)</f>
        <v>7.0825964535190176</v>
      </c>
      <c r="Q24" s="63">
        <f>IF(Q4=0,0,Q4/MBunk_act!Q4*1000)</f>
        <v>6.8132522910527689</v>
      </c>
      <c r="R24" s="63">
        <f>IF(R4=0,0,R4/MBunk_act!R4*1000)</f>
        <v>8.0012173038049053</v>
      </c>
      <c r="S24" s="63">
        <f>IF(S4=0,0,S4/MBunk_act!S4*1000)</f>
        <v>8.3396370149168177</v>
      </c>
      <c r="T24" s="63">
        <f>IF(T4=0,0,T4/MBunk_act!T4*1000)</f>
        <v>8.3755938683862201</v>
      </c>
      <c r="U24" s="63">
        <f>IF(U4=0,0,U4/MBunk_act!U4*1000)</f>
        <v>8.0023204688446672</v>
      </c>
      <c r="V24" s="63">
        <f>IF(V4=0,0,V4/MBunk_act!V4*1000)</f>
        <v>7.5997876832078806</v>
      </c>
      <c r="W24" s="63">
        <f>IF(W4=0,0,W4/MBunk_act!W4*1000)</f>
        <v>7.3755286808143934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1.7436701684115654</v>
      </c>
      <c r="C25" s="64">
        <f>IF(C10=0,0,C10/MBunk_act!C5*1000)</f>
        <v>1.8134299600088508</v>
      </c>
      <c r="D25" s="64">
        <f>IF(D10=0,0,D10/MBunk_act!D5*1000)</f>
        <v>1.9608665288678448</v>
      </c>
      <c r="E25" s="64">
        <f>IF(E10=0,0,E10/MBunk_act!E5*1000)</f>
        <v>2.0670878511277242</v>
      </c>
      <c r="F25" s="64">
        <f>IF(F10=0,0,F10/MBunk_act!F5*1000)</f>
        <v>2.1228865574310234</v>
      </c>
      <c r="G25" s="64">
        <f>IF(G10=0,0,G10/MBunk_act!G5*1000)</f>
        <v>2.1831491706726212</v>
      </c>
      <c r="H25" s="64">
        <f>IF(H10=0,0,H10/MBunk_act!H5*1000)</f>
        <v>2.146103050825936</v>
      </c>
      <c r="I25" s="64">
        <f>IF(I10=0,0,I10/MBunk_act!I5*1000)</f>
        <v>2.2201648712118929</v>
      </c>
      <c r="J25" s="64">
        <f>IF(J10=0,0,J10/MBunk_act!J5*1000)</f>
        <v>2.3768462344659165</v>
      </c>
      <c r="K25" s="64">
        <f>IF(K10=0,0,K10/MBunk_act!K5*1000)</f>
        <v>2.6886508250454964</v>
      </c>
      <c r="L25" s="64">
        <f>IF(L10=0,0,L10/MBunk_act!L5*1000)</f>
        <v>3.2297738581893611</v>
      </c>
      <c r="M25" s="64">
        <f>IF(M10=0,0,M10/MBunk_act!M5*1000)</f>
        <v>2.5535919838195569</v>
      </c>
      <c r="N25" s="64">
        <f>IF(N10=0,0,N10/MBunk_act!N5*1000)</f>
        <v>2.6646512480550819</v>
      </c>
      <c r="O25" s="64">
        <f>IF(O10=0,0,O10/MBunk_act!O5*1000)</f>
        <v>2.4140748069466382</v>
      </c>
      <c r="P25" s="64">
        <f>IF(P10=0,0,P10/MBunk_act!P5*1000)</f>
        <v>2.3012905885195774</v>
      </c>
      <c r="Q25" s="64">
        <f>IF(Q10=0,0,Q10/MBunk_act!Q5*1000)</f>
        <v>2.1538987574831641</v>
      </c>
      <c r="R25" s="64">
        <f>IF(R10=0,0,R10/MBunk_act!R5*1000)</f>
        <v>2.679854575529041</v>
      </c>
      <c r="S25" s="64">
        <f>IF(S10=0,0,S10/MBunk_act!S5*1000)</f>
        <v>2.7816241521540537</v>
      </c>
      <c r="T25" s="64">
        <f>IF(T10=0,0,T10/MBunk_act!T5*1000)</f>
        <v>2.9796603726034969</v>
      </c>
      <c r="U25" s="64">
        <f>IF(U10=0,0,U10/MBunk_act!U5*1000)</f>
        <v>2.7068496103742716</v>
      </c>
      <c r="V25" s="64">
        <f>IF(V10=0,0,V10/MBunk_act!V5*1000)</f>
        <v>3.0343633461488473</v>
      </c>
      <c r="W25" s="64">
        <f>IF(W10=0,0,W10/MBunk_act!W5*1000)</f>
        <v>2.8417717062196042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0.3219849841371667</v>
      </c>
      <c r="C28" s="77">
        <f t="shared" si="3"/>
        <v>0.31462677358904134</v>
      </c>
      <c r="D28" s="77">
        <f t="shared" si="3"/>
        <v>0.32779577269118554</v>
      </c>
      <c r="E28" s="77">
        <f t="shared" si="3"/>
        <v>0.32293075897077994</v>
      </c>
      <c r="F28" s="77">
        <f t="shared" si="3"/>
        <v>0.31036992420567228</v>
      </c>
      <c r="G28" s="77">
        <f t="shared" si="3"/>
        <v>0.30373748321704003</v>
      </c>
      <c r="H28" s="77">
        <f t="shared" si="3"/>
        <v>0.30111359472621452</v>
      </c>
      <c r="I28" s="77">
        <f t="shared" si="3"/>
        <v>0.2958824798208074</v>
      </c>
      <c r="J28" s="77">
        <f t="shared" si="3"/>
        <v>0.32441858888056219</v>
      </c>
      <c r="K28" s="77">
        <f t="shared" si="3"/>
        <v>0.3134597615900715</v>
      </c>
      <c r="L28" s="77">
        <f t="shared" si="3"/>
        <v>0.32954137938410211</v>
      </c>
      <c r="M28" s="77">
        <f t="shared" si="3"/>
        <v>0.32397149038039813</v>
      </c>
      <c r="N28" s="77">
        <f t="shared" si="3"/>
        <v>0.33294792681580732</v>
      </c>
      <c r="O28" s="77">
        <f t="shared" si="3"/>
        <v>0.35837535506240664</v>
      </c>
      <c r="P28" s="77">
        <f t="shared" si="3"/>
        <v>0.3507720138283783</v>
      </c>
      <c r="Q28" s="77">
        <f t="shared" si="3"/>
        <v>0.33934917716495799</v>
      </c>
      <c r="R28" s="77">
        <f t="shared" si="3"/>
        <v>0.35772205783986605</v>
      </c>
      <c r="S28" s="77">
        <f t="shared" si="3"/>
        <v>0.36360265081112608</v>
      </c>
      <c r="T28" s="77">
        <f t="shared" si="3"/>
        <v>0.3917916737772153</v>
      </c>
      <c r="U28" s="77">
        <f t="shared" si="3"/>
        <v>0.37604549547526356</v>
      </c>
      <c r="V28" s="77">
        <f t="shared" si="3"/>
        <v>0.33555314575130296</v>
      </c>
      <c r="W28" s="77">
        <f t="shared" si="3"/>
        <v>0.32473850600889032</v>
      </c>
      <c r="DA28" s="184"/>
    </row>
    <row r="29" spans="1:105" ht="11.45" customHeight="1" x14ac:dyDescent="0.25">
      <c r="A29" s="57" t="s">
        <v>171</v>
      </c>
      <c r="B29" s="78">
        <f>IF(B10=0,0,B10/B$3)</f>
        <v>0.67801501586283341</v>
      </c>
      <c r="C29" s="78">
        <f t="shared" ref="C29:W29" si="4">IF(C10=0,0,C10/C$3)</f>
        <v>0.68537322641095866</v>
      </c>
      <c r="D29" s="78">
        <f t="shared" si="4"/>
        <v>0.67220422730881435</v>
      </c>
      <c r="E29" s="78">
        <f t="shared" si="4"/>
        <v>0.67706924102922006</v>
      </c>
      <c r="F29" s="78">
        <f t="shared" si="4"/>
        <v>0.68963007579432789</v>
      </c>
      <c r="G29" s="78">
        <f t="shared" si="4"/>
        <v>0.69626251678296003</v>
      </c>
      <c r="H29" s="78">
        <f t="shared" si="4"/>
        <v>0.69888640527378554</v>
      </c>
      <c r="I29" s="78">
        <f t="shared" si="4"/>
        <v>0.7041175201791926</v>
      </c>
      <c r="J29" s="78">
        <f t="shared" si="4"/>
        <v>0.67558141111943781</v>
      </c>
      <c r="K29" s="78">
        <f t="shared" si="4"/>
        <v>0.68654023840992862</v>
      </c>
      <c r="L29" s="78">
        <f t="shared" si="4"/>
        <v>0.67045862061589789</v>
      </c>
      <c r="M29" s="78">
        <f t="shared" si="4"/>
        <v>0.67602850961960192</v>
      </c>
      <c r="N29" s="78">
        <f t="shared" si="4"/>
        <v>0.6670520731841928</v>
      </c>
      <c r="O29" s="78">
        <f t="shared" si="4"/>
        <v>0.6416246449375933</v>
      </c>
      <c r="P29" s="78">
        <f t="shared" si="4"/>
        <v>0.6492279861716217</v>
      </c>
      <c r="Q29" s="78">
        <f t="shared" si="4"/>
        <v>0.66065082283504206</v>
      </c>
      <c r="R29" s="78">
        <f t="shared" si="4"/>
        <v>0.64227794216013401</v>
      </c>
      <c r="S29" s="78">
        <f t="shared" si="4"/>
        <v>0.63639734918887392</v>
      </c>
      <c r="T29" s="78">
        <f t="shared" si="4"/>
        <v>0.60820832622278476</v>
      </c>
      <c r="U29" s="78">
        <f t="shared" si="4"/>
        <v>0.62395450452473644</v>
      </c>
      <c r="V29" s="78">
        <f t="shared" si="4"/>
        <v>0.66444685424869709</v>
      </c>
      <c r="W29" s="78">
        <f t="shared" si="4"/>
        <v>0.67526149399110957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5302.0072440000004</v>
      </c>
      <c r="C3" s="62">
        <f t="shared" ref="C3:W3" si="1">SUM(C4:C5)</f>
        <v>5663.6933040000013</v>
      </c>
      <c r="D3" s="62">
        <f t="shared" si="1"/>
        <v>6167.7423921599993</v>
      </c>
      <c r="E3" s="62">
        <f t="shared" si="1"/>
        <v>6728.1276898799988</v>
      </c>
      <c r="F3" s="62">
        <f t="shared" si="1"/>
        <v>7059.5124300000025</v>
      </c>
      <c r="G3" s="62">
        <f t="shared" si="1"/>
        <v>7235.3514639600016</v>
      </c>
      <c r="H3" s="62">
        <f t="shared" si="1"/>
        <v>7523.0197182000002</v>
      </c>
      <c r="I3" s="62">
        <f t="shared" si="1"/>
        <v>7766.7203041199991</v>
      </c>
      <c r="J3" s="62">
        <f t="shared" si="1"/>
        <v>8142.2029450800001</v>
      </c>
      <c r="K3" s="62">
        <f t="shared" si="1"/>
        <v>7582.2041660400018</v>
      </c>
      <c r="L3" s="62">
        <f t="shared" si="1"/>
        <v>9598.8267939600009</v>
      </c>
      <c r="M3" s="62">
        <f t="shared" si="1"/>
        <v>8052.6665098800013</v>
      </c>
      <c r="N3" s="62">
        <f t="shared" si="1"/>
        <v>7968.1065271199986</v>
      </c>
      <c r="O3" s="62">
        <f t="shared" si="1"/>
        <v>7038.032667120001</v>
      </c>
      <c r="P3" s="62">
        <f t="shared" si="1"/>
        <v>6176.6517279600002</v>
      </c>
      <c r="Q3" s="62">
        <f t="shared" si="1"/>
        <v>6118.4207138400016</v>
      </c>
      <c r="R3" s="62">
        <f t="shared" si="1"/>
        <v>7127.177371920001</v>
      </c>
      <c r="S3" s="62">
        <f t="shared" si="1"/>
        <v>7416.5139842399994</v>
      </c>
      <c r="T3" s="62">
        <f t="shared" si="1"/>
        <v>8745.3555483599994</v>
      </c>
      <c r="U3" s="62">
        <f t="shared" si="1"/>
        <v>8522.6246276400016</v>
      </c>
      <c r="V3" s="62">
        <f t="shared" si="1"/>
        <v>7821.4806759599996</v>
      </c>
      <c r="W3" s="62">
        <f t="shared" si="1"/>
        <v>8057.5715995200007</v>
      </c>
      <c r="DA3" s="172" t="s">
        <v>985</v>
      </c>
    </row>
    <row r="4" spans="1:105" ht="11.45" customHeight="1" x14ac:dyDescent="0.25">
      <c r="A4" s="55" t="s">
        <v>170</v>
      </c>
      <c r="B4" s="63">
        <v>1699.5360359495264</v>
      </c>
      <c r="C4" s="63">
        <v>1774.7070880543686</v>
      </c>
      <c r="D4" s="63">
        <v>2014.7757665652798</v>
      </c>
      <c r="E4" s="63">
        <v>2165.7843235708669</v>
      </c>
      <c r="F4" s="63">
        <v>2184.132231807961</v>
      </c>
      <c r="G4" s="63">
        <v>2191.2179060156172</v>
      </c>
      <c r="H4" s="63">
        <v>2259.0976134531802</v>
      </c>
      <c r="I4" s="63">
        <v>2292.702905596223</v>
      </c>
      <c r="J4" s="63">
        <v>2635.4012281349092</v>
      </c>
      <c r="K4" s="63">
        <v>2364.8478356236874</v>
      </c>
      <c r="L4" s="63">
        <v>3150.3892468356521</v>
      </c>
      <c r="M4" s="63">
        <v>2597.3485353205378</v>
      </c>
      <c r="N4" s="63">
        <v>2645.1211660395279</v>
      </c>
      <c r="O4" s="63">
        <v>2515.6173602767849</v>
      </c>
      <c r="P4" s="63">
        <v>2160.5535583714864</v>
      </c>
      <c r="Q4" s="63">
        <v>2064.4211251667721</v>
      </c>
      <c r="R4" s="63">
        <v>2535.4389176020163</v>
      </c>
      <c r="S4" s="63">
        <v>2681.7692545978625</v>
      </c>
      <c r="T4" s="63">
        <v>3401.3827392426506</v>
      </c>
      <c r="U4" s="63">
        <v>3178.0604119143427</v>
      </c>
      <c r="V4" s="63">
        <v>2594.146174401028</v>
      </c>
      <c r="W4" s="63">
        <v>2578.8937726492204</v>
      </c>
      <c r="DA4" s="181" t="s">
        <v>986</v>
      </c>
    </row>
    <row r="5" spans="1:105" ht="11.45" customHeight="1" x14ac:dyDescent="0.25">
      <c r="A5" s="57" t="s">
        <v>171</v>
      </c>
      <c r="B5" s="64">
        <v>3602.4712080504742</v>
      </c>
      <c r="C5" s="64">
        <v>3888.9862159456325</v>
      </c>
      <c r="D5" s="64">
        <v>4152.9666255947195</v>
      </c>
      <c r="E5" s="64">
        <v>4562.3433663091319</v>
      </c>
      <c r="F5" s="64">
        <v>4875.3801981920415</v>
      </c>
      <c r="G5" s="64">
        <v>5044.1335579443848</v>
      </c>
      <c r="H5" s="64">
        <v>5263.92210474682</v>
      </c>
      <c r="I5" s="64">
        <v>5474.0173985237761</v>
      </c>
      <c r="J5" s="64">
        <v>5506.8017169450904</v>
      </c>
      <c r="K5" s="64">
        <v>5217.3563304163144</v>
      </c>
      <c r="L5" s="64">
        <v>6448.4375471243493</v>
      </c>
      <c r="M5" s="64">
        <v>5455.3179745594634</v>
      </c>
      <c r="N5" s="64">
        <v>5322.9853610804703</v>
      </c>
      <c r="O5" s="64">
        <v>4522.4153068432161</v>
      </c>
      <c r="P5" s="64">
        <v>4016.0981695885139</v>
      </c>
      <c r="Q5" s="64">
        <v>4053.9995886732295</v>
      </c>
      <c r="R5" s="64">
        <v>4591.7384543179842</v>
      </c>
      <c r="S5" s="64">
        <v>4734.7447296421369</v>
      </c>
      <c r="T5" s="64">
        <v>5343.9728091173483</v>
      </c>
      <c r="U5" s="64">
        <v>5344.5642157256589</v>
      </c>
      <c r="V5" s="64">
        <v>5227.3345015589712</v>
      </c>
      <c r="W5" s="64">
        <v>5478.6778268707803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3.2220408186494218</v>
      </c>
      <c r="C9" s="79">
        <f>IF(C3=0,0,C3/MBunk_ene!C3)</f>
        <v>3.2239349384947036</v>
      </c>
      <c r="D9" s="79">
        <f>IF(D3=0,0,D3/MBunk_ene!D3)</f>
        <v>3.2249050566312287</v>
      </c>
      <c r="E9" s="79">
        <f>IF(E3=0,0,E3/MBunk_ene!E3)</f>
        <v>3.2266010678472283</v>
      </c>
      <c r="F9" s="79">
        <f>IF(F3=0,0,F3/MBunk_ene!F3)</f>
        <v>3.2274259131717606</v>
      </c>
      <c r="G9" s="79">
        <f>IF(G3=0,0,G3/MBunk_ene!G3)</f>
        <v>3.2279240280742978</v>
      </c>
      <c r="H9" s="79">
        <f>IF(H3=0,0,H3/MBunk_ene!H3)</f>
        <v>3.229208801727502</v>
      </c>
      <c r="I9" s="79">
        <f>IF(I3=0,0,I3/MBunk_ene!I3)</f>
        <v>3.2308539215641714</v>
      </c>
      <c r="J9" s="79">
        <f>IF(J3=0,0,J3/MBunk_ene!J3)</f>
        <v>3.2305907802638494</v>
      </c>
      <c r="K9" s="79">
        <f>IF(K3=0,0,K3/MBunk_ene!K3)</f>
        <v>3.2241235929421417</v>
      </c>
      <c r="L9" s="79">
        <f>IF(L3=0,0,L3/MBunk_ene!L3)</f>
        <v>3.2268357860121282</v>
      </c>
      <c r="M9" s="79">
        <f>IF(M3=0,0,M3/MBunk_ene!M3)</f>
        <v>3.2254546644594013</v>
      </c>
      <c r="N9" s="79">
        <f>IF(N3=0,0,N3/MBunk_ene!N3)</f>
        <v>3.2296942902224268</v>
      </c>
      <c r="O9" s="79">
        <f>IF(O3=0,0,O3/MBunk_ene!O3)</f>
        <v>3.2296103400553338</v>
      </c>
      <c r="P9" s="79">
        <f>IF(P3=0,0,P3/MBunk_ene!P3)</f>
        <v>3.229143886590355</v>
      </c>
      <c r="Q9" s="79">
        <f>IF(Q3=0,0,Q3/MBunk_ene!Q3)</f>
        <v>3.220342826969004</v>
      </c>
      <c r="R9" s="79">
        <f>IF(R3=0,0,R3/MBunk_ene!R3)</f>
        <v>3.2209110316224265</v>
      </c>
      <c r="S9" s="79">
        <f>IF(S3=0,0,S3/MBunk_ene!S3)</f>
        <v>3.2209124449944899</v>
      </c>
      <c r="T9" s="79">
        <f>IF(T3=0,0,T3/MBunk_ene!T3)</f>
        <v>3.2137094262723389</v>
      </c>
      <c r="U9" s="79">
        <f>IF(U3=0,0,U3/MBunk_ene!U3)</f>
        <v>3.2115142747885823</v>
      </c>
      <c r="V9" s="79">
        <f>IF(V3=0,0,V3/MBunk_ene!V3)</f>
        <v>3.2062185995664185</v>
      </c>
      <c r="W9" s="79">
        <f>IF(W3=0,0,W3/MBunk_ene!W3)</f>
        <v>3.1999133243987656</v>
      </c>
      <c r="DA9" s="172"/>
    </row>
    <row r="10" spans="1:105" ht="11.45" customHeight="1" x14ac:dyDescent="0.25">
      <c r="A10" s="55" t="s">
        <v>170</v>
      </c>
      <c r="B10" s="80">
        <f>IF(B4=0,0,B4/MBunk_ene!B4)</f>
        <v>3.2076389621004502</v>
      </c>
      <c r="C10" s="80">
        <f>IF(C4=0,0,C4/MBunk_ene!C4)</f>
        <v>3.2108317455398319</v>
      </c>
      <c r="D10" s="80">
        <f>IF(D4=0,0,D4/MBunk_ene!D4)</f>
        <v>3.213764706467491</v>
      </c>
      <c r="E10" s="80">
        <f>IF(E4=0,0,E4/MBunk_ene!E4)</f>
        <v>3.2163021470512021</v>
      </c>
      <c r="F10" s="80">
        <f>IF(F4=0,0,F4/MBunk_ene!F4)</f>
        <v>3.217220831863608</v>
      </c>
      <c r="G10" s="80">
        <f>IF(G4=0,0,G4/MBunk_ene!G4)</f>
        <v>3.2184802659568721</v>
      </c>
      <c r="H10" s="80">
        <f>IF(H4=0,0,H4/MBunk_ene!H4)</f>
        <v>3.2203906766507382</v>
      </c>
      <c r="I10" s="80">
        <f>IF(I4=0,0,I4/MBunk_ene!I4)</f>
        <v>3.2233553691037833</v>
      </c>
      <c r="J10" s="80">
        <f>IF(J4=0,0,J4/MBunk_ene!J4)</f>
        <v>3.223153874496925</v>
      </c>
      <c r="K10" s="80">
        <f>IF(K4=0,0,K4/MBunk_ene!K4)</f>
        <v>3.2080240081640659</v>
      </c>
      <c r="L10" s="80">
        <f>IF(L4=0,0,L4/MBunk_ene!L4)</f>
        <v>3.2137565201540039</v>
      </c>
      <c r="M10" s="80">
        <f>IF(M4=0,0,M4/MBunk_ene!M4)</f>
        <v>3.2112540536995509</v>
      </c>
      <c r="N10" s="80">
        <f>IF(N4=0,0,N4/MBunk_ene!N4)</f>
        <v>3.2201458291633549</v>
      </c>
      <c r="O10" s="80">
        <f>IF(O4=0,0,O4/MBunk_ene!O4)</f>
        <v>3.2211080668952756</v>
      </c>
      <c r="P10" s="80">
        <f>IF(P4=0,0,P4/MBunk_ene!P4)</f>
        <v>3.2201372541148738</v>
      </c>
      <c r="Q10" s="80">
        <f>IF(Q4=0,0,Q4/MBunk_ene!Q4)</f>
        <v>3.2019479303987652</v>
      </c>
      <c r="R10" s="80">
        <f>IF(R4=0,0,R4/MBunk_ene!R4)</f>
        <v>3.2030859582011</v>
      </c>
      <c r="S10" s="80">
        <f>IF(S4=0,0,S4/MBunk_ene!S4)</f>
        <v>3.2031218958146295</v>
      </c>
      <c r="T10" s="80">
        <f>IF(T4=0,0,T4/MBunk_ene!T4)</f>
        <v>3.1902846709743491</v>
      </c>
      <c r="U10" s="80">
        <f>IF(U4=0,0,U4/MBunk_ene!U4)</f>
        <v>3.1846246601353614</v>
      </c>
      <c r="V10" s="80">
        <f>IF(V4=0,0,V4/MBunk_ene!V4)</f>
        <v>3.1691097667720327</v>
      </c>
      <c r="W10" s="80">
        <f>IF(W4=0,0,W4/MBunk_ene!W4)</f>
        <v>3.1537967884523028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3.2288801679912136</v>
      </c>
      <c r="C11" s="81">
        <f>IF(C5=0,0,C5/MBunk_ene!C10)</f>
        <v>3.2299500776396837</v>
      </c>
      <c r="D11" s="81">
        <f>IF(D5=0,0,D5/MBunk_ene!D10)</f>
        <v>3.2303375718425551</v>
      </c>
      <c r="E11" s="81">
        <f>IF(E5=0,0,E5/MBunk_ene!E10)</f>
        <v>3.2315131774332211</v>
      </c>
      <c r="F11" s="81">
        <f>IF(F5=0,0,F5/MBunk_ene!F10)</f>
        <v>3.2320187382576959</v>
      </c>
      <c r="G11" s="81">
        <f>IF(G5=0,0,G5/MBunk_ene!G10)</f>
        <v>3.2320437738145977</v>
      </c>
      <c r="H11" s="81">
        <f>IF(H5=0,0,H5/MBunk_ene!H10)</f>
        <v>3.2330080705651461</v>
      </c>
      <c r="I11" s="81">
        <f>IF(I5=0,0,I5/MBunk_ene!I10)</f>
        <v>3.234004944274814</v>
      </c>
      <c r="J11" s="81">
        <f>IF(J5=0,0,J5/MBunk_ene!J10)</f>
        <v>3.2341620307968459</v>
      </c>
      <c r="K11" s="81">
        <f>IF(K5=0,0,K5/MBunk_ene!K10)</f>
        <v>3.2314743230580092</v>
      </c>
      <c r="L11" s="81">
        <f>IF(L5=0,0,L5/MBunk_ene!L10)</f>
        <v>3.233264459131818</v>
      </c>
      <c r="M11" s="81">
        <f>IF(M5=0,0,M5/MBunk_ene!M10)</f>
        <v>3.2322599884460619</v>
      </c>
      <c r="N11" s="81">
        <f>IF(N5=0,0,N5/MBunk_ene!N10)</f>
        <v>3.2344602454479658</v>
      </c>
      <c r="O11" s="81">
        <f>IF(O5=0,0,O5/MBunk_ene!O10)</f>
        <v>3.2343592305267554</v>
      </c>
      <c r="P11" s="81">
        <f>IF(P5=0,0,P5/MBunk_ene!P10)</f>
        <v>3.2340100887235477</v>
      </c>
      <c r="Q11" s="81">
        <f>IF(Q5=0,0,Q5/MBunk_ene!Q10)</f>
        <v>3.2297915293687938</v>
      </c>
      <c r="R11" s="81">
        <f>IF(R5=0,0,R5/MBunk_ene!R10)</f>
        <v>3.2308388549631721</v>
      </c>
      <c r="S11" s="81">
        <f>IF(S5=0,0,S5/MBunk_ene!S10)</f>
        <v>3.2310769921118339</v>
      </c>
      <c r="T11" s="81">
        <f>IF(T5=0,0,T5/MBunk_ene!T10)</f>
        <v>3.2287990323995972</v>
      </c>
      <c r="U11" s="81">
        <f>IF(U5=0,0,U5/MBunk_ene!U10)</f>
        <v>3.2277201333761596</v>
      </c>
      <c r="V11" s="81">
        <f>IF(V5=0,0,V5/MBunk_ene!V10)</f>
        <v>3.2249589781229466</v>
      </c>
      <c r="W11" s="81">
        <f>IF(W5=0,0,W5/MBunk_ene!W10)</f>
        <v>3.2220911253230353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9304.3455410906499</v>
      </c>
      <c r="C13" s="62">
        <f>IF(C3=0,0,C3/MBunk_act!C7*100)</f>
        <v>10319.55530803154</v>
      </c>
      <c r="D13" s="62">
        <f>IF(D3=0,0,D3/MBunk_act!D7*100)</f>
        <v>12231.606884326307</v>
      </c>
      <c r="E13" s="62">
        <f>IF(E3=0,0,E3/MBunk_act!E7*100)</f>
        <v>13012.343698676508</v>
      </c>
      <c r="F13" s="62">
        <f>IF(F3=0,0,F3/MBunk_act!F7*100)</f>
        <v>13555.93152714122</v>
      </c>
      <c r="G13" s="62">
        <f>IF(G3=0,0,G3/MBunk_act!G7*100)</f>
        <v>15180.901000008755</v>
      </c>
      <c r="H13" s="62">
        <f>IF(H3=0,0,H3/MBunk_act!H7*100)</f>
        <v>15432.674540311924</v>
      </c>
      <c r="I13" s="62">
        <f>IF(I3=0,0,I3/MBunk_act!I7*100)</f>
        <v>17205.532782893006</v>
      </c>
      <c r="J13" s="62">
        <f>IF(J3=0,0,J3/MBunk_act!J7*100)</f>
        <v>17890.636935140894</v>
      </c>
      <c r="K13" s="62">
        <f>IF(K3=0,0,K3/MBunk_act!K7*100)</f>
        <v>17247.414449805008</v>
      </c>
      <c r="L13" s="62">
        <f>IF(L3=0,0,L3/MBunk_act!L7*100)</f>
        <v>25291.295276681725</v>
      </c>
      <c r="M13" s="62">
        <f>IF(M3=0,0,M3/MBunk_act!M7*100)</f>
        <v>21206.473437785444</v>
      </c>
      <c r="N13" s="62">
        <f>IF(N3=0,0,N3/MBunk_act!N7*100)</f>
        <v>22657.232858417388</v>
      </c>
      <c r="O13" s="62">
        <f>IF(O3=0,0,O3/MBunk_act!O7*100)</f>
        <v>19875.035986610084</v>
      </c>
      <c r="P13" s="62">
        <f>IF(P3=0,0,P3/MBunk_act!P7*100)</f>
        <v>18680.39174104112</v>
      </c>
      <c r="Q13" s="62">
        <f>IF(Q3=0,0,Q3/MBunk_act!Q7*100)</f>
        <v>18982.777722986539</v>
      </c>
      <c r="R13" s="62">
        <f>IF(R3=0,0,R3/MBunk_act!R7*100)</f>
        <v>22831.837123066627</v>
      </c>
      <c r="S13" s="62">
        <f>IF(S3=0,0,S3/MBunk_act!S7*100)</f>
        <v>24243.086072975588</v>
      </c>
      <c r="T13" s="62">
        <f>IF(T3=0,0,T3/MBunk_act!T7*100)</f>
        <v>23793.093194450797</v>
      </c>
      <c r="U13" s="62">
        <f>IF(U3=0,0,U3/MBunk_act!U7*100)</f>
        <v>22188.418056330815</v>
      </c>
      <c r="V13" s="62">
        <f>IF(V3=0,0,V3/MBunk_act!V7*100)</f>
        <v>23792.6567310266</v>
      </c>
      <c r="W13" s="62">
        <f>IF(W3=0,0,W3/MBunk_act!W7*100)</f>
        <v>24043.529874286651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6816.5034415073233</v>
      </c>
      <c r="C14" s="63">
        <f>IF(C4=0,0,C4/MBunk_act!C8*100)</f>
        <v>7529.8253125451329</v>
      </c>
      <c r="D14" s="63">
        <f>IF(D4=0,0,D4/MBunk_act!D8*100)</f>
        <v>8735.7406940361507</v>
      </c>
      <c r="E14" s="63">
        <f>IF(E4=0,0,E4/MBunk_act!E8*100)</f>
        <v>9369.674057192402</v>
      </c>
      <c r="F14" s="63">
        <f>IF(F4=0,0,F4/MBunk_act!F8*100)</f>
        <v>9815.3744208671269</v>
      </c>
      <c r="G14" s="63">
        <f>IF(G4=0,0,G4/MBunk_act!G8*100)</f>
        <v>11214.09386985594</v>
      </c>
      <c r="H14" s="63">
        <f>IF(H4=0,0,H4/MBunk_act!H8*100)</f>
        <v>11384.612506271245</v>
      </c>
      <c r="I14" s="63">
        <f>IF(I4=0,0,I4/MBunk_act!I8*100)</f>
        <v>12833.004661711484</v>
      </c>
      <c r="J14" s="63">
        <f>IF(J4=0,0,J4/MBunk_act!J8*100)</f>
        <v>13351.736984658524</v>
      </c>
      <c r="K14" s="63">
        <f>IF(K4=0,0,K4/MBunk_act!K8*100)</f>
        <v>14598.364122577155</v>
      </c>
      <c r="L14" s="63">
        <f>IF(L4=0,0,L4/MBunk_act!L8*100)</f>
        <v>17890.634755888896</v>
      </c>
      <c r="M14" s="63">
        <f>IF(M4=0,0,M4/MBunk_act!M8*100)</f>
        <v>14969.042016044625</v>
      </c>
      <c r="N14" s="63">
        <f>IF(N4=0,0,N4/MBunk_act!N8*100)</f>
        <v>15687.439657510711</v>
      </c>
      <c r="O14" s="63">
        <f>IF(O4=0,0,O4/MBunk_act!O8*100)</f>
        <v>13451.270655475877</v>
      </c>
      <c r="P14" s="63">
        <f>IF(P4=0,0,P4/MBunk_act!P8*100)</f>
        <v>12552.809580147463</v>
      </c>
      <c r="Q14" s="63">
        <f>IF(Q4=0,0,Q4/MBunk_act!Q8*100)</f>
        <v>12801.255688183675</v>
      </c>
      <c r="R14" s="63">
        <f>IF(R4=0,0,R4/MBunk_act!R8*100)</f>
        <v>15506.139292347802</v>
      </c>
      <c r="S14" s="63">
        <f>IF(S4=0,0,S4/MBunk_act!S8*100)</f>
        <v>16491.472766637467</v>
      </c>
      <c r="T14" s="63">
        <f>IF(T4=0,0,T4/MBunk_act!T8*100)</f>
        <v>15964.642831394278</v>
      </c>
      <c r="U14" s="63">
        <f>IF(U4=0,0,U4/MBunk_act!U8*100)</f>
        <v>14708.595820997765</v>
      </c>
      <c r="V14" s="63">
        <f>IF(V4=0,0,V4/MBunk_act!V8*100)</f>
        <v>14265.203198684489</v>
      </c>
      <c r="W14" s="63">
        <f>IF(W4=0,0,W4/MBunk_act!W8*100)</f>
        <v>14501.272175794489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11239.620414004701</v>
      </c>
      <c r="C15" s="64">
        <f>IF(C5=0,0,C5/MBunk_act!C9*100)</f>
        <v>12419.28939296838</v>
      </c>
      <c r="D15" s="64">
        <f>IF(D5=0,0,D5/MBunk_act!D9*100)</f>
        <v>15178.397401979564</v>
      </c>
      <c r="E15" s="64">
        <f>IF(E5=0,0,E5/MBunk_act!E9*100)</f>
        <v>15957.325747572188</v>
      </c>
      <c r="F15" s="64">
        <f>IF(F5=0,0,F5/MBunk_act!F9*100)</f>
        <v>16346.747590197978</v>
      </c>
      <c r="G15" s="64">
        <f>IF(G5=0,0,G5/MBunk_act!G9*100)</f>
        <v>17937.231585875939</v>
      </c>
      <c r="H15" s="64">
        <f>IF(H5=0,0,H5/MBunk_act!H9*100)</f>
        <v>18211.793718169567</v>
      </c>
      <c r="I15" s="64">
        <f>IF(I5=0,0,I5/MBunk_act!I9*100)</f>
        <v>20069.610598083775</v>
      </c>
      <c r="J15" s="64">
        <f>IF(J5=0,0,J5/MBunk_act!J9*100)</f>
        <v>21366.79512663198</v>
      </c>
      <c r="K15" s="64">
        <f>IF(K5=0,0,K5/MBunk_act!K9*100)</f>
        <v>18793.162041415089</v>
      </c>
      <c r="L15" s="64">
        <f>IF(L5=0,0,L5/MBunk_act!L9*100)</f>
        <v>31697.105294710716</v>
      </c>
      <c r="M15" s="64">
        <f>IF(M5=0,0,M5/MBunk_act!M9*100)</f>
        <v>26454.883980682724</v>
      </c>
      <c r="N15" s="64">
        <f>IF(N5=0,0,N5/MBunk_act!N9*100)</f>
        <v>29076.780780629157</v>
      </c>
      <c r="O15" s="64">
        <f>IF(O5=0,0,O5/MBunk_act!O9*100)</f>
        <v>27064.589959403947</v>
      </c>
      <c r="P15" s="64">
        <f>IF(P5=0,0,P5/MBunk_act!P9*100)</f>
        <v>25333.074602431614</v>
      </c>
      <c r="Q15" s="64">
        <f>IF(Q5=0,0,Q5/MBunk_act!Q9*100)</f>
        <v>25172.738707772973</v>
      </c>
      <c r="R15" s="64">
        <f>IF(R5=0,0,R5/MBunk_act!R9*100)</f>
        <v>30890.080243558372</v>
      </c>
      <c r="S15" s="64">
        <f>IF(S5=0,0,S5/MBunk_act!S9*100)</f>
        <v>33039.094366290919</v>
      </c>
      <c r="T15" s="64">
        <f>IF(T5=0,0,T5/MBunk_act!T9*100)</f>
        <v>34588.520779932063</v>
      </c>
      <c r="U15" s="64">
        <f>IF(U5=0,0,U5/MBunk_act!U9*100)</f>
        <v>31806.414932092732</v>
      </c>
      <c r="V15" s="64">
        <f>IF(V5=0,0,V5/MBunk_act!V9*100)</f>
        <v>35588.244836079008</v>
      </c>
      <c r="W15" s="64">
        <f>IF(W5=0,0,W5/MBunk_act!W9*100)</f>
        <v>34832.765724468001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7.1198762791080012</v>
      </c>
      <c r="C17" s="62">
        <f>IF(C3=0,0,C3/MBunk_act!C3*1000)</f>
        <v>7.4008278547901387</v>
      </c>
      <c r="D17" s="62">
        <f>IF(D3=0,0,D3/MBunk_act!D3*1000)</f>
        <v>8.0889899486031211</v>
      </c>
      <c r="E17" s="62">
        <f>IF(E3=0,0,E3/MBunk_act!E3*1000)</f>
        <v>8.4986842158738476</v>
      </c>
      <c r="F17" s="62">
        <f>IF(F3=0,0,F3/MBunk_act!F3*1000)</f>
        <v>8.6486366577999103</v>
      </c>
      <c r="G17" s="62">
        <f>IF(G3=0,0,G3/MBunk_act!G3*1000)</f>
        <v>8.864134164699335</v>
      </c>
      <c r="H17" s="62">
        <f>IF(H3=0,0,H3/MBunk_act!H3*1000)</f>
        <v>8.7067283271439582</v>
      </c>
      <c r="I17" s="62">
        <f>IF(I3=0,0,I3/MBunk_act!I3*1000)</f>
        <v>8.9994089382578704</v>
      </c>
      <c r="J17" s="62">
        <f>IF(J3=0,0,J3/MBunk_act!J3*1000)</f>
        <v>9.8191972121120514</v>
      </c>
      <c r="K17" s="62">
        <f>IF(K3=0,0,K3/MBunk_act!K3*1000)</f>
        <v>10.988602674640193</v>
      </c>
      <c r="L17" s="62">
        <f>IF(L3=0,0,L3/MBunk_act!L3*1000)</f>
        <v>13.451435468684391</v>
      </c>
      <c r="M17" s="62">
        <f>IF(M3=0,0,M3/MBunk_act!M3*1000)</f>
        <v>10.56922712708173</v>
      </c>
      <c r="N17" s="62">
        <f>IF(N3=0,0,N3/MBunk_act!N3*1000)</f>
        <v>11.135119437045196</v>
      </c>
      <c r="O17" s="62">
        <f>IF(O3=0,0,O3/MBunk_act!O3*1000)</f>
        <v>10.286368343856228</v>
      </c>
      <c r="P17" s="62">
        <f>IF(P3=0,0,P3/MBunk_act!P3*1000)</f>
        <v>9.7368762147046635</v>
      </c>
      <c r="Q17" s="62">
        <f>IF(Q3=0,0,Q3/MBunk_act!Q3*1000)</f>
        <v>9.0324476793154389</v>
      </c>
      <c r="R17" s="62">
        <f>IF(R3=0,0,R3/MBunk_act!R3*1000)</f>
        <v>11.326184646137111</v>
      </c>
      <c r="S17" s="62">
        <f>IF(S3=0,0,S3/MBunk_act!S3*1000)</f>
        <v>11.824827121410376</v>
      </c>
      <c r="T17" s="62">
        <f>IF(T3=0,0,T3/MBunk_act!T3*1000)</f>
        <v>12.808838834391324</v>
      </c>
      <c r="U17" s="62">
        <f>IF(U3=0,0,U3/MBunk_act!U3*1000)</f>
        <v>11.572960206162058</v>
      </c>
      <c r="V17" s="62">
        <f>IF(V3=0,0,V3/MBunk_act!V3*1000)</f>
        <v>12.185060240575742</v>
      </c>
      <c r="W17" s="62">
        <f>IF(W3=0,0,W3/MBunk_act!W3*1000)</f>
        <v>11.36134846518449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16.214174087193712</v>
      </c>
      <c r="C18" s="63">
        <f>IF(C4=0,0,C4/MBunk_act!C4*1000)</f>
        <v>17.515589995029856</v>
      </c>
      <c r="D18" s="63">
        <f>IF(D4=0,0,D4/MBunk_act!D4*1000)</f>
        <v>18.85601828956532</v>
      </c>
      <c r="E18" s="63">
        <f>IF(E4=0,0,E4/MBunk_act!E4*1000)</f>
        <v>19.931164381484336</v>
      </c>
      <c r="F18" s="63">
        <f>IF(F4=0,0,F4/MBunk_act!F4*1000)</f>
        <v>20.666302735648181</v>
      </c>
      <c r="G18" s="63">
        <f>IF(G4=0,0,G4/MBunk_act!G4*1000)</f>
        <v>21.613460096238114</v>
      </c>
      <c r="H18" s="63">
        <f>IF(H4=0,0,H4/MBunk_act!H4*1000)</f>
        <v>21.438016003794587</v>
      </c>
      <c r="I18" s="63">
        <f>IF(I4=0,0,I4/MBunk_act!I4*1000)</f>
        <v>22.783447596284081</v>
      </c>
      <c r="J18" s="63">
        <f>IF(J4=0,0,J4/MBunk_act!J4*1000)</f>
        <v>23.354369859838354</v>
      </c>
      <c r="K18" s="63">
        <f>IF(K4=0,0,K4/MBunk_act!K4*1000)</f>
        <v>26.422014243630297</v>
      </c>
      <c r="L18" s="63">
        <f>IF(L4=0,0,L4/MBunk_act!L4*1000)</f>
        <v>32.787421910275384</v>
      </c>
      <c r="M18" s="63">
        <f>IF(M4=0,0,M4/MBunk_act!M4*1000)</f>
        <v>25.727270584579532</v>
      </c>
      <c r="N18" s="63">
        <f>IF(N4=0,0,N4/MBunk_act!N4*1000)</f>
        <v>26.997876450854985</v>
      </c>
      <c r="O18" s="63">
        <f>IF(O4=0,0,O4/MBunk_act!O4*1000)</f>
        <v>23.956940661171181</v>
      </c>
      <c r="P18" s="63">
        <f>IF(P4=0,0,P4/MBunk_act!P4*1000)</f>
        <v>22.806932695838473</v>
      </c>
      <c r="Q18" s="63">
        <f>IF(Q4=0,0,Q4/MBunk_act!Q4*1000)</f>
        <v>21.815679072621059</v>
      </c>
      <c r="R18" s="63">
        <f>IF(R4=0,0,R4/MBunk_act!R4*1000)</f>
        <v>25.628586794333152</v>
      </c>
      <c r="S18" s="63">
        <f>IF(S4=0,0,S4/MBunk_act!S4*1000)</f>
        <v>26.712873925626216</v>
      </c>
      <c r="T18" s="63">
        <f>IF(T4=0,0,T4/MBunk_act!T4*1000)</f>
        <v>26.720528728619307</v>
      </c>
      <c r="U18" s="63">
        <f>IF(U4=0,0,U4/MBunk_act!U4*1000)</f>
        <v>25.484387103388691</v>
      </c>
      <c r="V18" s="63">
        <f>IF(V4=0,0,V4/MBunk_act!V4*1000)</f>
        <v>24.084561372247894</v>
      </c>
      <c r="W18" s="63">
        <f>IF(W4=0,0,W4/MBunk_act!W4*1000)</f>
        <v>23.260918666690284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5.6301020263020032</v>
      </c>
      <c r="C19" s="64">
        <f>IF(C5=0,0,C5/MBunk_act!C5*1000)</f>
        <v>5.8572882401247153</v>
      </c>
      <c r="D19" s="64">
        <f>IF(D5=0,0,D5/MBunk_act!D5*1000)</f>
        <v>6.3342608215702931</v>
      </c>
      <c r="E19" s="64">
        <f>IF(E5=0,0,E5/MBunk_act!E5*1000)</f>
        <v>6.6798216298313617</v>
      </c>
      <c r="F19" s="64">
        <f>IF(F5=0,0,F5/MBunk_act!F5*1000)</f>
        <v>6.8612091328124389</v>
      </c>
      <c r="G19" s="64">
        <f>IF(G5=0,0,G5/MBunk_act!G5*1000)</f>
        <v>7.0560336843809477</v>
      </c>
      <c r="H19" s="64">
        <f>IF(H5=0,0,H5/MBunk_act!H5*1000)</f>
        <v>6.9383684835847319</v>
      </c>
      <c r="I19" s="64">
        <f>IF(I5=0,0,I5/MBunk_act!I5*1000)</f>
        <v>7.1800241706045167</v>
      </c>
      <c r="J19" s="64">
        <f>IF(J5=0,0,J5/MBunk_act!J5*1000)</f>
        <v>7.6871058445521241</v>
      </c>
      <c r="K19" s="64">
        <f>IF(K5=0,0,K5/MBunk_act!K5*1000)</f>
        <v>8.688306104803253</v>
      </c>
      <c r="L19" s="64">
        <f>IF(L5=0,0,L5/MBunk_act!L5*1000)</f>
        <v>10.44271302671671</v>
      </c>
      <c r="M19" s="64">
        <f>IF(M5=0,0,M5/MBunk_act!M5*1000)</f>
        <v>8.2538731961165563</v>
      </c>
      <c r="N19" s="64">
        <f>IF(N5=0,0,N5/MBunk_act!N5*1000)</f>
        <v>8.6187085298174662</v>
      </c>
      <c r="O19" s="64">
        <f>IF(O5=0,0,O5/MBunk_act!O5*1000)</f>
        <v>7.8079851350299547</v>
      </c>
      <c r="P19" s="64">
        <f>IF(P5=0,0,P5/MBunk_act!P5*1000)</f>
        <v>7.4423969803568637</v>
      </c>
      <c r="Q19" s="64">
        <f>IF(Q5=0,0,Q5/MBunk_act!Q5*1000)</f>
        <v>6.9566439620370923</v>
      </c>
      <c r="R19" s="64">
        <f>IF(R5=0,0,R5/MBunk_act!R5*1000)</f>
        <v>8.6581782882700669</v>
      </c>
      <c r="S19" s="64">
        <f>IF(S5=0,0,S5/MBunk_act!S5*1000)</f>
        <v>8.9876417987275499</v>
      </c>
      <c r="T19" s="64">
        <f>IF(T5=0,0,T5/MBunk_act!T5*1000)</f>
        <v>9.6207245279415936</v>
      </c>
      <c r="U19" s="64">
        <f>IF(U5=0,0,U5/MBunk_act!U5*1000)</f>
        <v>8.7369529854264485</v>
      </c>
      <c r="V19" s="64">
        <f>IF(V5=0,0,V5/MBunk_act!V5*1000)</f>
        <v>9.7856973160499123</v>
      </c>
      <c r="W19" s="64">
        <f>IF(W5=0,0,W5/MBunk_act!W5*1000)</f>
        <v>9.1564473948042888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0.32054577780383098</v>
      </c>
      <c r="C22" s="77">
        <f t="shared" si="2"/>
        <v>0.31334802094615116</v>
      </c>
      <c r="D22" s="77">
        <f t="shared" si="2"/>
        <v>0.32666341076863409</v>
      </c>
      <c r="E22" s="77">
        <f t="shared" si="2"/>
        <v>0.32190000300209748</v>
      </c>
      <c r="F22" s="77">
        <f t="shared" si="2"/>
        <v>0.30938853829710733</v>
      </c>
      <c r="G22" s="77">
        <f t="shared" si="2"/>
        <v>0.30284885494924324</v>
      </c>
      <c r="H22" s="77">
        <f t="shared" si="2"/>
        <v>0.30029133221436038</v>
      </c>
      <c r="I22" s="77">
        <f t="shared" si="2"/>
        <v>0.29519576034945105</v>
      </c>
      <c r="J22" s="77">
        <f t="shared" si="2"/>
        <v>0.32367176867378061</v>
      </c>
      <c r="K22" s="77">
        <f t="shared" si="2"/>
        <v>0.31189450769680199</v>
      </c>
      <c r="L22" s="77">
        <f t="shared" si="2"/>
        <v>0.32820565621811343</v>
      </c>
      <c r="M22" s="77">
        <f t="shared" si="2"/>
        <v>0.3225451509923814</v>
      </c>
      <c r="N22" s="77">
        <f t="shared" si="2"/>
        <v>0.33196357968316265</v>
      </c>
      <c r="O22" s="77">
        <f t="shared" si="2"/>
        <v>0.35743189599405317</v>
      </c>
      <c r="P22" s="77">
        <f t="shared" si="2"/>
        <v>0.34979365091790038</v>
      </c>
      <c r="Q22" s="77">
        <f t="shared" si="2"/>
        <v>0.33741078322662682</v>
      </c>
      <c r="R22" s="77">
        <f t="shared" si="2"/>
        <v>0.35574236269063003</v>
      </c>
      <c r="S22" s="77">
        <f t="shared" si="2"/>
        <v>0.36159430971162315</v>
      </c>
      <c r="T22" s="77">
        <f t="shared" si="2"/>
        <v>0.38893590094007163</v>
      </c>
      <c r="U22" s="77">
        <f t="shared" si="2"/>
        <v>0.37289691271952441</v>
      </c>
      <c r="V22" s="77">
        <f t="shared" si="2"/>
        <v>0.33166944749660532</v>
      </c>
      <c r="W22" s="77">
        <f t="shared" si="2"/>
        <v>0.32005843706096859</v>
      </c>
      <c r="DA22" s="184"/>
    </row>
    <row r="23" spans="1:105" ht="11.45" customHeight="1" x14ac:dyDescent="0.25">
      <c r="A23" s="57" t="s">
        <v>171</v>
      </c>
      <c r="B23" s="78">
        <f t="shared" si="2"/>
        <v>0.67945422219616902</v>
      </c>
      <c r="C23" s="78">
        <f t="shared" si="2"/>
        <v>0.68665197905384878</v>
      </c>
      <c r="D23" s="78">
        <f t="shared" si="2"/>
        <v>0.67333658923136586</v>
      </c>
      <c r="E23" s="78">
        <f t="shared" si="2"/>
        <v>0.67809999699790247</v>
      </c>
      <c r="F23" s="78">
        <f t="shared" si="2"/>
        <v>0.69061146170289267</v>
      </c>
      <c r="G23" s="78">
        <f t="shared" si="2"/>
        <v>0.69715114505075682</v>
      </c>
      <c r="H23" s="78">
        <f t="shared" si="2"/>
        <v>0.69970866778563956</v>
      </c>
      <c r="I23" s="78">
        <f t="shared" si="2"/>
        <v>0.70480423965054895</v>
      </c>
      <c r="J23" s="78">
        <f t="shared" si="2"/>
        <v>0.67632823132621933</v>
      </c>
      <c r="K23" s="78">
        <f t="shared" si="2"/>
        <v>0.68810549230319806</v>
      </c>
      <c r="L23" s="78">
        <f t="shared" si="2"/>
        <v>0.67179434378188663</v>
      </c>
      <c r="M23" s="78">
        <f t="shared" si="2"/>
        <v>0.67745484900761865</v>
      </c>
      <c r="N23" s="78">
        <f t="shared" si="2"/>
        <v>0.6680364203168373</v>
      </c>
      <c r="O23" s="78">
        <f t="shared" si="2"/>
        <v>0.64256810400594677</v>
      </c>
      <c r="P23" s="78">
        <f t="shared" si="2"/>
        <v>0.65020634908209962</v>
      </c>
      <c r="Q23" s="78">
        <f t="shared" si="2"/>
        <v>0.66258921677337324</v>
      </c>
      <c r="R23" s="78">
        <f t="shared" si="2"/>
        <v>0.64425763730936991</v>
      </c>
      <c r="S23" s="78">
        <f t="shared" si="2"/>
        <v>0.6384056902883769</v>
      </c>
      <c r="T23" s="78">
        <f t="shared" si="2"/>
        <v>0.61106409905992831</v>
      </c>
      <c r="U23" s="78">
        <f t="shared" si="2"/>
        <v>0.62710308728047559</v>
      </c>
      <c r="V23" s="78">
        <f t="shared" si="2"/>
        <v>0.66833055250339468</v>
      </c>
      <c r="W23" s="78">
        <f t="shared" si="2"/>
        <v>0.67994156293903141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57C3D-66A0-407F-854D-AEEB6308D748}"/>
</file>

<file path=customXml/itemProps2.xml><?xml version="1.0" encoding="utf-8"?>
<ds:datastoreItem xmlns:ds="http://schemas.openxmlformats.org/officeDocument/2006/customXml" ds:itemID="{6BA77239-98F3-42E5-9C66-CEA7E87B3155}"/>
</file>

<file path=customXml/itemProps3.xml><?xml version="1.0" encoding="utf-8"?>
<ds:datastoreItem xmlns:ds="http://schemas.openxmlformats.org/officeDocument/2006/customXml" ds:itemID="{B899982D-C4AC-487F-9905-957C20241D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2024-05-20T16:52:19Z</dcterms:created>
  <dcterms:modified xsi:type="dcterms:W3CDTF">2024-05-20T16:52:19Z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