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J5" i="39"/>
  <c r="I5" i="39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N31" i="6" l="1"/>
  <c r="K31" i="6"/>
  <c r="H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P6" i="29"/>
  <c r="O6" i="29"/>
  <c r="N6" i="29"/>
  <c r="M6" i="29"/>
  <c r="H6" i="29"/>
  <c r="G6" i="29"/>
  <c r="F6" i="29"/>
  <c r="T5" i="29"/>
  <c r="S5" i="29"/>
  <c r="R5" i="29"/>
  <c r="Q5" i="29"/>
  <c r="L5" i="29"/>
  <c r="K5" i="29"/>
  <c r="J5" i="29"/>
  <c r="D5" i="29"/>
  <c r="W4" i="29"/>
  <c r="V4" i="29"/>
  <c r="U4" i="29"/>
  <c r="P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6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K3" i="29"/>
  <c r="U15" i="24"/>
  <c r="W3" i="8"/>
  <c r="W3" i="31"/>
  <c r="V3" i="31"/>
  <c r="W3" i="35"/>
  <c r="U19" i="25"/>
  <c r="U19" i="23"/>
  <c r="U27" i="24"/>
  <c r="W3" i="29"/>
  <c r="R3" i="29"/>
  <c r="S3" i="30"/>
  <c r="T15" i="12"/>
  <c r="T19" i="14"/>
  <c r="T3" i="11"/>
  <c r="T3" i="14" s="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U3" i="25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I4" i="13" l="1"/>
  <c r="G16" i="12"/>
  <c r="F16" i="12"/>
  <c r="O29" i="13"/>
  <c r="C4" i="24"/>
  <c r="D16" i="14"/>
  <c r="D16" i="17" s="1"/>
  <c r="K4" i="24"/>
  <c r="G19" i="23"/>
  <c r="G19" i="26" s="1"/>
  <c r="P16" i="25"/>
  <c r="E16" i="23"/>
  <c r="E4" i="13"/>
  <c r="G29" i="13"/>
  <c r="E19" i="24"/>
  <c r="I4" i="23"/>
  <c r="C17" i="16"/>
  <c r="G29" i="12"/>
  <c r="G29" i="15" s="1"/>
  <c r="O29" i="23"/>
  <c r="O29" i="26" s="1"/>
  <c r="O29" i="12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N16" i="17" s="1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I4" i="15" s="1"/>
  <c r="L16" i="13"/>
  <c r="L16" i="16" s="1"/>
  <c r="B29" i="13"/>
  <c r="L4" i="24"/>
  <c r="Q29" i="23"/>
  <c r="G16" i="25"/>
  <c r="Q4" i="24"/>
  <c r="Q4" i="27" s="1"/>
  <c r="D4" i="23"/>
  <c r="D4" i="26" s="1"/>
  <c r="C29" i="13"/>
  <c r="C29" i="16" s="1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O27" i="15" s="1"/>
  <c r="B19" i="12"/>
  <c r="B19" i="15" s="1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5" i="4"/>
  <c r="B30" i="4"/>
  <c r="B9" i="4"/>
  <c r="B29" i="4"/>
  <c r="B42" i="4"/>
  <c r="B38" i="4"/>
  <c r="B45" i="4"/>
  <c r="B12" i="4"/>
  <c r="B35" i="4"/>
  <c r="B24" i="4"/>
  <c r="B25" i="4"/>
  <c r="B37" i="4"/>
  <c r="B14" i="4"/>
  <c r="B34" i="4"/>
  <c r="B20" i="4"/>
  <c r="B8" i="4"/>
  <c r="B11" i="4"/>
  <c r="B26" i="4"/>
  <c r="B22" i="4"/>
  <c r="B7" i="4"/>
  <c r="B21" i="4"/>
  <c r="B44" i="4"/>
  <c r="B36" i="4"/>
  <c r="B16" i="4"/>
  <c r="B10" i="4"/>
  <c r="B23" i="4"/>
  <c r="B28" i="4"/>
  <c r="B33" i="4"/>
  <c r="B39" i="4"/>
  <c r="B17" i="4"/>
  <c r="B27" i="4"/>
  <c r="B43" i="4"/>
  <c r="B4" i="4"/>
  <c r="B1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<sst xmlns="http://schemas.openxmlformats.org/spreadsheetml/2006/main" count="2099" uniqueCount="1055">
  <si>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</si>
  <si>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</si>
  <si>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</si>
  <si>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</si>
  <si>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</si>
  <si>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</si>
  <si>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</si>
  <si>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</si>
  <si>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</si>
  <si>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</si>
  <si>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</si>
  <si>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</si>
  <si>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</si>
  <si>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</si>
  <si>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</si>
  <si>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</si>
  <si>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</si>
  <si>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</si>
  <si>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</si>
  <si>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</si>
  <si>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</si>
  <si>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</si>
  <si>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</si>
  <si>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</si>
  <si>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</si>
  <si>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</si>
  <si>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</si>
  <si>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</si>
  <si>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</si>
  <si>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</si>
  <si>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</si>
  <si>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</si>
  <si>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</si>
  <si>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</si>
  <si>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</si>
  <si>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</si>
  <si>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</si>
  <si>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</si>
  <si>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</si>
  <si>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</si>
  <si>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</si>
  <si>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</si>
  <si>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</si>
  <si>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</si>
  <si>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</si>
  <si>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</si>
  <si>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</si>
  <si>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</si>
  <si>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</si>
  <si>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</si>
  <si>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</si>
  <si>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</si>
  <si>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</si>
  <si>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</si>
  <si>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</si>
  <si>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</si>
  <si>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</si>
  <si>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</si>
  <si>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</si>
  <si>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</si>
  <si>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</si>
  <si>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</si>
  <si>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</si>
  <si>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</si>
  <si>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</si>
  <si>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</si>
  <si>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</si>
  <si>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</si>
  <si>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</si>
  <si>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</si>
  <si>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</si>
  <si>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</si>
  <si>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</si>
  <si>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</si>
  <si>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</si>
  <si>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</si>
  <si>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</si>
  <si>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</si>
  <si>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</si>
  <si>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</si>
  <si>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</si>
  <si>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</si>
  <si>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</si>
  <si>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</si>
  <si>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</si>
  <si>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</si>
  <si>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</si>
  <si>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</si>
  <si>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</si>
  <si>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</si>
  <si>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</si>
  <si>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</si>
  <si>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</si>
  <si>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</si>
  <si>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</si>
  <si>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</si>
  <si>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</si>
  <si>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</si>
  <si>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</si>
  <si>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</si>
  <si>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</si>
  <si>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</si>
  <si>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</si>
  <si>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</si>
  <si>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</si>
  <si>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</si>
  <si>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</si>
  <si>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</si>
  <si>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</si>
  <si>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</si>
  <si>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</si>
  <si>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</si>
  <si>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</si>
  <si>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</si>
  <si>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</si>
  <si>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</si>
  <si>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</si>
  <si>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</si>
  <si>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</si>
  <si>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</si>
  <si>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</si>
  <si>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</si>
  <si>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</si>
  <si>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</si>
  <si>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</si>
  <si>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</si>
  <si>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</si>
  <si>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</si>
  <si>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</si>
  <si>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</si>
  <si>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</si>
  <si>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</si>
  <si>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</si>
  <si>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</si>
  <si>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</si>
  <si>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</si>
  <si>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</si>
  <si>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</si>
  <si>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</si>
  <si>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</si>
  <si>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</si>
  <si>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</si>
  <si>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</si>
  <si>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</si>
  <si>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</si>
  <si>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</si>
  <si>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</si>
  <si>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</si>
  <si>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</si>
  <si>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</si>
  <si>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</si>
  <si>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</si>
  <si>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</si>
  <si>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</si>
  <si>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</si>
  <si>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</si>
  <si>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</si>
  <si>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</si>
  <si>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</si>
  <si>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</si>
  <si>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</si>
  <si>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</si>
  <si>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</si>
  <si>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</si>
  <si>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</si>
  <si>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</si>
  <si>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</si>
  <si>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</si>
  <si>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</si>
  <si>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</si>
  <si>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</si>
  <si>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</si>
  <si>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</si>
  <si>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</si>
  <si>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</si>
  <si>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</si>
  <si>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</si>
  <si>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</si>
  <si>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</si>
  <si>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</si>
  <si>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</si>
  <si>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</si>
  <si>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</si>
  <si>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</si>
  <si>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ES</t>
  </si>
  <si>
    <t>Spain</t>
  </si>
  <si>
    <t>ES - Services sector summary</t>
  </si>
  <si>
    <t>Macro.number.ES.Population</t>
  </si>
  <si>
    <t>Macro.Meuro2015.ES.GDP</t>
  </si>
  <si>
    <t>Macro.Meuro2015.ES.VA</t>
  </si>
  <si>
    <t>Macro.number.ES.Employees</t>
  </si>
  <si>
    <t>NUM.number.ES.Ser.Bld</t>
  </si>
  <si>
    <t>SurfaceArea.ksqm.ES.Ser.Bld</t>
  </si>
  <si>
    <t>NUM.number.ES.Ser.BldNew</t>
  </si>
  <si>
    <t>SurfaceArea.ksqm.ES.Ser.BldNew</t>
  </si>
  <si>
    <t>HDD.Celsius.ES.Actual</t>
  </si>
  <si>
    <t>HDD.Celsius.ES.Mean</t>
  </si>
  <si>
    <t>HDD.ratio.ES.Relative</t>
  </si>
  <si>
    <t>FEC.ktoe.ES.ES.Ser</t>
  </si>
  <si>
    <t>FEC.ktoe.ES.ES.Ser.Solids</t>
  </si>
  <si>
    <t>FEC.ktoe.ES.ES.Ser.LPG</t>
  </si>
  <si>
    <t>FEC.ktoe.ES.ES.Ser.Oil</t>
  </si>
  <si>
    <t>FEC.ktoe.ES.ES.Ser.NG</t>
  </si>
  <si>
    <t>FEC.ktoe.ES.ES.Ser.Biomass_Waste</t>
  </si>
  <si>
    <t>FEC.ktoe.ES.ES.Ser.Biogas</t>
  </si>
  <si>
    <t>FEC.ktoe.ES.ES.Ser.LiqBio</t>
  </si>
  <si>
    <t>FEC.ktoe.ES.ES.Ser.Solar</t>
  </si>
  <si>
    <t>FEC.ktoe.ES.ES.Ser.Geo</t>
  </si>
  <si>
    <t>FEC.ktoe.ES.ES.Ser.Ambient</t>
  </si>
  <si>
    <t>FEC.ktoe.ES.ES.Ser.Steam_Distr</t>
  </si>
  <si>
    <t>FEC.ktoe.ES.ES.Ser.Elec</t>
  </si>
  <si>
    <t>FEC.ktoe.ES.Ser</t>
  </si>
  <si>
    <t>FEC.ktoe.ES.Ser.Bld.Thermal</t>
  </si>
  <si>
    <t>FEC.ktoe.ES.Ser.Bld.Thermal.SH</t>
  </si>
  <si>
    <t>FEC.ktoe.ES.Ser.Bld.Thermal.SC</t>
  </si>
  <si>
    <t>FEC.ktoe.ES.Ser.Bld.Thermal.HW</t>
  </si>
  <si>
    <t>FEC.ktoe.ES.Ser.Bld.Thermal.CA</t>
  </si>
  <si>
    <t>FEC.ktoe.ES.Ser.SEU</t>
  </si>
  <si>
    <t>EMI.ktCO2.ES.ES.Ser</t>
  </si>
  <si>
    <t>EMI.ktCO2.ES.ES.Ser.Solids</t>
  </si>
  <si>
    <t>EMI.ktCO2.ES.ES.Ser.LPG</t>
  </si>
  <si>
    <t>EMI.ktCO2.ES.ES.Ser.Oil</t>
  </si>
  <si>
    <t>EMI.ktCO2.ES.ES.Ser.NG</t>
  </si>
  <si>
    <t>EMI.ktCO2.ES.ES.Ser.Biomass_Waste</t>
  </si>
  <si>
    <t>EMI.ktCO2.ES.ES.Ser.Biogas</t>
  </si>
  <si>
    <t>EMI.ktCO2.ES.ES.Ser.LiqBio</t>
  </si>
  <si>
    <t>EMI.ktCO2.ES.ES.Ser.Solar</t>
  </si>
  <si>
    <t>EMI.ktCO2.ES.ES.Ser.Geo</t>
  </si>
  <si>
    <t>EMI.ktCO2.ES.ES.Ser.Ambient</t>
  </si>
  <si>
    <t>EMI.ktCO2.ES.ES.Ser.Steam_Distr</t>
  </si>
  <si>
    <t>EMI.ktCO2.ES.ES.Ser.Elec</t>
  </si>
  <si>
    <t>EMI.ktCO2.ES.Ser</t>
  </si>
  <si>
    <t>EMI.ktCO2.ES.Ser.Bld.Thermal</t>
  </si>
  <si>
    <t>EMI.ktCO2.ES.Ser.Bld.Thermal.SH</t>
  </si>
  <si>
    <t>EMI.ktCO2.ES.Ser.Bld.Thermal.SC</t>
  </si>
  <si>
    <t>EMI.ktCO2.ES.Ser.Bld.Thermal.HW</t>
  </si>
  <si>
    <t>EMI.ktCO2.ES.Ser.Bld.Thermal.CA</t>
  </si>
  <si>
    <t>EMI.ktCO2.ES.Ser.SEU</t>
  </si>
  <si>
    <t>Eff.ratio.ES.Ser.Bld.Thermal</t>
  </si>
  <si>
    <t>Eff.ratio.ES.Ser.Bld.Thermal.SH</t>
  </si>
  <si>
    <t>Eff.ratio.ES.Ser.Bld.Thermal.SC</t>
  </si>
  <si>
    <t>Eff.ratio.ES.Ser.Bld.Thermal.HW</t>
  </si>
  <si>
    <t>Eff.ratio.ES.Ser.Bld.Thermal.CA</t>
  </si>
  <si>
    <t>ES - Number of buildings</t>
  </si>
  <si>
    <t>NUM.number.ES.Ser.Bld.Thermal</t>
  </si>
  <si>
    <t>NUM.number.ES.Ser.Bld.Thermal.SH</t>
  </si>
  <si>
    <t>NUM.number.ES.Ser.Bld.Thermal.SH.Solids</t>
  </si>
  <si>
    <t>NUM.number.ES.Ser.Bld.Thermal.SH.LPG</t>
  </si>
  <si>
    <t>NUM.number.ES.Ser.Bld.Thermal.SH.Oil</t>
  </si>
  <si>
    <t>NUM.number.ES.Ser.Bld.Thermal.SH.GasHP</t>
  </si>
  <si>
    <t>NUM.number.ES.Ser.Bld.Thermal.SH.GasTH</t>
  </si>
  <si>
    <t>NUM.number.ES.Ser.Bld.Thermal.SH.Biomass</t>
  </si>
  <si>
    <t>NUM.number.ES.Ser.Bld.Thermal.SH.Geo</t>
  </si>
  <si>
    <t>NUM.number.ES.Ser.Bld.Thermal.SH.DistrHeat</t>
  </si>
  <si>
    <t>NUM.number.ES.Ser.Bld.Thermal.SH.AdvElc</t>
  </si>
  <si>
    <t>NUM.number.ES.Ser.Bld.Thermal.SH.ConvElc</t>
  </si>
  <si>
    <t>NUM.number.ES.Ser.Bld.Thermal.SC</t>
  </si>
  <si>
    <t>NUM.number.ES.Ser.Bld.Thermal.SC.GasHP</t>
  </si>
  <si>
    <t>NUM.number.ES.Ser.Bld.Thermal.SC.AC</t>
  </si>
  <si>
    <t>NUM.number.ES.Ser.Bld.Thermal.HW</t>
  </si>
  <si>
    <t>NUM.number.ES.Ser.Bld.Thermal.HW.Solids</t>
  </si>
  <si>
    <t>NUM.number.ES.Ser.Bld.Thermal.HW.LPG</t>
  </si>
  <si>
    <t>NUM.number.ES.Ser.Bld.Thermal.HW.Oil</t>
  </si>
  <si>
    <t>NUM.number.ES.Ser.Bld.Thermal.HW.Gas</t>
  </si>
  <si>
    <t>NUM.number.ES.Ser.Bld.Thermal.HW.Biomass</t>
  </si>
  <si>
    <t>NUM.number.ES.Ser.Bld.Thermal.HW.DistrHeat</t>
  </si>
  <si>
    <t>NUM.number.ES.Ser.Bld.Thermal.HW.Elc</t>
  </si>
  <si>
    <t>NUM.number.ES.Ser.Bld.Thermal.HW.Solar</t>
  </si>
  <si>
    <t>NUM.number.ES.Ser.Bld.Thermal.CA</t>
  </si>
  <si>
    <t>NUM.number.ES.Ser.Bld.Thermal.CA.LPG</t>
  </si>
  <si>
    <t>NUM.number.ES.Ser.Bld.Thermal.CA.Gas</t>
  </si>
  <si>
    <t>NUM.number.ES.Ser.Bld.Thermal.CA.Biomass</t>
  </si>
  <si>
    <t>NUM.number.ES.Ser.Bld.Thermal.CA.Elc</t>
  </si>
  <si>
    <t>ES - Final energy consumption</t>
  </si>
  <si>
    <t>FEC.ktoe.ES.Ser.Bld.Thermal.SH.Solids.Solids</t>
  </si>
  <si>
    <t>FEC.ktoe.ES.Ser.Bld.Thermal.SH.LPG.LPG</t>
  </si>
  <si>
    <t>FEC.ktoe.ES.Ser.Bld.Thermal.SH.Oil.Oil_LiqBio</t>
  </si>
  <si>
    <t>FEC.ktoe.ES.Ser.Bld.Thermal.SH.GasHP.NG_Biogas</t>
  </si>
  <si>
    <t>FEC.ktoe.ES.Ser.Bld.Thermal.SH.GasTH.NG_Biogas</t>
  </si>
  <si>
    <t>FEC.ktoe.ES.Ser.Bld.Thermal.SH.Biomass.Biomass_Waste</t>
  </si>
  <si>
    <t>FEC.ktoe.ES.Ser.Bld.Thermal.SH.Geo.Geo</t>
  </si>
  <si>
    <t>FEC.ktoe.ES.Ser.Bld.Thermal.SH.DistrHeat.Steam_Distr</t>
  </si>
  <si>
    <t>FEC.ktoe.ES.Ser.Bld.Thermal.SH.AdvElc.Elec</t>
  </si>
  <si>
    <t>FEC.ktoe.ES.Ser.Bld.Thermal.SH.ConvElc.Elec</t>
  </si>
  <si>
    <t>FEC.ktoe.ES.Ser.Bld.Thermal.SH.TotalCirculation.Elec</t>
  </si>
  <si>
    <t>FEC.ktoe.ES.Ser.Bld.Thermal.SC.GasHP.NG_Biogas</t>
  </si>
  <si>
    <t>FEC.ktoe.ES.Ser.Bld.Thermal.SC.AC.Elec</t>
  </si>
  <si>
    <t>FEC.ktoe.ES.Ser.Bld.Thermal.HW.Solids.Solids</t>
  </si>
  <si>
    <t>FEC.ktoe.ES.Ser.Bld.Thermal.HW.LPG.LPG</t>
  </si>
  <si>
    <t>FEC.ktoe.ES.Ser.Bld.Thermal.HW.Oil.Oil_LiqBio</t>
  </si>
  <si>
    <t>FEC.ktoe.ES.Ser.Bld.Thermal.HW.Gas.NG_Biogas</t>
  </si>
  <si>
    <t>FEC.ktoe.ES.Ser.Bld.Thermal.HW.Biomass.Biomass_Waste</t>
  </si>
  <si>
    <t>FEC.ktoe.ES.Ser.Bld.Thermal.HW.DistrHeat.Steam_Distr</t>
  </si>
  <si>
    <t>FEC.ktoe.ES.Ser.Bld.Thermal.HW.Elc.Elec</t>
  </si>
  <si>
    <t>FEC.ktoe.ES.Ser.Bld.Thermal.HW.TotalSolar.Solar</t>
  </si>
  <si>
    <t>FEC.ktoe.ES.Ser.Bld.Thermal.CA.LPG</t>
  </si>
  <si>
    <t>FEC.ktoe.ES.Ser.Bld.Thermal.CA.Gas.NG_Biogas</t>
  </si>
  <si>
    <t>FEC.ktoe.ES.Ser.Bld.Thermal.CA.Biomass.Biomass_Waste</t>
  </si>
  <si>
    <t>FEC.ktoe.ES.Ser.Bld.Thermal.CA.Elc.Elec</t>
  </si>
  <si>
    <t>ES - Thermal energy service</t>
  </si>
  <si>
    <t>TES.ktoe.ES.Ser.Bld.Thermal</t>
  </si>
  <si>
    <t>TES.ktoe.ES.Ser.Bld.Thermal.SH</t>
  </si>
  <si>
    <t>TES.ktoe.ES.Ser.Bld.Thermal.SH.Solids.Solids</t>
  </si>
  <si>
    <t>TES.ktoe.ES.Ser.Bld.Thermal.SH.LPG.LPG</t>
  </si>
  <si>
    <t>TES.ktoe.ES.Ser.Bld.Thermal.SH.Oil.Oil_LiqBio</t>
  </si>
  <si>
    <t>TES.ktoe.ES.Ser.Bld.Thermal.SH.GasHP.NG_Biogas</t>
  </si>
  <si>
    <t>TES.ktoe.ES.Ser.Bld.Thermal.SH.GasTH.NG_Biogas</t>
  </si>
  <si>
    <t>TES.ktoe.ES.Ser.Bld.Thermal.SH.Biomass.Biomass_Waste</t>
  </si>
  <si>
    <t>TES.ktoe.ES.Ser.Bld.Thermal.SH.Geo.Geo</t>
  </si>
  <si>
    <t>TES.ktoe.ES.Ser.Bld.Thermal.SH.DistrHeat.Steam_Distr</t>
  </si>
  <si>
    <t>TES.ktoe.ES.Ser.Bld.Thermal.SH.AdvElc.Elec</t>
  </si>
  <si>
    <t>TES.ktoe.ES.Ser.Bld.Thermal.SH.ConvElc.Elec</t>
  </si>
  <si>
    <t>TES.ktoe.ES.Ser.Bld.Thermal.SH.TotalCirculation.Elec</t>
  </si>
  <si>
    <t>TES.ktoe.ES.Ser.Bld.Thermal.SC</t>
  </si>
  <si>
    <t>TES.ktoe.ES.Ser.Bld.Thermal.SC.GasHP.NG_Biogas</t>
  </si>
  <si>
    <t>TES.ktoe.ES.Ser.Bld.Thermal.SC.AC.Elec</t>
  </si>
  <si>
    <t>TES.ktoe.ES.Ser.Bld.Thermal.HW</t>
  </si>
  <si>
    <t>TES.ktoe.ES.Ser.Bld.Thermal.HW.Solids.Solids</t>
  </si>
  <si>
    <t>TES.ktoe.ES.Ser.Bld.Thermal.HW.LPG.LPG</t>
  </si>
  <si>
    <t>TES.ktoe.ES.Ser.Bld.Thermal.HW.Oil.Oil_LiqBio</t>
  </si>
  <si>
    <t>TES.ktoe.ES.Ser.Bld.Thermal.HW.Gas.NG_Biogas</t>
  </si>
  <si>
    <t>TES.ktoe.ES.Ser.Bld.Thermal.HW.Biomass.Biomass_Waste</t>
  </si>
  <si>
    <t>TES.ktoe.ES.Ser.Bld.Thermal.HW.DistrHeat.Steam_Distr</t>
  </si>
  <si>
    <t>TES.ktoe.ES.Ser.Bld.Thermal.HW.Elc.Elec</t>
  </si>
  <si>
    <t>TES.ktoe.ES.Ser.Bld.Thermal.HW.TotalSolar.Solar</t>
  </si>
  <si>
    <t>TES.ktoe.ES.Ser.Bld.Thermal.CA</t>
  </si>
  <si>
    <t>TES.ktoe.ES.Ser.Bld.Thermal.CA.LPG</t>
  </si>
  <si>
    <t>TES.ktoe.ES.Ser.Bld.Thermal.CA.Gas.NG_Biogas</t>
  </si>
  <si>
    <t>TES.ktoe.ES.Ser.Bld.Thermal.CA.Biomass.Biomass_Waste</t>
  </si>
  <si>
    <t>TES.ktoe.ES.Ser.Bld.Thermal.CA.Elc.Elec</t>
  </si>
  <si>
    <t>ES - System efficiency indicator of total stock</t>
  </si>
  <si>
    <t>Eff.ratio.ES.Ser.Bld.Thermal.SH.Solids.Solids</t>
  </si>
  <si>
    <t>Eff.ratio.ES.Ser.Bld.Thermal.SH.LPG.LPG</t>
  </si>
  <si>
    <t>Eff.ratio.ES.Ser.Bld.Thermal.SH.Oil.Oil_LiqBio</t>
  </si>
  <si>
    <t>Eff.ratio.ES.Ser.Bld.Thermal.SH.GasHP.NG_Biogas</t>
  </si>
  <si>
    <t>Eff.ratio.ES.Ser.Bld.Thermal.SH.GasTH.NG_Biogas</t>
  </si>
  <si>
    <t>Eff.ratio.ES.Ser.Bld.Thermal.SH.Biomass.Biomass_Waste</t>
  </si>
  <si>
    <t>Eff.ratio.ES.Ser.Bld.Thermal.SH.Geo.Geo</t>
  </si>
  <si>
    <t>Eff.ratio.ES.Ser.Bld.Thermal.SH.DistrHeat.Steam_Distr</t>
  </si>
  <si>
    <t>Eff.ratio.ES.Ser.Bld.Thermal.SH.AdvElc.Elec</t>
  </si>
  <si>
    <t>Eff.ratio.ES.Ser.Bld.Thermal.SH.ConvElc.Elec</t>
  </si>
  <si>
    <t>Eff.ratio.ES.Ser.Bld.Thermal.SH.TotalCirculation.Elec</t>
  </si>
  <si>
    <t>Eff.ratio.ES.Ser.Bld.Thermal.SC.GasHP.NG_Biogas</t>
  </si>
  <si>
    <t>Eff.ratio.ES.Ser.Bld.Thermal.SC.AC.Elec</t>
  </si>
  <si>
    <t>Eff.ratio.ES.Ser.Bld.Thermal.HW.Solids.Solids</t>
  </si>
  <si>
    <t>Eff.ratio.ES.Ser.Bld.Thermal.HW.LPG.LPG</t>
  </si>
  <si>
    <t>Eff.ratio.ES.Ser.Bld.Thermal.HW.Oil.Oil_LiqBio</t>
  </si>
  <si>
    <t>Eff.ratio.ES.Ser.Bld.Thermal.HW.Gas.NG_Biogas</t>
  </si>
  <si>
    <t>Eff.ratio.ES.Ser.Bld.Thermal.HW.Biomass.Biomass_Waste</t>
  </si>
  <si>
    <t>Eff.ratio.ES.Ser.Bld.Thermal.HW.DistrHeat.Steam_Distr</t>
  </si>
  <si>
    <t>Eff.ratio.ES.Ser.Bld.Thermal.HW.Elc.Elec</t>
  </si>
  <si>
    <t>Eff.ratio.ES.Ser.Bld.Thermal.HW.TotalSolar.Solar</t>
  </si>
  <si>
    <t>Eff.ratio.ES.Ser.Bld.Thermal.CA.LPG</t>
  </si>
  <si>
    <t>Eff.ratio.ES.Ser.Bld.Thermal.CA.Gas.NG_Biogas</t>
  </si>
  <si>
    <t>Eff.ratio.ES.Ser.Bld.Thermal.CA.Biomass.Biomass_Waste</t>
  </si>
  <si>
    <t>Eff.ratio.ES.Ser.Bld.Thermal.CA.Elc.Elec</t>
  </si>
  <si>
    <t>ES - CO2 emissions</t>
  </si>
  <si>
    <t>EMI.ktCO2.ES.Ser.Bld.Thermal.SH.Solids.Solids</t>
  </si>
  <si>
    <t>EMI.ktCO2.ES.Ser.Bld.Thermal.SH.LPG.LPG</t>
  </si>
  <si>
    <t>EMI.ktCO2.ES.Ser.Bld.Thermal.SH.Oil.Oil_LiqBio</t>
  </si>
  <si>
    <t>EMI.ktCO2.ES.Ser.Bld.Thermal.SH.GasHP.NG_Biogas</t>
  </si>
  <si>
    <t>EMI.ktCO2.ES.Ser.Bld.Thermal.SH.GasTH.NG_Biogas</t>
  </si>
  <si>
    <t>EMI.ktCO2.ES.Ser.Bld.Thermal.SH.Biomass.Biomass_Waste</t>
  </si>
  <si>
    <t>EMI.ktCO2.ES.Ser.Bld.Thermal.SH.Geo.Geo</t>
  </si>
  <si>
    <t>EMI.ktCO2.ES.Ser.Bld.Thermal.SH.DistrHeat.Steam_Distr</t>
  </si>
  <si>
    <t>EMI.ktCO2.ES.Ser.Bld.Thermal.SH.AdvElc.Elec</t>
  </si>
  <si>
    <t>EMI.ktCO2.ES.Ser.Bld.Thermal.SH.ConvElc.Elec</t>
  </si>
  <si>
    <t>EMI.ktCO2.ES.Ser.Bld.Thermal.SH.TotalCirculation.Elec</t>
  </si>
  <si>
    <t>EMI.ktCO2.ES.Ser.Bld.Thermal.SC.GasHP.NG_Biogas</t>
  </si>
  <si>
    <t>EMI.ktCO2.ES.Ser.Bld.Thermal.SC.AC.Elec</t>
  </si>
  <si>
    <t>EMI.ktCO2.ES.Ser.Bld.Thermal.HW.Solids.Solids</t>
  </si>
  <si>
    <t>EMI.ktCO2.ES.Ser.Bld.Thermal.HW.LPG.LPG</t>
  </si>
  <si>
    <t>EMI.ktCO2.ES.Ser.Bld.Thermal.HW.Oil.Oil_LiqBio</t>
  </si>
  <si>
    <t>EMI.ktCO2.ES.Ser.Bld.Thermal.HW.Gas.NG_Biogas</t>
  </si>
  <si>
    <t>EMI.ktCO2.ES.Ser.Bld.Thermal.HW.Biomass.Biomass_Waste</t>
  </si>
  <si>
    <t>EMI.ktCO2.ES.Ser.Bld.Thermal.HW.DistrHeat.Steam_Distr</t>
  </si>
  <si>
    <t>EMI.ktCO2.ES.Ser.Bld.Thermal.HW.Elc.Elec</t>
  </si>
  <si>
    <t>EMI.ktCO2.ES.Ser.Bld.Thermal.HW.TotalSolar.Solar</t>
  </si>
  <si>
    <t>EMI.ktCO2.ES.Ser.Bld.Thermal.CA.LPG</t>
  </si>
  <si>
    <t>EMI.ktCO2.ES.Ser.Bld.Thermal.CA.Gas.NG_Biogas</t>
  </si>
  <si>
    <t>EMI.ktCO2.ES.Ser.Bld.Thermal.CA.Biomass.Biomass_Waste</t>
  </si>
  <si>
    <t>EMI.ktCO2.ES.Ser.Bld.Thermal.CA.Elc.Elec</t>
  </si>
  <si>
    <t>ES - Final energy consumption per building</t>
  </si>
  <si>
    <t>FEC_per_building.kWh.ES.Ser.Bld.Thermal</t>
  </si>
  <si>
    <t>FEC_per_building.kWh.ES.Ser.Bld.Thermal.SH</t>
  </si>
  <si>
    <t>FEC_per_building.kWh.ES.Ser.Bld.Thermal.SH.Solids.Solids</t>
  </si>
  <si>
    <t>FEC_per_building.kWh.ES.Ser.Bld.Thermal.SH.LPG.LPG</t>
  </si>
  <si>
    <t>FEC_per_building.kWh.ES.Ser.Bld.Thermal.SH.Oil.Oil_LiqBio</t>
  </si>
  <si>
    <t>FEC_per_building.kWh.ES.Ser.Bld.Thermal.SH.GasHP.NG_Biogas</t>
  </si>
  <si>
    <t>FEC_per_building.kWh.ES.Ser.Bld.Thermal.SH.GasTH.NG_Biogas</t>
  </si>
  <si>
    <t>FEC_per_building.kWh.ES.Ser.Bld.Thermal.SH.Biomass.Biomass_Waste</t>
  </si>
  <si>
    <t>FEC_per_building.kWh.ES.Ser.Bld.Thermal.SH.Geo.Geo</t>
  </si>
  <si>
    <t>FEC_per_building.kWh.ES.Ser.Bld.Thermal.SH.DistrHeat.Steam_Distr</t>
  </si>
  <si>
    <t>FEC_per_building.kWh.ES.Ser.Bld.Thermal.SH.AdvElc.Elec</t>
  </si>
  <si>
    <t>FEC_per_building.kWh.ES.Ser.Bld.Thermal.SH.ConvElc.Elec</t>
  </si>
  <si>
    <t>FEC_per_building.kWh.ES.Ser.Bld.Thermal.SH.TotalCirculation.Elec</t>
  </si>
  <si>
    <t>FEC_per_building.kWh.ES.Ser.Bld.Thermal.SC</t>
  </si>
  <si>
    <t>FEC_per_building.kWh.ES.Ser.Bld.Thermal.SC.GasHP.NG_Biogas</t>
  </si>
  <si>
    <t>FEC_per_building.kWh.ES.Ser.Bld.Thermal.SC.AC.Elec</t>
  </si>
  <si>
    <t>FEC_per_building.kWh.ES.Ser.Bld.Thermal.HW</t>
  </si>
  <si>
    <t>FEC_per_building.kWh.ES.Ser.Bld.Thermal.HW.Solids.Solids</t>
  </si>
  <si>
    <t>FEC_per_building.kWh.ES.Ser.Bld.Thermal.HW.LPG.LPG</t>
  </si>
  <si>
    <t>FEC_per_building.kWh.ES.Ser.Bld.Thermal.HW.Oil.Oil_LiqBio</t>
  </si>
  <si>
    <t>FEC_per_building.kWh.ES.Ser.Bld.Thermal.HW.Gas.NG_Biogas</t>
  </si>
  <si>
    <t>FEC_per_building.kWh.ES.Ser.Bld.Thermal.HW.Biomass.Biomass_Waste</t>
  </si>
  <si>
    <t>FEC_per_building.kWh.ES.Ser.Bld.Thermal.HW.DistrHeat.Steam_Distr</t>
  </si>
  <si>
    <t>FEC_per_building.kWh.ES.Ser.Bld.Thermal.HW.Elc.Elec</t>
  </si>
  <si>
    <t>FEC_per_building.kWh.ES.Ser.Bld.Thermal.HW.TotalSolar.Solar</t>
  </si>
  <si>
    <t>FEC_per_building.kWh.ES.Ser.Bld.Thermal.CA</t>
  </si>
  <si>
    <t>FEC_per_building.kWh.ES.Ser.Bld.Thermal.CA.LPG</t>
  </si>
  <si>
    <t>FEC_per_building.kWh.ES.Ser.Bld.Thermal.CA.Gas.NG_Biogas</t>
  </si>
  <si>
    <t>FEC_per_building.kWh.ES.Ser.Bld.Thermal.CA.Biomass.Biomass_Waste</t>
  </si>
  <si>
    <t>FEC_per_building.kWh.ES.Ser.Bld.Thermal.CA.Elc.Elec</t>
  </si>
  <si>
    <t>ES - Thermal energy service per building</t>
  </si>
  <si>
    <t>TES_per_building.kWh.ES.Ser.Bld.Thermal</t>
  </si>
  <si>
    <t>TES_per_building.kWh.ES.Ser.Bld.Thermal.SH</t>
  </si>
  <si>
    <t>TES_per_building.kWh.ES.Ser.Bld.Thermal.SH.Solids.Solids</t>
  </si>
  <si>
    <t>TES_per_building.kWh.ES.Ser.Bld.Thermal.SH.LPG.LPG</t>
  </si>
  <si>
    <t>TES_per_building.kWh.ES.Ser.Bld.Thermal.SH.Oil.Oil_LiqBio</t>
  </si>
  <si>
    <t>TES_per_building.kWh.ES.Ser.Bld.Thermal.SH.GasHP.NG_Biogas</t>
  </si>
  <si>
    <t>TES_per_building.kWh.ES.Ser.Bld.Thermal.SH.GasTH.NG_Biogas</t>
  </si>
  <si>
    <t>TES_per_building.kWh.ES.Ser.Bld.Thermal.SH.Biomass.Biomass_Waste</t>
  </si>
  <si>
    <t>TES_per_building.kWh.ES.Ser.Bld.Thermal.SH.Geo.Geo</t>
  </si>
  <si>
    <t>TES_per_building.kWh.ES.Ser.Bld.Thermal.SH.DistrHeat.Steam_Distr</t>
  </si>
  <si>
    <t>TES_per_building.kWh.ES.Ser.Bld.Thermal.SH.AdvElc.Elec</t>
  </si>
  <si>
    <t>TES_per_building.kWh.ES.Ser.Bld.Thermal.SH.ConvElc.Elec</t>
  </si>
  <si>
    <t>TES_per_building.kWh.ES.Ser.Bld.Thermal.SH.TotalCirculation.Elec</t>
  </si>
  <si>
    <t>TES_per_building.kWh.ES.Ser.Bld.Thermal.SC</t>
  </si>
  <si>
    <t>TES_per_building.kWh.ES.Ser.Bld.Thermal.SC.GasHP.NG_Biogas</t>
  </si>
  <si>
    <t>TES_per_building.kWh.ES.Ser.Bld.Thermal.SC.AC.Elec</t>
  </si>
  <si>
    <t>TES_per_building.kWh.ES.Ser.Bld.Thermal.HW</t>
  </si>
  <si>
    <t>TES_per_building.kWh.ES.Ser.Bld.Thermal.HW.Solids.Solids</t>
  </si>
  <si>
    <t>TES_per_building.kWh.ES.Ser.Bld.Thermal.HW.LPG.LPG</t>
  </si>
  <si>
    <t>TES_per_building.kWh.ES.Ser.Bld.Thermal.HW.Oil.Oil_LiqBio</t>
  </si>
  <si>
    <t>TES_per_building.kWh.ES.Ser.Bld.Thermal.HW.Gas.NG_Biogas</t>
  </si>
  <si>
    <t>TES_per_building.kWh.ES.Ser.Bld.Thermal.HW.Biomass.Biomass_Waste</t>
  </si>
  <si>
    <t>TES_per_building.kWh.ES.Ser.Bld.Thermal.HW.DistrHeat.Steam_Distr</t>
  </si>
  <si>
    <t>TES_per_building.kWh.ES.Ser.Bld.Thermal.HW.Elc.Elec</t>
  </si>
  <si>
    <t>TES_per_building.kWh.ES.Ser.Bld.Thermal.HW.TotalSolar.Solar</t>
  </si>
  <si>
    <t>TES_per_building.kWh.ES.Ser.Bld.Thermal.CA</t>
  </si>
  <si>
    <t>TES_per_building.kWh.ES.Ser.Bld.Thermal.CA.LPG</t>
  </si>
  <si>
    <t>TES_per_building.kWh.ES.Ser.Bld.Thermal.CA.Gas.NG_Biogas</t>
  </si>
  <si>
    <t>TES_per_building.kWh.ES.Ser.Bld.Thermal.CA.Biomass.Biomass_Waste</t>
  </si>
  <si>
    <t>TES_per_building.kWh.ES.Ser.Bld.Thermal.CA.Elc.Elec</t>
  </si>
  <si>
    <t>ES - CO2 emissions per building</t>
  </si>
  <si>
    <t>EMI_per_building.kgCO2.ES.Ser.Bld.Thermal</t>
  </si>
  <si>
    <t>EMI_per_building.kgCO2.ES.Ser.Bld.Thermal.SH</t>
  </si>
  <si>
    <t>EMI_per_building.kgCO2.ES.Ser.Bld.Thermal.SH.Solids.Solids</t>
  </si>
  <si>
    <t>EMI_per_building.kgCO2.ES.Ser.Bld.Thermal.SH.LPG.LPG</t>
  </si>
  <si>
    <t>EMI_per_building.kgCO2.ES.Ser.Bld.Thermal.SH.Oil.Oil_LiqBio</t>
  </si>
  <si>
    <t>EMI_per_building.kgCO2.ES.Ser.Bld.Thermal.SH.GasHP.NG_Biogas</t>
  </si>
  <si>
    <t>EMI_per_building.kgCO2.ES.Ser.Bld.Thermal.SH.GasTH.NG_Biogas</t>
  </si>
  <si>
    <t>EMI_per_building.kgCO2.ES.Ser.Bld.Thermal.SH.Biomass.Biomass_Waste</t>
  </si>
  <si>
    <t>EMI_per_building.kgCO2.ES.Ser.Bld.Thermal.SH.Geo.Geo</t>
  </si>
  <si>
    <t>EMI_per_building.kgCO2.ES.Ser.Bld.Thermal.SH.DistrHeat.Steam_Distr</t>
  </si>
  <si>
    <t>EMI_per_building.kgCO2.ES.Ser.Bld.Thermal.SH.AdvElc.Elec</t>
  </si>
  <si>
    <t>EMI_per_building.kgCO2.ES.Ser.Bld.Thermal.SH.ConvElc.Elec</t>
  </si>
  <si>
    <t>EMI_per_building.kgCO2.ES.Ser.Bld.Thermal.SH.TotalCirculation.Elec</t>
  </si>
  <si>
    <t>EMI_per_building.kgCO2.ES.Ser.Bld.Thermal.SC</t>
  </si>
  <si>
    <t>EMI_per_building.kgCO2.ES.Ser.Bld.Thermal.SC.GasHP.NG_Biogas</t>
  </si>
  <si>
    <t>EMI_per_building.kgCO2.ES.Ser.Bld.Thermal.SC.AC.Elec</t>
  </si>
  <si>
    <t>EMI_per_building.kgCO2.ES.Ser.Bld.Thermal.HW</t>
  </si>
  <si>
    <t>EMI_per_building.kgCO2.ES.Ser.Bld.Thermal.HW.Solids.Solids</t>
  </si>
  <si>
    <t>EMI_per_building.kgCO2.ES.Ser.Bld.Thermal.HW.LPG.LPG</t>
  </si>
  <si>
    <t>EMI_per_building.kgCO2.ES.Ser.Bld.Thermal.HW.Oil.Oil_LiqBio</t>
  </si>
  <si>
    <t>EMI_per_building.kgCO2.ES.Ser.Bld.Thermal.HW.Gas.NG_Biogas</t>
  </si>
  <si>
    <t>EMI_per_building.kgCO2.ES.Ser.Bld.Thermal.HW.Biomass.Biomass_Waste</t>
  </si>
  <si>
    <t>EMI_per_building.kgCO2.ES.Ser.Bld.Thermal.HW.DistrHeat.Steam_Distr</t>
  </si>
  <si>
    <t>EMI_per_building.kgCO2.ES.Ser.Bld.Thermal.HW.Elc.Elec</t>
  </si>
  <si>
    <t>EMI_per_building.kgCO2.ES.Ser.Bld.Thermal.HW.TotalSolar.Solar</t>
  </si>
  <si>
    <t>EMI_per_building.kgCO2.ES.Ser.Bld.Thermal.CA</t>
  </si>
  <si>
    <t>EMI_per_building.kgCO2.ES.Ser.Bld.Thermal.CA.LPG</t>
  </si>
  <si>
    <t>EMI_per_building.kgCO2.ES.Ser.Bld.Thermal.CA.Gas.NG_Biogas</t>
  </si>
  <si>
    <t>EMI_per_building.kgCO2.ES.Ser.Bld.Thermal.CA.Biomass.Biomass_Waste</t>
  </si>
  <si>
    <t>EMI_per_building.kgCO2.ES.Ser.Bld.Thermal.CA.Elc.Elec</t>
  </si>
  <si>
    <t>ES - Final energy consumption per useful surface area</t>
  </si>
  <si>
    <t>FEC_per_sqm.kWh.ES.Ser.Bld.Thermal</t>
  </si>
  <si>
    <t>FEC_per_sqm.kWh.ES.Ser.Bld.Thermal.SH</t>
  </si>
  <si>
    <t>FEC_per_sqm.kWh.ES.Ser.Bld.Thermal.SH.Solids.Solids</t>
  </si>
  <si>
    <t>FEC_per_sqm.kWh.ES.Ser.Bld.Thermal.SH.LPG.LPG</t>
  </si>
  <si>
    <t>FEC_per_sqm.kWh.ES.Ser.Bld.Thermal.SH.Oil.Oil_LiqBio</t>
  </si>
  <si>
    <t>FEC_per_sqm.kWh.ES.Ser.Bld.Thermal.SH.GasHP.NG_Biogas</t>
  </si>
  <si>
    <t>FEC_per_sqm.kWh.ES.Ser.Bld.Thermal.SH.GasTH.NG_Biogas</t>
  </si>
  <si>
    <t>FEC_per_sqm.kWh.ES.Ser.Bld.Thermal.SH.Biomass.Biomass_Waste</t>
  </si>
  <si>
    <t>FEC_per_sqm.kWh.ES.Ser.Bld.Thermal.SH.Geo.Geo</t>
  </si>
  <si>
    <t>FEC_per_sqm.kWh.ES.Ser.Bld.Thermal.SH.DistrHeat.Steam_Distr</t>
  </si>
  <si>
    <t>FEC_per_sqm.kWh.ES.Ser.Bld.Thermal.SH.AdvElc.Elec</t>
  </si>
  <si>
    <t>FEC_per_sqm.kWh.ES.Ser.Bld.Thermal.SH.ConvElc.Elec</t>
  </si>
  <si>
    <t>FEC_per_sqm.kWh.ES.Ser.Bld.Thermal.SH.TotalCirculation.Elec</t>
  </si>
  <si>
    <t>FEC_per_sqm.kWh.ES.Ser.Bld.Thermal.SC</t>
  </si>
  <si>
    <t>FEC_per_sqm.kWh.ES.Ser.Bld.Thermal.SC.GasHP.NG_Biogas</t>
  </si>
  <si>
    <t>FEC_per_sqm.kWh.ES.Ser.Bld.Thermal.SC.AC.Elec</t>
  </si>
  <si>
    <t>FEC_per_sqm.kWh.ES.Ser.Bld.Thermal.HW</t>
  </si>
  <si>
    <t>FEC_per_sqm.kWh.ES.Ser.Bld.Thermal.HW.Solids.Solids</t>
  </si>
  <si>
    <t>FEC_per_sqm.kWh.ES.Ser.Bld.Thermal.HW.LPG.LPG</t>
  </si>
  <si>
    <t>FEC_per_sqm.kWh.ES.Ser.Bld.Thermal.HW.Oil.Oil_LiqBio</t>
  </si>
  <si>
    <t>FEC_per_sqm.kWh.ES.Ser.Bld.Thermal.HW.Gas.NG_Biogas</t>
  </si>
  <si>
    <t>FEC_per_sqm.kWh.ES.Ser.Bld.Thermal.HW.Biomass.Biomass_Waste</t>
  </si>
  <si>
    <t>FEC_per_sqm.kWh.ES.Ser.Bld.Thermal.HW.DistrHeat.Steam_Distr</t>
  </si>
  <si>
    <t>FEC_per_sqm.kWh.ES.Ser.Bld.Thermal.HW.Elc.Elec</t>
  </si>
  <si>
    <t>FEC_per_sqm.kWh.ES.Ser.Bld.Thermal.HW.TotalSolar.Solar</t>
  </si>
  <si>
    <t>FEC_per_sqm.kWh.ES.Ser.Bld.Thermal.CA</t>
  </si>
  <si>
    <t>FEC_per_sqm.kWh.ES.Ser.Bld.Thermal.CA.LPG</t>
  </si>
  <si>
    <t>FEC_per_sqm.kWh.ES.Ser.Bld.Thermal.CA.Gas.NG_Biogas</t>
  </si>
  <si>
    <t>FEC_per_sqm.kWh.ES.Ser.Bld.Thermal.CA.Biomass.Biomass_Waste</t>
  </si>
  <si>
    <t>FEC_per_sqm.kWh.ES.Ser.Bld.Thermal.CA.Elc.Elec</t>
  </si>
  <si>
    <t>ES - Thermal energy service per useful surface area</t>
  </si>
  <si>
    <t>TES_per_sqm.kWh.ES.Ser.Bld.Thermal</t>
  </si>
  <si>
    <t>TES_per_sqm.kWh.ES.Ser.Bld.Thermal.SH</t>
  </si>
  <si>
    <t>TES_per_sqm.kWh.ES.Ser.Bld.Thermal.SH.Solids.Solids</t>
  </si>
  <si>
    <t>TES_per_sqm.kWh.ES.Ser.Bld.Thermal.SH.LPG.LPG</t>
  </si>
  <si>
    <t>TES_per_sqm.kWh.ES.Ser.Bld.Thermal.SH.Oil.Oil_LiqBio</t>
  </si>
  <si>
    <t>TES_per_sqm.kWh.ES.Ser.Bld.Thermal.SH.GasHP.NG_Biogas</t>
  </si>
  <si>
    <t>TES_per_sqm.kWh.ES.Ser.Bld.Thermal.SH.GasTH.NG_Biogas</t>
  </si>
  <si>
    <t>TES_per_sqm.kWh.ES.Ser.Bld.Thermal.SH.Biomass.Biomass_Waste</t>
  </si>
  <si>
    <t>TES_per_sqm.kWh.ES.Ser.Bld.Thermal.SH.Geo.Geo</t>
  </si>
  <si>
    <t>TES_per_sqm.kWh.ES.Ser.Bld.Thermal.SH.DistrHeat.Steam_Distr</t>
  </si>
  <si>
    <t>TES_per_sqm.kWh.ES.Ser.Bld.Thermal.SH.AdvElc.Elec</t>
  </si>
  <si>
    <t>TES_per_sqm.kWh.ES.Ser.Bld.Thermal.SH.ConvElc.Elec</t>
  </si>
  <si>
    <t>TES_per_sqm.kWh.ES.Ser.Bld.Thermal.SH.TotalCirculation.Elec</t>
  </si>
  <si>
    <t>TES_per_sqm.kWh.ES.Ser.Bld.Thermal.SC</t>
  </si>
  <si>
    <t>TES_per_sqm.kWh.ES.Ser.Bld.Thermal.SC.GasHP.NG_Biogas</t>
  </si>
  <si>
    <t>TES_per_sqm.kWh.ES.Ser.Bld.Thermal.SC.AC.Elec</t>
  </si>
  <si>
    <t>TES_per_sqm.kWh.ES.Ser.Bld.Thermal.HW</t>
  </si>
  <si>
    <t>TES_per_sqm.kWh.ES.Ser.Bld.Thermal.HW.Solids.Solids</t>
  </si>
  <si>
    <t>TES_per_sqm.kWh.ES.Ser.Bld.Thermal.HW.LPG.LPG</t>
  </si>
  <si>
    <t>TES_per_sqm.kWh.ES.Ser.Bld.Thermal.HW.Oil.Oil_LiqBio</t>
  </si>
  <si>
    <t>TES_per_sqm.kWh.ES.Ser.Bld.Thermal.HW.Gas.NG_Biogas</t>
  </si>
  <si>
    <t>TES_per_sqm.kWh.ES.Ser.Bld.Thermal.HW.Biomass.Biomass_Waste</t>
  </si>
  <si>
    <t>TES_per_sqm.kWh.ES.Ser.Bld.Thermal.HW.DistrHeat.Steam_Distr</t>
  </si>
  <si>
    <t>TES_per_sqm.kWh.ES.Ser.Bld.Thermal.HW.Elc.Elec</t>
  </si>
  <si>
    <t>TES_per_sqm.kWh.ES.Ser.Bld.Thermal.HW.TotalSolar.Solar</t>
  </si>
  <si>
    <t>TES_per_sqm.kWh.ES.Ser.Bld.Thermal.CA</t>
  </si>
  <si>
    <t>TES_per_sqm.kWh.ES.Ser.Bld.Thermal.CA.LPG</t>
  </si>
  <si>
    <t>TES_per_sqm.kWh.ES.Ser.Bld.Thermal.CA.Gas.NG_Biogas</t>
  </si>
  <si>
    <t>TES_per_sqm.kWh.ES.Ser.Bld.Thermal.CA.Biomass.Biomass_Waste</t>
  </si>
  <si>
    <t>TES_per_sqm.kWh.ES.Ser.Bld.Thermal.CA.Elc.Elec</t>
  </si>
  <si>
    <t>ES - CO2 emissions per useful surface area</t>
  </si>
  <si>
    <t>EMI_per_sqm.kgCO2.ES.Ser.Bld.Thermal</t>
  </si>
  <si>
    <t>EMI_per_sqm.kgCO2.ES.Ser.Bld.Thermal.SH</t>
  </si>
  <si>
    <t>EMI_per_sqm.kgCO2.ES.Ser.Bld.Thermal.SH.Solids.Solids</t>
  </si>
  <si>
    <t>EMI_per_sqm.kgCO2.ES.Ser.Bld.Thermal.SH.LPG.LPG</t>
  </si>
  <si>
    <t>EMI_per_sqm.kgCO2.ES.Ser.Bld.Thermal.SH.Oil.Oil_LiqBio</t>
  </si>
  <si>
    <t>EMI_per_sqm.kgCO2.ES.Ser.Bld.Thermal.SH.GasHP.NG_Biogas</t>
  </si>
  <si>
    <t>EMI_per_sqm.kgCO2.ES.Ser.Bld.Thermal.SH.GasTH.NG_Biogas</t>
  </si>
  <si>
    <t>EMI_per_sqm.kgCO2.ES.Ser.Bld.Thermal.SH.Biomass.Biomass_Waste</t>
  </si>
  <si>
    <t>EMI_per_sqm.kgCO2.ES.Ser.Bld.Thermal.SH.Geo.Geo</t>
  </si>
  <si>
    <t>EMI_per_sqm.kgCO2.ES.Ser.Bld.Thermal.SH.DistrHeat.Steam_Distr</t>
  </si>
  <si>
    <t>EMI_per_sqm.kgCO2.ES.Ser.Bld.Thermal.SH.AdvElc.Elec</t>
  </si>
  <si>
    <t>EMI_per_sqm.kgCO2.ES.Ser.Bld.Thermal.SH.ConvElc.Elec</t>
  </si>
  <si>
    <t>EMI_per_sqm.kgCO2.ES.Ser.Bld.Thermal.SH.TotalCirculation.Elec</t>
  </si>
  <si>
    <t>EMI_per_sqm.kgCO2.ES.Ser.Bld.Thermal.SC</t>
  </si>
  <si>
    <t>EMI_per_sqm.kgCO2.ES.Ser.Bld.Thermal.SC.GasHP.NG_Biogas</t>
  </si>
  <si>
    <t>EMI_per_sqm.kgCO2.ES.Ser.Bld.Thermal.SC.AC.Elec</t>
  </si>
  <si>
    <t>EMI_per_sqm.kgCO2.ES.Ser.Bld.Thermal.HW</t>
  </si>
  <si>
    <t>EMI_per_sqm.kgCO2.ES.Ser.Bld.Thermal.HW.Solids.Solids</t>
  </si>
  <si>
    <t>EMI_per_sqm.kgCO2.ES.Ser.Bld.Thermal.HW.LPG.LPG</t>
  </si>
  <si>
    <t>EMI_per_sqm.kgCO2.ES.Ser.Bld.Thermal.HW.Oil.Oil_LiqBio</t>
  </si>
  <si>
    <t>EMI_per_sqm.kgCO2.ES.Ser.Bld.Thermal.HW.Gas.NG_Biogas</t>
  </si>
  <si>
    <t>EMI_per_sqm.kgCO2.ES.Ser.Bld.Thermal.HW.Biomass.Biomass_Waste</t>
  </si>
  <si>
    <t>EMI_per_sqm.kgCO2.ES.Ser.Bld.Thermal.HW.DistrHeat.Steam_Distr</t>
  </si>
  <si>
    <t>EMI_per_sqm.kgCO2.ES.Ser.Bld.Thermal.HW.Elc.Elec</t>
  </si>
  <si>
    <t>EMI_per_sqm.kgCO2.ES.Ser.Bld.Thermal.HW.TotalSolar.Solar</t>
  </si>
  <si>
    <t>EMI_per_sqm.kgCO2.ES.Ser.Bld.Thermal.CA</t>
  </si>
  <si>
    <t>EMI_per_sqm.kgCO2.ES.Ser.Bld.Thermal.CA.LPG</t>
  </si>
  <si>
    <t>EMI_per_sqm.kgCO2.ES.Ser.Bld.Thermal.CA.Gas.NG_Biogas</t>
  </si>
  <si>
    <t>EMI_per_sqm.kgCO2.ES.Ser.Bld.Thermal.CA.Biomass.Biomass_Waste</t>
  </si>
  <si>
    <t>EMI_per_sqm.kgCO2.ES.Ser.Bld.Thermal.CA.Elc.Elec</t>
  </si>
  <si>
    <t>ES - Number of new and renovated buildings</t>
  </si>
  <si>
    <t>NUM.number.ES.Ser.BldNew.Thermal</t>
  </si>
  <si>
    <t>NUM.number.ES.Ser.BldNew.Thermal.SH</t>
  </si>
  <si>
    <t>NUM.number.ES.Ser.BldNew.Thermal.SH.Solids</t>
  </si>
  <si>
    <t>NUM.number.ES.Ser.BldNew.Thermal.SH.LPG</t>
  </si>
  <si>
    <t>NUM.number.ES.Ser.BldNew.Thermal.SH.Oil</t>
  </si>
  <si>
    <t>NUM.number.ES.Ser.BldNew.Thermal.SH.GasHP</t>
  </si>
  <si>
    <t>NUM.number.ES.Ser.BldNew.Thermal.SH.GasTH</t>
  </si>
  <si>
    <t>NUM.number.ES.Ser.BldNew.Thermal.SH.Biomass</t>
  </si>
  <si>
    <t>NUM.number.ES.Ser.BldNew.Thermal.SH.Geo</t>
  </si>
  <si>
    <t>NUM.number.ES.Ser.BldNew.Thermal.SH.DistrHeat</t>
  </si>
  <si>
    <t>NUM.number.ES.Ser.BldNew.Thermal.SH.AdvElc</t>
  </si>
  <si>
    <t>NUM.number.ES.Ser.BldNew.Thermal.SH.ConvElc</t>
  </si>
  <si>
    <t>NUM.number.ES.Ser.BldNew.Thermal.SC</t>
  </si>
  <si>
    <t>NUM.number.ES.Ser.BldNew.Thermal.SC.GasHP</t>
  </si>
  <si>
    <t>NUM.number.ES.Ser.BldNew.Thermal.SC.AC</t>
  </si>
  <si>
    <t>NUM.number.ES.Ser.BldNew.Thermal.HW</t>
  </si>
  <si>
    <t>NUM.number.ES.Ser.BldNew.Thermal.HW.Solids</t>
  </si>
  <si>
    <t>NUM.number.ES.Ser.BldNew.Thermal.HW.LPG</t>
  </si>
  <si>
    <t>NUM.number.ES.Ser.BldNew.Thermal.HW.Oil</t>
  </si>
  <si>
    <t>NUM.number.ES.Ser.BldNew.Thermal.HW.Gas</t>
  </si>
  <si>
    <t>NUM.number.ES.Ser.BldNew.Thermal.HW.Biomass</t>
  </si>
  <si>
    <t>NUM.number.ES.Ser.BldNew.Thermal.HW.DistrHeat</t>
  </si>
  <si>
    <t>NUM.number.ES.Ser.BldNew.Thermal.HW.Elc</t>
  </si>
  <si>
    <t>NUM.number.ES.Ser.BldNew.Thermal.HW.Solar</t>
  </si>
  <si>
    <t>NUM.number.ES.Ser.BldNew.Thermal.CA</t>
  </si>
  <si>
    <t>NUM.number.ES.Ser.BldNew.Thermal.CA.LPG</t>
  </si>
  <si>
    <t>NUM.number.ES.Ser.BldNew.Thermal.CA.Gas</t>
  </si>
  <si>
    <t>NUM.number.ES.Ser.BldNew.Thermal.CA.Biomass</t>
  </si>
  <si>
    <t>NUM.number.ES.Ser.BldNew.Thermal.CA.Elc</t>
  </si>
  <si>
    <t>ES - Final energy consumption in new and renovated buildings</t>
  </si>
  <si>
    <t>FEC.ktoe.ES.Ser.BldNew.Thermal</t>
  </si>
  <si>
    <t>FEC.ktoe.ES.Ser.BldNew.Thermal.SH</t>
  </si>
  <si>
    <t>FEC.ktoe.ES.Ser.BldNew.Thermal.SH.Solids.Solids</t>
  </si>
  <si>
    <t>FEC.ktoe.ES.Ser.BldNew.Thermal.SH.LPG.LPG</t>
  </si>
  <si>
    <t>FEC.ktoe.ES.Ser.BldNew.Thermal.SH.Oil.Oil_LiqBio</t>
  </si>
  <si>
    <t>FEC.ktoe.ES.Ser.BldNew.Thermal.SH.GasHP.NG_Biogas</t>
  </si>
  <si>
    <t>FEC.ktoe.ES.Ser.BldNew.Thermal.SH.GasTH.NG_Biogas</t>
  </si>
  <si>
    <t>FEC.ktoe.ES.Ser.BldNew.Thermal.SH.Biomass.Biomass_Waste</t>
  </si>
  <si>
    <t>FEC.ktoe.ES.Ser.BldNew.Thermal.SH.Geo.Geo</t>
  </si>
  <si>
    <t>FEC.ktoe.ES.Ser.BldNew.Thermal.SH.DistrHeat.Steam_Distr</t>
  </si>
  <si>
    <t>FEC.ktoe.ES.Ser.BldNew.Thermal.SH.AdvElc.Elec</t>
  </si>
  <si>
    <t>FEC.ktoe.ES.Ser.BldNew.Thermal.SH.ConvElc.Elec</t>
  </si>
  <si>
    <t>FEC.ktoe.ES.Ser.BldNew.Thermal.SH.TotalCirculation.Elec</t>
  </si>
  <si>
    <t>FEC.ktoe.ES.Ser.BldNew.Thermal.SC</t>
  </si>
  <si>
    <t>FEC.ktoe.ES.Ser.BldNew.Thermal.SC.GasHP.NG_Biogas</t>
  </si>
  <si>
    <t>FEC.ktoe.ES.Ser.BldNew.Thermal.SC.AC.Elec</t>
  </si>
  <si>
    <t>FEC.ktoe.ES.Ser.BldNew.Thermal.HW</t>
  </si>
  <si>
    <t>FEC.ktoe.ES.Ser.BldNew.Thermal.HW.Solids.Solids</t>
  </si>
  <si>
    <t>FEC.ktoe.ES.Ser.BldNew.Thermal.HW.LPG.LPG</t>
  </si>
  <si>
    <t>FEC.ktoe.ES.Ser.BldNew.Thermal.HW.Oil.Oil_LiqBio</t>
  </si>
  <si>
    <t>FEC.ktoe.ES.Ser.BldNew.Thermal.HW.Gas.NG_Biogas</t>
  </si>
  <si>
    <t>FEC.ktoe.ES.Ser.BldNew.Thermal.HW.Biomass.Biomass_Waste</t>
  </si>
  <si>
    <t>FEC.ktoe.ES.Ser.BldNew.Thermal.HW.DistrHeat.Steam_Distr</t>
  </si>
  <si>
    <t>FEC.ktoe.ES.Ser.BldNew.Thermal.HW.Elc.Elec</t>
  </si>
  <si>
    <t>FEC.ktoe.ES.Ser.BldNew.Thermal.HW.TotalSolar.Solar</t>
  </si>
  <si>
    <t>FEC.ktoe.ES.Ser.BldNew.Thermal.CA</t>
  </si>
  <si>
    <t>FEC.ktoe.ES.Ser.BldNew.Thermal.CA.LPG</t>
  </si>
  <si>
    <t>FEC.ktoe.ES.Ser.BldNew.Thermal.CA.Gas.NG_Biogas</t>
  </si>
  <si>
    <t>FEC.ktoe.ES.Ser.BldNew.Thermal.CA.Biomass.Biomass_Waste</t>
  </si>
  <si>
    <t>FEC.ktoe.ES.Ser.BldNew.Thermal.CA.Elc.Elec</t>
  </si>
  <si>
    <t>ES - Thermal energy service in new and renovated buildings</t>
  </si>
  <si>
    <t>TES.ktoe.ES.Ser.BldNew.Thermal</t>
  </si>
  <si>
    <t>TES.ktoe.ES.Ser.BldNew.Thermal.SH</t>
  </si>
  <si>
    <t>TES.ktoe.ES.Ser.BldNew.Thermal.SH.Solids.Solids</t>
  </si>
  <si>
    <t>TES.ktoe.ES.Ser.BldNew.Thermal.SH.LPG.LPG</t>
  </si>
  <si>
    <t>TES.ktoe.ES.Ser.BldNew.Thermal.SH.Oil.Oil_LiqBio</t>
  </si>
  <si>
    <t>TES.ktoe.ES.Ser.BldNew.Thermal.SH.GasHP.NG_Biogas</t>
  </si>
  <si>
    <t>TES.ktoe.ES.Ser.BldNew.Thermal.SH.GasTH.NG_Biogas</t>
  </si>
  <si>
    <t>TES.ktoe.ES.Ser.BldNew.Thermal.SH.Biomass.Biomass_Waste</t>
  </si>
  <si>
    <t>TES.ktoe.ES.Ser.BldNew.Thermal.SH.Geo.Geo</t>
  </si>
  <si>
    <t>TES.ktoe.ES.Ser.BldNew.Thermal.SH.DistrHeat.Steam_Distr</t>
  </si>
  <si>
    <t>TES.ktoe.ES.Ser.BldNew.Thermal.SH.AdvElc.Elec</t>
  </si>
  <si>
    <t>TES.ktoe.ES.Ser.BldNew.Thermal.SH.ConvElc.Elec</t>
  </si>
  <si>
    <t>TES.ktoe.ES.Ser.BldNew.Thermal.SH.TotalCirculation.Elec</t>
  </si>
  <si>
    <t>TES.ktoe.ES.Ser.BldNew.Thermal.SC</t>
  </si>
  <si>
    <t>TES.ktoe.ES.Ser.BldNew.Thermal.SC.GasHP.NG_Biogas</t>
  </si>
  <si>
    <t>TES.ktoe.ES.Ser.BldNew.Thermal.SC.AC.Elec</t>
  </si>
  <si>
    <t>TES.ktoe.ES.Ser.BldNew.Thermal.HW</t>
  </si>
  <si>
    <t>TES.ktoe.ES.Ser.BldNew.Thermal.HW.Solids.Solids</t>
  </si>
  <si>
    <t>TES.ktoe.ES.Ser.BldNew.Thermal.HW.LPG.LPG</t>
  </si>
  <si>
    <t>TES.ktoe.ES.Ser.BldNew.Thermal.HW.Oil.Oil_LiqBio</t>
  </si>
  <si>
    <t>TES.ktoe.ES.Ser.BldNew.Thermal.HW.Gas.NG_Biogas</t>
  </si>
  <si>
    <t>TES.ktoe.ES.Ser.BldNew.Thermal.HW.Biomass.Biomass_Waste</t>
  </si>
  <si>
    <t>TES.ktoe.ES.Ser.BldNew.Thermal.HW.DistrHeat.Steam_Distr</t>
  </si>
  <si>
    <t>TES.ktoe.ES.Ser.BldNew.Thermal.HW.Elc.Elec</t>
  </si>
  <si>
    <t>TES.ktoe.ES.Ser.BldNew.Thermal.HW.TotalSolar.Solar</t>
  </si>
  <si>
    <t>TES.ktoe.ES.Ser.BldNew.Thermal.CA</t>
  </si>
  <si>
    <t>TES.ktoe.ES.Ser.BldNew.Thermal.CA.LPG</t>
  </si>
  <si>
    <t>TES.ktoe.ES.Ser.BldNew.Thermal.CA.Gas.NG_Biogas</t>
  </si>
  <si>
    <t>TES.ktoe.ES.Ser.BldNew.Thermal.CA.Biomass.Biomass_Waste</t>
  </si>
  <si>
    <t>TES.ktoe.ES.Ser.BldNew.Thermal.CA.Elc.Elec</t>
  </si>
  <si>
    <t>ES - System efficiency indicator of new and renovated buildings</t>
  </si>
  <si>
    <t>Eff.ratio.ES.Ser.BldNew.Thermal</t>
  </si>
  <si>
    <t>Eff.ratio.ES.Ser.BldNew.Thermal.SH</t>
  </si>
  <si>
    <t>Eff.ratio.ES.Ser.BldNew.Thermal.SH.Solids.Solids</t>
  </si>
  <si>
    <t>Eff.ratio.ES.Ser.BldNew.Thermal.SH.LPG.LPG</t>
  </si>
  <si>
    <t>Eff.ratio.ES.Ser.BldNew.Thermal.SH.Oil.Oil_LiqBio</t>
  </si>
  <si>
    <t>Eff.ratio.ES.Ser.BldNew.Thermal.SH.GasHP.NG_Biogas</t>
  </si>
  <si>
    <t>Eff.ratio.ES.Ser.BldNew.Thermal.SH.GasTH.NG_Biogas</t>
  </si>
  <si>
    <t>Eff.ratio.ES.Ser.BldNew.Thermal.SH.Biomass.Biomass_Waste</t>
  </si>
  <si>
    <t>Eff.ratio.ES.Ser.BldNew.Thermal.SH.Geo.Geo</t>
  </si>
  <si>
    <t>Eff.ratio.ES.Ser.BldNew.Thermal.SH.DistrHeat.Steam_Distr</t>
  </si>
  <si>
    <t>Eff.ratio.ES.Ser.BldNew.Thermal.SH.AdvElc.Elec</t>
  </si>
  <si>
    <t>Eff.ratio.ES.Ser.BldNew.Thermal.SH.ConvElc.Elec</t>
  </si>
  <si>
    <t>Eff.ratio.ES.Ser.BldNew.Thermal.SH.TotalCirculation.Elec</t>
  </si>
  <si>
    <t>Eff.ratio.ES.Ser.BldNew.Thermal.SC</t>
  </si>
  <si>
    <t>Eff.ratio.ES.Ser.BldNew.Thermal.SC.GasHP.NG_Biogas</t>
  </si>
  <si>
    <t>Eff.ratio.ES.Ser.BldNew.Thermal.SC.AC.Elec</t>
  </si>
  <si>
    <t>Eff.ratio.ES.Ser.BldNew.Thermal.HW</t>
  </si>
  <si>
    <t>Eff.ratio.ES.Ser.BldNew.Thermal.HW.Solids.Solids</t>
  </si>
  <si>
    <t>Eff.ratio.ES.Ser.BldNew.Thermal.HW.LPG.LPG</t>
  </si>
  <si>
    <t>Eff.ratio.ES.Ser.BldNew.Thermal.HW.Oil.Oil_LiqBio</t>
  </si>
  <si>
    <t>Eff.ratio.ES.Ser.BldNew.Thermal.HW.Gas.NG_Biogas</t>
  </si>
  <si>
    <t>Eff.ratio.ES.Ser.BldNew.Thermal.HW.Biomass.Biomass_Waste</t>
  </si>
  <si>
    <t>Eff.ratio.ES.Ser.BldNew.Thermal.HW.DistrHeat.Steam_Distr</t>
  </si>
  <si>
    <t>Eff.ratio.ES.Ser.BldNew.Thermal.HW.Elc.Elec</t>
  </si>
  <si>
    <t>Eff.ratio.ES.Ser.BldNew.Thermal.HW.TotalSolar.Solar</t>
  </si>
  <si>
    <t>Eff.ratio.ES.Ser.BldNew.Thermal.CA</t>
  </si>
  <si>
    <t>Eff.ratio.ES.Ser.BldNew.Thermal.CA.LPG</t>
  </si>
  <si>
    <t>Eff.ratio.ES.Ser.BldNew.Thermal.CA.Gas.NG_Biogas</t>
  </si>
  <si>
    <t>Eff.ratio.ES.Ser.BldNew.Thermal.CA.Biomass.Biomass_Waste</t>
  </si>
  <si>
    <t>Eff.ratio.ES.Ser.BldNew.Thermal.CA.Elc.Elec</t>
  </si>
  <si>
    <t>ES - CO2 emissions in new and renovated buildings</t>
  </si>
  <si>
    <t>EMI.ktCO2.ES.Ser.BldNew.Thermal</t>
  </si>
  <si>
    <t>EMI.ktCO2.ES.Ser.BldNew.Thermal.SH</t>
  </si>
  <si>
    <t>EMI.ktCO2.ES.Ser.BldNew.Thermal.SH.Solids.Solids</t>
  </si>
  <si>
    <t>EMI.ktCO2.ES.Ser.BldNew.Thermal.SH.LPG.LPG</t>
  </si>
  <si>
    <t>EMI.ktCO2.ES.Ser.BldNew.Thermal.SH.Oil.Oil_LiqBio</t>
  </si>
  <si>
    <t>EMI.ktCO2.ES.Ser.BldNew.Thermal.SH.GasHP.NG_Biogas</t>
  </si>
  <si>
    <t>EMI.ktCO2.ES.Ser.BldNew.Thermal.SH.GasTH.NG_Biogas</t>
  </si>
  <si>
    <t>EMI.ktCO2.ES.Ser.BldNew.Thermal.SH.Biomass.Biomass_Waste</t>
  </si>
  <si>
    <t>EMI.ktCO2.ES.Ser.BldNew.Thermal.SH.Geo.Geo</t>
  </si>
  <si>
    <t>EMI.ktCO2.ES.Ser.BldNew.Thermal.SH.DistrHeat.Steam_Distr</t>
  </si>
  <si>
    <t>EMI.ktCO2.ES.Ser.BldNew.Thermal.SH.AdvElc.Elec</t>
  </si>
  <si>
    <t>EMI.ktCO2.ES.Ser.BldNew.Thermal.SH.ConvElc.Elec</t>
  </si>
  <si>
    <t>EMI.ktCO2.ES.Ser.BldNew.Thermal.SH.TotalCirculation.Elec</t>
  </si>
  <si>
    <t>EMI.ktCO2.ES.Ser.BldNew.Thermal.SC</t>
  </si>
  <si>
    <t>EMI.ktCO2.ES.Ser.BldNew.Thermal.SC.GasHP.NG_Biogas</t>
  </si>
  <si>
    <t>EMI.ktCO2.ES.Ser.BldNew.Thermal.SC.AC.Elec</t>
  </si>
  <si>
    <t>EMI.ktCO2.ES.Ser.BldNew.Thermal.HW</t>
  </si>
  <si>
    <t>EMI.ktCO2.ES.Ser.BldNew.Thermal.HW.Solids.Solids</t>
  </si>
  <si>
    <t>EMI.ktCO2.ES.Ser.BldNew.Thermal.HW.LPG.LPG</t>
  </si>
  <si>
    <t>EMI.ktCO2.ES.Ser.BldNew.Thermal.HW.Oil.Oil_LiqBio</t>
  </si>
  <si>
    <t>EMI.ktCO2.ES.Ser.BldNew.Thermal.HW.Gas.NG_Biogas</t>
  </si>
  <si>
    <t>EMI.ktCO2.ES.Ser.BldNew.Thermal.HW.Biomass.Biomass_Waste</t>
  </si>
  <si>
    <t>EMI.ktCO2.ES.Ser.BldNew.Thermal.HW.DistrHeat.Steam_Distr</t>
  </si>
  <si>
    <t>EMI.ktCO2.ES.Ser.BldNew.Thermal.HW.Elc.Elec</t>
  </si>
  <si>
    <t>EMI.ktCO2.ES.Ser.BldNew.Thermal.HW.TotalSolar.Solar</t>
  </si>
  <si>
    <t>EMI.ktCO2.ES.Ser.BldNew.Thermal.CA</t>
  </si>
  <si>
    <t>EMI.ktCO2.ES.Ser.BldNew.Thermal.CA.LPG</t>
  </si>
  <si>
    <t>EMI.ktCO2.ES.Ser.BldNew.Thermal.CA.Gas.NG_Biogas</t>
  </si>
  <si>
    <t>EMI.ktCO2.ES.Ser.BldNew.Thermal.CA.Biomass.Biomass_Waste</t>
  </si>
  <si>
    <t>EMI.ktCO2.ES.Ser.BldNew.Thermal.CA.Elc.Elec</t>
  </si>
  <si>
    <t>ES - Final energy consumption of new and renovated buildings (per building)</t>
  </si>
  <si>
    <t>FEC_per_building.kWh.ES.Ser.BldNew.Thermal</t>
  </si>
  <si>
    <t>FEC_per_building.kWh.ES.Ser.BldNew.Thermal.SH</t>
  </si>
  <si>
    <t>FEC_per_building.kWh.ES.Ser.BldNew.Thermal.SH.Solids.Solids</t>
  </si>
  <si>
    <t>FEC_per_building.kWh.ES.Ser.BldNew.Thermal.SH.LPG.LPG</t>
  </si>
  <si>
    <t>FEC_per_building.kWh.ES.Ser.BldNew.Thermal.SH.Oil.Oil_LiqBio</t>
  </si>
  <si>
    <t>FEC_per_building.kWh.ES.Ser.BldNew.Thermal.SH.GasHP.NG_Biogas</t>
  </si>
  <si>
    <t>FEC_per_building.kWh.ES.Ser.BldNew.Thermal.SH.GasTH.NG_Biogas</t>
  </si>
  <si>
    <t>FEC_per_building.kWh.ES.Ser.BldNew.Thermal.SH.Biomass.Biomass_Waste</t>
  </si>
  <si>
    <t>FEC_per_building.kWh.ES.Ser.BldNew.Thermal.SH.Geo.Geo</t>
  </si>
  <si>
    <t>FEC_per_building.kWh.ES.Ser.BldNew.Thermal.SH.DistrHeat.Steam_Distr</t>
  </si>
  <si>
    <t>FEC_per_building.kWh.ES.Ser.BldNew.Thermal.SH.AdvElc.Elec</t>
  </si>
  <si>
    <t>FEC_per_building.kWh.ES.Ser.BldNew.Thermal.SH.ConvElc.Elec</t>
  </si>
  <si>
    <t>FEC_per_building.kWh.ES.Ser.BldNew.Thermal.SH.TotalCirculation.Elec</t>
  </si>
  <si>
    <t>FEC_per_building.kWh.ES.Ser.BldNew.Thermal.SC</t>
  </si>
  <si>
    <t>FEC_per_building.kWh.ES.Ser.BldNew.Thermal.SC.GasHP.NG_Biogas</t>
  </si>
  <si>
    <t>FEC_per_building.kWh.ES.Ser.BldNew.Thermal.SC.AC.Elec</t>
  </si>
  <si>
    <t>FEC_per_building.kWh.ES.Ser.BldNew.Thermal.HW</t>
  </si>
  <si>
    <t>FEC_per_building.kWh.ES.Ser.BldNew.Thermal.HW.Solids.Solids</t>
  </si>
  <si>
    <t>FEC_per_building.kWh.ES.Ser.BldNew.Thermal.HW.LPG.LPG</t>
  </si>
  <si>
    <t>FEC_per_building.kWh.ES.Ser.BldNew.Thermal.HW.Oil.Oil_LiqBio</t>
  </si>
  <si>
    <t>FEC_per_building.kWh.ES.Ser.BldNew.Thermal.HW.Gas.NG_Biogas</t>
  </si>
  <si>
    <t>FEC_per_building.kWh.ES.Ser.BldNew.Thermal.HW.Biomass.Biomass_Waste</t>
  </si>
  <si>
    <t>FEC_per_building.kWh.ES.Ser.BldNew.Thermal.HW.DistrHeat.Steam_Distr</t>
  </si>
  <si>
    <t>FEC_per_building.kWh.ES.Ser.BldNew.Thermal.HW.Elc.Elec</t>
  </si>
  <si>
    <t>FEC_per_building.kWh.ES.Ser.BldNew.Thermal.HW.TotalSolar.Solar</t>
  </si>
  <si>
    <t>FEC_per_building.kWh.ES.Ser.BldNew.Thermal.CA</t>
  </si>
  <si>
    <t>FEC_per_building.kWh.ES.Ser.BldNew.Thermal.CA.LPG</t>
  </si>
  <si>
    <t>FEC_per_building.kWh.ES.Ser.BldNew.Thermal.CA.Gas.NG_Biogas</t>
  </si>
  <si>
    <t>FEC_per_building.kWh.ES.Ser.BldNew.Thermal.CA.Biomass.Biomass_Waste</t>
  </si>
  <si>
    <t>FEC_per_building.kWh.ES.Ser.BldNew.Thermal.CA.Elc.Elec</t>
  </si>
  <si>
    <t>ES - Thermal energy service of new and renovated buildings (per building)</t>
  </si>
  <si>
    <t>TES_per_building.kWh.ES.Ser.BldNew.Thermal</t>
  </si>
  <si>
    <t>TES_per_building.kWh.ES.Ser.BldNew.Thermal.SH</t>
  </si>
  <si>
    <t>TES_per_building.kWh.ES.Ser.BldNew.Thermal.SH.Solids.Solids</t>
  </si>
  <si>
    <t>TES_per_building.kWh.ES.Ser.BldNew.Thermal.SH.LPG.LPG</t>
  </si>
  <si>
    <t>TES_per_building.kWh.ES.Ser.BldNew.Thermal.SH.Oil.Oil_LiqBio</t>
  </si>
  <si>
    <t>TES_per_building.kWh.ES.Ser.BldNew.Thermal.SH.GasHP.NG_Biogas</t>
  </si>
  <si>
    <t>TES_per_building.kWh.ES.Ser.BldNew.Thermal.SH.GasTH.NG_Biogas</t>
  </si>
  <si>
    <t>TES_per_building.kWh.ES.Ser.BldNew.Thermal.SH.Biomass.Biomass_Waste</t>
  </si>
  <si>
    <t>TES_per_building.kWh.ES.Ser.BldNew.Thermal.SH.Geo.Geo</t>
  </si>
  <si>
    <t>TES_per_building.kWh.ES.Ser.BldNew.Thermal.SH.DistrHeat.Steam_Distr</t>
  </si>
  <si>
    <t>TES_per_building.kWh.ES.Ser.BldNew.Thermal.SH.AdvElc.Elec</t>
  </si>
  <si>
    <t>TES_per_building.kWh.ES.Ser.BldNew.Thermal.SH.ConvElc.Elec</t>
  </si>
  <si>
    <t>TES_per_building.kWh.ES.Ser.BldNew.Thermal.SH.TotalCirculation.Elec</t>
  </si>
  <si>
    <t>TES_per_building.kWh.ES.Ser.BldNew.Thermal.SC</t>
  </si>
  <si>
    <t>TES_per_building.kWh.ES.Ser.BldNew.Thermal.SC.GasHP.NG_Biogas</t>
  </si>
  <si>
    <t>TES_per_building.kWh.ES.Ser.BldNew.Thermal.SC.AC.Elec</t>
  </si>
  <si>
    <t>TES_per_building.kWh.ES.Ser.BldNew.Thermal.HW</t>
  </si>
  <si>
    <t>TES_per_building.kWh.ES.Ser.BldNew.Thermal.HW.Solids.Solids</t>
  </si>
  <si>
    <t>TES_per_building.kWh.ES.Ser.BldNew.Thermal.HW.LPG.LPG</t>
  </si>
  <si>
    <t>TES_per_building.kWh.ES.Ser.BldNew.Thermal.HW.Oil.Oil_LiqBio</t>
  </si>
  <si>
    <t>TES_per_building.kWh.ES.Ser.BldNew.Thermal.HW.Gas.NG_Biogas</t>
  </si>
  <si>
    <t>TES_per_building.kWh.ES.Ser.BldNew.Thermal.HW.Biomass.Biomass_Waste</t>
  </si>
  <si>
    <t>TES_per_building.kWh.ES.Ser.BldNew.Thermal.HW.DistrHeat.Steam_Distr</t>
  </si>
  <si>
    <t>TES_per_building.kWh.ES.Ser.BldNew.Thermal.HW.Elc.Elec</t>
  </si>
  <si>
    <t>TES_per_building.kWh.ES.Ser.BldNew.Thermal.HW.TotalSolar.Solar</t>
  </si>
  <si>
    <t>TES_per_building.kWh.ES.Ser.BldNew.Thermal.CA</t>
  </si>
  <si>
    <t>TES_per_building.kWh.ES.Ser.BldNew.Thermal.CA.LPG</t>
  </si>
  <si>
    <t>TES_per_building.kWh.ES.Ser.BldNew.Thermal.CA.Gas.NG_Biogas</t>
  </si>
  <si>
    <t>TES_per_building.kWh.ES.Ser.BldNew.Thermal.CA.Biomass.Biomass_Waste</t>
  </si>
  <si>
    <t>TES_per_building.kWh.ES.Ser.BldNew.Thermal.CA.Elc.Elec</t>
  </si>
  <si>
    <t>ES - CO2 emissions in new and renovated buildings (per building)</t>
  </si>
  <si>
    <t>EMI_per_building.kgCO2.ES.Ser.BldNew.Thermal</t>
  </si>
  <si>
    <t>EMI_per_building.kgCO2.ES.Ser.BldNew.Thermal.SH</t>
  </si>
  <si>
    <t>EMI_per_building.kgCO2.ES.Ser.BldNew.Thermal.SH.Solids.Solids</t>
  </si>
  <si>
    <t>EMI_per_building.kgCO2.ES.Ser.BldNew.Thermal.SH.LPG.LPG</t>
  </si>
  <si>
    <t>EMI_per_building.kgCO2.ES.Ser.BldNew.Thermal.SH.Oil.Oil_LiqBio</t>
  </si>
  <si>
    <t>EMI_per_building.kgCO2.ES.Ser.BldNew.Thermal.SH.GasHP.NG_Biogas</t>
  </si>
  <si>
    <t>EMI_per_building.kgCO2.ES.Ser.BldNew.Thermal.SH.GasTH.NG_Biogas</t>
  </si>
  <si>
    <t>EMI_per_building.kgCO2.ES.Ser.BldNew.Thermal.SH.Biomass.Biomass_Waste</t>
  </si>
  <si>
    <t>EMI_per_building.kgCO2.ES.Ser.BldNew.Thermal.SH.Geo.Geo</t>
  </si>
  <si>
    <t>EMI_per_building.kgCO2.ES.Ser.BldNew.Thermal.SH.DistrHeat.Steam_Distr</t>
  </si>
  <si>
    <t>EMI_per_building.kgCO2.ES.Ser.BldNew.Thermal.SH.AdvElc.Elec</t>
  </si>
  <si>
    <t>EMI_per_building.kgCO2.ES.Ser.BldNew.Thermal.SH.ConvElc.Elec</t>
  </si>
  <si>
    <t>EMI_per_building.kgCO2.ES.Ser.BldNew.Thermal.SH.TotalCirculation.Elec</t>
  </si>
  <si>
    <t>EMI_per_building.kgCO2.ES.Ser.BldNew.Thermal.SC</t>
  </si>
  <si>
    <t>EMI_per_building.kgCO2.ES.Ser.BldNew.Thermal.SC.GasHP.NG_Biogas</t>
  </si>
  <si>
    <t>EMI_per_building.kgCO2.ES.Ser.BldNew.Thermal.SC.AC.Elec</t>
  </si>
  <si>
    <t>EMI_per_building.kgCO2.ES.Ser.BldNew.Thermal.HW</t>
  </si>
  <si>
    <t>EMI_per_building.kgCO2.ES.Ser.BldNew.Thermal.HW.Solids.Solids</t>
  </si>
  <si>
    <t>EMI_per_building.kgCO2.ES.Ser.BldNew.Thermal.HW.LPG.LPG</t>
  </si>
  <si>
    <t>EMI_per_building.kgCO2.ES.Ser.BldNew.Thermal.HW.Oil.Oil_LiqBio</t>
  </si>
  <si>
    <t>EMI_per_building.kgCO2.ES.Ser.BldNew.Thermal.HW.Gas.NG_Biogas</t>
  </si>
  <si>
    <t>EMI_per_building.kgCO2.ES.Ser.BldNew.Thermal.HW.Biomass.Biomass_Waste</t>
  </si>
  <si>
    <t>EMI_per_building.kgCO2.ES.Ser.BldNew.Thermal.HW.DistrHeat.Steam_Distr</t>
  </si>
  <si>
    <t>EMI_per_building.kgCO2.ES.Ser.BldNew.Thermal.HW.Elc.Elec</t>
  </si>
  <si>
    <t>EMI_per_building.kgCO2.ES.Ser.BldNew.Thermal.HW.TotalSolar.Solar</t>
  </si>
  <si>
    <t>EMI_per_building.kgCO2.ES.Ser.BldNew.Thermal.CA</t>
  </si>
  <si>
    <t>EMI_per_building.kgCO2.ES.Ser.BldNew.Thermal.CA.LPG</t>
  </si>
  <si>
    <t>EMI_per_building.kgCO2.ES.Ser.BldNew.Thermal.CA.Gas.NG_Biogas</t>
  </si>
  <si>
    <t>EMI_per_building.kgCO2.ES.Ser.BldNew.Thermal.CA.Biomass.Biomass_Waste</t>
  </si>
  <si>
    <t>EMI_per_building.kgCO2.ES.Ser.BldNew.Thermal.CA.Elc.Elec</t>
  </si>
  <si>
    <t>ES - Final energy consumption in new and renovated buildings per surface area</t>
  </si>
  <si>
    <t>FEC_per_sqm.kWh.ES.Ser.BldNew.Thermal</t>
  </si>
  <si>
    <t>FEC_per_sqm.kWh.ES.Ser.BldNew.Thermal.SH</t>
  </si>
  <si>
    <t>FEC_per_sqm.kWh.ES.Ser.BldNew.Thermal.SH.Solids.Solids</t>
  </si>
  <si>
    <t>FEC_per_sqm.kWh.ES.Ser.BldNew.Thermal.SH.LPG.LPG</t>
  </si>
  <si>
    <t>FEC_per_sqm.kWh.ES.Ser.BldNew.Thermal.SH.Oil.Oil_LiqBio</t>
  </si>
  <si>
    <t>FEC_per_sqm.kWh.ES.Ser.BldNew.Thermal.SH.GasHP.NG_Biogas</t>
  </si>
  <si>
    <t>FEC_per_sqm.kWh.ES.Ser.BldNew.Thermal.SH.GasTH.NG_Biogas</t>
  </si>
  <si>
    <t>FEC_per_sqm.kWh.ES.Ser.BldNew.Thermal.SH.Biomass.Biomass_Waste</t>
  </si>
  <si>
    <t>FEC_per_sqm.kWh.ES.Ser.BldNew.Thermal.SH.Geo.Geo</t>
  </si>
  <si>
    <t>FEC_per_sqm.kWh.ES.Ser.BldNew.Thermal.SH.DistrHeat.Steam_Distr</t>
  </si>
  <si>
    <t>FEC_per_sqm.kWh.ES.Ser.BldNew.Thermal.SH.AdvElc.Elec</t>
  </si>
  <si>
    <t>FEC_per_sqm.kWh.ES.Ser.BldNew.Thermal.SH.ConvElc.Elec</t>
  </si>
  <si>
    <t>FEC_per_sqm.kWh.ES.Ser.BldNew.Thermal.SH.TotalCirculation.Elec</t>
  </si>
  <si>
    <t>FEC_per_sqm.kWh.ES.Ser.BldNew.Thermal.SC</t>
  </si>
  <si>
    <t>FEC_per_sqm.kWh.ES.Ser.BldNew.Thermal.SC.GasHP.NG_Biogas</t>
  </si>
  <si>
    <t>FEC_per_sqm.kWh.ES.Ser.BldNew.Thermal.SC.AC.Elec</t>
  </si>
  <si>
    <t>FEC_per_sqm.kWh.ES.Ser.BldNew.Thermal.HW</t>
  </si>
  <si>
    <t>FEC_per_sqm.kWh.ES.Ser.BldNew.Thermal.HW.Solids.Solids</t>
  </si>
  <si>
    <t>FEC_per_sqm.kWh.ES.Ser.BldNew.Thermal.HW.LPG.LPG</t>
  </si>
  <si>
    <t>FEC_per_sqm.kWh.ES.Ser.BldNew.Thermal.HW.Oil.Oil_LiqBio</t>
  </si>
  <si>
    <t>FEC_per_sqm.kWh.ES.Ser.BldNew.Thermal.HW.Gas.NG_Biogas</t>
  </si>
  <si>
    <t>FEC_per_sqm.kWh.ES.Ser.BldNew.Thermal.HW.Biomass.Biomass_Waste</t>
  </si>
  <si>
    <t>FEC_per_sqm.kWh.ES.Ser.BldNew.Thermal.HW.DistrHeat.Steam_Distr</t>
  </si>
  <si>
    <t>FEC_per_sqm.kWh.ES.Ser.BldNew.Thermal.HW.Elc.Elec</t>
  </si>
  <si>
    <t>FEC_per_sqm.kWh.ES.Ser.BldNew.Thermal.HW.TotalSolar.Solar</t>
  </si>
  <si>
    <t>FEC_per_sqm.kWh.ES.Ser.BldNew.Thermal.CA</t>
  </si>
  <si>
    <t>FEC_per_sqm.kWh.ES.Ser.BldNew.Thermal.CA.LPG</t>
  </si>
  <si>
    <t>FEC_per_sqm.kWh.ES.Ser.BldNew.Thermal.CA.Gas.NG_Biogas</t>
  </si>
  <si>
    <t>FEC_per_sqm.kWh.ES.Ser.BldNew.Thermal.CA.Biomass.Biomass_Waste</t>
  </si>
  <si>
    <t>FEC_per_sqm.kWh.ES.Ser.BldNew.Thermal.CA.Elc.Elec</t>
  </si>
  <si>
    <t>ES - Thermal energy service in new and renovated buildings per surface area</t>
  </si>
  <si>
    <t>TES_per_sqm.kWh.ES.Ser.BldNew.Thermal</t>
  </si>
  <si>
    <t>TES_per_sqm.kWh.ES.Ser.BldNew.Thermal.SH</t>
  </si>
  <si>
    <t>TES_per_sqm.kWh.ES.Ser.BldNew.Thermal.SH.Solids.Solids</t>
  </si>
  <si>
    <t>TES_per_sqm.kWh.ES.Ser.BldNew.Thermal.SH.LPG.LPG</t>
  </si>
  <si>
    <t>TES_per_sqm.kWh.ES.Ser.BldNew.Thermal.SH.Oil.Oil_LiqBio</t>
  </si>
  <si>
    <t>TES_per_sqm.kWh.ES.Ser.BldNew.Thermal.SH.GasHP.NG_Biogas</t>
  </si>
  <si>
    <t>TES_per_sqm.kWh.ES.Ser.BldNew.Thermal.SH.GasTH.NG_Biogas</t>
  </si>
  <si>
    <t>TES_per_sqm.kWh.ES.Ser.BldNew.Thermal.SH.Biomass.Biomass_Waste</t>
  </si>
  <si>
    <t>TES_per_sqm.kWh.ES.Ser.BldNew.Thermal.SH.Geo.Geo</t>
  </si>
  <si>
    <t>TES_per_sqm.kWh.ES.Ser.BldNew.Thermal.SH.DistrHeat.Steam_Distr</t>
  </si>
  <si>
    <t>TES_per_sqm.kWh.ES.Ser.BldNew.Thermal.SH.AdvElc.Elec</t>
  </si>
  <si>
    <t>TES_per_sqm.kWh.ES.Ser.BldNew.Thermal.SH.ConvElc.Elec</t>
  </si>
  <si>
    <t>TES_per_sqm.kWh.ES.Ser.BldNew.Thermal.SH.TotalCirculation.Elec</t>
  </si>
  <si>
    <t>TES_per_sqm.kWh.ES.Ser.BldNew.Thermal.SC</t>
  </si>
  <si>
    <t>TES_per_sqm.kWh.ES.Ser.BldNew.Thermal.SC.GasHP.NG_Biogas</t>
  </si>
  <si>
    <t>TES_per_sqm.kWh.ES.Ser.BldNew.Thermal.SC.AC.Elec</t>
  </si>
  <si>
    <t>TES_per_sqm.kWh.ES.Ser.BldNew.Thermal.HW</t>
  </si>
  <si>
    <t>TES_per_sqm.kWh.ES.Ser.BldNew.Thermal.HW.Solids.Solids</t>
  </si>
  <si>
    <t>TES_per_sqm.kWh.ES.Ser.BldNew.Thermal.HW.LPG.LPG</t>
  </si>
  <si>
    <t>TES_per_sqm.kWh.ES.Ser.BldNew.Thermal.HW.Oil.Oil_LiqBio</t>
  </si>
  <si>
    <t>TES_per_sqm.kWh.ES.Ser.BldNew.Thermal.HW.Gas.NG_Biogas</t>
  </si>
  <si>
    <t>TES_per_sqm.kWh.ES.Ser.BldNew.Thermal.HW.Biomass.Biomass_Waste</t>
  </si>
  <si>
    <t>TES_per_sqm.kWh.ES.Ser.BldNew.Thermal.HW.DistrHeat.Steam_Distr</t>
  </si>
  <si>
    <t>TES_per_sqm.kWh.ES.Ser.BldNew.Thermal.HW.Elc.Elec</t>
  </si>
  <si>
    <t>TES_per_sqm.kWh.ES.Ser.BldNew.Thermal.HW.TotalSolar.Solar</t>
  </si>
  <si>
    <t>TES_per_sqm.kWh.ES.Ser.BldNew.Thermal.CA</t>
  </si>
  <si>
    <t>TES_per_sqm.kWh.ES.Ser.BldNew.Thermal.CA.LPG</t>
  </si>
  <si>
    <t>TES_per_sqm.kWh.ES.Ser.BldNew.Thermal.CA.Gas.NG_Biogas</t>
  </si>
  <si>
    <t>TES_per_sqm.kWh.ES.Ser.BldNew.Thermal.CA.Biomass.Biomass_Waste</t>
  </si>
  <si>
    <t>TES_per_sqm.kWh.ES.Ser.BldNew.Thermal.CA.Elc.Elec</t>
  </si>
  <si>
    <t>ES - CO2 emissions in new and renovated buildings per surface area</t>
  </si>
  <si>
    <t>EMI_per_sqm.kgCO2.ES.Ser.BldNew.Thermal</t>
  </si>
  <si>
    <t>EMI_per_sqm.kgCO2.ES.Ser.BldNew.Thermal.SH</t>
  </si>
  <si>
    <t>EMI_per_sqm.kgCO2.ES.Ser.BldNew.Thermal.SH.Solids.Solids</t>
  </si>
  <si>
    <t>EMI_per_sqm.kgCO2.ES.Ser.BldNew.Thermal.SH.LPG.LPG</t>
  </si>
  <si>
    <t>EMI_per_sqm.kgCO2.ES.Ser.BldNew.Thermal.SH.Oil.Oil_LiqBio</t>
  </si>
  <si>
    <t>EMI_per_sqm.kgCO2.ES.Ser.BldNew.Thermal.SH.GasHP.NG_Biogas</t>
  </si>
  <si>
    <t>EMI_per_sqm.kgCO2.ES.Ser.BldNew.Thermal.SH.GasTH.NG_Biogas</t>
  </si>
  <si>
    <t>EMI_per_sqm.kgCO2.ES.Ser.BldNew.Thermal.SH.Biomass.Biomass_Waste</t>
  </si>
  <si>
    <t>EMI_per_sqm.kgCO2.ES.Ser.BldNew.Thermal.SH.Geo.Geo</t>
  </si>
  <si>
    <t>EMI_per_sqm.kgCO2.ES.Ser.BldNew.Thermal.SH.DistrHeat.Steam_Distr</t>
  </si>
  <si>
    <t>EMI_per_sqm.kgCO2.ES.Ser.BldNew.Thermal.SH.AdvElc.Elec</t>
  </si>
  <si>
    <t>EMI_per_sqm.kgCO2.ES.Ser.BldNew.Thermal.SH.ConvElc.Elec</t>
  </si>
  <si>
    <t>EMI_per_sqm.kgCO2.ES.Ser.BldNew.Thermal.SH.TotalCirculation.Elec</t>
  </si>
  <si>
    <t>EMI_per_sqm.kgCO2.ES.Ser.BldNew.Thermal.SC</t>
  </si>
  <si>
    <t>EMI_per_sqm.kgCO2.ES.Ser.BldNew.Thermal.SC.GasHP.NG_Biogas</t>
  </si>
  <si>
    <t>EMI_per_sqm.kgCO2.ES.Ser.BldNew.Thermal.SC.AC.Elec</t>
  </si>
  <si>
    <t>EMI_per_sqm.kgCO2.ES.Ser.BldNew.Thermal.HW</t>
  </si>
  <si>
    <t>EMI_per_sqm.kgCO2.ES.Ser.BldNew.Thermal.HW.Solids.Solids</t>
  </si>
  <si>
    <t>EMI_per_sqm.kgCO2.ES.Ser.BldNew.Thermal.HW.LPG.LPG</t>
  </si>
  <si>
    <t>EMI_per_sqm.kgCO2.ES.Ser.BldNew.Thermal.HW.Oil.Oil_LiqBio</t>
  </si>
  <si>
    <t>EMI_per_sqm.kgCO2.ES.Ser.BldNew.Thermal.HW.Gas.NG_Biogas</t>
  </si>
  <si>
    <t>EMI_per_sqm.kgCO2.ES.Ser.BldNew.Thermal.HW.Biomass.Biomass_Waste</t>
  </si>
  <si>
    <t>EMI_per_sqm.kgCO2.ES.Ser.BldNew.Thermal.HW.DistrHeat.Steam_Distr</t>
  </si>
  <si>
    <t>EMI_per_sqm.kgCO2.ES.Ser.BldNew.Thermal.HW.Elc.Elec</t>
  </si>
  <si>
    <t>EMI_per_sqm.kgCO2.ES.Ser.BldNew.Thermal.HW.TotalSolar.Solar</t>
  </si>
  <si>
    <t>EMI_per_sqm.kgCO2.ES.Ser.BldNew.Thermal.CA</t>
  </si>
  <si>
    <t>EMI_per_sqm.kgCO2.ES.Ser.BldNew.Thermal.CA.LPG</t>
  </si>
  <si>
    <t>EMI_per_sqm.kgCO2.ES.Ser.BldNew.Thermal.CA.Gas.NG_Biogas</t>
  </si>
  <si>
    <t>EMI_per_sqm.kgCO2.ES.Ser.BldNew.Thermal.CA.Biomass.Biomass_Waste</t>
  </si>
  <si>
    <t>EMI_per_sqm.kgCO2.ES.Ser.BldNew.Thermal.CA.Elc.Elec</t>
  </si>
  <si>
    <t>FEC.ktoe.ES.Ser.SEU.VE</t>
  </si>
  <si>
    <t>FEC.ktoe.ES.Ser.SEU.SL</t>
  </si>
  <si>
    <t>FEC.ktoe.ES.Ser.SEU.BL</t>
  </si>
  <si>
    <t>FEC.ktoe.ES.Ser.SEU.CR</t>
  </si>
  <si>
    <t>FEC.ktoe.ES.Ser.SEU.BT</t>
  </si>
  <si>
    <t>FEC.ktoe.ES.Ser.SEU.IT</t>
  </si>
  <si>
    <t>Size.MW.ES.Ser.SEU</t>
  </si>
  <si>
    <t>Size.MW.ES.Ser.SEU.VE</t>
  </si>
  <si>
    <t>Size.MW.ES.Ser.SEU.SL</t>
  </si>
  <si>
    <t>Size.MW.ES.Ser.SEU.BL</t>
  </si>
  <si>
    <t>Size.MW.ES.Ser.SEU.CR</t>
  </si>
  <si>
    <t>Size.MW.ES.Ser.SEU.BT</t>
  </si>
  <si>
    <t>Size.MW.ES.Ser.SEU.IT</t>
  </si>
  <si>
    <t>NUM.Msqm.ES.Ser.SEU.VE</t>
  </si>
  <si>
    <t>NUM.k.ES.Ser.SEU.SL</t>
  </si>
  <si>
    <t>NUM.M.ES.Ser.SEU.BL</t>
  </si>
  <si>
    <t>NUM.k.ES.Ser.SEU.CR</t>
  </si>
  <si>
    <t>NUM.Msqm.ES.Ser.SEU.BT</t>
  </si>
  <si>
    <t>NUM.k.ES.Ser.SEU.IT</t>
  </si>
  <si>
    <t>NUM.Msqm.ES.Ser.SEUnew.VE</t>
  </si>
  <si>
    <t>NUM.k.ES.Ser.SEUnew.SL</t>
  </si>
  <si>
    <t>NUM.M.ES.Ser.SEUnew.BL</t>
  </si>
  <si>
    <t>NUM.k.ES.Ser.SEUnew.CR</t>
  </si>
  <si>
    <t>NUM.Msqm.ES.Ser.SEUnew.BT</t>
  </si>
  <si>
    <t>NUM.k.ES.Ser.SEUnew.IT</t>
  </si>
  <si>
    <t>NUM.Msqm.ES.Ser.SEUrepl.VE</t>
  </si>
  <si>
    <t>NUM.k.ES.Ser.SEUrepl.SL</t>
  </si>
  <si>
    <t>NUM.M.ES.Ser.SEUrepl.BL</t>
  </si>
  <si>
    <t>NUM.k.ES.Ser.SEUrepl.CR</t>
  </si>
  <si>
    <t>NUM.Msqm.ES.Ser.SEUrepl.BT</t>
  </si>
  <si>
    <t>NUM.k.ES.Ser.SEUrepl.IT</t>
  </si>
  <si>
    <t>Op.hours.ES.Ser.SEU.VE</t>
  </si>
  <si>
    <t>Op.hours.ES.Ser.SEU.SL</t>
  </si>
  <si>
    <t>Op.hours.ES.Ser.SEU.BL</t>
  </si>
  <si>
    <t>Op.hours.ES.Ser.SEU.CR</t>
  </si>
  <si>
    <t>Op.hours.ES.Ser.SEU.BT</t>
  </si>
  <si>
    <t>Op.hours.ES.Ser.SEU.IT</t>
  </si>
  <si>
    <t>Size_per_appl.W.ES.Ser.SEU.VE</t>
  </si>
  <si>
    <t>Size_per_appl.W.ES.Ser.SEU.SL</t>
  </si>
  <si>
    <t>Size_per_appl.W.ES.Ser.SEU.BL</t>
  </si>
  <si>
    <t>Size_per_appl.W.ES.Ser.SEU.CR</t>
  </si>
  <si>
    <t>Size_per_appl.W.ES.Ser.SEU.BT</t>
  </si>
  <si>
    <t>Size_per_appl.W.ES.Ser.SEU.IT</t>
  </si>
  <si>
    <t>Size_per_appl.W.ES.Ser.SEUnew.VE</t>
  </si>
  <si>
    <t>Size_per_appl.W.ES.Ser.SEUnew.SL</t>
  </si>
  <si>
    <t>Size_per_appl.W.ES.Ser.SEUnew.BL</t>
  </si>
  <si>
    <t>Size_per_appl.W.ES.Ser.SEUnew.CR</t>
  </si>
  <si>
    <t>Size_per_appl.W.ES.Ser.SEUnew.BT</t>
  </si>
  <si>
    <t>Size_per_appl.W.ES.Ser.SEUnew.IT</t>
  </si>
  <si>
    <t>NUM.sqm_per_building.ES.Ser.SEU.VE</t>
  </si>
  <si>
    <t>NUM.number_per_capita.ES.Ser.SEU.SL</t>
  </si>
  <si>
    <t>NUM.number_per_building.ES.Ser.SEU.BL</t>
  </si>
  <si>
    <t>NUM.number_per_capita.ES.Ser.SEU.CR</t>
  </si>
  <si>
    <t>NUM.sqm_per_building.ES.Ser.SEU.BT</t>
  </si>
  <si>
    <t>NUM.number_per_capita.ES.Ser.SEU.IT</t>
  </si>
  <si>
    <t>Lumens_per_sqm.lumen.ES.Ser.SEU.BL</t>
  </si>
  <si>
    <t>ES - Services / specific electric uses</t>
  </si>
  <si>
    <t>ES - Ventilation and others</t>
  </si>
  <si>
    <t>ES - Street lighting</t>
  </si>
  <si>
    <t>ES - Building lighting</t>
  </si>
  <si>
    <t>ES - Commercial refrigeration</t>
  </si>
  <si>
    <t>ES - Miscellaneous building technologies</t>
  </si>
  <si>
    <t>ES - ICT and multimedia</t>
  </si>
  <si>
    <t>ES - Agriculture, forestry and fishing</t>
  </si>
  <si>
    <t>VA.Meuro2015.ES.AGR.AGR</t>
  </si>
  <si>
    <t>OUTPUT.index.ES.AGR.AGR</t>
  </si>
  <si>
    <t>CAP.index.ES.AGR.AGR</t>
  </si>
  <si>
    <t>NEWCAP.index.ES.AGR.AGR</t>
  </si>
  <si>
    <t>CAPOUT.index.ES.AGR.AGR</t>
  </si>
  <si>
    <t>CAPIDLE.index.ES.AGR.AGR</t>
  </si>
  <si>
    <t>FEC.ktoe.ES.ES.AGR</t>
  </si>
  <si>
    <t>FEC.ktoe.ES.ES.AGR.Solids</t>
  </si>
  <si>
    <t>FEC.ktoe.ES.ES.AGR.LPG</t>
  </si>
  <si>
    <t>FEC.ktoe.ES.ES.AGR.Diesel</t>
  </si>
  <si>
    <t>FEC.ktoe.ES.ES.AGR.RFO</t>
  </si>
  <si>
    <t>FEC.ktoe.ES.ES.AGR.NG</t>
  </si>
  <si>
    <t>FEC.ktoe.ES.ES.AGR.Biomass_Waste</t>
  </si>
  <si>
    <t>FEC.ktoe.ES.ES.AGR.Biogas</t>
  </si>
  <si>
    <t>FEC.ktoe.ES.ES.AGR.LiqBio</t>
  </si>
  <si>
    <t>FEC.ktoe.ES.ES.AGR.Solar</t>
  </si>
  <si>
    <t>FEC.ktoe.ES.ES.AGR.Geo</t>
  </si>
  <si>
    <t>FEC.ktoe.ES.ES.AGR.Ambient</t>
  </si>
  <si>
    <t>FEC.ktoe.ES.ES.AGR.Steam_Distr</t>
  </si>
  <si>
    <t>FEC.ktoe.ES.ES.AGR.Elec</t>
  </si>
  <si>
    <t>ES - Agriculture, forestry and fishing / final energy consumption</t>
  </si>
  <si>
    <t>FEC.ktoe.ES.AGR.AGR.LIGHT.GENERIC.ELEC</t>
  </si>
  <si>
    <t>FEC.ktoe.ES.AGR.AGR.FANS.GENERIC.ELEC</t>
  </si>
  <si>
    <t>FEC.ktoe.ES.AGR.AGR.MOTOR.GENERIC.ELEC</t>
  </si>
  <si>
    <t>FEC.ktoe.ES.AGR.AGR.LOW_ENTH.THERM.DIESEL_LIQBIO</t>
  </si>
  <si>
    <t>FEC.ktoe.ES.AGR.AGR.LOW_ENTH.THERM.NG_BIOGAS</t>
  </si>
  <si>
    <t>FEC.ktoe.ES.AGR.AGR.LOW_ENTH.THERM.SOLAR_GEO</t>
  </si>
  <si>
    <t>FEC.ktoe.ES.AGR.AGR.LOW_ENTH.HP.AMBIENT</t>
  </si>
  <si>
    <t>FEC.ktoe.ES.AGR.AGR.LOW_ENTH.THERM.STEAM_DISTR</t>
  </si>
  <si>
    <t>FEC.ktoe.ES.AGR.AGR.LOW_ENTH.THERM.ELEC</t>
  </si>
  <si>
    <t>FEC.ktoe.ES.AGR.AGR.FARM_DRIVES.MECH.DIESEL_LIQBIO</t>
  </si>
  <si>
    <t>FEC.ktoe.ES.AGR.AGR.HEAT_USE.THERM.SOLIDS</t>
  </si>
  <si>
    <t>FEC.ktoe.ES.AGR.AGR.HEAT_USE.THERM.LPG</t>
  </si>
  <si>
    <t>FEC.ktoe.ES.AGR.AGR.HEAT_USE.THERM.DIESEL_LIQBIO</t>
  </si>
  <si>
    <t>FEC.ktoe.ES.AGR.AGR.HEAT_USE.THERM.RFO</t>
  </si>
  <si>
    <t>FEC.ktoe.ES.AGR.AGR.HEAT_USE.THERM.NG_BIOGAS</t>
  </si>
  <si>
    <t>FEC.ktoe.ES.AGR.AGR.HEAT_USE.THERM.BIOMASS_WASTE</t>
  </si>
  <si>
    <t>FEC.ktoe.ES.AGR.AGR.HEAT_USE.THERM.SOLAR_GEO</t>
  </si>
  <si>
    <t>FEC.ktoe.ES.AGR.AGR.FARM_PUMP.MECH.DIESEL_LIQBIO</t>
  </si>
  <si>
    <t>FEC.ktoe.ES.AGR.AGR.FARM_PUMP_ELEC.MECH.ELEC</t>
  </si>
  <si>
    <t>FEC.ktoe.ES.AGR.AGR.GENERIC.MECH.ELEC</t>
  </si>
  <si>
    <t>ES - Agriculture, forestry and fishing / useful energy demand</t>
  </si>
  <si>
    <t>UED.ktoe.ES.AGR.AGR.LIGHT.GENERIC.ELEC</t>
  </si>
  <si>
    <t>UED.ktoe.ES.AGR.AGR.FANS.GENERIC.ELEC</t>
  </si>
  <si>
    <t>UED.ktoe.ES.AGR.AGR.MOTOR.GENERIC.ELEC</t>
  </si>
  <si>
    <t>UED.ktoe.ES.AGR.AGR.LOW_ENTH.THERM.DIESEL_LIQBIO</t>
  </si>
  <si>
    <t>UED.ktoe.ES.AGR.AGR.LOW_ENTH.THERM.NG_BIOGAS</t>
  </si>
  <si>
    <t>UED.ktoe.ES.AGR.AGR.LOW_ENTH.THERM.SOLAR_GEO</t>
  </si>
  <si>
    <t>UED.ktoe.ES.AGR.AGR.LOW_ENTH.HP.AMBIENT</t>
  </si>
  <si>
    <t>UED.ktoe.ES.AGR.AGR.LOW_ENTH.THERM.STEAM_DISTR</t>
  </si>
  <si>
    <t>UED.ktoe.ES.AGR.AGR.LOW_ENTH.THERM.ELEC</t>
  </si>
  <si>
    <t>UED.ktoe.ES.AGR.AGR.FARM_DRIVES.MECH.DIESEL_LIQBIO</t>
  </si>
  <si>
    <t>UED.ktoe.ES.AGR.AGR.HEAT_USE.THERM.SOLIDS</t>
  </si>
  <si>
    <t>UED.ktoe.ES.AGR.AGR.HEAT_USE.THERM.LPG</t>
  </si>
  <si>
    <t>UED.ktoe.ES.AGR.AGR.HEAT_USE.THERM.DIESEL_LIQBIO</t>
  </si>
  <si>
    <t>UED.ktoe.ES.AGR.AGR.HEAT_USE.THERM.RFO</t>
  </si>
  <si>
    <t>UED.ktoe.ES.AGR.AGR.HEAT_USE.THERM.NG_BIOGAS</t>
  </si>
  <si>
    <t>UED.ktoe.ES.AGR.AGR.HEAT_USE.THERM.BIOMASS_WASTE</t>
  </si>
  <si>
    <t>UED.ktoe.ES.AGR.AGR.HEAT_USE.THERM.SOLAR_GEO</t>
  </si>
  <si>
    <t>UED.ktoe.ES.AGR.AGR.FARM_PUMP.MECH.DIESEL_LIQBIO</t>
  </si>
  <si>
    <t>UED.ktoe.ES.AGR.AGR.FARM_PUMP_ELEC.MECH.ELEC</t>
  </si>
  <si>
    <t>UED.ktoe.ES.AGR.AGR.GENERIC.MECH.ELEC</t>
  </si>
  <si>
    <t>ES - Agriculture, forestry and fishing / CO2 emissions</t>
  </si>
  <si>
    <t>FUEL_EMI.ktCO2.ES.AGR.AGR.LIGHT.GENERIC.ELEC</t>
  </si>
  <si>
    <t>FUEL_EMI.ktCO2.ES.AGR.AGR.FANS.GENERIC.ELEC</t>
  </si>
  <si>
    <t>FUEL_EMI.ktCO2.ES.AGR.AGR.MOTOR.GENERIC.ELEC</t>
  </si>
  <si>
    <t>FUEL_EMI.ktCO2.ES.AGR.AGR.LOW_ENTH.THERM.DIESEL_LIQBIO</t>
  </si>
  <si>
    <t>FUEL_EMI.ktCO2.ES.AGR.AGR.LOW_ENTH.THERM.NG_BIOGAS</t>
  </si>
  <si>
    <t>FUEL_EMI.ktCO2.ES.AGR.AGR.LOW_ENTH.THERM.SOLAR_GEO</t>
  </si>
  <si>
    <t>FUEL_EMI.ktCO2.ES.AGR.AGR.LOW_ENTH.HP.AMBIENT</t>
  </si>
  <si>
    <t>FUEL_EMI.ktCO2.ES.AGR.AGR.LOW_ENTH.THERM.STEAM_DISTR</t>
  </si>
  <si>
    <t>FUEL_EMI.ktCO2.ES.AGR.AGR.LOW_ENTH.THERM.ELEC</t>
  </si>
  <si>
    <t>FUEL_EMI.ktCO2.ES.AGR.AGR.FARM_DRIVES.MECH.DIESEL_LIQBIO</t>
  </si>
  <si>
    <t>FUEL_EMI.ktCO2.ES.AGR.AGR.HEAT_USE.THERM.SOLIDS</t>
  </si>
  <si>
    <t>FUEL_EMI.ktCO2.ES.AGR.AGR.HEAT_USE.THERM.LPG</t>
  </si>
  <si>
    <t>FUEL_EMI.ktCO2.ES.AGR.AGR.HEAT_USE.THERM.DIESEL_LIQBIO</t>
  </si>
  <si>
    <t>FUEL_EMI.ktCO2.ES.AGR.AGR.HEAT_USE.THERM.RFO</t>
  </si>
  <si>
    <t>FUEL_EMI.ktCO2.ES.AGR.AGR.HEAT_USE.THERM.NG_BIOGAS</t>
  </si>
  <si>
    <t>FUEL_EMI.ktCO2.ES.AGR.AGR.HEAT_USE.THERM.BIOMASS_WASTE</t>
  </si>
  <si>
    <t>FUEL_EMI.ktCO2.ES.AGR.AGR.HEAT_USE.THERM.SOLAR_GEO</t>
  </si>
  <si>
    <t>FUEL_EMI.ktCO2.ES.AGR.AGR.FARM_PUMP.MECH.DIESEL_LIQBIO</t>
  </si>
  <si>
    <t>FUEL_EMI.ktCO2.ES.AGR.AGR.FARM_PUMP_ELEC.MECH.ELEC</t>
  </si>
  <si>
    <t>FUEL_EMI.ktCO2.ES.AGR.AGR.GENERIC.MECH.ELEC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</si>
</sst>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45432.784548611111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40470182</v>
      </c>
      <c r="C3" s="34">
        <v>40665545</v>
      </c>
      <c r="D3" s="34">
        <v>41035278</v>
      </c>
      <c r="E3" s="34">
        <v>41827838</v>
      </c>
      <c r="F3" s="34">
        <v>42547451</v>
      </c>
      <c r="G3" s="34">
        <v>43296338</v>
      </c>
      <c r="H3" s="34">
        <v>44009971</v>
      </c>
      <c r="I3" s="34">
        <v>44784666</v>
      </c>
      <c r="J3" s="34">
        <v>45668939</v>
      </c>
      <c r="K3" s="34">
        <v>46239273</v>
      </c>
      <c r="L3" s="34">
        <v>46486619</v>
      </c>
      <c r="M3" s="34">
        <v>46667174</v>
      </c>
      <c r="N3" s="34">
        <v>46818219</v>
      </c>
      <c r="O3" s="34">
        <v>46727890</v>
      </c>
      <c r="P3" s="34">
        <v>46512199</v>
      </c>
      <c r="Q3" s="34">
        <v>46449565</v>
      </c>
      <c r="R3" s="34">
        <v>46440099</v>
      </c>
      <c r="S3" s="34">
        <v>46528024</v>
      </c>
      <c r="T3" s="34">
        <v>46658447</v>
      </c>
      <c r="U3" s="34">
        <v>46937060</v>
      </c>
      <c r="V3" s="34">
        <v>47332614</v>
      </c>
      <c r="W3" s="34">
        <v>47398695</v>
      </c>
      <c r="DA3" s="88" t="s">
        <v>187</v>
      </c>
    </row>
    <row r="4" spans="1:105" ht="12" customHeight="1" x14ac:dyDescent="0.25">
      <c r="A4" s="35" t="s">
        <v>178</v>
      </c>
      <c r="B4" s="36">
        <v>875261.42289713316</v>
      </c>
      <c r="C4" s="36">
        <v>909683.48927445209</v>
      </c>
      <c r="D4" s="36">
        <v>934521.92452030384</v>
      </c>
      <c r="E4" s="36">
        <v>962399.68330514268</v>
      </c>
      <c r="F4" s="36">
        <v>992444.39825400128</v>
      </c>
      <c r="G4" s="36">
        <v>1028693.6072502191</v>
      </c>
      <c r="H4" s="36">
        <v>1070893.0305002294</v>
      </c>
      <c r="I4" s="36">
        <v>1109500.8201033641</v>
      </c>
      <c r="J4" s="36">
        <v>1119346.4751220695</v>
      </c>
      <c r="K4" s="36">
        <v>1077219.0153827555</v>
      </c>
      <c r="L4" s="36">
        <v>1078977.8613745864</v>
      </c>
      <c r="M4" s="36">
        <v>1070184.1046277666</v>
      </c>
      <c r="N4" s="36">
        <v>1038519.02584453</v>
      </c>
      <c r="O4" s="36">
        <v>1023943.379380223</v>
      </c>
      <c r="P4" s="36">
        <v>1038235.2349735567</v>
      </c>
      <c r="Q4" s="36">
        <v>1078092</v>
      </c>
      <c r="R4" s="36">
        <v>1110843.0852654453</v>
      </c>
      <c r="S4" s="36">
        <v>1143903.5670356704</v>
      </c>
      <c r="T4" s="36">
        <v>1170033.3362490402</v>
      </c>
      <c r="U4" s="36">
        <v>1193248.7066487833</v>
      </c>
      <c r="V4" s="36">
        <v>1059989.7696271597</v>
      </c>
      <c r="W4" s="36">
        <v>1127865.1312147048</v>
      </c>
      <c r="DA4" s="89" t="s">
        <v>188</v>
      </c>
    </row>
    <row r="5" spans="1:105" ht="12" customHeight="1" x14ac:dyDescent="0.25">
      <c r="A5" s="35" t="s">
        <v>147</v>
      </c>
      <c r="B5" s="36">
        <v>517361.15795011533</v>
      </c>
      <c r="C5" s="36">
        <v>539513.44992955099</v>
      </c>
      <c r="D5" s="36">
        <v>557379.53115498682</v>
      </c>
      <c r="E5" s="36">
        <v>574695.52317373722</v>
      </c>
      <c r="F5" s="36">
        <v>596329.60790652572</v>
      </c>
      <c r="G5" s="36">
        <v>617291.06628242065</v>
      </c>
      <c r="H5" s="36">
        <v>648503.27106826194</v>
      </c>
      <c r="I5" s="36">
        <v>683410.55861346924</v>
      </c>
      <c r="J5" s="36">
        <v>701064.67661691539</v>
      </c>
      <c r="K5" s="36">
        <v>699069.62578718294</v>
      </c>
      <c r="L5" s="36">
        <v>709473.10647639958</v>
      </c>
      <c r="M5" s="36">
        <v>719289.20320038358</v>
      </c>
      <c r="N5" s="36">
        <v>708501.5290519878</v>
      </c>
      <c r="O5" s="36">
        <v>703789.82334289595</v>
      </c>
      <c r="P5" s="36">
        <v>712686.47689702443</v>
      </c>
      <c r="Q5" s="36">
        <v>733083</v>
      </c>
      <c r="R5" s="36">
        <v>753504.27520579717</v>
      </c>
      <c r="S5" s="36">
        <v>776328.38348826207</v>
      </c>
      <c r="T5" s="36">
        <v>796227.79407322232</v>
      </c>
      <c r="U5" s="36">
        <v>814742.64882237266</v>
      </c>
      <c r="V5" s="36">
        <v>721364.5930666062</v>
      </c>
      <c r="W5" s="36">
        <v>761688.91189411015</v>
      </c>
      <c r="DA5" s="89" t="s">
        <v>189</v>
      </c>
    </row>
    <row r="6" spans="1:105" ht="12" customHeight="1" x14ac:dyDescent="0.25">
      <c r="A6" s="37" t="s">
        <v>70</v>
      </c>
      <c r="B6" s="38">
        <v>10950099.999999998</v>
      </c>
      <c r="C6" s="38">
        <v>11386000</v>
      </c>
      <c r="D6" s="38">
        <v>11790300</v>
      </c>
      <c r="E6" s="38">
        <v>12289699.999999998</v>
      </c>
      <c r="F6" s="38">
        <v>12882100</v>
      </c>
      <c r="G6" s="38">
        <v>13546900</v>
      </c>
      <c r="H6" s="38">
        <v>14302100</v>
      </c>
      <c r="I6" s="38">
        <v>14910200</v>
      </c>
      <c r="J6" s="38">
        <v>15323200</v>
      </c>
      <c r="K6" s="38">
        <v>14924000.000000002</v>
      </c>
      <c r="L6" s="38">
        <v>14900199.999999998</v>
      </c>
      <c r="M6" s="38">
        <v>14790300.000000002</v>
      </c>
      <c r="N6" s="38">
        <v>14439600</v>
      </c>
      <c r="O6" s="38">
        <v>14244400.000000002</v>
      </c>
      <c r="P6" s="38">
        <v>14481900</v>
      </c>
      <c r="Q6" s="38">
        <v>14890000</v>
      </c>
      <c r="R6" s="38">
        <v>15180900</v>
      </c>
      <c r="S6" s="38">
        <v>15554500.000000002</v>
      </c>
      <c r="T6" s="38">
        <v>15865800</v>
      </c>
      <c r="U6" s="38">
        <v>16252700</v>
      </c>
      <c r="V6" s="38">
        <v>15574700</v>
      </c>
      <c r="W6" s="38">
        <v>15933400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1739976.9009162702</v>
      </c>
      <c r="C8" s="34">
        <v>1793865.7552569364</v>
      </c>
      <c r="D8" s="34">
        <v>1848052.2022861037</v>
      </c>
      <c r="E8" s="34">
        <v>1913692.4760071656</v>
      </c>
      <c r="F8" s="34">
        <v>1980059.3169420429</v>
      </c>
      <c r="G8" s="34">
        <v>2050618.0656610313</v>
      </c>
      <c r="H8" s="34">
        <v>2124452.0888019507</v>
      </c>
      <c r="I8" s="34">
        <v>2195028.8211917761</v>
      </c>
      <c r="J8" s="34">
        <v>2254333.5500316052</v>
      </c>
      <c r="K8" s="34">
        <v>2241646.3530410663</v>
      </c>
      <c r="L8" s="34">
        <v>2276495.609235385</v>
      </c>
      <c r="M8" s="34">
        <v>2284808.8108906364</v>
      </c>
      <c r="N8" s="34">
        <v>2307655.6882040757</v>
      </c>
      <c r="O8" s="34">
        <v>2304440.7882462898</v>
      </c>
      <c r="P8" s="34">
        <v>2317512.3594023273</v>
      </c>
      <c r="Q8" s="34">
        <v>2341033.4845689069</v>
      </c>
      <c r="R8" s="34">
        <v>2366613.528966743</v>
      </c>
      <c r="S8" s="34">
        <v>2391612.024041153</v>
      </c>
      <c r="T8" s="34">
        <v>2416753.3320825538</v>
      </c>
      <c r="U8" s="34">
        <v>2439111.3935060175</v>
      </c>
      <c r="V8" s="34">
        <v>2459337.4355555554</v>
      </c>
      <c r="W8" s="34">
        <v>2478663.3420919571</v>
      </c>
      <c r="DA8" s="88" t="s">
        <v>191</v>
      </c>
    </row>
    <row r="9" spans="1:105" ht="12" customHeight="1" x14ac:dyDescent="0.25">
      <c r="A9" s="39" t="s">
        <v>68</v>
      </c>
      <c r="B9" s="40">
        <v>1565979.2108246433</v>
      </c>
      <c r="C9" s="40">
        <v>1614479.1797312428</v>
      </c>
      <c r="D9" s="40">
        <v>1663246.9820574934</v>
      </c>
      <c r="E9" s="40">
        <v>1722323.2284064491</v>
      </c>
      <c r="F9" s="40">
        <v>1782053.3852478387</v>
      </c>
      <c r="G9" s="40">
        <v>1845556.2590949284</v>
      </c>
      <c r="H9" s="40">
        <v>1912006.8799217555</v>
      </c>
      <c r="I9" s="40">
        <v>1975525.9390725982</v>
      </c>
      <c r="J9" s="40">
        <v>2028900.1950284445</v>
      </c>
      <c r="K9" s="40">
        <v>2017481.7177369597</v>
      </c>
      <c r="L9" s="40">
        <v>2048846.0483118463</v>
      </c>
      <c r="M9" s="40">
        <v>2056327.9298015726</v>
      </c>
      <c r="N9" s="40">
        <v>2076890.1193836683</v>
      </c>
      <c r="O9" s="40">
        <v>2073996.7094216605</v>
      </c>
      <c r="P9" s="40">
        <v>2085761.1234620947</v>
      </c>
      <c r="Q9" s="40">
        <v>2106930.1361120166</v>
      </c>
      <c r="R9" s="40">
        <v>2129952.176070069</v>
      </c>
      <c r="S9" s="40">
        <v>2152450.8216370377</v>
      </c>
      <c r="T9" s="40">
        <v>2175077.9988742983</v>
      </c>
      <c r="U9" s="40">
        <v>2195200.2541554156</v>
      </c>
      <c r="V9" s="40">
        <v>2213403.6919999998</v>
      </c>
      <c r="W9" s="40">
        <v>2230797.0078827613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60848.151193081045</v>
      </c>
      <c r="D10" s="41">
        <v>61362.103507895765</v>
      </c>
      <c r="E10" s="41">
        <v>73032.289826104825</v>
      </c>
      <c r="F10" s="41">
        <v>74022.392825354735</v>
      </c>
      <c r="G10" s="41">
        <v>78479.463159009349</v>
      </c>
      <c r="H10" s="41">
        <v>82036.167771557855</v>
      </c>
      <c r="I10" s="41">
        <v>79074.948088052537</v>
      </c>
      <c r="J10" s="41">
        <v>68084.374728674811</v>
      </c>
      <c r="K10" s="41">
        <v>9017.1534485589054</v>
      </c>
      <c r="L10" s="41">
        <v>43815.979955540883</v>
      </c>
      <c r="M10" s="41">
        <v>17419.827129729892</v>
      </c>
      <c r="N10" s="41">
        <v>31986.038070070186</v>
      </c>
      <c r="O10" s="41">
        <v>9230.2595466576277</v>
      </c>
      <c r="P10" s="41">
        <v>22288.816589834936</v>
      </c>
      <c r="Q10" s="41">
        <v>32790.427051820268</v>
      </c>
      <c r="R10" s="41">
        <v>37524.092788492824</v>
      </c>
      <c r="S10" s="41">
        <v>37073.053895668592</v>
      </c>
      <c r="T10" s="41">
        <v>37343.410204876149</v>
      </c>
      <c r="U10" s="41">
        <v>34688.435566741828</v>
      </c>
      <c r="V10" s="41">
        <v>32670.487934773242</v>
      </c>
      <c r="W10" s="41">
        <v>31873.546513725385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54763.336073772938</v>
      </c>
      <c r="D11" s="42">
        <v>55225.893157106191</v>
      </c>
      <c r="E11" s="42">
        <v>65729.060843494342</v>
      </c>
      <c r="F11" s="42">
        <v>66620.153542819258</v>
      </c>
      <c r="G11" s="42">
        <v>70631.516843108431</v>
      </c>
      <c r="H11" s="42">
        <v>73832.550994402074</v>
      </c>
      <c r="I11" s="42">
        <v>71167.453279247289</v>
      </c>
      <c r="J11" s="42">
        <v>61275.93725580733</v>
      </c>
      <c r="K11" s="42">
        <v>8115.4381037030143</v>
      </c>
      <c r="L11" s="42">
        <v>39434.381959986786</v>
      </c>
      <c r="M11" s="42">
        <v>15677.844416756903</v>
      </c>
      <c r="N11" s="42">
        <v>28787.434263063169</v>
      </c>
      <c r="O11" s="42">
        <v>8307.2335919918642</v>
      </c>
      <c r="P11" s="42">
        <v>20059.934930851443</v>
      </c>
      <c r="Q11" s="42">
        <v>29511.384346638242</v>
      </c>
      <c r="R11" s="42">
        <v>33771.683509643539</v>
      </c>
      <c r="S11" s="42">
        <v>33365.748506101736</v>
      </c>
      <c r="T11" s="42">
        <v>33609.069184388536</v>
      </c>
      <c r="U11" s="42">
        <v>31219.592010067645</v>
      </c>
      <c r="V11" s="42">
        <v>29403.439141295916</v>
      </c>
      <c r="W11" s="42">
        <v>28686.191862352847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1814.6</v>
      </c>
      <c r="C13" s="43">
        <v>1787.38</v>
      </c>
      <c r="D13" s="43">
        <v>1680.7</v>
      </c>
      <c r="E13" s="43">
        <v>1776.37</v>
      </c>
      <c r="F13" s="43">
        <v>1935.16</v>
      </c>
      <c r="G13" s="43">
        <v>1962.13</v>
      </c>
      <c r="H13" s="43">
        <v>1684.49</v>
      </c>
      <c r="I13" s="43">
        <v>1829.89</v>
      </c>
      <c r="J13" s="43">
        <v>1864.97</v>
      </c>
      <c r="K13" s="43">
        <v>1720.56</v>
      </c>
      <c r="L13" s="43">
        <v>1953.46</v>
      </c>
      <c r="M13" s="43">
        <v>1572.46</v>
      </c>
      <c r="N13" s="43">
        <v>1873.15</v>
      </c>
      <c r="O13" s="43">
        <v>1921.25</v>
      </c>
      <c r="P13" s="43">
        <v>1554.36</v>
      </c>
      <c r="Q13" s="43">
        <v>1610.6</v>
      </c>
      <c r="R13" s="43">
        <v>1724.77</v>
      </c>
      <c r="S13" s="43">
        <v>1606.48</v>
      </c>
      <c r="T13" s="43">
        <v>1796.63</v>
      </c>
      <c r="U13" s="43">
        <v>1670.72</v>
      </c>
      <c r="V13" s="43">
        <v>1553.94</v>
      </c>
      <c r="W13" s="43">
        <v>1663.07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1756.8604761904762</v>
      </c>
      <c r="C14" s="44">
        <f t="shared" ref="C14:W14" si="0">AVERAGE($B$13:$V$13)</f>
        <v>1756.8604761904762</v>
      </c>
      <c r="D14" s="44">
        <f t="shared" si="0"/>
        <v>1756.8604761904762</v>
      </c>
      <c r="E14" s="44">
        <f t="shared" si="0"/>
        <v>1756.8604761904762</v>
      </c>
      <c r="F14" s="44">
        <f t="shared" si="0"/>
        <v>1756.8604761904762</v>
      </c>
      <c r="G14" s="44">
        <f t="shared" si="0"/>
        <v>1756.8604761904762</v>
      </c>
      <c r="H14" s="44">
        <f t="shared" si="0"/>
        <v>1756.8604761904762</v>
      </c>
      <c r="I14" s="44">
        <f t="shared" si="0"/>
        <v>1756.8604761904762</v>
      </c>
      <c r="J14" s="44">
        <f t="shared" si="0"/>
        <v>1756.8604761904762</v>
      </c>
      <c r="K14" s="44">
        <f t="shared" si="0"/>
        <v>1756.8604761904762</v>
      </c>
      <c r="L14" s="44">
        <f t="shared" si="0"/>
        <v>1756.8604761904762</v>
      </c>
      <c r="M14" s="44">
        <f t="shared" si="0"/>
        <v>1756.8604761904762</v>
      </c>
      <c r="N14" s="44">
        <f t="shared" si="0"/>
        <v>1756.8604761904762</v>
      </c>
      <c r="O14" s="44">
        <f t="shared" si="0"/>
        <v>1756.8604761904762</v>
      </c>
      <c r="P14" s="44">
        <f t="shared" si="0"/>
        <v>1756.8604761904762</v>
      </c>
      <c r="Q14" s="44">
        <f t="shared" si="0"/>
        <v>1756.8604761904762</v>
      </c>
      <c r="R14" s="44">
        <f t="shared" si="0"/>
        <v>1756.8604761904762</v>
      </c>
      <c r="S14" s="44">
        <f t="shared" si="0"/>
        <v>1756.8604761904762</v>
      </c>
      <c r="T14" s="44">
        <f t="shared" si="0"/>
        <v>1756.8604761904762</v>
      </c>
      <c r="U14" s="44">
        <f t="shared" si="0"/>
        <v>1756.8604761904762</v>
      </c>
      <c r="V14" s="44">
        <f t="shared" si="0"/>
        <v>1756.8604761904762</v>
      </c>
      <c r="W14" s="44">
        <f t="shared" si="0"/>
        <v>1756.8604761904762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1.032865173183658</v>
      </c>
      <c r="C15" s="46">
        <f t="shared" ref="C15:W15" si="1">C13/C14</f>
        <v>1.0173716263887396</v>
      </c>
      <c r="D15" s="46">
        <f t="shared" si="1"/>
        <v>0.95664967296912484</v>
      </c>
      <c r="E15" s="46">
        <f t="shared" si="1"/>
        <v>1.0111047656168051</v>
      </c>
      <c r="F15" s="46">
        <f t="shared" si="1"/>
        <v>1.1014875832349209</v>
      </c>
      <c r="G15" s="46">
        <f t="shared" si="1"/>
        <v>1.1168388307389236</v>
      </c>
      <c r="H15" s="46">
        <f t="shared" si="1"/>
        <v>0.95880693021940921</v>
      </c>
      <c r="I15" s="46">
        <f t="shared" si="1"/>
        <v>1.0415681978160718</v>
      </c>
      <c r="J15" s="46">
        <f t="shared" si="1"/>
        <v>1.061535634317385</v>
      </c>
      <c r="K15" s="46">
        <f t="shared" si="1"/>
        <v>0.97933787191274912</v>
      </c>
      <c r="L15" s="46">
        <f t="shared" si="1"/>
        <v>1.1119038913299617</v>
      </c>
      <c r="M15" s="46">
        <f t="shared" si="1"/>
        <v>0.89503977197419526</v>
      </c>
      <c r="N15" s="46">
        <f t="shared" si="1"/>
        <v>1.0661916671161518</v>
      </c>
      <c r="O15" s="46">
        <f t="shared" si="1"/>
        <v>1.0935700506883625</v>
      </c>
      <c r="P15" s="46">
        <f t="shared" si="1"/>
        <v>0.88473730331188716</v>
      </c>
      <c r="Q15" s="46">
        <f t="shared" si="1"/>
        <v>0.91674895179631843</v>
      </c>
      <c r="R15" s="46">
        <f t="shared" si="1"/>
        <v>0.98173419197177214</v>
      </c>
      <c r="S15" s="46">
        <f t="shared" si="1"/>
        <v>0.91440385948202518</v>
      </c>
      <c r="T15" s="46">
        <f t="shared" si="1"/>
        <v>1.0226367001526262</v>
      </c>
      <c r="U15" s="46">
        <f t="shared" si="1"/>
        <v>0.95096908527576385</v>
      </c>
      <c r="V15" s="46">
        <f t="shared" si="1"/>
        <v>0.88449824050314863</v>
      </c>
      <c r="W15" s="46">
        <f t="shared" si="1"/>
        <v>0.9466147269737385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21627.316202757211</v>
      </c>
      <c r="C19" s="34">
        <f t="shared" si="2"/>
        <v>22369.883135082837</v>
      </c>
      <c r="D19" s="34">
        <f t="shared" ref="D19:W19" si="3">D4*1000000/D3</f>
        <v>22773.622357823526</v>
      </c>
      <c r="E19" s="34">
        <f t="shared" si="3"/>
        <v>23008.59258623749</v>
      </c>
      <c r="F19" s="34">
        <f t="shared" si="3"/>
        <v>23325.590016050581</v>
      </c>
      <c r="G19" s="34">
        <f t="shared" si="3"/>
        <v>23759.367530118117</v>
      </c>
      <c r="H19" s="34">
        <f t="shared" si="3"/>
        <v>24332.963784507596</v>
      </c>
      <c r="I19" s="34">
        <f t="shared" si="3"/>
        <v>24774.122913038227</v>
      </c>
      <c r="J19" s="34">
        <f t="shared" si="3"/>
        <v>24510.017084523675</v>
      </c>
      <c r="K19" s="34">
        <f t="shared" si="3"/>
        <v>23296.625260149645</v>
      </c>
      <c r="L19" s="34">
        <f t="shared" si="3"/>
        <v>23210.50411032444</v>
      </c>
      <c r="M19" s="34">
        <f t="shared" si="3"/>
        <v>22932.267221232778</v>
      </c>
      <c r="N19" s="34">
        <f t="shared" si="3"/>
        <v>22181.942158981528</v>
      </c>
      <c r="O19" s="34">
        <f t="shared" si="3"/>
        <v>21912.895689923578</v>
      </c>
      <c r="P19" s="34">
        <f t="shared" si="3"/>
        <v>22321.783473913085</v>
      </c>
      <c r="Q19" s="34">
        <f t="shared" si="3"/>
        <v>23209.948252475562</v>
      </c>
      <c r="R19" s="34">
        <f t="shared" si="3"/>
        <v>23919.912084283998</v>
      </c>
      <c r="S19" s="34">
        <f t="shared" si="3"/>
        <v>24585.259993754957</v>
      </c>
      <c r="T19" s="34">
        <f t="shared" si="3"/>
        <v>25076.559797394035</v>
      </c>
      <c r="U19" s="34">
        <f t="shared" si="3"/>
        <v>25422.31461980753</v>
      </c>
      <c r="V19" s="34">
        <f t="shared" si="3"/>
        <v>22394.49039571657</v>
      </c>
      <c r="W19" s="34">
        <f t="shared" si="3"/>
        <v>23795.278144571381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47247.162852404588</v>
      </c>
      <c r="C20" s="36">
        <f t="shared" si="4"/>
        <v>47383.932015593797</v>
      </c>
      <c r="D20" s="36">
        <f t="shared" ref="D20:W20" si="5">D5*1000000/D6</f>
        <v>47274.414659083042</v>
      </c>
      <c r="E20" s="36">
        <f t="shared" si="5"/>
        <v>46762.37200043429</v>
      </c>
      <c r="F20" s="36">
        <f t="shared" si="5"/>
        <v>46291.335101150107</v>
      </c>
      <c r="G20" s="36">
        <f t="shared" si="5"/>
        <v>45566.961170630966</v>
      </c>
      <c r="H20" s="36">
        <f t="shared" si="5"/>
        <v>45343.220301092981</v>
      </c>
      <c r="I20" s="36">
        <f t="shared" si="5"/>
        <v>45835.103393211975</v>
      </c>
      <c r="J20" s="36">
        <f t="shared" si="5"/>
        <v>45751.845346723625</v>
      </c>
      <c r="K20" s="36">
        <f t="shared" si="5"/>
        <v>46841.974389385075</v>
      </c>
      <c r="L20" s="36">
        <f t="shared" si="5"/>
        <v>47615.005602367732</v>
      </c>
      <c r="M20" s="36">
        <f t="shared" si="5"/>
        <v>48632.495838514667</v>
      </c>
      <c r="N20" s="36">
        <f t="shared" si="5"/>
        <v>49066.562027479144</v>
      </c>
      <c r="O20" s="36">
        <f t="shared" si="5"/>
        <v>49408.176079223827</v>
      </c>
      <c r="P20" s="36">
        <f t="shared" si="5"/>
        <v>49212.221938904731</v>
      </c>
      <c r="Q20" s="36">
        <f t="shared" si="5"/>
        <v>49233.243787777028</v>
      </c>
      <c r="R20" s="36">
        <f t="shared" si="5"/>
        <v>49635.020005783394</v>
      </c>
      <c r="S20" s="36">
        <f t="shared" si="5"/>
        <v>49910.211417163009</v>
      </c>
      <c r="T20" s="36">
        <f t="shared" si="5"/>
        <v>50185.165202714161</v>
      </c>
      <c r="U20" s="36">
        <f t="shared" si="5"/>
        <v>50129.679919174829</v>
      </c>
      <c r="V20" s="36">
        <f t="shared" si="5"/>
        <v>46316.43582647539</v>
      </c>
      <c r="W20" s="36">
        <f t="shared" si="5"/>
        <v>47804.543405306467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12783.761584025378</v>
      </c>
      <c r="C21" s="36">
        <f t="shared" si="6"/>
        <v>13267.090111039972</v>
      </c>
      <c r="D21" s="36">
        <f t="shared" ref="D21:W21" si="7">D5*1000000/D3</f>
        <v>13582.935423393179</v>
      </c>
      <c r="E21" s="36">
        <f t="shared" si="7"/>
        <v>13739.546451665448</v>
      </c>
      <c r="F21" s="36">
        <f t="shared" si="7"/>
        <v>14015.636516192844</v>
      </c>
      <c r="G21" s="36">
        <f t="shared" si="7"/>
        <v>14257.350501153716</v>
      </c>
      <c r="H21" s="36">
        <f t="shared" si="7"/>
        <v>14735.371469984881</v>
      </c>
      <c r="I21" s="36">
        <f t="shared" si="7"/>
        <v>15259.923086474939</v>
      </c>
      <c r="J21" s="36">
        <f t="shared" si="7"/>
        <v>15351.017386607458</v>
      </c>
      <c r="K21" s="36">
        <f t="shared" si="7"/>
        <v>15118.52545318312</v>
      </c>
      <c r="L21" s="36">
        <f t="shared" si="7"/>
        <v>15261.877971301796</v>
      </c>
      <c r="M21" s="36">
        <f t="shared" si="7"/>
        <v>15413.172505375696</v>
      </c>
      <c r="N21" s="36">
        <f t="shared" si="7"/>
        <v>15133.030349830005</v>
      </c>
      <c r="O21" s="36">
        <f t="shared" si="7"/>
        <v>15061.450952373325</v>
      </c>
      <c r="P21" s="36">
        <f t="shared" si="7"/>
        <v>15322.571115096589</v>
      </c>
      <c r="Q21" s="36">
        <f t="shared" si="7"/>
        <v>15782.343709785011</v>
      </c>
      <c r="R21" s="36">
        <f t="shared" si="7"/>
        <v>16225.294334661025</v>
      </c>
      <c r="S21" s="36">
        <f t="shared" si="7"/>
        <v>16685.178452630229</v>
      </c>
      <c r="T21" s="36">
        <f t="shared" si="7"/>
        <v>17065.029919946162</v>
      </c>
      <c r="U21" s="36">
        <f t="shared" si="7"/>
        <v>17358.195183557997</v>
      </c>
      <c r="V21" s="36">
        <f t="shared" si="7"/>
        <v>15240.328646683367</v>
      </c>
      <c r="W21" s="36">
        <f t="shared" si="7"/>
        <v>16069.828755709626</v>
      </c>
      <c r="DA21" s="89"/>
    </row>
    <row r="22" spans="1:105" ht="12" customHeight="1" x14ac:dyDescent="0.25">
      <c r="A22" s="51" t="s">
        <v>152</v>
      </c>
      <c r="B22" s="52">
        <v>0.87868705841595018</v>
      </c>
      <c r="C22" s="52">
        <v>0.88873775861495463</v>
      </c>
      <c r="D22" s="52">
        <v>0.89256229340635751</v>
      </c>
      <c r="E22" s="52">
        <v>0.89283455014609781</v>
      </c>
      <c r="F22" s="52">
        <v>0.88992649712941507</v>
      </c>
      <c r="G22" s="52">
        <v>0.88732123776013483</v>
      </c>
      <c r="H22" s="52">
        <v>0.8911618467709771</v>
      </c>
      <c r="I22" s="52">
        <v>0.89563200604936977</v>
      </c>
      <c r="J22" s="52">
        <v>0.88928426732922916</v>
      </c>
      <c r="K22" s="52">
        <v>0.89593283678142821</v>
      </c>
      <c r="L22" s="52">
        <v>0.89237362515379526</v>
      </c>
      <c r="M22" s="52">
        <v>0.88443157664464644</v>
      </c>
      <c r="N22" s="52">
        <v>0.87100093058300765</v>
      </c>
      <c r="O22" s="52">
        <v>0.86359618404273553</v>
      </c>
      <c r="P22" s="52">
        <v>0.86720842508960228</v>
      </c>
      <c r="Q22" s="52">
        <v>0.88040844416425601</v>
      </c>
      <c r="R22" s="52">
        <v>0.89065805900981199</v>
      </c>
      <c r="S22" s="52">
        <v>0.89237287193658166</v>
      </c>
      <c r="T22" s="52">
        <v>0.89381040258877187</v>
      </c>
      <c r="U22" s="52">
        <v>0.89214535636756642</v>
      </c>
      <c r="V22" s="52">
        <v>0.8298065042549867</v>
      </c>
      <c r="W22" s="52">
        <v>0.83044847534852229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6.2932444644717327</v>
      </c>
      <c r="C23" s="53">
        <f t="shared" si="8"/>
        <v>6.3471862187196812</v>
      </c>
      <c r="D23" s="53">
        <f t="shared" ref="D23:W23" si="9">D6/D8</f>
        <v>6.3798522495279064</v>
      </c>
      <c r="E23" s="53">
        <f t="shared" si="9"/>
        <v>6.4219827135663463</v>
      </c>
      <c r="F23" s="53">
        <f t="shared" si="9"/>
        <v>6.5059162065381013</v>
      </c>
      <c r="G23" s="53">
        <f t="shared" si="9"/>
        <v>6.6062521475119551</v>
      </c>
      <c r="H23" s="53">
        <f t="shared" si="9"/>
        <v>6.732135817694731</v>
      </c>
      <c r="I23" s="53">
        <f t="shared" si="9"/>
        <v>6.7927126314016268</v>
      </c>
      <c r="J23" s="53">
        <f t="shared" si="9"/>
        <v>6.7972195151800729</v>
      </c>
      <c r="K23" s="53">
        <f t="shared" si="9"/>
        <v>6.6576067985718526</v>
      </c>
      <c r="L23" s="53">
        <f t="shared" si="9"/>
        <v>6.54523555395944</v>
      </c>
      <c r="M23" s="53">
        <f t="shared" si="9"/>
        <v>6.4733206251225139</v>
      </c>
      <c r="N23" s="53">
        <f t="shared" si="9"/>
        <v>6.2572592929743189</v>
      </c>
      <c r="O23" s="53">
        <f t="shared" si="9"/>
        <v>6.1812827097372205</v>
      </c>
      <c r="P23" s="53">
        <f t="shared" si="9"/>
        <v>6.2488987129867111</v>
      </c>
      <c r="Q23" s="53">
        <f t="shared" si="9"/>
        <v>6.3604387114274621</v>
      </c>
      <c r="R23" s="53">
        <f t="shared" si="9"/>
        <v>6.4146088130527756</v>
      </c>
      <c r="S23" s="53">
        <f t="shared" si="9"/>
        <v>6.5037722856557911</v>
      </c>
      <c r="T23" s="53">
        <f t="shared" si="9"/>
        <v>6.5649231923591449</v>
      </c>
      <c r="U23" s="53">
        <f t="shared" si="9"/>
        <v>6.6633693087047208</v>
      </c>
      <c r="V23" s="53">
        <f t="shared" si="9"/>
        <v>6.3328845301302588</v>
      </c>
      <c r="W23" s="53">
        <f t="shared" si="9"/>
        <v>6.4282227156159228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38.694642164560648</v>
      </c>
      <c r="C24" s="54">
        <f t="shared" si="10"/>
        <v>39.701402741097972</v>
      </c>
      <c r="D24" s="54">
        <f t="shared" ref="D24:W24" si="11">D9*1000/D3</f>
        <v>40.53212414102552</v>
      </c>
      <c r="E24" s="54">
        <f t="shared" si="11"/>
        <v>41.176482236697225</v>
      </c>
      <c r="F24" s="54">
        <f t="shared" si="11"/>
        <v>41.883904754901501</v>
      </c>
      <c r="G24" s="54">
        <f t="shared" si="11"/>
        <v>42.626151410193827</v>
      </c>
      <c r="H24" s="54">
        <f t="shared" si="11"/>
        <v>43.4448566194637</v>
      </c>
      <c r="I24" s="54">
        <f t="shared" si="11"/>
        <v>44.111659537052219</v>
      </c>
      <c r="J24" s="54">
        <f t="shared" si="11"/>
        <v>44.426260812156038</v>
      </c>
      <c r="K24" s="54">
        <f t="shared" si="11"/>
        <v>43.631345971571818</v>
      </c>
      <c r="L24" s="54">
        <f t="shared" si="11"/>
        <v>44.073888193758428</v>
      </c>
      <c r="M24" s="54">
        <f t="shared" si="11"/>
        <v>44.063690889051315</v>
      </c>
      <c r="N24" s="54">
        <f t="shared" si="11"/>
        <v>44.36072460132813</v>
      </c>
      <c r="O24" s="54">
        <f t="shared" si="11"/>
        <v>44.384557261662373</v>
      </c>
      <c r="P24" s="54">
        <f t="shared" si="11"/>
        <v>44.843313545809664</v>
      </c>
      <c r="Q24" s="54">
        <f t="shared" si="11"/>
        <v>45.359523520016104</v>
      </c>
      <c r="R24" s="54">
        <f t="shared" si="11"/>
        <v>45.864505501378652</v>
      </c>
      <c r="S24" s="54">
        <f t="shared" si="11"/>
        <v>46.261384786876782</v>
      </c>
      <c r="T24" s="54">
        <f t="shared" si="11"/>
        <v>46.617025184620871</v>
      </c>
      <c r="U24" s="54">
        <f t="shared" si="11"/>
        <v>46.769019068416632</v>
      </c>
      <c r="V24" s="54">
        <f t="shared" si="11"/>
        <v>46.762760493219325</v>
      </c>
      <c r="W24" s="54">
        <f t="shared" si="11"/>
        <v>47.064523778191813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143.01049404340085</v>
      </c>
      <c r="C25" s="54">
        <f t="shared" si="12"/>
        <v>141.79511502997039</v>
      </c>
      <c r="D25" s="54">
        <f t="shared" ref="D25:W25" si="13">D9*1000/D6</f>
        <v>141.06909765294296</v>
      </c>
      <c r="E25" s="54">
        <f t="shared" si="13"/>
        <v>140.14363478412406</v>
      </c>
      <c r="F25" s="54">
        <f t="shared" si="13"/>
        <v>138.33562736260694</v>
      </c>
      <c r="G25" s="54">
        <f t="shared" si="13"/>
        <v>136.23458201469919</v>
      </c>
      <c r="H25" s="54">
        <f t="shared" si="13"/>
        <v>133.68714244214175</v>
      </c>
      <c r="I25" s="54">
        <f t="shared" si="13"/>
        <v>132.49493226600569</v>
      </c>
      <c r="J25" s="54">
        <f t="shared" si="13"/>
        <v>132.40708174718364</v>
      </c>
      <c r="K25" s="54">
        <f t="shared" si="13"/>
        <v>135.18371198987936</v>
      </c>
      <c r="L25" s="54">
        <f t="shared" si="13"/>
        <v>137.50460049609043</v>
      </c>
      <c r="M25" s="54">
        <f t="shared" si="13"/>
        <v>139.03219879255812</v>
      </c>
      <c r="N25" s="54">
        <f t="shared" si="13"/>
        <v>143.83293992795288</v>
      </c>
      <c r="O25" s="54">
        <f t="shared" si="13"/>
        <v>145.60084730993654</v>
      </c>
      <c r="P25" s="54">
        <f t="shared" si="13"/>
        <v>144.02537812456202</v>
      </c>
      <c r="Q25" s="54">
        <f t="shared" si="13"/>
        <v>141.49967334533355</v>
      </c>
      <c r="R25" s="54">
        <f t="shared" si="13"/>
        <v>140.30473661443452</v>
      </c>
      <c r="S25" s="54">
        <f t="shared" si="13"/>
        <v>138.38122868861342</v>
      </c>
      <c r="T25" s="54">
        <f t="shared" si="13"/>
        <v>137.09223605959346</v>
      </c>
      <c r="U25" s="54">
        <f t="shared" si="13"/>
        <v>135.06680454050192</v>
      </c>
      <c r="V25" s="54">
        <f t="shared" si="13"/>
        <v>142.11533397111984</v>
      </c>
      <c r="W25" s="54">
        <f t="shared" si="13"/>
        <v>140.00759460521681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900.00000000000011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900</v>
      </c>
      <c r="I26" s="55">
        <f t="shared" si="15"/>
        <v>899.99999999999989</v>
      </c>
      <c r="J26" s="55">
        <f t="shared" si="15"/>
        <v>899.99999999999989</v>
      </c>
      <c r="K26" s="55">
        <f t="shared" si="15"/>
        <v>900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899.99999999999977</v>
      </c>
      <c r="P26" s="55">
        <f t="shared" si="15"/>
        <v>900.00000000000011</v>
      </c>
      <c r="Q26" s="55">
        <f t="shared" si="15"/>
        <v>900.00000000000023</v>
      </c>
      <c r="R26" s="55">
        <f t="shared" si="15"/>
        <v>900.00000000000011</v>
      </c>
      <c r="S26" s="55">
        <f t="shared" si="15"/>
        <v>900</v>
      </c>
      <c r="T26" s="55">
        <f t="shared" si="15"/>
        <v>899.99999999999989</v>
      </c>
      <c r="U26" s="55">
        <f t="shared" si="15"/>
        <v>899.99999999999989</v>
      </c>
      <c r="V26" s="55">
        <f t="shared" si="15"/>
        <v>900.00000000000011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900.00000000000023</v>
      </c>
      <c r="H27" s="57">
        <f t="shared" si="17"/>
        <v>900.00000000000011</v>
      </c>
      <c r="I27" s="57">
        <f t="shared" si="17"/>
        <v>900</v>
      </c>
      <c r="J27" s="57">
        <f t="shared" si="17"/>
        <v>900</v>
      </c>
      <c r="K27" s="57">
        <f t="shared" si="17"/>
        <v>900</v>
      </c>
      <c r="L27" s="57">
        <f t="shared" si="17"/>
        <v>899.99999999999977</v>
      </c>
      <c r="M27" s="57">
        <f t="shared" si="17"/>
        <v>900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6799.3826311263947</v>
      </c>
      <c r="C31" s="80">
        <f t="shared" ref="C31:W31" si="18">SUM(C32:C33,C36:C37,C44:C45)</f>
        <v>7129.9401547721409</v>
      </c>
      <c r="D31" s="80">
        <f t="shared" si="18"/>
        <v>7286.7561478933785</v>
      </c>
      <c r="E31" s="80">
        <f t="shared" si="18"/>
        <v>7344.3583834909714</v>
      </c>
      <c r="F31" s="80">
        <f t="shared" si="18"/>
        <v>7950.9993981083389</v>
      </c>
      <c r="G31" s="80">
        <f t="shared" si="18"/>
        <v>8585.1854686156494</v>
      </c>
      <c r="H31" s="80">
        <f t="shared" si="18"/>
        <v>10520.158383490972</v>
      </c>
      <c r="I31" s="80">
        <f t="shared" si="18"/>
        <v>9506.9370593293206</v>
      </c>
      <c r="J31" s="80">
        <f t="shared" si="18"/>
        <v>9789.8850386930353</v>
      </c>
      <c r="K31" s="80">
        <f t="shared" si="18"/>
        <v>10147.073206545318</v>
      </c>
      <c r="L31" s="80">
        <f t="shared" si="18"/>
        <v>10854.610197374526</v>
      </c>
      <c r="M31" s="80">
        <f t="shared" si="18"/>
        <v>10826.32425624899</v>
      </c>
      <c r="N31" s="80">
        <f t="shared" si="18"/>
        <v>10428.545229542924</v>
      </c>
      <c r="O31" s="80">
        <f t="shared" si="18"/>
        <v>10026.418925007025</v>
      </c>
      <c r="P31" s="80">
        <f t="shared" si="18"/>
        <v>9148.3557596862465</v>
      </c>
      <c r="Q31" s="80">
        <f t="shared" si="18"/>
        <v>9429.804478840324</v>
      </c>
      <c r="R31" s="80">
        <f t="shared" si="18"/>
        <v>9602.7753078085116</v>
      </c>
      <c r="S31" s="80">
        <f t="shared" si="18"/>
        <v>9836.1570172779248</v>
      </c>
      <c r="T31" s="80">
        <f t="shared" si="18"/>
        <v>9911.4455758867334</v>
      </c>
      <c r="U31" s="80">
        <f t="shared" si="18"/>
        <v>9891.3948571294022</v>
      </c>
      <c r="V31" s="80">
        <f t="shared" si="18"/>
        <v>9069.4597226078058</v>
      </c>
      <c r="W31" s="80">
        <f t="shared" si="18"/>
        <v>9526.2897097955356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1709.1263112639717</v>
      </c>
      <c r="C33" s="55">
        <f t="shared" ref="C33:W33" si="19">SUM(C34:C35)</f>
        <v>1862.570507308684</v>
      </c>
      <c r="D33" s="55">
        <f t="shared" si="19"/>
        <v>1828.3987962166807</v>
      </c>
      <c r="E33" s="55">
        <f t="shared" si="19"/>
        <v>1985.0100601891656</v>
      </c>
      <c r="F33" s="55">
        <f t="shared" si="19"/>
        <v>2149.6871023215822</v>
      </c>
      <c r="G33" s="55">
        <f t="shared" si="19"/>
        <v>2156.2864144453997</v>
      </c>
      <c r="H33" s="55">
        <f t="shared" si="19"/>
        <v>1649.6991401547725</v>
      </c>
      <c r="I33" s="55">
        <f t="shared" si="19"/>
        <v>1541.2128976784172</v>
      </c>
      <c r="J33" s="55">
        <f t="shared" si="19"/>
        <v>1477.2498710232157</v>
      </c>
      <c r="K33" s="55">
        <f t="shared" si="19"/>
        <v>1440.9190885640587</v>
      </c>
      <c r="L33" s="55">
        <f t="shared" si="19"/>
        <v>1428.945743766122</v>
      </c>
      <c r="M33" s="55">
        <f t="shared" si="19"/>
        <v>1361.185124677558</v>
      </c>
      <c r="N33" s="55">
        <f t="shared" si="19"/>
        <v>1423.5644883920895</v>
      </c>
      <c r="O33" s="55">
        <f t="shared" si="19"/>
        <v>1514.137231298366</v>
      </c>
      <c r="P33" s="55">
        <f t="shared" si="19"/>
        <v>1228.8550300945824</v>
      </c>
      <c r="Q33" s="55">
        <f t="shared" si="19"/>
        <v>1067.2350816852966</v>
      </c>
      <c r="R33" s="55">
        <f t="shared" si="19"/>
        <v>1283.5171969045571</v>
      </c>
      <c r="S33" s="55">
        <f t="shared" si="19"/>
        <v>1306.052364574376</v>
      </c>
      <c r="T33" s="55">
        <f t="shared" si="19"/>
        <v>1358.1923473774725</v>
      </c>
      <c r="U33" s="55">
        <f t="shared" si="19"/>
        <v>1256.4464316423039</v>
      </c>
      <c r="V33" s="55">
        <f t="shared" si="19"/>
        <v>1135.4376612209801</v>
      </c>
      <c r="W33" s="55">
        <f t="shared" si="19"/>
        <v>1258.0440240756666</v>
      </c>
      <c r="DA33" s="101"/>
    </row>
    <row r="34" spans="1:105" ht="12" customHeight="1" x14ac:dyDescent="0.25">
      <c r="A34" s="61" t="s">
        <v>52</v>
      </c>
      <c r="B34" s="55">
        <v>230.4671539122958</v>
      </c>
      <c r="C34" s="55">
        <v>247.4133276010318</v>
      </c>
      <c r="D34" s="55">
        <v>247.4133276010318</v>
      </c>
      <c r="E34" s="55">
        <v>244.02407566638001</v>
      </c>
      <c r="F34" s="55">
        <v>249.67274290627691</v>
      </c>
      <c r="G34" s="55">
        <v>231.5969045571797</v>
      </c>
      <c r="H34" s="55">
        <v>213.52106620808249</v>
      </c>
      <c r="I34" s="55">
        <v>218.0400687876182</v>
      </c>
      <c r="J34" s="55">
        <v>224.81848667239899</v>
      </c>
      <c r="K34" s="55">
        <v>204.48314703353401</v>
      </c>
      <c r="L34" s="55">
        <v>202.2236457437661</v>
      </c>
      <c r="M34" s="55">
        <v>189.79647463456581</v>
      </c>
      <c r="N34" s="55">
        <v>180.75855546001719</v>
      </c>
      <c r="O34" s="55">
        <v>172.8503869303525</v>
      </c>
      <c r="P34" s="55">
        <v>133.30945829750641</v>
      </c>
      <c r="Q34" s="55">
        <v>186.4073086844368</v>
      </c>
      <c r="R34" s="55">
        <v>240.63482373172829</v>
      </c>
      <c r="S34" s="55">
        <v>203.35339638865</v>
      </c>
      <c r="T34" s="55">
        <v>223.68873602751501</v>
      </c>
      <c r="U34" s="55">
        <v>185.27755803955279</v>
      </c>
      <c r="V34" s="55">
        <v>116.3633705932932</v>
      </c>
      <c r="W34" s="55">
        <v>135.99028374892521</v>
      </c>
      <c r="DA34" s="101" t="s">
        <v>200</v>
      </c>
    </row>
    <row r="35" spans="1:105" ht="12" customHeight="1" x14ac:dyDescent="0.25">
      <c r="A35" s="61" t="s">
        <v>170</v>
      </c>
      <c r="B35" s="55">
        <v>1478.659157351676</v>
      </c>
      <c r="C35" s="55">
        <v>1615.1571797076522</v>
      </c>
      <c r="D35" s="55">
        <v>1580.9854686156489</v>
      </c>
      <c r="E35" s="55">
        <v>1740.9859845227857</v>
      </c>
      <c r="F35" s="55">
        <v>1900.0143594153053</v>
      </c>
      <c r="G35" s="55">
        <v>1924.6895098882201</v>
      </c>
      <c r="H35" s="55">
        <v>1436.1780739466901</v>
      </c>
      <c r="I35" s="55">
        <v>1323.1728288907991</v>
      </c>
      <c r="J35" s="55">
        <v>1252.4313843508166</v>
      </c>
      <c r="K35" s="55">
        <v>1236.4359415305248</v>
      </c>
      <c r="L35" s="55">
        <v>1226.7220980223558</v>
      </c>
      <c r="M35" s="55">
        <v>1171.3886500429921</v>
      </c>
      <c r="N35" s="55">
        <v>1242.8059329320722</v>
      </c>
      <c r="O35" s="55">
        <v>1341.2868443680136</v>
      </c>
      <c r="P35" s="55">
        <v>1095.545571797076</v>
      </c>
      <c r="Q35" s="55">
        <v>880.82777300085979</v>
      </c>
      <c r="R35" s="55">
        <v>1042.8823731728287</v>
      </c>
      <c r="S35" s="55">
        <v>1102.698968185726</v>
      </c>
      <c r="T35" s="55">
        <v>1134.5036113499575</v>
      </c>
      <c r="U35" s="55">
        <v>1071.1688736027511</v>
      </c>
      <c r="V35" s="55">
        <v>1019.0742906276869</v>
      </c>
      <c r="W35" s="55">
        <v>1122.0537403267413</v>
      </c>
      <c r="DA35" s="101" t="s">
        <v>201</v>
      </c>
    </row>
    <row r="36" spans="1:105" ht="12" customHeight="1" x14ac:dyDescent="0.25">
      <c r="A36" s="60" t="s">
        <v>153</v>
      </c>
      <c r="B36" s="55">
        <v>583.70137575236458</v>
      </c>
      <c r="C36" s="55">
        <v>647.73766122098016</v>
      </c>
      <c r="D36" s="55">
        <v>672.95236457437659</v>
      </c>
      <c r="E36" s="55">
        <v>214.78761822871877</v>
      </c>
      <c r="F36" s="55">
        <v>355.65064488392096</v>
      </c>
      <c r="G36" s="55">
        <v>717.90042992261385</v>
      </c>
      <c r="H36" s="55">
        <v>2335.7717970765261</v>
      </c>
      <c r="I36" s="55">
        <v>1460.1127257093722</v>
      </c>
      <c r="J36" s="55">
        <v>1326.0605331040413</v>
      </c>
      <c r="K36" s="55">
        <v>1639.0495270851245</v>
      </c>
      <c r="L36" s="55">
        <v>2102.8748065348245</v>
      </c>
      <c r="M36" s="55">
        <v>2309.3938091143591</v>
      </c>
      <c r="N36" s="55">
        <v>1932.3943250214959</v>
      </c>
      <c r="O36" s="55">
        <v>1778.6641444539989</v>
      </c>
      <c r="P36" s="55">
        <v>1685.2767841788475</v>
      </c>
      <c r="Q36" s="55">
        <v>1840.7073086844373</v>
      </c>
      <c r="R36" s="55">
        <v>1796.0165090283742</v>
      </c>
      <c r="S36" s="55">
        <v>1831.6409286328455</v>
      </c>
      <c r="T36" s="55">
        <v>1920.4643164230442</v>
      </c>
      <c r="U36" s="55">
        <v>1989.6388650042991</v>
      </c>
      <c r="V36" s="55">
        <v>1926.0466895958725</v>
      </c>
      <c r="W36" s="55">
        <v>2084.0310404127263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59.521410146173686</v>
      </c>
      <c r="C37" s="55">
        <f t="shared" ref="C37:W37" si="20">SUM(C38:C42)</f>
        <v>61.936371453138428</v>
      </c>
      <c r="D37" s="55">
        <f t="shared" si="20"/>
        <v>66.488392089423897</v>
      </c>
      <c r="E37" s="55">
        <f t="shared" si="20"/>
        <v>69.152278589853807</v>
      </c>
      <c r="F37" s="55">
        <f t="shared" si="20"/>
        <v>71.371023215821154</v>
      </c>
      <c r="G37" s="55">
        <f t="shared" si="20"/>
        <v>76.088907996560621</v>
      </c>
      <c r="H37" s="55">
        <f t="shared" si="20"/>
        <v>130.21625107480656</v>
      </c>
      <c r="I37" s="55">
        <f t="shared" si="20"/>
        <v>134.15829750644886</v>
      </c>
      <c r="J37" s="55">
        <f t="shared" si="20"/>
        <v>115.98134135855547</v>
      </c>
      <c r="K37" s="55">
        <f t="shared" si="20"/>
        <v>90.062596732588133</v>
      </c>
      <c r="L37" s="55">
        <f t="shared" si="20"/>
        <v>95.543164230438521</v>
      </c>
      <c r="M37" s="55">
        <f t="shared" si="20"/>
        <v>118.25460017196902</v>
      </c>
      <c r="N37" s="55">
        <f t="shared" si="20"/>
        <v>127.54419604471194</v>
      </c>
      <c r="O37" s="55">
        <f t="shared" si="20"/>
        <v>169.54944110060188</v>
      </c>
      <c r="P37" s="55">
        <f t="shared" si="20"/>
        <v>164.69699054170252</v>
      </c>
      <c r="Q37" s="55">
        <f t="shared" si="20"/>
        <v>147.88710232158206</v>
      </c>
      <c r="R37" s="55">
        <f t="shared" si="20"/>
        <v>211.31306964746349</v>
      </c>
      <c r="S37" s="55">
        <f t="shared" si="20"/>
        <v>221.36878761822862</v>
      </c>
      <c r="T37" s="55">
        <f t="shared" si="20"/>
        <v>221.86147893379183</v>
      </c>
      <c r="U37" s="55">
        <f t="shared" si="20"/>
        <v>226.50911435941521</v>
      </c>
      <c r="V37" s="55">
        <f t="shared" si="20"/>
        <v>223.47927773000865</v>
      </c>
      <c r="W37" s="55">
        <f t="shared" si="20"/>
        <v>238.0638865004299</v>
      </c>
      <c r="DA37" s="101"/>
    </row>
    <row r="38" spans="1:105" ht="12" customHeight="1" x14ac:dyDescent="0.25">
      <c r="A38" s="61" t="s">
        <v>171</v>
      </c>
      <c r="B38" s="55">
        <v>42.633963886500425</v>
      </c>
      <c r="C38" s="55">
        <v>43.350558899398095</v>
      </c>
      <c r="D38" s="55">
        <v>43.350558899398102</v>
      </c>
      <c r="E38" s="55">
        <v>43.350558899398095</v>
      </c>
      <c r="F38" s="55">
        <v>43.565520206362848</v>
      </c>
      <c r="G38" s="55">
        <v>44.138693035253652</v>
      </c>
      <c r="H38" s="55">
        <v>68.071109200343955</v>
      </c>
      <c r="I38" s="55">
        <v>69.575838349097168</v>
      </c>
      <c r="J38" s="55">
        <v>79.702837489251934</v>
      </c>
      <c r="K38" s="55">
        <v>58.015649183147033</v>
      </c>
      <c r="L38" s="55">
        <v>60.022012037833193</v>
      </c>
      <c r="M38" s="55">
        <v>64.201805674978502</v>
      </c>
      <c r="N38" s="55">
        <v>68.739810834049862</v>
      </c>
      <c r="O38" s="55">
        <v>72.537489251934645</v>
      </c>
      <c r="P38" s="55">
        <v>74.113843508168529</v>
      </c>
      <c r="Q38" s="55">
        <v>84.957523645743692</v>
      </c>
      <c r="R38" s="55">
        <v>107.81513327601036</v>
      </c>
      <c r="S38" s="55">
        <v>116.41341358555451</v>
      </c>
      <c r="T38" s="55">
        <v>115.02820292347371</v>
      </c>
      <c r="U38" s="55">
        <v>119.27962166809965</v>
      </c>
      <c r="V38" s="55">
        <v>121.35700773860708</v>
      </c>
      <c r="W38" s="55">
        <v>131.88538263112639</v>
      </c>
      <c r="DA38" s="101" t="s">
        <v>203</v>
      </c>
    </row>
    <row r="39" spans="1:105" ht="12" customHeight="1" x14ac:dyDescent="0.25">
      <c r="A39" s="61" t="s">
        <v>50</v>
      </c>
      <c r="B39" s="55">
        <v>9.5299226139294912</v>
      </c>
      <c r="C39" s="55">
        <v>9.5299226139294912</v>
      </c>
      <c r="D39" s="55">
        <v>13.208168529664659</v>
      </c>
      <c r="E39" s="55">
        <v>13.208168529664659</v>
      </c>
      <c r="F39" s="55">
        <v>12.826053310404131</v>
      </c>
      <c r="G39" s="55">
        <v>13.75752364574377</v>
      </c>
      <c r="H39" s="55">
        <v>41.057609630266548</v>
      </c>
      <c r="I39" s="55">
        <v>41.821926053310399</v>
      </c>
      <c r="J39" s="55">
        <v>9.4582975064488384</v>
      </c>
      <c r="K39" s="55">
        <v>0.16715391229578669</v>
      </c>
      <c r="L39" s="55">
        <v>0.16715391229578669</v>
      </c>
      <c r="M39" s="55">
        <v>15.883233018056746</v>
      </c>
      <c r="N39" s="55">
        <v>17.101375752364568</v>
      </c>
      <c r="O39" s="55">
        <v>52.713327601031807</v>
      </c>
      <c r="P39" s="55">
        <v>43.302751504729144</v>
      </c>
      <c r="Q39" s="55">
        <v>11.918400687876186</v>
      </c>
      <c r="R39" s="55">
        <v>51.66233877901977</v>
      </c>
      <c r="S39" s="55">
        <v>52.211693895098882</v>
      </c>
      <c r="T39" s="55">
        <v>52.355030094582972</v>
      </c>
      <c r="U39" s="55">
        <v>52.307222699914007</v>
      </c>
      <c r="V39" s="55">
        <v>52.068443680137577</v>
      </c>
      <c r="W39" s="55">
        <v>56.678159931212377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0.64488392089423896</v>
      </c>
      <c r="O40" s="55">
        <v>2.4616509028374889</v>
      </c>
      <c r="P40" s="55">
        <v>2.4616509028374889</v>
      </c>
      <c r="Q40" s="55">
        <v>3.369991401547721</v>
      </c>
      <c r="R40" s="55">
        <v>4.2784178847807386</v>
      </c>
      <c r="S40" s="55">
        <v>4.2784178847807386</v>
      </c>
      <c r="T40" s="55">
        <v>5.1867583834909716</v>
      </c>
      <c r="U40" s="55">
        <v>5.1867583834909716</v>
      </c>
      <c r="V40" s="55">
        <v>0.64488392089423896</v>
      </c>
      <c r="W40" s="55">
        <v>1.0608770421324158</v>
      </c>
      <c r="DA40" s="101" t="s">
        <v>205</v>
      </c>
    </row>
    <row r="41" spans="1:105" ht="12" customHeight="1" x14ac:dyDescent="0.25">
      <c r="A41" s="61" t="s">
        <v>26</v>
      </c>
      <c r="B41" s="55">
        <v>6.2624247635425609</v>
      </c>
      <c r="C41" s="55">
        <v>7.9607910576096304</v>
      </c>
      <c r="D41" s="55">
        <v>9.7893379191745478</v>
      </c>
      <c r="E41" s="55">
        <v>12.49320722269991</v>
      </c>
      <c r="F41" s="55">
        <v>14.87910576096303</v>
      </c>
      <c r="G41" s="55">
        <v>18.092347377472048</v>
      </c>
      <c r="H41" s="55">
        <v>20.987188306104901</v>
      </c>
      <c r="I41" s="55">
        <v>22.660189165950129</v>
      </c>
      <c r="J41" s="55">
        <v>26.719862424763541</v>
      </c>
      <c r="K41" s="55">
        <v>31.779449699054169</v>
      </c>
      <c r="L41" s="55">
        <v>35.253654342218397</v>
      </c>
      <c r="M41" s="55">
        <v>38.069217540842637</v>
      </c>
      <c r="N41" s="55">
        <v>40.957781599312121</v>
      </c>
      <c r="O41" s="55">
        <v>41.73662940670679</v>
      </c>
      <c r="P41" s="55">
        <v>44.718400687876183</v>
      </c>
      <c r="Q41" s="55">
        <v>47.540842648323299</v>
      </c>
      <c r="R41" s="55">
        <v>47.456835769561479</v>
      </c>
      <c r="S41" s="55">
        <v>48.364918314703353</v>
      </c>
      <c r="T41" s="55">
        <v>49.191143594153047</v>
      </c>
      <c r="U41" s="55">
        <v>49.635167669819417</v>
      </c>
      <c r="V41" s="55">
        <v>49.308598452278581</v>
      </c>
      <c r="W41" s="55">
        <v>48.339122957867581</v>
      </c>
      <c r="DA41" s="101" t="s">
        <v>206</v>
      </c>
    </row>
    <row r="42" spans="1:105" ht="12" customHeight="1" x14ac:dyDescent="0.25">
      <c r="A42" s="61" t="s">
        <v>25</v>
      </c>
      <c r="B42" s="55">
        <v>1.095098882201204</v>
      </c>
      <c r="C42" s="55">
        <v>1.095098882201204</v>
      </c>
      <c r="D42" s="55">
        <v>0.14032674118658639</v>
      </c>
      <c r="E42" s="55">
        <v>0.1003439380911436</v>
      </c>
      <c r="F42" s="55">
        <v>0.1003439380911436</v>
      </c>
      <c r="G42" s="55">
        <v>0.1003439380911436</v>
      </c>
      <c r="H42" s="55">
        <v>0.1003439380911436</v>
      </c>
      <c r="I42" s="55">
        <v>0.1003439380911436</v>
      </c>
      <c r="J42" s="55">
        <v>0.1003439380911436</v>
      </c>
      <c r="K42" s="55">
        <v>0.1003439380911436</v>
      </c>
      <c r="L42" s="55">
        <v>0.1003439380911436</v>
      </c>
      <c r="M42" s="55">
        <v>0.1003439380911436</v>
      </c>
      <c r="N42" s="55">
        <v>0.1003439380911436</v>
      </c>
      <c r="O42" s="55">
        <v>0.1003439380911436</v>
      </c>
      <c r="P42" s="55">
        <v>0.1003439380911436</v>
      </c>
      <c r="Q42" s="55">
        <v>0.1003439380911436</v>
      </c>
      <c r="R42" s="55">
        <v>0.1003439380911436</v>
      </c>
      <c r="S42" s="55">
        <v>0.1003439380911436</v>
      </c>
      <c r="T42" s="55">
        <v>0.1003439380911436</v>
      </c>
      <c r="U42" s="55">
        <v>0.1003439380911436</v>
      </c>
      <c r="V42" s="55">
        <v>0.1003439380911436</v>
      </c>
      <c r="W42" s="55">
        <v>0.1003439380911436</v>
      </c>
      <c r="DA42" s="101" t="s">
        <v>207</v>
      </c>
    </row>
    <row r="43" spans="1:105" ht="12" customHeight="1" x14ac:dyDescent="0.25">
      <c r="A43" s="61" t="s">
        <v>157</v>
      </c>
      <c r="B43" s="55">
        <v>0.56915194608067454</v>
      </c>
      <c r="C43" s="55">
        <v>0.89416762598291089</v>
      </c>
      <c r="D43" s="55">
        <v>1.2198166037588396</v>
      </c>
      <c r="E43" s="55">
        <v>2.045513027813306</v>
      </c>
      <c r="F43" s="55">
        <v>2.4841873417841156</v>
      </c>
      <c r="G43" s="55">
        <v>4.7754215372486017</v>
      </c>
      <c r="H43" s="55">
        <v>7.4907102504605314</v>
      </c>
      <c r="I43" s="55">
        <v>14.527632089606273</v>
      </c>
      <c r="J43" s="55">
        <v>24.757965792015149</v>
      </c>
      <c r="K43" s="55">
        <v>31.169996375072706</v>
      </c>
      <c r="L43" s="55">
        <v>37.022892145782379</v>
      </c>
      <c r="M43" s="55">
        <v>45.843468562685807</v>
      </c>
      <c r="N43" s="55">
        <v>69.554077570601038</v>
      </c>
      <c r="O43" s="55">
        <v>93.269649873053581</v>
      </c>
      <c r="P43" s="55">
        <v>120.35331040412738</v>
      </c>
      <c r="Q43" s="55">
        <v>180.25640584694744</v>
      </c>
      <c r="R43" s="55">
        <v>243.00533104041253</v>
      </c>
      <c r="S43" s="55">
        <v>314.2517626827165</v>
      </c>
      <c r="T43" s="55">
        <v>390.80670679277694</v>
      </c>
      <c r="U43" s="55">
        <v>472.1727429062762</v>
      </c>
      <c r="V43" s="55">
        <v>547.81203783319131</v>
      </c>
      <c r="W43" s="55">
        <v>622.37910576096419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4447.033533963885</v>
      </c>
      <c r="C45" s="63">
        <v>4557.6956147893379</v>
      </c>
      <c r="D45" s="63">
        <v>4718.9165950128972</v>
      </c>
      <c r="E45" s="63">
        <v>5075.4084264832327</v>
      </c>
      <c r="F45" s="63">
        <v>5374.2906276870153</v>
      </c>
      <c r="G45" s="63">
        <v>5634.9097162510752</v>
      </c>
      <c r="H45" s="63">
        <v>6404.4711951848667</v>
      </c>
      <c r="I45" s="63">
        <v>6371.4531384350821</v>
      </c>
      <c r="J45" s="63">
        <v>6870.5932932072228</v>
      </c>
      <c r="K45" s="63">
        <v>6977.0419941635464</v>
      </c>
      <c r="L45" s="63">
        <v>7227.2464828431412</v>
      </c>
      <c r="M45" s="63">
        <v>7037.4907222851052</v>
      </c>
      <c r="N45" s="63">
        <v>6945.0422200846269</v>
      </c>
      <c r="O45" s="63">
        <v>6564.0681081540579</v>
      </c>
      <c r="P45" s="63">
        <v>6069.526954871114</v>
      </c>
      <c r="Q45" s="63">
        <v>6373.9749861490091</v>
      </c>
      <c r="R45" s="63">
        <v>6311.9285322281166</v>
      </c>
      <c r="S45" s="63">
        <v>6477.094936452474</v>
      </c>
      <c r="T45" s="63">
        <v>6410.9274331524248</v>
      </c>
      <c r="U45" s="63">
        <v>6418.800446123385</v>
      </c>
      <c r="V45" s="63">
        <v>5784.4960940609444</v>
      </c>
      <c r="W45" s="63">
        <v>5946.1507588067125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6799.3826311263947</v>
      </c>
      <c r="C47" s="82">
        <f t="shared" ref="C47:W47" si="22">SUM(C48,C53)</f>
        <v>7129.9401547721409</v>
      </c>
      <c r="D47" s="82">
        <f t="shared" si="22"/>
        <v>7286.7561478933785</v>
      </c>
      <c r="E47" s="82">
        <f t="shared" si="22"/>
        <v>7344.3583834909714</v>
      </c>
      <c r="F47" s="82">
        <f t="shared" si="22"/>
        <v>7950.9993981083389</v>
      </c>
      <c r="G47" s="82">
        <f t="shared" si="22"/>
        <v>8585.1854686156494</v>
      </c>
      <c r="H47" s="82">
        <f t="shared" si="22"/>
        <v>10520.158383490972</v>
      </c>
      <c r="I47" s="82">
        <f t="shared" si="22"/>
        <v>9506.9370593293206</v>
      </c>
      <c r="J47" s="82">
        <f t="shared" si="22"/>
        <v>9789.8850386930335</v>
      </c>
      <c r="K47" s="82">
        <f t="shared" si="22"/>
        <v>10147.073206545318</v>
      </c>
      <c r="L47" s="82">
        <f t="shared" si="22"/>
        <v>10854.610197374524</v>
      </c>
      <c r="M47" s="82">
        <f t="shared" si="22"/>
        <v>10826.32425624899</v>
      </c>
      <c r="N47" s="82">
        <f t="shared" si="22"/>
        <v>10428.545229542924</v>
      </c>
      <c r="O47" s="82">
        <f t="shared" si="22"/>
        <v>10026.418925007025</v>
      </c>
      <c r="P47" s="82">
        <f t="shared" si="22"/>
        <v>9148.3557596862483</v>
      </c>
      <c r="Q47" s="82">
        <f t="shared" si="22"/>
        <v>9429.804478840324</v>
      </c>
      <c r="R47" s="82">
        <f t="shared" si="22"/>
        <v>9602.7753078085116</v>
      </c>
      <c r="S47" s="82">
        <f t="shared" si="22"/>
        <v>9836.1570172779229</v>
      </c>
      <c r="T47" s="82">
        <f t="shared" si="22"/>
        <v>9911.4455758867334</v>
      </c>
      <c r="U47" s="82">
        <f t="shared" si="22"/>
        <v>9891.3948571294022</v>
      </c>
      <c r="V47" s="82">
        <f t="shared" si="22"/>
        <v>9069.4597226078076</v>
      </c>
      <c r="W47" s="82">
        <f t="shared" si="22"/>
        <v>9526.2897097955356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4011.3545100489378</v>
      </c>
      <c r="C48" s="64">
        <f t="shared" ref="C48:W48" si="24">SUM(C49:C52)</f>
        <v>4155.9860102640696</v>
      </c>
      <c r="D48" s="64">
        <f t="shared" si="24"/>
        <v>4150.7402595861186</v>
      </c>
      <c r="E48" s="64">
        <f t="shared" si="24"/>
        <v>4022.7235370992857</v>
      </c>
      <c r="F48" s="64">
        <f t="shared" si="24"/>
        <v>4436.3756449103366</v>
      </c>
      <c r="G48" s="64">
        <f t="shared" si="24"/>
        <v>4882.9296859679653</v>
      </c>
      <c r="H48" s="64">
        <f t="shared" si="24"/>
        <v>6647.1037203874812</v>
      </c>
      <c r="I48" s="64">
        <f t="shared" si="24"/>
        <v>5492.9398250714285</v>
      </c>
      <c r="J48" s="64">
        <f t="shared" si="24"/>
        <v>5658.1146832946033</v>
      </c>
      <c r="K48" s="64">
        <f t="shared" si="24"/>
        <v>6004.5526130724702</v>
      </c>
      <c r="L48" s="64">
        <f t="shared" si="24"/>
        <v>6630.286147559802</v>
      </c>
      <c r="M48" s="64">
        <f t="shared" si="24"/>
        <v>6581.7510784179403</v>
      </c>
      <c r="N48" s="64">
        <f t="shared" si="24"/>
        <v>6130.8040493973549</v>
      </c>
      <c r="O48" s="64">
        <f t="shared" si="24"/>
        <v>5722.3438358959393</v>
      </c>
      <c r="P48" s="64">
        <f t="shared" si="24"/>
        <v>4811.2025732412585</v>
      </c>
      <c r="Q48" s="64">
        <f t="shared" si="24"/>
        <v>4986.1761667278024</v>
      </c>
      <c r="R48" s="64">
        <f t="shared" si="24"/>
        <v>5070.4869295108201</v>
      </c>
      <c r="S48" s="64">
        <f t="shared" si="24"/>
        <v>5359.1359326475231</v>
      </c>
      <c r="T48" s="64">
        <f t="shared" si="24"/>
        <v>5431.6479211811475</v>
      </c>
      <c r="U48" s="64">
        <f t="shared" si="24"/>
        <v>5463.0026506996246</v>
      </c>
      <c r="V48" s="64">
        <f t="shared" si="24"/>
        <v>5002.129856495927</v>
      </c>
      <c r="W48" s="64">
        <f t="shared" si="24"/>
        <v>5480.9807286483501</v>
      </c>
      <c r="DA48" s="108" t="s">
        <v>212</v>
      </c>
    </row>
    <row r="49" spans="1:105" ht="12" customHeight="1" x14ac:dyDescent="0.25">
      <c r="A49" s="61" t="s">
        <v>32</v>
      </c>
      <c r="B49" s="65">
        <v>1900.5908428661787</v>
      </c>
      <c r="C49" s="65">
        <v>1892.2179484840708</v>
      </c>
      <c r="D49" s="65">
        <v>1839.4397304562344</v>
      </c>
      <c r="E49" s="65">
        <v>1568.7381958651522</v>
      </c>
      <c r="F49" s="65">
        <v>1806.4873478381808</v>
      </c>
      <c r="G49" s="65">
        <v>2117.9591470539003</v>
      </c>
      <c r="H49" s="65">
        <v>3599.5386015455388</v>
      </c>
      <c r="I49" s="65">
        <v>2452.89870546667</v>
      </c>
      <c r="J49" s="65">
        <v>2455.0262825082336</v>
      </c>
      <c r="K49" s="65">
        <v>2599.2058922644005</v>
      </c>
      <c r="L49" s="65">
        <v>3154.6031343522586</v>
      </c>
      <c r="M49" s="65">
        <v>3134.9541272044739</v>
      </c>
      <c r="N49" s="65">
        <v>2559.9774011123477</v>
      </c>
      <c r="O49" s="65">
        <v>2280.0095581510063</v>
      </c>
      <c r="P49" s="65">
        <v>1369.8772702727215</v>
      </c>
      <c r="Q49" s="65">
        <v>1291.9551645696197</v>
      </c>
      <c r="R49" s="65">
        <v>1445.9150728785887</v>
      </c>
      <c r="S49" s="65">
        <v>1600.225153058565</v>
      </c>
      <c r="T49" s="65">
        <v>1894.1950259518703</v>
      </c>
      <c r="U49" s="65">
        <v>1890.8542743134258</v>
      </c>
      <c r="V49" s="65">
        <v>1729.7213203289841</v>
      </c>
      <c r="W49" s="65">
        <v>2028.5852462338075</v>
      </c>
      <c r="DA49" s="109" t="s">
        <v>213</v>
      </c>
    </row>
    <row r="50" spans="1:105" ht="12" customHeight="1" x14ac:dyDescent="0.25">
      <c r="A50" s="61" t="s">
        <v>31</v>
      </c>
      <c r="B50" s="65">
        <v>246.71300202075255</v>
      </c>
      <c r="C50" s="65">
        <v>285.26217165239262</v>
      </c>
      <c r="D50" s="65">
        <v>281.57731931742239</v>
      </c>
      <c r="E50" s="65">
        <v>413.1483194119603</v>
      </c>
      <c r="F50" s="65">
        <v>389.18089347500722</v>
      </c>
      <c r="G50" s="65">
        <v>450.8600742380699</v>
      </c>
      <c r="H50" s="65">
        <v>563.44997556095404</v>
      </c>
      <c r="I50" s="65">
        <v>483.27341098421567</v>
      </c>
      <c r="J50" s="65">
        <v>552.43429040656804</v>
      </c>
      <c r="K50" s="65">
        <v>772.66258043651987</v>
      </c>
      <c r="L50" s="65">
        <v>774.44483818001424</v>
      </c>
      <c r="M50" s="65">
        <v>719.18210017664489</v>
      </c>
      <c r="N50" s="65">
        <v>875.6615234031583</v>
      </c>
      <c r="O50" s="65">
        <v>707.28882387036458</v>
      </c>
      <c r="P50" s="65">
        <v>648.74490538488885</v>
      </c>
      <c r="Q50" s="65">
        <v>938.17524675982895</v>
      </c>
      <c r="R50" s="65">
        <v>900.04702374939404</v>
      </c>
      <c r="S50" s="65">
        <v>1025.2396149991864</v>
      </c>
      <c r="T50" s="65">
        <v>721.9445381253862</v>
      </c>
      <c r="U50" s="65">
        <v>746.54228860755245</v>
      </c>
      <c r="V50" s="65">
        <v>824.36076677593201</v>
      </c>
      <c r="W50" s="65">
        <v>708.82255519659964</v>
      </c>
      <c r="DA50" s="109" t="s">
        <v>214</v>
      </c>
    </row>
    <row r="51" spans="1:105" ht="12" customHeight="1" x14ac:dyDescent="0.25">
      <c r="A51" s="61" t="s">
        <v>35</v>
      </c>
      <c r="B51" s="65">
        <v>906.37325498883365</v>
      </c>
      <c r="C51" s="65">
        <v>960.60516495893671</v>
      </c>
      <c r="D51" s="65">
        <v>1023.5838745591808</v>
      </c>
      <c r="E51" s="65">
        <v>1039.7084300298761</v>
      </c>
      <c r="F51" s="65">
        <v>1128.5470803230533</v>
      </c>
      <c r="G51" s="65">
        <v>1160.7366514099583</v>
      </c>
      <c r="H51" s="65">
        <v>1229.1994638362278</v>
      </c>
      <c r="I51" s="65">
        <v>1244.4721173783287</v>
      </c>
      <c r="J51" s="65">
        <v>1275.8817768224628</v>
      </c>
      <c r="K51" s="65">
        <v>1268.0492203870747</v>
      </c>
      <c r="L51" s="65">
        <v>1288.1380184834036</v>
      </c>
      <c r="M51" s="65">
        <v>1294.7394475087926</v>
      </c>
      <c r="N51" s="65">
        <v>1270.6167114026728</v>
      </c>
      <c r="O51" s="65">
        <v>1293.3165346109245</v>
      </c>
      <c r="P51" s="65">
        <v>1267.48400816401</v>
      </c>
      <c r="Q51" s="65">
        <v>1203.3134800060691</v>
      </c>
      <c r="R51" s="65">
        <v>1173.4934124008475</v>
      </c>
      <c r="S51" s="65">
        <v>1131.1735217494661</v>
      </c>
      <c r="T51" s="65">
        <v>1193.4739432683036</v>
      </c>
      <c r="U51" s="65">
        <v>1164.3809842028402</v>
      </c>
      <c r="V51" s="65">
        <v>1033.1731861986902</v>
      </c>
      <c r="W51" s="65">
        <v>1114.9825082067562</v>
      </c>
      <c r="DA51" s="109" t="s">
        <v>215</v>
      </c>
    </row>
    <row r="52" spans="1:105" ht="12" customHeight="1" x14ac:dyDescent="0.25">
      <c r="A52" s="66" t="s">
        <v>34</v>
      </c>
      <c r="B52" s="67">
        <v>957.67741017317292</v>
      </c>
      <c r="C52" s="67">
        <v>1017.9007251686691</v>
      </c>
      <c r="D52" s="67">
        <v>1006.1393352532812</v>
      </c>
      <c r="E52" s="67">
        <v>1001.1285917922968</v>
      </c>
      <c r="F52" s="67">
        <v>1112.1603232740956</v>
      </c>
      <c r="G52" s="67">
        <v>1153.3738132660369</v>
      </c>
      <c r="H52" s="67">
        <v>1254.9156794447608</v>
      </c>
      <c r="I52" s="67">
        <v>1312.2955912422142</v>
      </c>
      <c r="J52" s="67">
        <v>1374.7723335573389</v>
      </c>
      <c r="K52" s="67">
        <v>1364.6349199844753</v>
      </c>
      <c r="L52" s="67">
        <v>1413.1001565441261</v>
      </c>
      <c r="M52" s="67">
        <v>1432.875403528029</v>
      </c>
      <c r="N52" s="67">
        <v>1424.5484134791755</v>
      </c>
      <c r="O52" s="67">
        <v>1441.728919263644</v>
      </c>
      <c r="P52" s="67">
        <v>1525.0963894196389</v>
      </c>
      <c r="Q52" s="67">
        <v>1552.7322753922845</v>
      </c>
      <c r="R52" s="67">
        <v>1551.0314204819902</v>
      </c>
      <c r="S52" s="67">
        <v>1602.4976428403056</v>
      </c>
      <c r="T52" s="67">
        <v>1622.0344138355877</v>
      </c>
      <c r="U52" s="67">
        <v>1661.2251035758063</v>
      </c>
      <c r="V52" s="67">
        <v>1414.8745831923206</v>
      </c>
      <c r="W52" s="67">
        <v>1628.5904190111874</v>
      </c>
      <c r="DA52" s="110" t="s">
        <v>216</v>
      </c>
    </row>
    <row r="53" spans="1:105" ht="12" customHeight="1" x14ac:dyDescent="0.25">
      <c r="A53" s="78" t="s">
        <v>33</v>
      </c>
      <c r="B53" s="68">
        <v>2788.0281210774569</v>
      </c>
      <c r="C53" s="68">
        <v>2973.9541445080708</v>
      </c>
      <c r="D53" s="68">
        <v>3136.01588830726</v>
      </c>
      <c r="E53" s="68">
        <v>3321.6348463916856</v>
      </c>
      <c r="F53" s="68">
        <v>3514.6237531980023</v>
      </c>
      <c r="G53" s="68">
        <v>3702.2557826476846</v>
      </c>
      <c r="H53" s="68">
        <v>3873.0546631034917</v>
      </c>
      <c r="I53" s="68">
        <v>4013.9972342578922</v>
      </c>
      <c r="J53" s="68">
        <v>4131.7703553984302</v>
      </c>
      <c r="K53" s="68">
        <v>4142.5205934728474</v>
      </c>
      <c r="L53" s="68">
        <v>4224.3240498147225</v>
      </c>
      <c r="M53" s="68">
        <v>4244.5731778310501</v>
      </c>
      <c r="N53" s="68">
        <v>4297.7411801455701</v>
      </c>
      <c r="O53" s="68">
        <v>4304.0750891110856</v>
      </c>
      <c r="P53" s="68">
        <v>4337.1531864449898</v>
      </c>
      <c r="Q53" s="68">
        <v>4443.6283121125216</v>
      </c>
      <c r="R53" s="68">
        <v>4532.2883782976905</v>
      </c>
      <c r="S53" s="68">
        <v>4477.0210846303999</v>
      </c>
      <c r="T53" s="68">
        <v>4479.797654705586</v>
      </c>
      <c r="U53" s="68">
        <v>4428.3922064297776</v>
      </c>
      <c r="V53" s="68">
        <v>4067.3298661118806</v>
      </c>
      <c r="W53" s="68">
        <v>4045.3089811471855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0.58995863708061558</v>
      </c>
      <c r="C56" s="70">
        <f t="shared" ref="C56:W56" si="28">IF(C48=0,0,C48/C$47)</f>
        <v>0.58289213093639025</v>
      </c>
      <c r="D56" s="70">
        <f t="shared" si="28"/>
        <v>0.56962799019782062</v>
      </c>
      <c r="E56" s="70">
        <f t="shared" si="28"/>
        <v>0.54772974398168961</v>
      </c>
      <c r="F56" s="70">
        <f t="shared" si="28"/>
        <v>0.55796453034140792</v>
      </c>
      <c r="G56" s="70">
        <f t="shared" si="28"/>
        <v>0.56876228286717856</v>
      </c>
      <c r="H56" s="70">
        <f t="shared" si="28"/>
        <v>0.63184445310430104</v>
      </c>
      <c r="I56" s="70">
        <f t="shared" si="28"/>
        <v>0.57778228579741275</v>
      </c>
      <c r="J56" s="70">
        <f t="shared" si="28"/>
        <v>0.57795517117226247</v>
      </c>
      <c r="K56" s="70">
        <f t="shared" si="28"/>
        <v>0.59175217236032795</v>
      </c>
      <c r="L56" s="70">
        <f t="shared" si="28"/>
        <v>0.61082673877717997</v>
      </c>
      <c r="M56" s="70">
        <f t="shared" si="28"/>
        <v>0.60793958527696335</v>
      </c>
      <c r="N56" s="70">
        <f t="shared" si="28"/>
        <v>0.58788679671537114</v>
      </c>
      <c r="O56" s="70">
        <f t="shared" si="28"/>
        <v>0.57072658530392795</v>
      </c>
      <c r="P56" s="70">
        <f t="shared" si="28"/>
        <v>0.52590899388091383</v>
      </c>
      <c r="Q56" s="70">
        <f t="shared" si="28"/>
        <v>0.52876771495277086</v>
      </c>
      <c r="R56" s="70">
        <f t="shared" si="28"/>
        <v>0.52802307322423192</v>
      </c>
      <c r="S56" s="70">
        <f t="shared" si="28"/>
        <v>0.54484042123705556</v>
      </c>
      <c r="T56" s="70">
        <f t="shared" si="28"/>
        <v>0.54801773158051181</v>
      </c>
      <c r="U56" s="70">
        <f t="shared" si="28"/>
        <v>0.55229851093873439</v>
      </c>
      <c r="V56" s="70">
        <f t="shared" si="28"/>
        <v>0.55153559412441255</v>
      </c>
      <c r="W56" s="70">
        <f t="shared" si="28"/>
        <v>0.57535314331375598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0.27952403122095282</v>
      </c>
      <c r="C57" s="71">
        <f t="shared" ref="C57:W57" si="30">IF(C49=0,0,C49/C$47)</f>
        <v>0.26539043910734511</v>
      </c>
      <c r="D57" s="71">
        <f t="shared" si="30"/>
        <v>0.2524360213409943</v>
      </c>
      <c r="E57" s="71">
        <f t="shared" si="30"/>
        <v>0.21359771867770547</v>
      </c>
      <c r="F57" s="71">
        <f t="shared" si="30"/>
        <v>0.22720255119978641</v>
      </c>
      <c r="G57" s="71">
        <f t="shared" si="30"/>
        <v>0.24669928853562889</v>
      </c>
      <c r="H57" s="71">
        <f t="shared" si="30"/>
        <v>0.34215631270287783</v>
      </c>
      <c r="I57" s="71">
        <f t="shared" si="30"/>
        <v>0.25801145943841064</v>
      </c>
      <c r="J57" s="71">
        <f t="shared" si="30"/>
        <v>0.25077171721681257</v>
      </c>
      <c r="K57" s="71">
        <f t="shared" si="30"/>
        <v>0.25615326107904651</v>
      </c>
      <c r="L57" s="71">
        <f t="shared" si="30"/>
        <v>0.29062334593233785</v>
      </c>
      <c r="M57" s="71">
        <f t="shared" si="30"/>
        <v>0.28956772889884286</v>
      </c>
      <c r="N57" s="71">
        <f t="shared" si="30"/>
        <v>0.24547790173649656</v>
      </c>
      <c r="O57" s="71">
        <f t="shared" si="30"/>
        <v>0.22740018896122563</v>
      </c>
      <c r="P57" s="71">
        <f t="shared" si="30"/>
        <v>0.1497402709576855</v>
      </c>
      <c r="Q57" s="71">
        <f t="shared" si="30"/>
        <v>0.13700763016546702</v>
      </c>
      <c r="R57" s="71">
        <f t="shared" si="30"/>
        <v>0.15057262369794705</v>
      </c>
      <c r="S57" s="71">
        <f t="shared" si="30"/>
        <v>0.16268804475646875</v>
      </c>
      <c r="T57" s="71">
        <f t="shared" si="30"/>
        <v>0.1911118828680452</v>
      </c>
      <c r="U57" s="71">
        <f t="shared" si="30"/>
        <v>0.1911615400683917</v>
      </c>
      <c r="V57" s="71">
        <f t="shared" si="30"/>
        <v>0.19071933425287044</v>
      </c>
      <c r="W57" s="71">
        <f t="shared" si="30"/>
        <v>0.21294599555878377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3.6284618090375323E-2</v>
      </c>
      <c r="C58" s="72">
        <f t="shared" ref="C58:W58" si="32">IF(C50=0,0,C50/C$47)</f>
        <v>4.0009055540454121E-2</v>
      </c>
      <c r="D58" s="72">
        <f t="shared" si="32"/>
        <v>3.8642341475750797E-2</v>
      </c>
      <c r="E58" s="72">
        <f t="shared" si="32"/>
        <v>5.6253834281923994E-2</v>
      </c>
      <c r="F58" s="72">
        <f t="shared" si="32"/>
        <v>4.8947418304118993E-2</v>
      </c>
      <c r="G58" s="72">
        <f t="shared" si="32"/>
        <v>5.251605523098507E-2</v>
      </c>
      <c r="H58" s="72">
        <f t="shared" si="32"/>
        <v>5.3559077251646929E-2</v>
      </c>
      <c r="I58" s="72">
        <f t="shared" si="32"/>
        <v>5.0833765698487632E-2</v>
      </c>
      <c r="J58" s="72">
        <f t="shared" si="32"/>
        <v>5.6429088617808626E-2</v>
      </c>
      <c r="K58" s="72">
        <f t="shared" si="32"/>
        <v>7.6146349268291252E-2</v>
      </c>
      <c r="L58" s="72">
        <f t="shared" si="32"/>
        <v>7.1347088849614729E-2</v>
      </c>
      <c r="M58" s="72">
        <f t="shared" si="32"/>
        <v>6.6429019042315365E-2</v>
      </c>
      <c r="N58" s="72">
        <f t="shared" si="32"/>
        <v>8.3967754286811289E-2</v>
      </c>
      <c r="O58" s="72">
        <f t="shared" si="32"/>
        <v>7.0542516641341022E-2</v>
      </c>
      <c r="P58" s="72">
        <f t="shared" si="32"/>
        <v>7.0913825656375454E-2</v>
      </c>
      <c r="Q58" s="72">
        <f t="shared" si="32"/>
        <v>9.9490424097871177E-2</v>
      </c>
      <c r="R58" s="72">
        <f t="shared" si="32"/>
        <v>9.3727802109200606E-2</v>
      </c>
      <c r="S58" s="72">
        <f t="shared" si="32"/>
        <v>0.10423172517460617</v>
      </c>
      <c r="T58" s="72">
        <f t="shared" si="32"/>
        <v>7.2839479629670162E-2</v>
      </c>
      <c r="U58" s="72">
        <f t="shared" si="32"/>
        <v>7.5473914386247412E-2</v>
      </c>
      <c r="V58" s="72">
        <f t="shared" si="32"/>
        <v>9.0894142759244484E-2</v>
      </c>
      <c r="W58" s="72">
        <f t="shared" si="32"/>
        <v>7.4406991262059075E-2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0.13330228701053151</v>
      </c>
      <c r="C59" s="72">
        <f t="shared" ref="C59:W59" si="34">IF(C51=0,0,C51/C$47)</f>
        <v>0.13472836294649598</v>
      </c>
      <c r="D59" s="72">
        <f t="shared" si="34"/>
        <v>0.14047181678435908</v>
      </c>
      <c r="E59" s="72">
        <f t="shared" si="34"/>
        <v>0.14156559031310162</v>
      </c>
      <c r="F59" s="72">
        <f t="shared" si="34"/>
        <v>0.14193776452700416</v>
      </c>
      <c r="G59" s="72">
        <f t="shared" si="34"/>
        <v>0.13520228021318748</v>
      </c>
      <c r="H59" s="72">
        <f t="shared" si="34"/>
        <v>0.11684229638264576</v>
      </c>
      <c r="I59" s="72">
        <f t="shared" si="34"/>
        <v>0.1309014785321532</v>
      </c>
      <c r="J59" s="72">
        <f t="shared" si="34"/>
        <v>0.13032653312880937</v>
      </c>
      <c r="K59" s="72">
        <f t="shared" si="34"/>
        <v>0.12496699241009969</v>
      </c>
      <c r="L59" s="72">
        <f t="shared" si="34"/>
        <v>0.11867197394107934</v>
      </c>
      <c r="M59" s="72">
        <f t="shared" si="34"/>
        <v>0.11959178543552902</v>
      </c>
      <c r="N59" s="72">
        <f t="shared" si="34"/>
        <v>0.12184026471910532</v>
      </c>
      <c r="O59" s="72">
        <f t="shared" si="34"/>
        <v>0.12899087343989252</v>
      </c>
      <c r="P59" s="72">
        <f t="shared" si="34"/>
        <v>0.1385477392286589</v>
      </c>
      <c r="Q59" s="72">
        <f t="shared" si="34"/>
        <v>0.12760746871329112</v>
      </c>
      <c r="R59" s="72">
        <f t="shared" si="34"/>
        <v>0.12220356873773976</v>
      </c>
      <c r="S59" s="72">
        <f t="shared" si="34"/>
        <v>0.11500157223623797</v>
      </c>
      <c r="T59" s="72">
        <f t="shared" si="34"/>
        <v>0.12041371101021546</v>
      </c>
      <c r="U59" s="72">
        <f t="shared" si="34"/>
        <v>0.11771656081079318</v>
      </c>
      <c r="V59" s="72">
        <f t="shared" si="34"/>
        <v>0.11391783168993604</v>
      </c>
      <c r="W59" s="72">
        <f t="shared" si="34"/>
        <v>0.11704268316134249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0.14084770075875591</v>
      </c>
      <c r="C60" s="73">
        <f t="shared" ref="C60:W60" si="36">IF(C52=0,0,C52/C$47)</f>
        <v>0.14276427334209499</v>
      </c>
      <c r="D60" s="73">
        <f t="shared" si="36"/>
        <v>0.13807781059671645</v>
      </c>
      <c r="E60" s="73">
        <f t="shared" si="36"/>
        <v>0.13631260070895851</v>
      </c>
      <c r="F60" s="73">
        <f t="shared" si="36"/>
        <v>0.1398767963104984</v>
      </c>
      <c r="G60" s="73">
        <f t="shared" si="36"/>
        <v>0.13434465888737718</v>
      </c>
      <c r="H60" s="73">
        <f t="shared" si="36"/>
        <v>0.11928676676713056</v>
      </c>
      <c r="I60" s="73">
        <f t="shared" si="36"/>
        <v>0.13803558212836131</v>
      </c>
      <c r="J60" s="73">
        <f t="shared" si="36"/>
        <v>0.14042783220883187</v>
      </c>
      <c r="K60" s="73">
        <f t="shared" si="36"/>
        <v>0.13448556960289049</v>
      </c>
      <c r="L60" s="73">
        <f t="shared" si="36"/>
        <v>0.13018433005414803</v>
      </c>
      <c r="M60" s="73">
        <f t="shared" si="36"/>
        <v>0.13235105190027618</v>
      </c>
      <c r="N60" s="73">
        <f t="shared" si="36"/>
        <v>0.13660087597295797</v>
      </c>
      <c r="O60" s="73">
        <f t="shared" si="36"/>
        <v>0.14379300626146876</v>
      </c>
      <c r="P60" s="73">
        <f t="shared" si="36"/>
        <v>0.16670715803819411</v>
      </c>
      <c r="Q60" s="73">
        <f t="shared" si="36"/>
        <v>0.16466219197614151</v>
      </c>
      <c r="R60" s="73">
        <f t="shared" si="36"/>
        <v>0.16151907867934456</v>
      </c>
      <c r="S60" s="73">
        <f t="shared" si="36"/>
        <v>0.16291907906974262</v>
      </c>
      <c r="T60" s="73">
        <f t="shared" si="36"/>
        <v>0.16365265807258103</v>
      </c>
      <c r="U60" s="73">
        <f t="shared" si="36"/>
        <v>0.16794649567330217</v>
      </c>
      <c r="V60" s="73">
        <f t="shared" si="36"/>
        <v>0.15600428542236158</v>
      </c>
      <c r="W60" s="73">
        <f t="shared" si="36"/>
        <v>0.17095747333157077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0.41004136291938442</v>
      </c>
      <c r="C61" s="70">
        <f t="shared" ref="C61:W61" si="38">IF(C53=0,0,C53/C$47)</f>
        <v>0.41710786906360964</v>
      </c>
      <c r="D61" s="70">
        <f t="shared" si="38"/>
        <v>0.43037200980217938</v>
      </c>
      <c r="E61" s="70">
        <f t="shared" si="38"/>
        <v>0.45227025601831033</v>
      </c>
      <c r="F61" s="70">
        <f t="shared" si="38"/>
        <v>0.44203546965859203</v>
      </c>
      <c r="G61" s="70">
        <f t="shared" si="38"/>
        <v>0.43123771713282144</v>
      </c>
      <c r="H61" s="70">
        <f t="shared" si="38"/>
        <v>0.36815554689569902</v>
      </c>
      <c r="I61" s="70">
        <f t="shared" si="38"/>
        <v>0.42221771420258725</v>
      </c>
      <c r="J61" s="70">
        <f t="shared" si="38"/>
        <v>0.42204482882773758</v>
      </c>
      <c r="K61" s="70">
        <f t="shared" si="38"/>
        <v>0.40824782763967205</v>
      </c>
      <c r="L61" s="70">
        <f t="shared" si="38"/>
        <v>0.38917326122282009</v>
      </c>
      <c r="M61" s="70">
        <f t="shared" si="38"/>
        <v>0.3920604147230366</v>
      </c>
      <c r="N61" s="70">
        <f t="shared" si="38"/>
        <v>0.41211320328462892</v>
      </c>
      <c r="O61" s="70">
        <f t="shared" si="38"/>
        <v>0.42927341469607205</v>
      </c>
      <c r="P61" s="70">
        <f t="shared" si="38"/>
        <v>0.47409100611908611</v>
      </c>
      <c r="Q61" s="70">
        <f t="shared" si="38"/>
        <v>0.47123228504722914</v>
      </c>
      <c r="R61" s="70">
        <f t="shared" si="38"/>
        <v>0.47197692677576797</v>
      </c>
      <c r="S61" s="70">
        <f t="shared" si="38"/>
        <v>0.45515957876294449</v>
      </c>
      <c r="T61" s="70">
        <f t="shared" si="38"/>
        <v>0.45198226841948819</v>
      </c>
      <c r="U61" s="70">
        <f t="shared" si="38"/>
        <v>0.44770148906126556</v>
      </c>
      <c r="V61" s="70">
        <f t="shared" si="38"/>
        <v>0.44846440587558745</v>
      </c>
      <c r="W61" s="70">
        <f t="shared" si="38"/>
        <v>0.42464685668624397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6594.5130883199981</v>
      </c>
      <c r="C65" s="80">
        <v>7224.396806159999</v>
      </c>
      <c r="D65" s="80">
        <v>7175.9158199999993</v>
      </c>
      <c r="E65" s="80">
        <v>6589.3193830800001</v>
      </c>
      <c r="F65" s="80">
        <v>7421.5123700400018</v>
      </c>
      <c r="G65" s="80">
        <v>8293.9101465599997</v>
      </c>
      <c r="H65" s="80">
        <v>10517.143752360003</v>
      </c>
      <c r="I65" s="80">
        <v>8117.188170479998</v>
      </c>
      <c r="J65" s="80">
        <v>7600.1089377600001</v>
      </c>
      <c r="K65" s="80">
        <v>8231.568825960001</v>
      </c>
      <c r="L65" s="80">
        <v>9277.6660466400026</v>
      </c>
      <c r="M65" s="80">
        <v>9566.1793256400015</v>
      </c>
      <c r="N65" s="80">
        <v>8853.4302519599987</v>
      </c>
      <c r="O65" s="80">
        <v>8800.8233932800013</v>
      </c>
      <c r="P65" s="80">
        <v>7714.9096405199989</v>
      </c>
      <c r="Q65" s="80">
        <v>7559.1515224800023</v>
      </c>
      <c r="R65" s="80">
        <v>8112.5668843200001</v>
      </c>
      <c r="S65" s="80">
        <v>8287.4422595999968</v>
      </c>
      <c r="T65" s="80">
        <v>8634.9601882800016</v>
      </c>
      <c r="U65" s="80">
        <v>8499.6214603199987</v>
      </c>
      <c r="V65" s="80">
        <v>8010.0152540399995</v>
      </c>
      <c r="W65" s="80">
        <v>8753.515172520003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5242.082722199998</v>
      </c>
      <c r="C67" s="55">
        <f t="shared" ref="C67:W67" si="39">SUM(C68:C69)</f>
        <v>5708.5537957199995</v>
      </c>
      <c r="D67" s="55">
        <f t="shared" si="39"/>
        <v>5600.7117554399993</v>
      </c>
      <c r="E67" s="55">
        <f t="shared" si="39"/>
        <v>6091.0400422800003</v>
      </c>
      <c r="F67" s="55">
        <f t="shared" si="39"/>
        <v>6593.069664720002</v>
      </c>
      <c r="G67" s="55">
        <f t="shared" si="39"/>
        <v>6614.9750498399999</v>
      </c>
      <c r="H67" s="55">
        <f t="shared" si="39"/>
        <v>5037.6553614000022</v>
      </c>
      <c r="I67" s="55">
        <f t="shared" si="39"/>
        <v>4696.644022919998</v>
      </c>
      <c r="J67" s="55">
        <f t="shared" si="39"/>
        <v>4494.8154931199997</v>
      </c>
      <c r="K67" s="55">
        <f t="shared" si="39"/>
        <v>4390.3071198000007</v>
      </c>
      <c r="L67" s="55">
        <f t="shared" si="39"/>
        <v>4353.2287559999995</v>
      </c>
      <c r="M67" s="55">
        <f t="shared" si="39"/>
        <v>4143.3824156399996</v>
      </c>
      <c r="N67" s="55">
        <f t="shared" si="39"/>
        <v>4315.3169597999995</v>
      </c>
      <c r="O67" s="55">
        <f t="shared" si="39"/>
        <v>4623.3800798399998</v>
      </c>
      <c r="P67" s="55">
        <f t="shared" si="39"/>
        <v>3756.6877132799991</v>
      </c>
      <c r="Q67" s="55">
        <f t="shared" si="39"/>
        <v>3226.5545875200005</v>
      </c>
      <c r="R67" s="55">
        <f t="shared" si="39"/>
        <v>3872.6065871999999</v>
      </c>
      <c r="S67" s="55">
        <f t="shared" si="39"/>
        <v>3958.5728109599982</v>
      </c>
      <c r="T67" s="55">
        <f t="shared" si="39"/>
        <v>4107.9584782800011</v>
      </c>
      <c r="U67" s="55">
        <f t="shared" si="39"/>
        <v>3807.9431503199989</v>
      </c>
      <c r="V67" s="55">
        <f t="shared" si="39"/>
        <v>3468.2071449600003</v>
      </c>
      <c r="W67" s="55">
        <f t="shared" si="39"/>
        <v>3836.2983717600005</v>
      </c>
      <c r="DA67" s="101"/>
    </row>
    <row r="68" spans="1:105" ht="12" customHeight="1" x14ac:dyDescent="0.25">
      <c r="A68" s="61" t="s">
        <v>52</v>
      </c>
      <c r="B68" s="55">
        <v>608.86444428000016</v>
      </c>
      <c r="C68" s="55">
        <v>653.63404572000002</v>
      </c>
      <c r="D68" s="55">
        <v>653.63404572000002</v>
      </c>
      <c r="E68" s="55">
        <v>644.68007999999998</v>
      </c>
      <c r="F68" s="55">
        <v>659.60312904000023</v>
      </c>
      <c r="G68" s="55">
        <v>611.8490995200001</v>
      </c>
      <c r="H68" s="55">
        <v>564.09506999999996</v>
      </c>
      <c r="I68" s="55">
        <v>576.03369096000006</v>
      </c>
      <c r="J68" s="55">
        <v>593.94139524000013</v>
      </c>
      <c r="K68" s="55">
        <v>540.21805524000024</v>
      </c>
      <c r="L68" s="55">
        <v>534.24874476000002</v>
      </c>
      <c r="M68" s="55">
        <v>501.41776428000014</v>
      </c>
      <c r="N68" s="55">
        <v>477.54074952000008</v>
      </c>
      <c r="O68" s="55">
        <v>456.64838999999995</v>
      </c>
      <c r="P68" s="55">
        <v>352.18636523999993</v>
      </c>
      <c r="Q68" s="55">
        <v>492.46402572000005</v>
      </c>
      <c r="R68" s="55">
        <v>635.72611428000005</v>
      </c>
      <c r="S68" s="55">
        <v>537.23339999999996</v>
      </c>
      <c r="T68" s="55">
        <v>590.95673999999997</v>
      </c>
      <c r="U68" s="55">
        <v>489.47937047999983</v>
      </c>
      <c r="V68" s="55">
        <v>307.41699096000002</v>
      </c>
      <c r="W68" s="55">
        <v>359.26875972000011</v>
      </c>
      <c r="DA68" s="101" t="s">
        <v>220</v>
      </c>
    </row>
    <row r="69" spans="1:105" ht="12" customHeight="1" x14ac:dyDescent="0.25">
      <c r="A69" s="61" t="s">
        <v>170</v>
      </c>
      <c r="B69" s="55">
        <v>4633.2182779199975</v>
      </c>
      <c r="C69" s="55">
        <v>5054.9197499999991</v>
      </c>
      <c r="D69" s="55">
        <v>4947.0777097199989</v>
      </c>
      <c r="E69" s="55">
        <v>5446.3599622800002</v>
      </c>
      <c r="F69" s="55">
        <v>5933.4665356800015</v>
      </c>
      <c r="G69" s="55">
        <v>6003.1259503199999</v>
      </c>
      <c r="H69" s="55">
        <v>4473.5602914000019</v>
      </c>
      <c r="I69" s="55">
        <v>4120.6103319599979</v>
      </c>
      <c r="J69" s="55">
        <v>3900.8740978799997</v>
      </c>
      <c r="K69" s="55">
        <v>3850.0890645600002</v>
      </c>
      <c r="L69" s="55">
        <v>3818.9800112399994</v>
      </c>
      <c r="M69" s="55">
        <v>3641.9646513599996</v>
      </c>
      <c r="N69" s="55">
        <v>3837.7762102799993</v>
      </c>
      <c r="O69" s="55">
        <v>4166.7316898399995</v>
      </c>
      <c r="P69" s="55">
        <v>3404.5013480399994</v>
      </c>
      <c r="Q69" s="55">
        <v>2734.0905618000006</v>
      </c>
      <c r="R69" s="55">
        <v>3236.8804729200001</v>
      </c>
      <c r="S69" s="55">
        <v>3421.3394109599981</v>
      </c>
      <c r="T69" s="55">
        <v>3517.0017382800011</v>
      </c>
      <c r="U69" s="55">
        <v>3318.463779839999</v>
      </c>
      <c r="V69" s="55">
        <v>3160.7901540000003</v>
      </c>
      <c r="W69" s="55">
        <v>3477.0296120400003</v>
      </c>
      <c r="DA69" s="101" t="s">
        <v>221</v>
      </c>
    </row>
    <row r="70" spans="1:105" ht="12" customHeight="1" x14ac:dyDescent="0.25">
      <c r="A70" s="60" t="s">
        <v>153</v>
      </c>
      <c r="B70" s="55">
        <v>1352.4303661200001</v>
      </c>
      <c r="C70" s="55">
        <v>1515.8430104400002</v>
      </c>
      <c r="D70" s="55">
        <v>1575.2040645600002</v>
      </c>
      <c r="E70" s="55">
        <v>498.27934079999989</v>
      </c>
      <c r="F70" s="55">
        <v>828.44270532000019</v>
      </c>
      <c r="G70" s="55">
        <v>1678.93509672</v>
      </c>
      <c r="H70" s="55">
        <v>5479.4883909600003</v>
      </c>
      <c r="I70" s="55">
        <v>3420.5441475600001</v>
      </c>
      <c r="J70" s="55">
        <v>3105.2934446400004</v>
      </c>
      <c r="K70" s="55">
        <v>3841.2617061600004</v>
      </c>
      <c r="L70" s="55">
        <v>4924.4372906400022</v>
      </c>
      <c r="M70" s="55">
        <v>5422.7969100000009</v>
      </c>
      <c r="N70" s="55">
        <v>4538.1132921600001</v>
      </c>
      <c r="O70" s="55">
        <v>4177.4433134400015</v>
      </c>
      <c r="P70" s="55">
        <v>3958.2219272399998</v>
      </c>
      <c r="Q70" s="55">
        <v>4323.3384549600014</v>
      </c>
      <c r="R70" s="55">
        <v>4218.3268171199989</v>
      </c>
      <c r="S70" s="55">
        <v>4302.1486886399989</v>
      </c>
      <c r="T70" s="55">
        <v>4510.7766000000011</v>
      </c>
      <c r="U70" s="55">
        <v>4673.25342</v>
      </c>
      <c r="V70" s="55">
        <v>4523.8884490800001</v>
      </c>
      <c r="W70" s="55">
        <v>4894.9612707600018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9.2584799999999987</v>
      </c>
      <c r="R71" s="55">
        <f t="shared" si="40"/>
        <v>21.633479999999999</v>
      </c>
      <c r="S71" s="55">
        <f t="shared" si="40"/>
        <v>26.720759999999999</v>
      </c>
      <c r="T71" s="55">
        <f t="shared" si="40"/>
        <v>16.225110000000001</v>
      </c>
      <c r="U71" s="55">
        <f t="shared" si="40"/>
        <v>18.424890000000001</v>
      </c>
      <c r="V71" s="55">
        <f t="shared" si="40"/>
        <v>17.91966</v>
      </c>
      <c r="W71" s="55">
        <f t="shared" si="40"/>
        <v>22.25553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9.2584799999999987</v>
      </c>
      <c r="R72" s="55">
        <v>21.633479999999999</v>
      </c>
      <c r="S72" s="55">
        <v>26.720759999999999</v>
      </c>
      <c r="T72" s="55">
        <v>16.225110000000001</v>
      </c>
      <c r="U72" s="55">
        <v>18.424890000000001</v>
      </c>
      <c r="V72" s="55">
        <v>17.91966</v>
      </c>
      <c r="W72" s="55">
        <v>22.25553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6594.5130883199981</v>
      </c>
      <c r="C81" s="82">
        <f t="shared" ref="C81:W81" si="42">C82+C87</f>
        <v>7224.396806159999</v>
      </c>
      <c r="D81" s="82">
        <f t="shared" si="42"/>
        <v>7175.9158199999993</v>
      </c>
      <c r="E81" s="82">
        <f t="shared" si="42"/>
        <v>6589.3193830800001</v>
      </c>
      <c r="F81" s="82">
        <f t="shared" si="42"/>
        <v>7421.5123700400018</v>
      </c>
      <c r="G81" s="82">
        <f t="shared" si="42"/>
        <v>8293.9101465600033</v>
      </c>
      <c r="H81" s="82">
        <f t="shared" si="42"/>
        <v>10517.14375236</v>
      </c>
      <c r="I81" s="82">
        <f t="shared" si="42"/>
        <v>8117.1881704799998</v>
      </c>
      <c r="J81" s="82">
        <f t="shared" si="42"/>
        <v>7600.1089377599983</v>
      </c>
      <c r="K81" s="82">
        <f t="shared" si="42"/>
        <v>8231.568825960001</v>
      </c>
      <c r="L81" s="82">
        <f t="shared" si="42"/>
        <v>9277.6660466400008</v>
      </c>
      <c r="M81" s="82">
        <f t="shared" si="42"/>
        <v>9566.1793256399978</v>
      </c>
      <c r="N81" s="82">
        <f t="shared" si="42"/>
        <v>8853.4302519599987</v>
      </c>
      <c r="O81" s="82">
        <f t="shared" si="42"/>
        <v>8800.8233932799994</v>
      </c>
      <c r="P81" s="82">
        <f t="shared" si="42"/>
        <v>7714.9096405200025</v>
      </c>
      <c r="Q81" s="82">
        <f t="shared" si="42"/>
        <v>7559.1515224800023</v>
      </c>
      <c r="R81" s="82">
        <f t="shared" si="42"/>
        <v>8112.5668843200001</v>
      </c>
      <c r="S81" s="82">
        <f t="shared" si="42"/>
        <v>8287.4422595999968</v>
      </c>
      <c r="T81" s="82">
        <f t="shared" si="42"/>
        <v>8634.9601882800034</v>
      </c>
      <c r="U81" s="82">
        <f t="shared" si="42"/>
        <v>8499.6214603199987</v>
      </c>
      <c r="V81" s="82">
        <f t="shared" si="42"/>
        <v>8010.0152540400086</v>
      </c>
      <c r="W81" s="82">
        <f t="shared" si="42"/>
        <v>8753.515172520003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6594.5130883199981</v>
      </c>
      <c r="C82" s="64">
        <f t="shared" ref="C82:W82" si="44">SUM(C83:C86)</f>
        <v>7224.396806159999</v>
      </c>
      <c r="D82" s="64">
        <f t="shared" si="44"/>
        <v>7175.9158199999993</v>
      </c>
      <c r="E82" s="64">
        <f t="shared" si="44"/>
        <v>6589.3193830800001</v>
      </c>
      <c r="F82" s="64">
        <f t="shared" si="44"/>
        <v>7421.5123700400018</v>
      </c>
      <c r="G82" s="64">
        <f t="shared" si="44"/>
        <v>8293.9101465600033</v>
      </c>
      <c r="H82" s="64">
        <f t="shared" si="44"/>
        <v>10517.14375236</v>
      </c>
      <c r="I82" s="64">
        <f t="shared" si="44"/>
        <v>8117.1881704799998</v>
      </c>
      <c r="J82" s="64">
        <f t="shared" si="44"/>
        <v>7600.1089377599983</v>
      </c>
      <c r="K82" s="64">
        <f t="shared" si="44"/>
        <v>8231.568825960001</v>
      </c>
      <c r="L82" s="64">
        <f t="shared" si="44"/>
        <v>9277.6660466400008</v>
      </c>
      <c r="M82" s="64">
        <f t="shared" si="44"/>
        <v>9566.1793256399978</v>
      </c>
      <c r="N82" s="64">
        <f t="shared" si="44"/>
        <v>8853.4302519599987</v>
      </c>
      <c r="O82" s="64">
        <f t="shared" si="44"/>
        <v>8800.8233932799994</v>
      </c>
      <c r="P82" s="64">
        <f t="shared" si="44"/>
        <v>7714.9096405200025</v>
      </c>
      <c r="Q82" s="64">
        <f t="shared" si="44"/>
        <v>7559.1515224800023</v>
      </c>
      <c r="R82" s="64">
        <f t="shared" si="44"/>
        <v>8112.5668843200001</v>
      </c>
      <c r="S82" s="64">
        <f t="shared" si="44"/>
        <v>8287.4422595999968</v>
      </c>
      <c r="T82" s="64">
        <f t="shared" si="44"/>
        <v>8634.9601882800034</v>
      </c>
      <c r="U82" s="64">
        <f t="shared" si="44"/>
        <v>8499.6214603199987</v>
      </c>
      <c r="V82" s="64">
        <f t="shared" si="44"/>
        <v>8010.0152540400086</v>
      </c>
      <c r="W82" s="64">
        <f t="shared" si="44"/>
        <v>8753.515172520003</v>
      </c>
      <c r="DA82" s="108" t="s">
        <v>232</v>
      </c>
    </row>
    <row r="83" spans="1:105" ht="12" customHeight="1" x14ac:dyDescent="0.25">
      <c r="A83" s="61" t="s">
        <v>32</v>
      </c>
      <c r="B83" s="65">
        <v>4416.6634746583622</v>
      </c>
      <c r="C83" s="65">
        <v>4899.4900648606581</v>
      </c>
      <c r="D83" s="65">
        <v>4929.4131884575536</v>
      </c>
      <c r="E83" s="65">
        <v>4515.3822616725884</v>
      </c>
      <c r="F83" s="65">
        <v>5016.7728435781091</v>
      </c>
      <c r="G83" s="65">
        <v>5813.0059381700776</v>
      </c>
      <c r="H83" s="65">
        <v>7680.7006127940631</v>
      </c>
      <c r="I83" s="65">
        <v>5296.6166720775309</v>
      </c>
      <c r="J83" s="65">
        <v>4725.1610509727097</v>
      </c>
      <c r="K83" s="65">
        <v>5384.051347257624</v>
      </c>
      <c r="L83" s="65">
        <v>6374.0233904497909</v>
      </c>
      <c r="M83" s="65">
        <v>6640.3996724033168</v>
      </c>
      <c r="N83" s="65">
        <v>5768.4980267394349</v>
      </c>
      <c r="O83" s="65">
        <v>5471.1274142714938</v>
      </c>
      <c r="P83" s="65">
        <v>3373.9237500157324</v>
      </c>
      <c r="Q83" s="65">
        <v>2983.518410180131</v>
      </c>
      <c r="R83" s="65">
        <v>3334.8995076040214</v>
      </c>
      <c r="S83" s="65">
        <v>3575.0705186632999</v>
      </c>
      <c r="T83" s="65">
        <v>4152.8626314481107</v>
      </c>
      <c r="U83" s="65">
        <v>4011.7959413449785</v>
      </c>
      <c r="V83" s="65">
        <v>3612.2178925670792</v>
      </c>
      <c r="W83" s="65">
        <v>4223.7797553397049</v>
      </c>
      <c r="DA83" s="109" t="s">
        <v>233</v>
      </c>
    </row>
    <row r="84" spans="1:105" ht="12" customHeight="1" x14ac:dyDescent="0.25">
      <c r="A84" s="61" t="s">
        <v>31</v>
      </c>
      <c r="B84" s="65">
        <v>0.67721231575947216</v>
      </c>
      <c r="C84" s="65">
        <v>0.81548810782050307</v>
      </c>
      <c r="D84" s="65">
        <v>0.75263502954142902</v>
      </c>
      <c r="E84" s="65">
        <v>1.5132947785684696</v>
      </c>
      <c r="F84" s="65">
        <v>1.5488337117339046</v>
      </c>
      <c r="G84" s="65">
        <v>2.0045400653497767</v>
      </c>
      <c r="H84" s="65">
        <v>2.6083057439363677</v>
      </c>
      <c r="I84" s="65">
        <v>2.657091729597655</v>
      </c>
      <c r="J84" s="65">
        <v>3.645834725758446</v>
      </c>
      <c r="K84" s="65">
        <v>5.5791091715241716</v>
      </c>
      <c r="L84" s="65">
        <v>6.383805157177795</v>
      </c>
      <c r="M84" s="65">
        <v>6.9057080225631164</v>
      </c>
      <c r="N84" s="65">
        <v>9.4391990641166679</v>
      </c>
      <c r="O84" s="65">
        <v>9.4353598204028337</v>
      </c>
      <c r="P84" s="65">
        <v>9.9919738475637256</v>
      </c>
      <c r="Q84" s="65">
        <v>17.602299749489198</v>
      </c>
      <c r="R84" s="65">
        <v>19.764444394089526</v>
      </c>
      <c r="S84" s="65">
        <v>25.04282605656195</v>
      </c>
      <c r="T84" s="65">
        <v>21.182535211244371</v>
      </c>
      <c r="U84" s="65">
        <v>23.492811276966066</v>
      </c>
      <c r="V84" s="65">
        <v>25.35302270423022</v>
      </c>
      <c r="W84" s="65">
        <v>23.018198924528168</v>
      </c>
      <c r="DA84" s="109" t="s">
        <v>234</v>
      </c>
    </row>
    <row r="85" spans="1:105" ht="12" customHeight="1" x14ac:dyDescent="0.25">
      <c r="A85" s="61" t="s">
        <v>35</v>
      </c>
      <c r="B85" s="65">
        <v>1340.42491757331</v>
      </c>
      <c r="C85" s="65">
        <v>1353.240922608979</v>
      </c>
      <c r="D85" s="65">
        <v>1330.5570733076077</v>
      </c>
      <c r="E85" s="65">
        <v>1216.5662237663676</v>
      </c>
      <c r="F85" s="65">
        <v>1296.849475075838</v>
      </c>
      <c r="G85" s="65">
        <v>1347.2133508174065</v>
      </c>
      <c r="H85" s="65">
        <v>1645.0475086421582</v>
      </c>
      <c r="I85" s="65">
        <v>1596.7589663809208</v>
      </c>
      <c r="J85" s="65">
        <v>1573.048009388225</v>
      </c>
      <c r="K85" s="65">
        <v>1574.9426222429875</v>
      </c>
      <c r="L85" s="65">
        <v>1578.4757172259467</v>
      </c>
      <c r="M85" s="65">
        <v>1589.1966813106196</v>
      </c>
      <c r="N85" s="65">
        <v>1681.0549745165392</v>
      </c>
      <c r="O85" s="65">
        <v>1774.8182521516107</v>
      </c>
      <c r="P85" s="65">
        <v>1956.3814957928676</v>
      </c>
      <c r="Q85" s="65">
        <v>1860.2706768844273</v>
      </c>
      <c r="R85" s="65">
        <v>1905.0881567456011</v>
      </c>
      <c r="S85" s="65">
        <v>1895.5669600951594</v>
      </c>
      <c r="T85" s="65">
        <v>1922.9089975349225</v>
      </c>
      <c r="U85" s="65">
        <v>1926.8140190142312</v>
      </c>
      <c r="V85" s="65">
        <v>1833.830431759885</v>
      </c>
      <c r="W85" s="65">
        <v>1994.0342243736093</v>
      </c>
      <c r="DA85" s="109" t="s">
        <v>235</v>
      </c>
    </row>
    <row r="86" spans="1:105" ht="12" customHeight="1" x14ac:dyDescent="0.25">
      <c r="A86" s="66" t="s">
        <v>34</v>
      </c>
      <c r="B86" s="67">
        <v>836.74748377256572</v>
      </c>
      <c r="C86" s="67">
        <v>970.85033058254146</v>
      </c>
      <c r="D86" s="67">
        <v>915.19292320529735</v>
      </c>
      <c r="E86" s="67">
        <v>855.85760286247569</v>
      </c>
      <c r="F86" s="67">
        <v>1106.34121767432</v>
      </c>
      <c r="G86" s="67">
        <v>1131.6863175071687</v>
      </c>
      <c r="H86" s="67">
        <v>1188.7873251798437</v>
      </c>
      <c r="I86" s="67">
        <v>1221.1554402919496</v>
      </c>
      <c r="J86" s="67">
        <v>1298.2540426733049</v>
      </c>
      <c r="K86" s="67">
        <v>1266.9957472878643</v>
      </c>
      <c r="L86" s="67">
        <v>1318.783133807086</v>
      </c>
      <c r="M86" s="67">
        <v>1329.6772639034998</v>
      </c>
      <c r="N86" s="67">
        <v>1394.4380516399087</v>
      </c>
      <c r="O86" s="67">
        <v>1545.4423670364913</v>
      </c>
      <c r="P86" s="67">
        <v>2374.6124208638385</v>
      </c>
      <c r="Q86" s="67">
        <v>2697.7601356659543</v>
      </c>
      <c r="R86" s="67">
        <v>2852.814775576288</v>
      </c>
      <c r="S86" s="67">
        <v>2791.7619547849749</v>
      </c>
      <c r="T86" s="67">
        <v>2538.0060240857251</v>
      </c>
      <c r="U86" s="67">
        <v>2537.5186886838219</v>
      </c>
      <c r="V86" s="67">
        <v>2538.6139070088138</v>
      </c>
      <c r="W86" s="67">
        <v>2512.6829938821602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0.66974823091655133</v>
      </c>
      <c r="C91" s="71">
        <f t="shared" ref="C91:W91" si="50">IF(C83=0,0,C83/C$81)</f>
        <v>0.67818673258410012</v>
      </c>
      <c r="D91" s="71">
        <f t="shared" si="50"/>
        <v>0.68693854723306302</v>
      </c>
      <c r="E91" s="71">
        <f t="shared" si="50"/>
        <v>0.68525776323229215</v>
      </c>
      <c r="F91" s="71">
        <f t="shared" si="50"/>
        <v>0.67597715848731632</v>
      </c>
      <c r="G91" s="71">
        <f t="shared" si="50"/>
        <v>0.70087640635714987</v>
      </c>
      <c r="H91" s="71">
        <f t="shared" si="50"/>
        <v>0.7303029029217698</v>
      </c>
      <c r="I91" s="71">
        <f t="shared" si="50"/>
        <v>0.65251865065046555</v>
      </c>
      <c r="J91" s="71">
        <f t="shared" si="50"/>
        <v>0.62172280551091286</v>
      </c>
      <c r="K91" s="71">
        <f t="shared" si="50"/>
        <v>0.65407353823949987</v>
      </c>
      <c r="L91" s="71">
        <f t="shared" si="50"/>
        <v>0.68702875900110749</v>
      </c>
      <c r="M91" s="71">
        <f t="shared" si="50"/>
        <v>0.69415379393999177</v>
      </c>
      <c r="N91" s="71">
        <f t="shared" si="50"/>
        <v>0.65155514445515483</v>
      </c>
      <c r="O91" s="71">
        <f t="shared" si="50"/>
        <v>0.62166085714764541</v>
      </c>
      <c r="P91" s="71">
        <f t="shared" si="50"/>
        <v>0.43732511555227005</v>
      </c>
      <c r="Q91" s="71">
        <f t="shared" si="50"/>
        <v>0.39468958934180748</v>
      </c>
      <c r="R91" s="71">
        <f t="shared" si="50"/>
        <v>0.41107821422708118</v>
      </c>
      <c r="S91" s="71">
        <f t="shared" si="50"/>
        <v>0.4313840635839139</v>
      </c>
      <c r="T91" s="71">
        <f t="shared" si="50"/>
        <v>0.4809359326386563</v>
      </c>
      <c r="U91" s="71">
        <f t="shared" si="50"/>
        <v>0.47199701305214831</v>
      </c>
      <c r="V91" s="71">
        <f t="shared" si="50"/>
        <v>0.45096267335385987</v>
      </c>
      <c r="W91" s="71">
        <f t="shared" si="50"/>
        <v>0.48252384009105947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1.0269330073192668E-4</v>
      </c>
      <c r="C92" s="72">
        <f t="shared" ref="C92:W92" si="52">IF(C84=0,0,C84/C$81)</f>
        <v>1.1287975033779484E-4</v>
      </c>
      <c r="D92" s="72">
        <f t="shared" si="52"/>
        <v>1.0488348085742024E-4</v>
      </c>
      <c r="E92" s="72">
        <f t="shared" si="52"/>
        <v>2.2965873872410792E-4</v>
      </c>
      <c r="F92" s="72">
        <f t="shared" si="52"/>
        <v>2.0869516003050958E-4</v>
      </c>
      <c r="G92" s="72">
        <f t="shared" si="52"/>
        <v>2.4168818204296357E-4</v>
      </c>
      <c r="H92" s="72">
        <f t="shared" si="52"/>
        <v>2.4800514334997803E-4</v>
      </c>
      <c r="I92" s="72">
        <f t="shared" si="52"/>
        <v>3.2734139874455212E-4</v>
      </c>
      <c r="J92" s="72">
        <f t="shared" si="52"/>
        <v>4.7970821939731213E-4</v>
      </c>
      <c r="K92" s="72">
        <f t="shared" si="52"/>
        <v>6.7776985037521225E-4</v>
      </c>
      <c r="L92" s="72">
        <f t="shared" si="52"/>
        <v>6.8808309386063251E-4</v>
      </c>
      <c r="M92" s="72">
        <f t="shared" si="52"/>
        <v>7.2188778690923292E-4</v>
      </c>
      <c r="N92" s="72">
        <f t="shared" si="52"/>
        <v>1.0661629216570593E-3</v>
      </c>
      <c r="O92" s="72">
        <f t="shared" si="52"/>
        <v>1.0720996659934507E-3</v>
      </c>
      <c r="P92" s="72">
        <f t="shared" si="52"/>
        <v>1.2951511181782608E-3</v>
      </c>
      <c r="Q92" s="72">
        <f t="shared" si="52"/>
        <v>2.3286078731378896E-3</v>
      </c>
      <c r="R92" s="72">
        <f t="shared" si="52"/>
        <v>2.4362750626180131E-3</v>
      </c>
      <c r="S92" s="72">
        <f t="shared" si="52"/>
        <v>3.0217798534346195E-3</v>
      </c>
      <c r="T92" s="72">
        <f t="shared" si="52"/>
        <v>2.4531132453852944E-3</v>
      </c>
      <c r="U92" s="72">
        <f t="shared" si="52"/>
        <v>2.763983241682106E-3</v>
      </c>
      <c r="V92" s="72">
        <f t="shared" si="52"/>
        <v>3.1651653461512354E-3</v>
      </c>
      <c r="W92" s="72">
        <f t="shared" si="52"/>
        <v>2.6295949079735907E-3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0.20326366778275565</v>
      </c>
      <c r="C93" s="72">
        <f t="shared" ref="C93:W93" si="54">IF(C85=0,0,C85/C$81)</f>
        <v>0.18731542008533034</v>
      </c>
      <c r="D93" s="72">
        <f t="shared" si="54"/>
        <v>0.18541982747333954</v>
      </c>
      <c r="E93" s="72">
        <f t="shared" si="54"/>
        <v>0.18462699302302091</v>
      </c>
      <c r="F93" s="72">
        <f t="shared" si="54"/>
        <v>0.17474194078165337</v>
      </c>
      <c r="G93" s="72">
        <f t="shared" si="54"/>
        <v>0.16243404220820731</v>
      </c>
      <c r="H93" s="72">
        <f t="shared" si="54"/>
        <v>0.15641580522021645</v>
      </c>
      <c r="I93" s="72">
        <f t="shared" si="54"/>
        <v>0.19671331165980577</v>
      </c>
      <c r="J93" s="72">
        <f t="shared" si="54"/>
        <v>0.20697703444391072</v>
      </c>
      <c r="K93" s="72">
        <f t="shared" si="54"/>
        <v>0.19132958194749844</v>
      </c>
      <c r="L93" s="72">
        <f t="shared" si="54"/>
        <v>0.17013715618677688</v>
      </c>
      <c r="M93" s="72">
        <f t="shared" si="54"/>
        <v>0.16612658274669118</v>
      </c>
      <c r="N93" s="72">
        <f t="shared" si="54"/>
        <v>0.18987611882347888</v>
      </c>
      <c r="O93" s="72">
        <f t="shared" si="54"/>
        <v>0.20166502301441475</v>
      </c>
      <c r="P93" s="72">
        <f t="shared" si="54"/>
        <v>0.25358449897036034</v>
      </c>
      <c r="Q93" s="72">
        <f t="shared" si="54"/>
        <v>0.24609516972271389</v>
      </c>
      <c r="R93" s="72">
        <f t="shared" si="54"/>
        <v>0.23483173499965376</v>
      </c>
      <c r="S93" s="72">
        <f t="shared" si="54"/>
        <v>0.22872762195107604</v>
      </c>
      <c r="T93" s="72">
        <f t="shared" si="54"/>
        <v>0.22268880870404412</v>
      </c>
      <c r="U93" s="72">
        <f t="shared" si="54"/>
        <v>0.22669409785005759</v>
      </c>
      <c r="V93" s="72">
        <f t="shared" si="54"/>
        <v>0.2289421896962002</v>
      </c>
      <c r="W93" s="72">
        <f t="shared" si="54"/>
        <v>0.227798111395694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0.12688540799996098</v>
      </c>
      <c r="C94" s="73">
        <f t="shared" ref="C94:W94" si="56">IF(C86=0,0,C86/C$81)</f>
        <v>0.13438496758023177</v>
      </c>
      <c r="D94" s="73">
        <f t="shared" si="56"/>
        <v>0.12753674181274013</v>
      </c>
      <c r="E94" s="73">
        <f t="shared" si="56"/>
        <v>0.12988558500596278</v>
      </c>
      <c r="F94" s="73">
        <f t="shared" si="56"/>
        <v>0.14907220557099965</v>
      </c>
      <c r="G94" s="73">
        <f t="shared" si="56"/>
        <v>0.13644786325259972</v>
      </c>
      <c r="H94" s="73">
        <f t="shared" si="56"/>
        <v>0.11303328671466387</v>
      </c>
      <c r="I94" s="73">
        <f t="shared" si="56"/>
        <v>0.150440696290984</v>
      </c>
      <c r="J94" s="73">
        <f t="shared" si="56"/>
        <v>0.1708204518257791</v>
      </c>
      <c r="K94" s="73">
        <f t="shared" si="56"/>
        <v>0.15391910996262634</v>
      </c>
      <c r="L94" s="73">
        <f t="shared" si="56"/>
        <v>0.14214600171825503</v>
      </c>
      <c r="M94" s="73">
        <f t="shared" si="56"/>
        <v>0.13899773552640793</v>
      </c>
      <c r="N94" s="73">
        <f t="shared" si="56"/>
        <v>0.15750257379970931</v>
      </c>
      <c r="O94" s="73">
        <f t="shared" si="56"/>
        <v>0.17560202017194629</v>
      </c>
      <c r="P94" s="73">
        <f t="shared" si="56"/>
        <v>0.30779523435919132</v>
      </c>
      <c r="Q94" s="73">
        <f t="shared" si="56"/>
        <v>0.35688663306234064</v>
      </c>
      <c r="R94" s="73">
        <f t="shared" si="56"/>
        <v>0.35165377571064704</v>
      </c>
      <c r="S94" s="73">
        <f t="shared" si="56"/>
        <v>0.3368665346115754</v>
      </c>
      <c r="T94" s="73">
        <f t="shared" si="56"/>
        <v>0.29392214541191419</v>
      </c>
      <c r="U94" s="73">
        <f t="shared" si="56"/>
        <v>0.29854490585611182</v>
      </c>
      <c r="V94" s="73">
        <f t="shared" si="56"/>
        <v>0.31692997160378866</v>
      </c>
      <c r="W94" s="73">
        <f t="shared" si="56"/>
        <v>0.28704845360527287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45447.051600718485</v>
      </c>
      <c r="C99" s="82">
        <f t="shared" ref="C99:W99" si="60">C47*11630*1000/C$8</f>
        <v>46224.865911509165</v>
      </c>
      <c r="D99" s="82">
        <f t="shared" si="60"/>
        <v>45856.374562995326</v>
      </c>
      <c r="E99" s="82">
        <f t="shared" si="60"/>
        <v>44633.54957543355</v>
      </c>
      <c r="F99" s="82">
        <f t="shared" si="60"/>
        <v>46700.683261756356</v>
      </c>
      <c r="G99" s="82">
        <f t="shared" si="60"/>
        <v>48690.542949944233</v>
      </c>
      <c r="H99" s="82">
        <f t="shared" si="60"/>
        <v>57591.057310686134</v>
      </c>
      <c r="I99" s="82">
        <f t="shared" si="60"/>
        <v>50370.945899457081</v>
      </c>
      <c r="J99" s="82">
        <f t="shared" si="60"/>
        <v>50505.553181517324</v>
      </c>
      <c r="K99" s="82">
        <f t="shared" si="60"/>
        <v>52644.549052987983</v>
      </c>
      <c r="L99" s="82">
        <f t="shared" si="60"/>
        <v>55453.266012608787</v>
      </c>
      <c r="M99" s="82">
        <f t="shared" si="60"/>
        <v>55107.521688475535</v>
      </c>
      <c r="N99" s="82">
        <f t="shared" si="60"/>
        <v>52557.225776594518</v>
      </c>
      <c r="O99" s="82">
        <f t="shared" si="60"/>
        <v>50601.105783486571</v>
      </c>
      <c r="P99" s="82">
        <f t="shared" si="60"/>
        <v>45909.303160130628</v>
      </c>
      <c r="Q99" s="82">
        <f t="shared" si="60"/>
        <v>46846.244110475869</v>
      </c>
      <c r="R99" s="82">
        <f t="shared" si="60"/>
        <v>47189.908898463997</v>
      </c>
      <c r="S99" s="82">
        <f t="shared" si="60"/>
        <v>47831.548328498386</v>
      </c>
      <c r="T99" s="82">
        <f t="shared" si="60"/>
        <v>47696.266936863045</v>
      </c>
      <c r="U99" s="82">
        <f t="shared" si="60"/>
        <v>47163.455713705247</v>
      </c>
      <c r="V99" s="82">
        <f t="shared" si="60"/>
        <v>42888.712646339947</v>
      </c>
      <c r="W99" s="82">
        <f t="shared" si="60"/>
        <v>44697.780228361407</v>
      </c>
      <c r="DA99" s="107"/>
    </row>
    <row r="100" spans="1:105" ht="12" customHeight="1" x14ac:dyDescent="0.25">
      <c r="A100" s="77" t="s">
        <v>36</v>
      </c>
      <c r="B100" s="64">
        <f t="shared" si="59"/>
        <v>26811.880621692289</v>
      </c>
      <c r="C100" s="64">
        <f t="shared" ref="C100:W100" si="61">C48*11630*1000/C$8</f>
        <v>26944.110593408484</v>
      </c>
      <c r="D100" s="64">
        <f t="shared" si="61"/>
        <v>26121.074480077496</v>
      </c>
      <c r="E100" s="64">
        <f t="shared" si="61"/>
        <v>24447.122681946268</v>
      </c>
      <c r="F100" s="64">
        <f t="shared" si="61"/>
        <v>26057.324802768737</v>
      </c>
      <c r="G100" s="64">
        <f t="shared" si="61"/>
        <v>27693.34436225269</v>
      </c>
      <c r="H100" s="64">
        <f t="shared" si="61"/>
        <v>36388.590110168938</v>
      </c>
      <c r="I100" s="64">
        <f t="shared" si="61"/>
        <v>29103.440259566127</v>
      </c>
      <c r="J100" s="64">
        <f t="shared" si="61"/>
        <v>29189.945634173648</v>
      </c>
      <c r="K100" s="64">
        <f t="shared" si="61"/>
        <v>31152.526265035482</v>
      </c>
      <c r="L100" s="64">
        <f t="shared" si="61"/>
        <v>33872.337633025258</v>
      </c>
      <c r="M100" s="64">
        <f t="shared" si="61"/>
        <v>33502.043880933088</v>
      </c>
      <c r="N100" s="64">
        <f t="shared" si="61"/>
        <v>30897.699106048691</v>
      </c>
      <c r="O100" s="64">
        <f t="shared" si="61"/>
        <v>28879.396316412131</v>
      </c>
      <c r="P100" s="64">
        <f t="shared" si="61"/>
        <v>24144.115434718158</v>
      </c>
      <c r="Q100" s="64">
        <f t="shared" si="61"/>
        <v>24770.781452416028</v>
      </c>
      <c r="R100" s="64">
        <f t="shared" si="61"/>
        <v>24917.360721738489</v>
      </c>
      <c r="S100" s="64">
        <f t="shared" si="61"/>
        <v>26060.560939719639</v>
      </c>
      <c r="T100" s="64">
        <f t="shared" si="61"/>
        <v>26138.400011598256</v>
      </c>
      <c r="U100" s="64">
        <f t="shared" si="61"/>
        <v>26048.306361404353</v>
      </c>
      <c r="V100" s="64">
        <f t="shared" si="61"/>
        <v>23654.65161063031</v>
      </c>
      <c r="W100" s="64">
        <f t="shared" si="61"/>
        <v>25717.008353535191</v>
      </c>
      <c r="DA100" s="108"/>
    </row>
    <row r="101" spans="1:105" ht="12" customHeight="1" x14ac:dyDescent="0.25">
      <c r="A101" s="61" t="s">
        <v>32</v>
      </c>
      <c r="B101" s="65">
        <f t="shared" si="59"/>
        <v>12703.54307053949</v>
      </c>
      <c r="C101" s="65">
        <f t="shared" ref="C101:W101" si="62">C49*11630*1000/C$8</f>
        <v>12267.637461933566</v>
      </c>
      <c r="D101" s="65">
        <f t="shared" si="62"/>
        <v>11575.800747804919</v>
      </c>
      <c r="E101" s="65">
        <f t="shared" si="62"/>
        <v>9533.6243658008752</v>
      </c>
      <c r="F101" s="65">
        <f t="shared" si="62"/>
        <v>10610.514379844206</v>
      </c>
      <c r="G101" s="65">
        <f t="shared" si="62"/>
        <v>12011.922304164724</v>
      </c>
      <c r="H101" s="65">
        <f t="shared" si="62"/>
        <v>19705.14381408448</v>
      </c>
      <c r="I101" s="65">
        <f t="shared" si="62"/>
        <v>12996.281264812147</v>
      </c>
      <c r="J101" s="65">
        <f t="shared" si="62"/>
        <v>12665.364300314151</v>
      </c>
      <c r="K101" s="65">
        <f t="shared" si="62"/>
        <v>13485.072917958705</v>
      </c>
      <c r="L101" s="65">
        <f t="shared" si="62"/>
        <v>16116.013711460357</v>
      </c>
      <c r="M101" s="65">
        <f t="shared" si="62"/>
        <v>15957.359900575588</v>
      </c>
      <c r="N101" s="65">
        <f t="shared" si="62"/>
        <v>12901.637504729732</v>
      </c>
      <c r="O101" s="65">
        <f t="shared" si="62"/>
        <v>11506.701016811816</v>
      </c>
      <c r="P101" s="65">
        <f t="shared" si="62"/>
        <v>6874.471494676488</v>
      </c>
      <c r="Q101" s="65">
        <f t="shared" si="62"/>
        <v>6418.292887729267</v>
      </c>
      <c r="R101" s="65">
        <f t="shared" si="62"/>
        <v>7105.508394908823</v>
      </c>
      <c r="S101" s="65">
        <f t="shared" si="62"/>
        <v>7781.6210752379429</v>
      </c>
      <c r="T101" s="65">
        <f t="shared" si="62"/>
        <v>9115.3233800807902</v>
      </c>
      <c r="U101" s="65">
        <f t="shared" si="62"/>
        <v>9015.8388291792817</v>
      </c>
      <c r="V101" s="65">
        <f t="shared" si="62"/>
        <v>8179.70672287262</v>
      </c>
      <c r="W101" s="65">
        <f t="shared" si="62"/>
        <v>9518.2133099961393</v>
      </c>
      <c r="DA101" s="109"/>
    </row>
    <row r="102" spans="1:105" ht="12" customHeight="1" x14ac:dyDescent="0.25">
      <c r="A102" s="61" t="s">
        <v>31</v>
      </c>
      <c r="B102" s="65">
        <f t="shared" si="59"/>
        <v>1649.028910665651</v>
      </c>
      <c r="C102" s="65">
        <f t="shared" ref="C102:W102" si="63">C50*11630*1000/C$8</f>
        <v>1849.4132276036144</v>
      </c>
      <c r="D102" s="65">
        <f t="shared" si="63"/>
        <v>1771.9976847031983</v>
      </c>
      <c r="E102" s="65">
        <f t="shared" si="63"/>
        <v>2510.8083012304774</v>
      </c>
      <c r="F102" s="65">
        <f t="shared" si="63"/>
        <v>2285.8778787013566</v>
      </c>
      <c r="G102" s="65">
        <f t="shared" si="63"/>
        <v>2557.035242785922</v>
      </c>
      <c r="H102" s="65">
        <f t="shared" si="63"/>
        <v>3084.523887507064</v>
      </c>
      <c r="I102" s="65">
        <f t="shared" si="63"/>
        <v>2560.5448618641976</v>
      </c>
      <c r="J102" s="65">
        <f t="shared" si="63"/>
        <v>2849.9823361712879</v>
      </c>
      <c r="K102" s="65">
        <f t="shared" si="63"/>
        <v>4008.6902192605153</v>
      </c>
      <c r="L102" s="65">
        <f t="shared" si="63"/>
        <v>3956.4290972029198</v>
      </c>
      <c r="M102" s="65">
        <f t="shared" si="63"/>
        <v>3660.7386076185489</v>
      </c>
      <c r="N102" s="65">
        <f t="shared" si="63"/>
        <v>4413.1122200055534</v>
      </c>
      <c r="O102" s="65">
        <f t="shared" si="63"/>
        <v>3569.529346801859</v>
      </c>
      <c r="P102" s="65">
        <f t="shared" si="63"/>
        <v>3255.6043203031909</v>
      </c>
      <c r="Q102" s="65">
        <f t="shared" si="63"/>
        <v>4660.7526939436448</v>
      </c>
      <c r="R102" s="65">
        <f t="shared" si="63"/>
        <v>4423.0064427864381</v>
      </c>
      <c r="S102" s="65">
        <f t="shared" si="63"/>
        <v>4985.5648000519368</v>
      </c>
      <c r="T102" s="65">
        <f t="shared" si="63"/>
        <v>3474.1712639589464</v>
      </c>
      <c r="U102" s="65">
        <f t="shared" si="63"/>
        <v>3559.6106186957609</v>
      </c>
      <c r="V102" s="65">
        <f t="shared" si="63"/>
        <v>3898.3327700366381</v>
      </c>
      <c r="W102" s="65">
        <f t="shared" si="63"/>
        <v>3325.8273428851235</v>
      </c>
      <c r="DA102" s="109"/>
    </row>
    <row r="103" spans="1:105" ht="12" customHeight="1" x14ac:dyDescent="0.25">
      <c r="A103" s="61" t="s">
        <v>35</v>
      </c>
      <c r="B103" s="65">
        <f t="shared" si="59"/>
        <v>6058.1959162614121</v>
      </c>
      <c r="C103" s="65">
        <f t="shared" ref="C103:W103" si="64">C51*11630*1000/C$8</f>
        <v>6227.8005116789154</v>
      </c>
      <c r="D103" s="65">
        <f t="shared" si="64"/>
        <v>6441.5282460080243</v>
      </c>
      <c r="E103" s="65">
        <f t="shared" si="64"/>
        <v>6318.574793415336</v>
      </c>
      <c r="F103" s="65">
        <f t="shared" si="64"/>
        <v>6628.5905840573787</v>
      </c>
      <c r="G103" s="65">
        <f t="shared" si="64"/>
        <v>6583.0724316505994</v>
      </c>
      <c r="H103" s="65">
        <f t="shared" si="64"/>
        <v>6729.0713872851275</v>
      </c>
      <c r="I103" s="65">
        <f t="shared" si="64"/>
        <v>6593.6312933020308</v>
      </c>
      <c r="J103" s="65">
        <f t="shared" si="64"/>
        <v>6582.2136498998607</v>
      </c>
      <c r="K103" s="65">
        <f t="shared" si="64"/>
        <v>6578.8309619378706</v>
      </c>
      <c r="L103" s="65">
        <f t="shared" si="64"/>
        <v>6580.7485391960518</v>
      </c>
      <c r="M103" s="65">
        <f t="shared" si="64"/>
        <v>6590.4069096519297</v>
      </c>
      <c r="N103" s="65">
        <f t="shared" si="64"/>
        <v>6403.5863015220621</v>
      </c>
      <c r="O103" s="65">
        <f t="shared" si="64"/>
        <v>6527.0808320363303</v>
      </c>
      <c r="P103" s="65">
        <f t="shared" si="64"/>
        <v>6360.6301623992258</v>
      </c>
      <c r="Q103" s="65">
        <f t="shared" si="64"/>
        <v>5977.9306296627492</v>
      </c>
      <c r="R103" s="65">
        <f t="shared" si="64"/>
        <v>5766.775275801122</v>
      </c>
      <c r="S103" s="65">
        <f t="shared" si="64"/>
        <v>5500.7032602709141</v>
      </c>
      <c r="T103" s="65">
        <f t="shared" si="64"/>
        <v>5743.2845032015211</v>
      </c>
      <c r="U103" s="65">
        <f t="shared" si="64"/>
        <v>5551.9198025695341</v>
      </c>
      <c r="V103" s="65">
        <f t="shared" si="64"/>
        <v>4885.7891486437848</v>
      </c>
      <c r="W103" s="65">
        <f t="shared" si="64"/>
        <v>5231.5481292834229</v>
      </c>
      <c r="DA103" s="109"/>
    </row>
    <row r="104" spans="1:105" ht="12" customHeight="1" x14ac:dyDescent="0.25">
      <c r="A104" s="66" t="s">
        <v>34</v>
      </c>
      <c r="B104" s="67">
        <f t="shared" si="59"/>
        <v>6401.1127242257362</v>
      </c>
      <c r="C104" s="67">
        <f t="shared" ref="C104:W104" si="65">C52*11630*1000/C$8</f>
        <v>6599.2593921923844</v>
      </c>
      <c r="D104" s="67">
        <f t="shared" si="65"/>
        <v>6331.7478015613569</v>
      </c>
      <c r="E104" s="67">
        <f t="shared" si="65"/>
        <v>6084.1152214995782</v>
      </c>
      <c r="F104" s="67">
        <f t="shared" si="65"/>
        <v>6532.3419601657952</v>
      </c>
      <c r="G104" s="67">
        <f t="shared" si="65"/>
        <v>6541.3143836514464</v>
      </c>
      <c r="H104" s="67">
        <f t="shared" si="65"/>
        <v>6869.8510212922665</v>
      </c>
      <c r="I104" s="67">
        <f t="shared" si="65"/>
        <v>6952.9828395877521</v>
      </c>
      <c r="J104" s="67">
        <f t="shared" si="65"/>
        <v>7092.3853477883495</v>
      </c>
      <c r="K104" s="67">
        <f t="shared" si="65"/>
        <v>7079.9321658783983</v>
      </c>
      <c r="L104" s="67">
        <f t="shared" si="65"/>
        <v>7219.1462851659326</v>
      </c>
      <c r="M104" s="67">
        <f t="shared" si="65"/>
        <v>7293.5384630870212</v>
      </c>
      <c r="N104" s="67">
        <f t="shared" si="65"/>
        <v>7179.3630797913374</v>
      </c>
      <c r="O104" s="67">
        <f t="shared" si="65"/>
        <v>7276.085120762129</v>
      </c>
      <c r="P104" s="67">
        <f t="shared" si="65"/>
        <v>7653.4094573392631</v>
      </c>
      <c r="Q104" s="67">
        <f t="shared" si="65"/>
        <v>7713.8052410803675</v>
      </c>
      <c r="R104" s="67">
        <f t="shared" si="65"/>
        <v>7622.0706082421075</v>
      </c>
      <c r="S104" s="67">
        <f t="shared" si="65"/>
        <v>7792.6718041588429</v>
      </c>
      <c r="T104" s="67">
        <f t="shared" si="65"/>
        <v>7805.6208643569998</v>
      </c>
      <c r="U104" s="67">
        <f t="shared" si="65"/>
        <v>7920.937110959776</v>
      </c>
      <c r="V104" s="67">
        <f t="shared" si="65"/>
        <v>6690.822969077266</v>
      </c>
      <c r="W104" s="67">
        <f t="shared" si="65"/>
        <v>7641.4195713705058</v>
      </c>
      <c r="DA104" s="110"/>
    </row>
    <row r="105" spans="1:105" ht="12" customHeight="1" x14ac:dyDescent="0.25">
      <c r="A105" s="78" t="s">
        <v>33</v>
      </c>
      <c r="B105" s="68">
        <f t="shared" si="59"/>
        <v>18635.170979026199</v>
      </c>
      <c r="C105" s="68">
        <f t="shared" ref="C105:W105" si="66">C53*11630*1000/C$8</f>
        <v>19280.755318100673</v>
      </c>
      <c r="D105" s="68">
        <f t="shared" si="66"/>
        <v>19735.300082917838</v>
      </c>
      <c r="E105" s="68">
        <f t="shared" si="66"/>
        <v>20186.426893487278</v>
      </c>
      <c r="F105" s="68">
        <f t="shared" si="66"/>
        <v>20643.358458987615</v>
      </c>
      <c r="G105" s="68">
        <f t="shared" si="66"/>
        <v>20997.198587691546</v>
      </c>
      <c r="H105" s="68">
        <f t="shared" si="66"/>
        <v>21202.467200517196</v>
      </c>
      <c r="I105" s="68">
        <f t="shared" si="66"/>
        <v>21267.505639890955</v>
      </c>
      <c r="J105" s="68">
        <f t="shared" si="66"/>
        <v>21315.607547343676</v>
      </c>
      <c r="K105" s="68">
        <f t="shared" si="66"/>
        <v>21492.022787952501</v>
      </c>
      <c r="L105" s="68">
        <f t="shared" si="66"/>
        <v>21580.928379583533</v>
      </c>
      <c r="M105" s="68">
        <f t="shared" si="66"/>
        <v>21605.477807542455</v>
      </c>
      <c r="N105" s="68">
        <f t="shared" si="66"/>
        <v>21659.526670545834</v>
      </c>
      <c r="O105" s="68">
        <f t="shared" si="66"/>
        <v>21721.709467074441</v>
      </c>
      <c r="P105" s="68">
        <f t="shared" si="66"/>
        <v>21765.187725412474</v>
      </c>
      <c r="Q105" s="68">
        <f t="shared" si="66"/>
        <v>22075.462658059849</v>
      </c>
      <c r="R105" s="68">
        <f t="shared" si="66"/>
        <v>22272.548176725504</v>
      </c>
      <c r="S105" s="68">
        <f t="shared" si="66"/>
        <v>21770.987388778743</v>
      </c>
      <c r="T105" s="68">
        <f t="shared" si="66"/>
        <v>21557.866925264792</v>
      </c>
      <c r="U105" s="68">
        <f t="shared" si="66"/>
        <v>21115.149352300894</v>
      </c>
      <c r="V105" s="68">
        <f t="shared" si="66"/>
        <v>19234.061035709638</v>
      </c>
      <c r="W105" s="68">
        <f t="shared" si="66"/>
        <v>18980.771874826216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15965.47378679119</v>
      </c>
      <c r="C107" s="85">
        <f t="shared" ref="C107:W107" si="68">SUM(C108:C111)</f>
        <v>16368.62104568494</v>
      </c>
      <c r="D107" s="85">
        <f t="shared" si="68"/>
        <v>16128.51411024622</v>
      </c>
      <c r="E107" s="85">
        <f t="shared" si="68"/>
        <v>16591.757019416149</v>
      </c>
      <c r="F107" s="85">
        <f t="shared" si="68"/>
        <v>17520.274909777188</v>
      </c>
      <c r="G107" s="85">
        <f t="shared" si="68"/>
        <v>19105.078251620449</v>
      </c>
      <c r="H107" s="85">
        <f t="shared" si="68"/>
        <v>25656.770574823342</v>
      </c>
      <c r="I107" s="85">
        <f t="shared" si="68"/>
        <v>21208.978648953074</v>
      </c>
      <c r="J107" s="85">
        <f t="shared" si="68"/>
        <v>22407.2268281301</v>
      </c>
      <c r="K107" s="85">
        <f t="shared" si="68"/>
        <v>25982.453092353171</v>
      </c>
      <c r="L107" s="85">
        <f t="shared" si="68"/>
        <v>27891.748273776626</v>
      </c>
      <c r="M107" s="85">
        <f t="shared" si="68"/>
        <v>27543.445842992416</v>
      </c>
      <c r="N107" s="85">
        <f t="shared" si="68"/>
        <v>28022.060204523237</v>
      </c>
      <c r="O107" s="85">
        <f t="shared" si="68"/>
        <v>25488.595771531753</v>
      </c>
      <c r="P107" s="85">
        <f t="shared" si="68"/>
        <v>22286.766751375573</v>
      </c>
      <c r="Q107" s="85">
        <f t="shared" si="68"/>
        <v>26631.87745870358</v>
      </c>
      <c r="R107" s="85">
        <f t="shared" si="68"/>
        <v>26920.626560641544</v>
      </c>
      <c r="S107" s="85">
        <f t="shared" si="68"/>
        <v>30111.3150975463</v>
      </c>
      <c r="T107" s="85">
        <f t="shared" si="68"/>
        <v>27415.305107462395</v>
      </c>
      <c r="U107" s="85">
        <f t="shared" si="68"/>
        <v>28587.810323518308</v>
      </c>
      <c r="V107" s="85">
        <f t="shared" si="68"/>
        <v>28648.323234299314</v>
      </c>
      <c r="W107" s="85">
        <f t="shared" si="68"/>
        <v>29432.863120143913</v>
      </c>
      <c r="DA107" s="117"/>
    </row>
    <row r="108" spans="1:105" ht="12" customHeight="1" x14ac:dyDescent="0.25">
      <c r="A108" s="61" t="s">
        <v>32</v>
      </c>
      <c r="B108" s="65">
        <v>5908.3137763879404</v>
      </c>
      <c r="C108" s="65">
        <v>5571.1134182803944</v>
      </c>
      <c r="D108" s="65">
        <v>5265.9939775865632</v>
      </c>
      <c r="E108" s="65">
        <v>4353.8815310538921</v>
      </c>
      <c r="F108" s="65">
        <v>4956.0505215455069</v>
      </c>
      <c r="G108" s="65">
        <v>5707.1686204799262</v>
      </c>
      <c r="H108" s="65">
        <v>10506.039340631143</v>
      </c>
      <c r="I108" s="65">
        <v>6941.4867639213926</v>
      </c>
      <c r="J108" s="65">
        <v>7046.7203414699216</v>
      </c>
      <c r="K108" s="65">
        <v>7542.5289204300407</v>
      </c>
      <c r="L108" s="65">
        <v>9241.4205631181831</v>
      </c>
      <c r="M108" s="65">
        <v>9318.6094819152368</v>
      </c>
      <c r="N108" s="65">
        <v>7716.2695720693355</v>
      </c>
      <c r="O108" s="65">
        <v>7085.1323959148667</v>
      </c>
      <c r="P108" s="65">
        <v>4544.16138612141</v>
      </c>
      <c r="Q108" s="65">
        <v>4683.2887796314017</v>
      </c>
      <c r="R108" s="65">
        <v>5422.4043745776844</v>
      </c>
      <c r="S108" s="65">
        <v>6286.250709366901</v>
      </c>
      <c r="T108" s="65">
        <v>7583.1617072966701</v>
      </c>
      <c r="U108" s="65">
        <v>8039.2517420085878</v>
      </c>
      <c r="V108" s="65">
        <v>7966.3228635352316</v>
      </c>
      <c r="W108" s="65">
        <v>9265.0413108821358</v>
      </c>
      <c r="DA108" s="109"/>
    </row>
    <row r="109" spans="1:105" ht="12" customHeight="1" x14ac:dyDescent="0.25">
      <c r="A109" s="61" t="s">
        <v>31</v>
      </c>
      <c r="B109" s="65">
        <v>2782.2653458671211</v>
      </c>
      <c r="C109" s="65">
        <v>3295.6539458642465</v>
      </c>
      <c r="D109" s="65">
        <v>3336.6227468643142</v>
      </c>
      <c r="E109" s="65">
        <v>4846.8702773465293</v>
      </c>
      <c r="F109" s="65">
        <v>4744.9220289082805</v>
      </c>
      <c r="G109" s="65">
        <v>5553.7904233305908</v>
      </c>
      <c r="H109" s="65">
        <v>7000.2473558584852</v>
      </c>
      <c r="I109" s="65">
        <v>6075.7627591834353</v>
      </c>
      <c r="J109" s="65">
        <v>7022.0271590339562</v>
      </c>
      <c r="K109" s="65">
        <v>10053.422552294222</v>
      </c>
      <c r="L109" s="65">
        <v>10121.427371404452</v>
      </c>
      <c r="M109" s="65">
        <v>9596.4314188531589</v>
      </c>
      <c r="N109" s="65">
        <v>11845.945208193742</v>
      </c>
      <c r="O109" s="65">
        <v>9811.3433650193765</v>
      </c>
      <c r="P109" s="65">
        <v>9263.0449178922063</v>
      </c>
      <c r="Q109" s="65">
        <v>13700.088120831395</v>
      </c>
      <c r="R109" s="65">
        <v>13444.271100779337</v>
      </c>
      <c r="S109" s="65">
        <v>15680.55878809712</v>
      </c>
      <c r="T109" s="65">
        <v>11255.207158336563</v>
      </c>
      <c r="U109" s="65">
        <v>11854.95957940156</v>
      </c>
      <c r="V109" s="65">
        <v>13277.584767791983</v>
      </c>
      <c r="W109" s="65">
        <v>11618.536038360675</v>
      </c>
      <c r="DA109" s="109"/>
    </row>
    <row r="110" spans="1:105" ht="12" customHeight="1" x14ac:dyDescent="0.25">
      <c r="A110" s="61" t="s">
        <v>35</v>
      </c>
      <c r="B110" s="65">
        <v>3197.4345156666773</v>
      </c>
      <c r="C110" s="65">
        <v>3323.0598063776065</v>
      </c>
      <c r="D110" s="65">
        <v>3487.3905127724429</v>
      </c>
      <c r="E110" s="65">
        <v>3484.184309612956</v>
      </c>
      <c r="F110" s="65">
        <v>3677.0877769826834</v>
      </c>
      <c r="G110" s="65">
        <v>3675.5385128912285</v>
      </c>
      <c r="H110" s="65">
        <v>3744.2984535718838</v>
      </c>
      <c r="I110" s="65">
        <v>3712.7375261811221</v>
      </c>
      <c r="J110" s="65">
        <v>3754.4003781684851</v>
      </c>
      <c r="K110" s="65">
        <v>3785.4491023166806</v>
      </c>
      <c r="L110" s="65">
        <v>3826.8134040169653</v>
      </c>
      <c r="M110" s="65">
        <v>3871.6612842625987</v>
      </c>
      <c r="N110" s="65">
        <v>3798.4661758988304</v>
      </c>
      <c r="O110" s="65">
        <v>3921.2967150198374</v>
      </c>
      <c r="P110" s="65">
        <v>3843.3667429728148</v>
      </c>
      <c r="Q110" s="65">
        <v>3654.2439338092672</v>
      </c>
      <c r="R110" s="65">
        <v>3575.498504647504</v>
      </c>
      <c r="S110" s="65">
        <v>3483.5486222545351</v>
      </c>
      <c r="T110" s="65">
        <v>3734.4668752931675</v>
      </c>
      <c r="U110" s="65">
        <v>3697.7885293676777</v>
      </c>
      <c r="V110" s="65">
        <v>3327.6157128275781</v>
      </c>
      <c r="W110" s="65">
        <v>3644.7781232693851</v>
      </c>
      <c r="DA110" s="109"/>
    </row>
    <row r="111" spans="1:105" ht="12" customHeight="1" x14ac:dyDescent="0.25">
      <c r="A111" s="74" t="s">
        <v>34</v>
      </c>
      <c r="B111" s="68">
        <v>4077.4601488694516</v>
      </c>
      <c r="C111" s="68">
        <v>4178.7938751626925</v>
      </c>
      <c r="D111" s="68">
        <v>4038.5068730228995</v>
      </c>
      <c r="E111" s="68">
        <v>3906.8209014027711</v>
      </c>
      <c r="F111" s="68">
        <v>4142.2145823407191</v>
      </c>
      <c r="G111" s="68">
        <v>4168.5806949187026</v>
      </c>
      <c r="H111" s="68">
        <v>4406.1854247618303</v>
      </c>
      <c r="I111" s="68">
        <v>4478.991599667127</v>
      </c>
      <c r="J111" s="68">
        <v>4584.0789494577384</v>
      </c>
      <c r="K111" s="68">
        <v>4601.0525173122269</v>
      </c>
      <c r="L111" s="68">
        <v>4702.0869352370246</v>
      </c>
      <c r="M111" s="68">
        <v>4756.7436579614223</v>
      </c>
      <c r="N111" s="68">
        <v>4661.3792483613279</v>
      </c>
      <c r="O111" s="68">
        <v>4670.8232955776721</v>
      </c>
      <c r="P111" s="68">
        <v>4636.1937043891412</v>
      </c>
      <c r="Q111" s="68">
        <v>4594.2566244315149</v>
      </c>
      <c r="R111" s="68">
        <v>4478.4525806370175</v>
      </c>
      <c r="S111" s="68">
        <v>4660.9569778277419</v>
      </c>
      <c r="T111" s="68">
        <v>4842.46936653599</v>
      </c>
      <c r="U111" s="68">
        <v>4995.8104727404825</v>
      </c>
      <c r="V111" s="68">
        <v>4076.7998901445198</v>
      </c>
      <c r="W111" s="68">
        <v>4904.5076476317172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3790.0003642849128</v>
      </c>
      <c r="C113" s="82">
        <f t="shared" ref="C113:W113" si="70">C81*1000000/C$8</f>
        <v>4027.2783986141953</v>
      </c>
      <c r="D113" s="82">
        <f t="shared" si="70"/>
        <v>3882.961645305877</v>
      </c>
      <c r="E113" s="82">
        <f t="shared" si="70"/>
        <v>3443.2488321364581</v>
      </c>
      <c r="F113" s="82">
        <f t="shared" si="70"/>
        <v>3748.1262841668863</v>
      </c>
      <c r="G113" s="82">
        <f t="shared" si="70"/>
        <v>4044.5904020095536</v>
      </c>
      <c r="H113" s="82">
        <f t="shared" si="70"/>
        <v>4950.5205637708541</v>
      </c>
      <c r="I113" s="82">
        <f t="shared" si="70"/>
        <v>3697.9870569867176</v>
      </c>
      <c r="J113" s="82">
        <f t="shared" si="70"/>
        <v>3371.3329323663957</v>
      </c>
      <c r="K113" s="82">
        <f t="shared" si="70"/>
        <v>3672.1085887579347</v>
      </c>
      <c r="L113" s="82">
        <f t="shared" si="70"/>
        <v>4075.4157438309867</v>
      </c>
      <c r="M113" s="82">
        <f t="shared" si="70"/>
        <v>4186.8620604237894</v>
      </c>
      <c r="N113" s="82">
        <f t="shared" si="70"/>
        <v>3836.5473225557957</v>
      </c>
      <c r="O113" s="82">
        <f t="shared" si="70"/>
        <v>3819.0711769068898</v>
      </c>
      <c r="P113" s="82">
        <f t="shared" si="70"/>
        <v>3328.9615950568791</v>
      </c>
      <c r="Q113" s="82">
        <f t="shared" si="70"/>
        <v>3228.9805217681428</v>
      </c>
      <c r="R113" s="82">
        <f t="shared" si="70"/>
        <v>3427.9221279791823</v>
      </c>
      <c r="S113" s="82">
        <f t="shared" si="70"/>
        <v>3465.2118221067249</v>
      </c>
      <c r="T113" s="82">
        <f t="shared" si="70"/>
        <v>3572.9588426135006</v>
      </c>
      <c r="U113" s="82">
        <f t="shared" si="70"/>
        <v>3484.7204940904758</v>
      </c>
      <c r="V113" s="82">
        <f t="shared" si="70"/>
        <v>3256.9809812334984</v>
      </c>
      <c r="W113" s="82">
        <f t="shared" si="70"/>
        <v>3531.5466299397312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3790.0003642849128</v>
      </c>
      <c r="C114" s="64">
        <f t="shared" ref="C114:W114" si="72">C82*1000000/C$8</f>
        <v>4027.2783986141953</v>
      </c>
      <c r="D114" s="64">
        <f t="shared" si="72"/>
        <v>3882.961645305877</v>
      </c>
      <c r="E114" s="64">
        <f t="shared" si="72"/>
        <v>3443.2488321364581</v>
      </c>
      <c r="F114" s="64">
        <f t="shared" si="72"/>
        <v>3748.1262841668863</v>
      </c>
      <c r="G114" s="64">
        <f t="shared" si="72"/>
        <v>4044.5904020095536</v>
      </c>
      <c r="H114" s="64">
        <f t="shared" si="72"/>
        <v>4950.5205637708541</v>
      </c>
      <c r="I114" s="64">
        <f t="shared" si="72"/>
        <v>3697.9870569867176</v>
      </c>
      <c r="J114" s="64">
        <f t="shared" si="72"/>
        <v>3371.3329323663957</v>
      </c>
      <c r="K114" s="64">
        <f t="shared" si="72"/>
        <v>3672.1085887579347</v>
      </c>
      <c r="L114" s="64">
        <f t="shared" si="72"/>
        <v>4075.4157438309867</v>
      </c>
      <c r="M114" s="64">
        <f t="shared" si="72"/>
        <v>4186.8620604237894</v>
      </c>
      <c r="N114" s="64">
        <f t="shared" si="72"/>
        <v>3836.5473225557957</v>
      </c>
      <c r="O114" s="64">
        <f t="shared" si="72"/>
        <v>3819.0711769068898</v>
      </c>
      <c r="P114" s="64">
        <f t="shared" si="72"/>
        <v>3328.9615950568791</v>
      </c>
      <c r="Q114" s="64">
        <f t="shared" si="72"/>
        <v>3228.9805217681428</v>
      </c>
      <c r="R114" s="64">
        <f t="shared" si="72"/>
        <v>3427.9221279791823</v>
      </c>
      <c r="S114" s="64">
        <f t="shared" si="72"/>
        <v>3465.2118221067249</v>
      </c>
      <c r="T114" s="64">
        <f t="shared" si="72"/>
        <v>3572.9588426135006</v>
      </c>
      <c r="U114" s="64">
        <f t="shared" si="72"/>
        <v>3484.7204940904758</v>
      </c>
      <c r="V114" s="64">
        <f t="shared" si="72"/>
        <v>3256.9809812334984</v>
      </c>
      <c r="W114" s="64">
        <f t="shared" si="72"/>
        <v>3531.5466299397312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2538.3460391529056</v>
      </c>
      <c r="C115" s="65">
        <f t="shared" ref="C115:W115" si="74">C83*1000000/C$8</f>
        <v>2731.246778362688</v>
      </c>
      <c r="D115" s="65">
        <f t="shared" si="74"/>
        <v>2667.3560315881236</v>
      </c>
      <c r="E115" s="65">
        <f t="shared" si="74"/>
        <v>2359.5129929620316</v>
      </c>
      <c r="F115" s="65">
        <f t="shared" si="74"/>
        <v>2533.6477552227552</v>
      </c>
      <c r="G115" s="65">
        <f t="shared" si="74"/>
        <v>2834.7579861470758</v>
      </c>
      <c r="H115" s="65">
        <f t="shared" si="74"/>
        <v>3615.3795386957704</v>
      </c>
      <c r="I115" s="65">
        <f t="shared" si="74"/>
        <v>2413.0055245478593</v>
      </c>
      <c r="J115" s="65">
        <f t="shared" si="74"/>
        <v>2096.0345690221679</v>
      </c>
      <c r="K115" s="65">
        <f t="shared" si="74"/>
        <v>2401.8290574485586</v>
      </c>
      <c r="L115" s="65">
        <f t="shared" si="74"/>
        <v>2799.927820897778</v>
      </c>
      <c r="M115" s="65">
        <f t="shared" si="74"/>
        <v>2906.3261839465845</v>
      </c>
      <c r="N115" s="65">
        <f t="shared" si="74"/>
        <v>2499.7221449568792</v>
      </c>
      <c r="O115" s="65">
        <f t="shared" si="74"/>
        <v>2374.1670613438041</v>
      </c>
      <c r="P115" s="65">
        <f t="shared" si="74"/>
        <v>1455.8385142273189</v>
      </c>
      <c r="Q115" s="65">
        <f t="shared" si="74"/>
        <v>1274.4449961293635</v>
      </c>
      <c r="R115" s="65">
        <f t="shared" si="74"/>
        <v>1409.1441068791783</v>
      </c>
      <c r="S115" s="65">
        <f t="shared" si="74"/>
        <v>1494.8371569994176</v>
      </c>
      <c r="T115" s="65">
        <f t="shared" si="74"/>
        <v>1718.364293251858</v>
      </c>
      <c r="U115" s="65">
        <f t="shared" si="74"/>
        <v>1644.7776645323111</v>
      </c>
      <c r="V115" s="65">
        <f t="shared" si="74"/>
        <v>1468.776850359736</v>
      </c>
      <c r="W115" s="65">
        <f t="shared" si="74"/>
        <v>1704.055441339159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0.38920764718362227</v>
      </c>
      <c r="C116" s="65">
        <f t="shared" ref="C116:W116" si="76">C84*1000000/C$8</f>
        <v>0.45459818017636455</v>
      </c>
      <c r="D116" s="65">
        <f t="shared" si="76"/>
        <v>0.40725853339553597</v>
      </c>
      <c r="E116" s="65">
        <f t="shared" si="76"/>
        <v>0.79077218390171655</v>
      </c>
      <c r="F116" s="65">
        <f t="shared" si="76"/>
        <v>0.78221581468876755</v>
      </c>
      <c r="G116" s="65">
        <f t="shared" si="76"/>
        <v>0.97752970137010819</v>
      </c>
      <c r="H116" s="65">
        <f t="shared" si="76"/>
        <v>1.2277545620750046</v>
      </c>
      <c r="I116" s="65">
        <f t="shared" si="76"/>
        <v>1.2105042557732819</v>
      </c>
      <c r="J116" s="65">
        <f t="shared" si="76"/>
        <v>1.6172561179810026</v>
      </c>
      <c r="K116" s="65">
        <f t="shared" si="76"/>
        <v>2.4888444887639971</v>
      </c>
      <c r="L116" s="65">
        <f t="shared" si="76"/>
        <v>2.8042246737835557</v>
      </c>
      <c r="M116" s="65">
        <f t="shared" si="76"/>
        <v>3.0224445868935605</v>
      </c>
      <c r="N116" s="65">
        <f t="shared" si="76"/>
        <v>4.0903845024916556</v>
      </c>
      <c r="O116" s="65">
        <f t="shared" si="76"/>
        <v>4.0944249331670912</v>
      </c>
      <c r="P116" s="65">
        <f t="shared" si="76"/>
        <v>4.3115083322104031</v>
      </c>
      <c r="Q116" s="65">
        <f t="shared" si="76"/>
        <v>7.5190294651981882</v>
      </c>
      <c r="R116" s="65">
        <f t="shared" si="76"/>
        <v>8.3513611969921548</v>
      </c>
      <c r="S116" s="65">
        <f t="shared" si="76"/>
        <v>10.47110727192557</v>
      </c>
      <c r="T116" s="65">
        <f t="shared" si="76"/>
        <v>8.7648726620316904</v>
      </c>
      <c r="U116" s="65">
        <f t="shared" si="76"/>
        <v>9.6317090476122633</v>
      </c>
      <c r="V116" s="65">
        <f t="shared" si="76"/>
        <v>10.308883334873917</v>
      </c>
      <c r="W116" s="65">
        <f t="shared" si="76"/>
        <v>9.2865370353608121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770.36937494253152</v>
      </c>
      <c r="C117" s="65">
        <f t="shared" ref="C117:W117" si="78">C85*1000000/C$8</f>
        <v>754.3713450369944</v>
      </c>
      <c r="D117" s="65">
        <f t="shared" si="78"/>
        <v>719.97807835821038</v>
      </c>
      <c r="E117" s="65">
        <f t="shared" si="78"/>
        <v>635.71667810738279</v>
      </c>
      <c r="F117" s="65">
        <f t="shared" si="78"/>
        <v>654.95486119004852</v>
      </c>
      <c r="G117" s="65">
        <f t="shared" si="78"/>
        <v>656.97916807493004</v>
      </c>
      <c r="H117" s="65">
        <f t="shared" si="78"/>
        <v>774.33966024145798</v>
      </c>
      <c r="I117" s="65">
        <f t="shared" si="78"/>
        <v>727.44328045495615</v>
      </c>
      <c r="J117" s="65">
        <f t="shared" si="78"/>
        <v>697.78849246429002</v>
      </c>
      <c r="K117" s="65">
        <f t="shared" si="78"/>
        <v>702.58300115287409</v>
      </c>
      <c r="L117" s="65">
        <f t="shared" si="78"/>
        <v>693.37964493422203</v>
      </c>
      <c r="M117" s="65">
        <f t="shared" si="78"/>
        <v>695.5490865299746</v>
      </c>
      <c r="N117" s="65">
        <f t="shared" si="78"/>
        <v>728.46871528950408</v>
      </c>
      <c r="O117" s="65">
        <f t="shared" si="78"/>
        <v>770.173076784616</v>
      </c>
      <c r="P117" s="65">
        <f t="shared" si="78"/>
        <v>844.17305817407021</v>
      </c>
      <c r="Q117" s="65">
        <f t="shared" si="78"/>
        <v>794.6365095358683</v>
      </c>
      <c r="R117" s="65">
        <f t="shared" si="78"/>
        <v>804.98490075705649</v>
      </c>
      <c r="S117" s="65">
        <f t="shared" si="78"/>
        <v>792.5896596272263</v>
      </c>
      <c r="T117" s="65">
        <f t="shared" si="78"/>
        <v>795.65794821018085</v>
      </c>
      <c r="U117" s="65">
        <f t="shared" si="78"/>
        <v>789.96556866744743</v>
      </c>
      <c r="V117" s="65">
        <f t="shared" si="78"/>
        <v>745.6603576424759</v>
      </c>
      <c r="W117" s="65">
        <f t="shared" si="78"/>
        <v>804.47965260609874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480.89574254229194</v>
      </c>
      <c r="C118" s="67">
        <f t="shared" ref="C118:W118" si="80">C86*1000000/C$8</f>
        <v>541.20567703433642</v>
      </c>
      <c r="D118" s="67">
        <f t="shared" si="80"/>
        <v>495.22027682614834</v>
      </c>
      <c r="E118" s="67">
        <f t="shared" si="80"/>
        <v>447.22838888314203</v>
      </c>
      <c r="F118" s="67">
        <f t="shared" si="80"/>
        <v>558.74145193939307</v>
      </c>
      <c r="G118" s="67">
        <f t="shared" si="80"/>
        <v>551.8757180861769</v>
      </c>
      <c r="H118" s="67">
        <f t="shared" si="80"/>
        <v>559.57361027155025</v>
      </c>
      <c r="I118" s="67">
        <f t="shared" si="80"/>
        <v>556.32774772812843</v>
      </c>
      <c r="J118" s="67">
        <f t="shared" si="80"/>
        <v>575.89261476195645</v>
      </c>
      <c r="K118" s="67">
        <f t="shared" si="80"/>
        <v>565.20768566773722</v>
      </c>
      <c r="L118" s="67">
        <f t="shared" si="80"/>
        <v>579.30405332520297</v>
      </c>
      <c r="M118" s="67">
        <f t="shared" si="80"/>
        <v>581.96434536033723</v>
      </c>
      <c r="N118" s="67">
        <f t="shared" si="80"/>
        <v>604.26607780692143</v>
      </c>
      <c r="O118" s="67">
        <f t="shared" si="80"/>
        <v>670.63661384530246</v>
      </c>
      <c r="P118" s="67">
        <f t="shared" si="80"/>
        <v>1024.6385143232794</v>
      </c>
      <c r="Q118" s="67">
        <f t="shared" si="80"/>
        <v>1152.3799866377124</v>
      </c>
      <c r="R118" s="67">
        <f t="shared" si="80"/>
        <v>1205.4417591459553</v>
      </c>
      <c r="S118" s="67">
        <f t="shared" si="80"/>
        <v>1167.3138982081555</v>
      </c>
      <c r="T118" s="67">
        <f t="shared" si="80"/>
        <v>1050.1717284894301</v>
      </c>
      <c r="U118" s="67">
        <f t="shared" si="80"/>
        <v>1040.3455518431047</v>
      </c>
      <c r="V118" s="67">
        <f t="shared" si="80"/>
        <v>1032.2348898964124</v>
      </c>
      <c r="W118" s="67">
        <f t="shared" si="80"/>
        <v>1013.7249989591128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0.59546266120080515</v>
      </c>
      <c r="C121" s="86">
        <f t="shared" ref="C121:W121" si="84">IF(C107=0,"",C107/C100)</f>
        <v>0.60750274123686621</v>
      </c>
      <c r="D121" s="86">
        <f t="shared" si="84"/>
        <v>0.6174521696091565</v>
      </c>
      <c r="E121" s="86">
        <f t="shared" si="84"/>
        <v>0.67867933724850338</v>
      </c>
      <c r="F121" s="86">
        <f t="shared" si="84"/>
        <v>0.6723742764228644</v>
      </c>
      <c r="G121" s="86">
        <f t="shared" si="84"/>
        <v>0.68987977767183495</v>
      </c>
      <c r="H121" s="86">
        <f t="shared" si="84"/>
        <v>0.70507734696908342</v>
      </c>
      <c r="I121" s="86">
        <f t="shared" si="84"/>
        <v>0.72874472776399035</v>
      </c>
      <c r="J121" s="86">
        <f t="shared" si="84"/>
        <v>0.76763509973438282</v>
      </c>
      <c r="K121" s="86">
        <f t="shared" si="84"/>
        <v>0.83404000276905244</v>
      </c>
      <c r="L121" s="86">
        <f t="shared" si="84"/>
        <v>0.82343735988809919</v>
      </c>
      <c r="M121" s="86">
        <f t="shared" si="84"/>
        <v>0.82214225319751699</v>
      </c>
      <c r="N121" s="86">
        <f t="shared" si="84"/>
        <v>0.90693032216879532</v>
      </c>
      <c r="O121" s="86">
        <f t="shared" si="84"/>
        <v>0.88258755454131876</v>
      </c>
      <c r="P121" s="86">
        <f t="shared" si="84"/>
        <v>0.92307240708964633</v>
      </c>
      <c r="Q121" s="86">
        <f t="shared" si="84"/>
        <v>1.075132712702773</v>
      </c>
      <c r="R121" s="86">
        <f t="shared" si="84"/>
        <v>1.0803963895403801</v>
      </c>
      <c r="S121" s="86">
        <f t="shared" si="84"/>
        <v>1.1554361844780092</v>
      </c>
      <c r="T121" s="86">
        <f t="shared" si="84"/>
        <v>1.0488516931142513</v>
      </c>
      <c r="U121" s="86">
        <f t="shared" si="84"/>
        <v>1.0974920951435341</v>
      </c>
      <c r="V121" s="86">
        <f t="shared" si="84"/>
        <v>1.2111073841148803</v>
      </c>
      <c r="W121" s="86">
        <f t="shared" si="84"/>
        <v>1.1444901644672802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0.46509180498547542</v>
      </c>
      <c r="C122" s="75">
        <f t="shared" ref="C122:W122" si="86">IF(C108=0,"",C108/C101)</f>
        <v>0.45413091441343445</v>
      </c>
      <c r="D122" s="75">
        <f t="shared" si="86"/>
        <v>0.45491401349363553</v>
      </c>
      <c r="E122" s="75">
        <f t="shared" si="86"/>
        <v>0.4566869182167681</v>
      </c>
      <c r="F122" s="75">
        <f t="shared" si="86"/>
        <v>0.46708862022373288</v>
      </c>
      <c r="G122" s="75">
        <f t="shared" si="86"/>
        <v>0.47512533597567147</v>
      </c>
      <c r="H122" s="75">
        <f t="shared" si="86"/>
        <v>0.533162276802153</v>
      </c>
      <c r="I122" s="75">
        <f t="shared" si="86"/>
        <v>0.53411330691308545</v>
      </c>
      <c r="J122" s="75">
        <f t="shared" si="86"/>
        <v>0.55637723277293605</v>
      </c>
      <c r="K122" s="75">
        <f t="shared" si="86"/>
        <v>0.5593242963028624</v>
      </c>
      <c r="L122" s="75">
        <f t="shared" si="86"/>
        <v>0.57343091961670767</v>
      </c>
      <c r="M122" s="75">
        <f t="shared" si="86"/>
        <v>0.58396937463189702</v>
      </c>
      <c r="N122" s="75">
        <f t="shared" si="86"/>
        <v>0.59808451208155211</v>
      </c>
      <c r="O122" s="75">
        <f t="shared" si="86"/>
        <v>0.61573967947573893</v>
      </c>
      <c r="P122" s="75">
        <f t="shared" si="86"/>
        <v>0.6610197437927201</v>
      </c>
      <c r="Q122" s="75">
        <f t="shared" si="86"/>
        <v>0.72967825893160609</v>
      </c>
      <c r="R122" s="75">
        <f t="shared" si="86"/>
        <v>0.76312686907285876</v>
      </c>
      <c r="S122" s="75">
        <f t="shared" si="86"/>
        <v>0.80783305285456641</v>
      </c>
      <c r="T122" s="75">
        <f t="shared" si="86"/>
        <v>0.83191362402651914</v>
      </c>
      <c r="U122" s="75">
        <f t="shared" si="86"/>
        <v>0.8916809510824415</v>
      </c>
      <c r="V122" s="75">
        <f t="shared" si="86"/>
        <v>0.97391301833099819</v>
      </c>
      <c r="W122" s="75">
        <f t="shared" si="86"/>
        <v>0.97340131063798296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1.6872144132051785</v>
      </c>
      <c r="C123" s="76">
        <f t="shared" ref="C123:W123" si="88">IF(C109=0,"",C109/C102)</f>
        <v>1.7819997698051533</v>
      </c>
      <c r="D123" s="76">
        <f t="shared" si="88"/>
        <v>1.8829724077338079</v>
      </c>
      <c r="E123" s="76">
        <f t="shared" si="88"/>
        <v>1.9304023628451494</v>
      </c>
      <c r="F123" s="76">
        <f t="shared" si="88"/>
        <v>2.0757548218647384</v>
      </c>
      <c r="G123" s="76">
        <f t="shared" si="88"/>
        <v>2.1719647544942191</v>
      </c>
      <c r="H123" s="76">
        <f t="shared" si="88"/>
        <v>2.2694741915311081</v>
      </c>
      <c r="I123" s="76">
        <f t="shared" si="88"/>
        <v>2.3728398004946465</v>
      </c>
      <c r="J123" s="76">
        <f t="shared" si="88"/>
        <v>2.4638844493567844</v>
      </c>
      <c r="K123" s="76">
        <f t="shared" si="88"/>
        <v>2.5079070724873276</v>
      </c>
      <c r="L123" s="76">
        <f t="shared" si="88"/>
        <v>2.5582228627728996</v>
      </c>
      <c r="M123" s="76">
        <f t="shared" si="88"/>
        <v>2.6214467754899347</v>
      </c>
      <c r="N123" s="76">
        <f t="shared" si="88"/>
        <v>2.6842610424664968</v>
      </c>
      <c r="O123" s="76">
        <f t="shared" si="88"/>
        <v>2.7486378207843867</v>
      </c>
      <c r="P123" s="76">
        <f t="shared" si="88"/>
        <v>2.8452612807165552</v>
      </c>
      <c r="Q123" s="76">
        <f t="shared" si="88"/>
        <v>2.9394582850606508</v>
      </c>
      <c r="R123" s="76">
        <f t="shared" si="88"/>
        <v>3.0396227712274406</v>
      </c>
      <c r="S123" s="76">
        <f t="shared" si="88"/>
        <v>3.1451920528510167</v>
      </c>
      <c r="T123" s="76">
        <f t="shared" si="88"/>
        <v>3.2396811507532992</v>
      </c>
      <c r="U123" s="76">
        <f t="shared" si="88"/>
        <v>3.330409095067036</v>
      </c>
      <c r="V123" s="76">
        <f t="shared" si="88"/>
        <v>3.4059649473349589</v>
      </c>
      <c r="W123" s="76">
        <f t="shared" si="88"/>
        <v>3.4934273010942611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0.52778658198955275</v>
      </c>
      <c r="C124" s="76">
        <f t="shared" ref="C124:W124" si="90">IF(C110=0,"",C110/C103)</f>
        <v>0.53358481861227158</v>
      </c>
      <c r="D124" s="76">
        <f t="shared" si="90"/>
        <v>0.5413917908275363</v>
      </c>
      <c r="E124" s="76">
        <f t="shared" si="90"/>
        <v>0.55141933482276206</v>
      </c>
      <c r="F124" s="76">
        <f t="shared" si="90"/>
        <v>0.5547314667203247</v>
      </c>
      <c r="G124" s="76">
        <f t="shared" si="90"/>
        <v>0.55833177457074501</v>
      </c>
      <c r="H124" s="76">
        <f t="shared" si="90"/>
        <v>0.55643613183342033</v>
      </c>
      <c r="I124" s="76">
        <f t="shared" si="90"/>
        <v>0.56307933535085741</v>
      </c>
      <c r="J124" s="76">
        <f t="shared" si="90"/>
        <v>0.57038567537618645</v>
      </c>
      <c r="K124" s="76">
        <f t="shared" si="90"/>
        <v>0.57539844452875755</v>
      </c>
      <c r="L124" s="76">
        <f t="shared" si="90"/>
        <v>0.58151643102966433</v>
      </c>
      <c r="M124" s="76">
        <f t="shared" si="90"/>
        <v>0.58746923176964794</v>
      </c>
      <c r="N124" s="76">
        <f t="shared" si="90"/>
        <v>0.5931779470194658</v>
      </c>
      <c r="O124" s="76">
        <f t="shared" si="90"/>
        <v>0.6007734262724711</v>
      </c>
      <c r="P124" s="76">
        <f t="shared" si="90"/>
        <v>0.60424307731218552</v>
      </c>
      <c r="Q124" s="76">
        <f t="shared" si="90"/>
        <v>0.61128911661783958</v>
      </c>
      <c r="R124" s="76">
        <f t="shared" si="90"/>
        <v>0.62001696505345349</v>
      </c>
      <c r="S124" s="76">
        <f t="shared" si="90"/>
        <v>0.63329150063676898</v>
      </c>
      <c r="T124" s="76">
        <f t="shared" si="90"/>
        <v>0.65023191402261826</v>
      </c>
      <c r="U124" s="76">
        <f t="shared" si="90"/>
        <v>0.6660378141010378</v>
      </c>
      <c r="V124" s="76">
        <f t="shared" si="90"/>
        <v>0.68108049929892489</v>
      </c>
      <c r="W124" s="76">
        <f t="shared" si="90"/>
        <v>0.69669207530900013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0.63699239874933644</v>
      </c>
      <c r="C125" s="56">
        <f t="shared" ref="C125:W125" si="92">IF(C111=0,"",C111/C104)</f>
        <v>0.63322164303870876</v>
      </c>
      <c r="D125" s="56">
        <f t="shared" si="92"/>
        <v>0.63781865601580612</v>
      </c>
      <c r="E125" s="56">
        <f t="shared" si="92"/>
        <v>0.64213460119840404</v>
      </c>
      <c r="F125" s="56">
        <f t="shared" si="92"/>
        <v>0.63410865622160217</v>
      </c>
      <c r="G125" s="56">
        <f t="shared" si="92"/>
        <v>0.63726958382204324</v>
      </c>
      <c r="H125" s="56">
        <f t="shared" si="92"/>
        <v>0.64138005483749139</v>
      </c>
      <c r="I125" s="56">
        <f t="shared" si="92"/>
        <v>0.64418274904482431</v>
      </c>
      <c r="J125" s="56">
        <f t="shared" si="92"/>
        <v>0.64633811118105877</v>
      </c>
      <c r="K125" s="56">
        <f t="shared" si="92"/>
        <v>0.64987240124798284</v>
      </c>
      <c r="L125" s="56">
        <f t="shared" si="92"/>
        <v>0.65133559419608666</v>
      </c>
      <c r="M125" s="56">
        <f t="shared" si="92"/>
        <v>0.65218599751486195</v>
      </c>
      <c r="N125" s="56">
        <f t="shared" si="92"/>
        <v>0.64927476108323623</v>
      </c>
      <c r="O125" s="56">
        <f t="shared" si="92"/>
        <v>0.6419418159704583</v>
      </c>
      <c r="P125" s="56">
        <f t="shared" si="92"/>
        <v>0.60576841344131238</v>
      </c>
      <c r="Q125" s="56">
        <f t="shared" si="92"/>
        <v>0.59558888004645294</v>
      </c>
      <c r="R125" s="56">
        <f t="shared" si="92"/>
        <v>0.58756377509731461</v>
      </c>
      <c r="S125" s="56">
        <f t="shared" si="92"/>
        <v>0.59812052848680897</v>
      </c>
      <c r="T125" s="56">
        <f t="shared" si="92"/>
        <v>0.62038234378616541</v>
      </c>
      <c r="U125" s="56">
        <f t="shared" si="92"/>
        <v>0.63070952372895972</v>
      </c>
      <c r="V125" s="56">
        <f t="shared" si="92"/>
        <v>0.6093121741504921</v>
      </c>
      <c r="W125" s="56">
        <f t="shared" si="92"/>
        <v>0.64183200540473428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50.496724000798309</v>
      </c>
      <c r="C129" s="82">
        <f t="shared" ref="C129:W129" si="94">IF(C99=0,0,C99/C$26)</f>
        <v>51.360962123899064</v>
      </c>
      <c r="D129" s="82">
        <f t="shared" si="94"/>
        <v>50.95152729221703</v>
      </c>
      <c r="E129" s="82">
        <f t="shared" si="94"/>
        <v>49.592832861592832</v>
      </c>
      <c r="F129" s="82">
        <f t="shared" si="94"/>
        <v>51.889648068618165</v>
      </c>
      <c r="G129" s="82">
        <f t="shared" si="94"/>
        <v>54.100603277715805</v>
      </c>
      <c r="H129" s="82">
        <f t="shared" si="94"/>
        <v>63.990063678540146</v>
      </c>
      <c r="I129" s="82">
        <f t="shared" si="94"/>
        <v>55.967717666063429</v>
      </c>
      <c r="J129" s="82">
        <f t="shared" si="94"/>
        <v>56.117281312797033</v>
      </c>
      <c r="K129" s="82">
        <f t="shared" si="94"/>
        <v>58.49394339220887</v>
      </c>
      <c r="L129" s="82">
        <f t="shared" si="94"/>
        <v>61.614740014009769</v>
      </c>
      <c r="M129" s="82">
        <f t="shared" si="94"/>
        <v>61.230579653861717</v>
      </c>
      <c r="N129" s="82">
        <f t="shared" si="94"/>
        <v>58.396917529549462</v>
      </c>
      <c r="O129" s="82">
        <f t="shared" si="94"/>
        <v>56.223450870540653</v>
      </c>
      <c r="P129" s="82">
        <f t="shared" si="94"/>
        <v>51.010336844589581</v>
      </c>
      <c r="Q129" s="82">
        <f t="shared" si="94"/>
        <v>52.051382344973177</v>
      </c>
      <c r="R129" s="82">
        <f t="shared" si="94"/>
        <v>52.433232109404436</v>
      </c>
      <c r="S129" s="82">
        <f t="shared" si="94"/>
        <v>53.146164809442652</v>
      </c>
      <c r="T129" s="82">
        <f t="shared" si="94"/>
        <v>52.995852152070057</v>
      </c>
      <c r="U129" s="82">
        <f t="shared" si="94"/>
        <v>52.403839681894723</v>
      </c>
      <c r="V129" s="82">
        <f t="shared" si="94"/>
        <v>47.654125162599932</v>
      </c>
      <c r="W129" s="82">
        <f t="shared" si="94"/>
        <v>49.664200253734897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29.790978468546985</v>
      </c>
      <c r="C130" s="64">
        <f t="shared" ref="C130:W130" si="96">IF(C100=0,0,C100/C$26)</f>
        <v>29.937900659342755</v>
      </c>
      <c r="D130" s="64">
        <f t="shared" si="96"/>
        <v>29.023416088974994</v>
      </c>
      <c r="E130" s="64">
        <f t="shared" si="96"/>
        <v>27.163469646606966</v>
      </c>
      <c r="F130" s="64">
        <f t="shared" si="96"/>
        <v>28.952583114187483</v>
      </c>
      <c r="G130" s="64">
        <f t="shared" si="96"/>
        <v>30.770382624725208</v>
      </c>
      <c r="H130" s="64">
        <f t="shared" si="96"/>
        <v>40.431766789076597</v>
      </c>
      <c r="I130" s="64">
        <f t="shared" si="96"/>
        <v>32.337155843962364</v>
      </c>
      <c r="J130" s="64">
        <f t="shared" si="96"/>
        <v>32.433272926859615</v>
      </c>
      <c r="K130" s="64">
        <f t="shared" si="96"/>
        <v>34.613918072261647</v>
      </c>
      <c r="L130" s="64">
        <f t="shared" si="96"/>
        <v>37.635930703361403</v>
      </c>
      <c r="M130" s="64">
        <f t="shared" si="96"/>
        <v>37.224493201036772</v>
      </c>
      <c r="N130" s="64">
        <f t="shared" si="96"/>
        <v>34.330776784498546</v>
      </c>
      <c r="O130" s="64">
        <f t="shared" si="96"/>
        <v>32.088218129346821</v>
      </c>
      <c r="P130" s="64">
        <f t="shared" si="96"/>
        <v>26.826794927464618</v>
      </c>
      <c r="Q130" s="64">
        <f t="shared" si="96"/>
        <v>27.523090502684468</v>
      </c>
      <c r="R130" s="64">
        <f t="shared" si="96"/>
        <v>27.685956357487207</v>
      </c>
      <c r="S130" s="64">
        <f t="shared" si="96"/>
        <v>28.956178821910708</v>
      </c>
      <c r="T130" s="64">
        <f t="shared" si="96"/>
        <v>29.042666679553623</v>
      </c>
      <c r="U130" s="64">
        <f t="shared" si="96"/>
        <v>28.942562623782617</v>
      </c>
      <c r="V130" s="64">
        <f t="shared" si="96"/>
        <v>26.282946234033673</v>
      </c>
      <c r="W130" s="64">
        <f t="shared" si="96"/>
        <v>28.574453726150214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14.115047856154987</v>
      </c>
      <c r="C131" s="65">
        <f t="shared" ref="C131:W131" si="98">IF(C101=0,0,C101/C$26)</f>
        <v>13.630708291037294</v>
      </c>
      <c r="D131" s="65">
        <f t="shared" si="98"/>
        <v>12.862000830894354</v>
      </c>
      <c r="E131" s="65">
        <f t="shared" si="98"/>
        <v>10.592915962000973</v>
      </c>
      <c r="F131" s="65">
        <f t="shared" si="98"/>
        <v>11.789460422049116</v>
      </c>
      <c r="G131" s="65">
        <f t="shared" si="98"/>
        <v>13.346580337960802</v>
      </c>
      <c r="H131" s="65">
        <f t="shared" si="98"/>
        <v>21.894604237871643</v>
      </c>
      <c r="I131" s="65">
        <f t="shared" si="98"/>
        <v>14.440312516457944</v>
      </c>
      <c r="J131" s="65">
        <f t="shared" si="98"/>
        <v>14.072627000349058</v>
      </c>
      <c r="K131" s="65">
        <f t="shared" si="98"/>
        <v>14.983414353287451</v>
      </c>
      <c r="L131" s="65">
        <f t="shared" si="98"/>
        <v>17.906681901622619</v>
      </c>
      <c r="M131" s="65">
        <f t="shared" si="98"/>
        <v>17.730399889528432</v>
      </c>
      <c r="N131" s="65">
        <f t="shared" si="98"/>
        <v>14.335152783033035</v>
      </c>
      <c r="O131" s="65">
        <f t="shared" si="98"/>
        <v>12.785223352013132</v>
      </c>
      <c r="P131" s="65">
        <f t="shared" si="98"/>
        <v>7.6383016607516527</v>
      </c>
      <c r="Q131" s="65">
        <f t="shared" si="98"/>
        <v>7.1314365419214063</v>
      </c>
      <c r="R131" s="65">
        <f t="shared" si="98"/>
        <v>7.895009327676469</v>
      </c>
      <c r="S131" s="65">
        <f t="shared" si="98"/>
        <v>8.6462456391532694</v>
      </c>
      <c r="T131" s="65">
        <f t="shared" si="98"/>
        <v>10.128137088978658</v>
      </c>
      <c r="U131" s="65">
        <f t="shared" si="98"/>
        <v>10.017598699088092</v>
      </c>
      <c r="V131" s="65">
        <f t="shared" si="98"/>
        <v>9.0885630254140217</v>
      </c>
      <c r="W131" s="65">
        <f t="shared" si="98"/>
        <v>10.575792566662377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1.8322543451840565</v>
      </c>
      <c r="C132" s="65">
        <f t="shared" ref="C132:W132" si="100">IF(C102=0,0,C102/C$26)</f>
        <v>2.0549035862262377</v>
      </c>
      <c r="D132" s="65">
        <f t="shared" si="100"/>
        <v>1.968886316336887</v>
      </c>
      <c r="E132" s="65">
        <f t="shared" si="100"/>
        <v>2.789787001367197</v>
      </c>
      <c r="F132" s="65">
        <f t="shared" si="100"/>
        <v>2.5398643096681739</v>
      </c>
      <c r="G132" s="65">
        <f t="shared" si="100"/>
        <v>2.8411502697621351</v>
      </c>
      <c r="H132" s="65">
        <f t="shared" si="100"/>
        <v>3.4272487638967379</v>
      </c>
      <c r="I132" s="65">
        <f t="shared" si="100"/>
        <v>2.8450498465157756</v>
      </c>
      <c r="J132" s="65">
        <f t="shared" si="100"/>
        <v>3.1666470401903202</v>
      </c>
      <c r="K132" s="65">
        <f t="shared" si="100"/>
        <v>4.4541002436227943</v>
      </c>
      <c r="L132" s="65">
        <f t="shared" si="100"/>
        <v>4.3960323302254674</v>
      </c>
      <c r="M132" s="65">
        <f t="shared" si="100"/>
        <v>4.0674873417983886</v>
      </c>
      <c r="N132" s="65">
        <f t="shared" si="100"/>
        <v>4.903458022228393</v>
      </c>
      <c r="O132" s="65">
        <f t="shared" si="100"/>
        <v>3.9661437186687332</v>
      </c>
      <c r="P132" s="65">
        <f t="shared" si="100"/>
        <v>3.6173381336702115</v>
      </c>
      <c r="Q132" s="65">
        <f t="shared" si="100"/>
        <v>5.1786141043818263</v>
      </c>
      <c r="R132" s="65">
        <f t="shared" si="100"/>
        <v>4.9144516030960421</v>
      </c>
      <c r="S132" s="65">
        <f t="shared" si="100"/>
        <v>5.5395164445021523</v>
      </c>
      <c r="T132" s="65">
        <f t="shared" si="100"/>
        <v>3.8601902932877188</v>
      </c>
      <c r="U132" s="65">
        <f t="shared" si="100"/>
        <v>3.9551229096619571</v>
      </c>
      <c r="V132" s="65">
        <f t="shared" si="100"/>
        <v>4.3314808555962641</v>
      </c>
      <c r="W132" s="65">
        <f t="shared" si="100"/>
        <v>3.6953637143168039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6.7313287958460126</v>
      </c>
      <c r="C133" s="65">
        <f t="shared" ref="C133:W133" si="102">IF(C103=0,0,C103/C$26)</f>
        <v>6.9197783463099052</v>
      </c>
      <c r="D133" s="65">
        <f t="shared" si="102"/>
        <v>7.1572536066755825</v>
      </c>
      <c r="E133" s="65">
        <f t="shared" si="102"/>
        <v>7.0206386593503733</v>
      </c>
      <c r="F133" s="65">
        <f t="shared" si="102"/>
        <v>7.3651006489526418</v>
      </c>
      <c r="G133" s="65">
        <f t="shared" si="102"/>
        <v>7.3145249240562205</v>
      </c>
      <c r="H133" s="65">
        <f t="shared" si="102"/>
        <v>7.4767459858723635</v>
      </c>
      <c r="I133" s="65">
        <f t="shared" si="102"/>
        <v>7.3262569925578127</v>
      </c>
      <c r="J133" s="65">
        <f t="shared" si="102"/>
        <v>7.3135707221109572</v>
      </c>
      <c r="K133" s="65">
        <f t="shared" si="102"/>
        <v>7.309812179930967</v>
      </c>
      <c r="L133" s="65">
        <f t="shared" si="102"/>
        <v>7.3119428213289472</v>
      </c>
      <c r="M133" s="65">
        <f t="shared" si="102"/>
        <v>7.3226743440577007</v>
      </c>
      <c r="N133" s="65">
        <f t="shared" si="102"/>
        <v>7.1150958905800685</v>
      </c>
      <c r="O133" s="65">
        <f t="shared" si="102"/>
        <v>7.2523120355959243</v>
      </c>
      <c r="P133" s="65">
        <f t="shared" si="102"/>
        <v>7.0673668471102502</v>
      </c>
      <c r="Q133" s="65">
        <f t="shared" si="102"/>
        <v>6.6421451440697199</v>
      </c>
      <c r="R133" s="65">
        <f t="shared" si="102"/>
        <v>6.4075280842234683</v>
      </c>
      <c r="S133" s="65">
        <f t="shared" si="102"/>
        <v>6.111892511412127</v>
      </c>
      <c r="T133" s="65">
        <f t="shared" si="102"/>
        <v>6.3814272257794684</v>
      </c>
      <c r="U133" s="65">
        <f t="shared" si="102"/>
        <v>6.1687997806328161</v>
      </c>
      <c r="V133" s="65">
        <f t="shared" si="102"/>
        <v>5.4286546096042043</v>
      </c>
      <c r="W133" s="65">
        <f t="shared" si="102"/>
        <v>5.8128312547593586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7.1123474713619279</v>
      </c>
      <c r="C134" s="67">
        <f t="shared" ref="C134:W134" si="104">IF(C104=0,0,C104/C$26)</f>
        <v>7.3325104357693149</v>
      </c>
      <c r="D134" s="67">
        <f t="shared" si="104"/>
        <v>7.0352753350681745</v>
      </c>
      <c r="E134" s="67">
        <f t="shared" si="104"/>
        <v>6.76012802388842</v>
      </c>
      <c r="F134" s="67">
        <f t="shared" si="104"/>
        <v>7.2581577335175496</v>
      </c>
      <c r="G134" s="67">
        <f t="shared" si="104"/>
        <v>7.2681270929460506</v>
      </c>
      <c r="H134" s="67">
        <f t="shared" si="104"/>
        <v>7.6331678014358513</v>
      </c>
      <c r="I134" s="67">
        <f t="shared" si="104"/>
        <v>7.7255364884308371</v>
      </c>
      <c r="J134" s="67">
        <f t="shared" si="104"/>
        <v>7.8804281642092784</v>
      </c>
      <c r="K134" s="67">
        <f t="shared" si="104"/>
        <v>7.8665912954204424</v>
      </c>
      <c r="L134" s="67">
        <f t="shared" si="104"/>
        <v>8.0212736501843711</v>
      </c>
      <c r="M134" s="67">
        <f t="shared" si="104"/>
        <v>8.1039316256522476</v>
      </c>
      <c r="N134" s="67">
        <f t="shared" si="104"/>
        <v>7.977070088657042</v>
      </c>
      <c r="O134" s="67">
        <f t="shared" si="104"/>
        <v>8.0845390230690342</v>
      </c>
      <c r="P134" s="67">
        <f t="shared" si="104"/>
        <v>8.5037882859325133</v>
      </c>
      <c r="Q134" s="67">
        <f t="shared" si="104"/>
        <v>8.5708947123115173</v>
      </c>
      <c r="R134" s="67">
        <f t="shared" si="104"/>
        <v>8.4689673424912293</v>
      </c>
      <c r="S134" s="67">
        <f t="shared" si="104"/>
        <v>8.6585242268431593</v>
      </c>
      <c r="T134" s="67">
        <f t="shared" si="104"/>
        <v>8.6729120715077794</v>
      </c>
      <c r="U134" s="67">
        <f t="shared" si="104"/>
        <v>8.8010412343997526</v>
      </c>
      <c r="V134" s="67">
        <f t="shared" si="104"/>
        <v>7.4342477434191832</v>
      </c>
      <c r="W134" s="67">
        <f t="shared" si="104"/>
        <v>8.4904661904116736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20.705745532251331</v>
      </c>
      <c r="C135" s="68">
        <f t="shared" ref="C135:W135" si="106">IF(C105=0,0,C105/C$26)</f>
        <v>21.423061464556302</v>
      </c>
      <c r="D135" s="68">
        <f t="shared" si="106"/>
        <v>21.928111203242043</v>
      </c>
      <c r="E135" s="68">
        <f t="shared" si="106"/>
        <v>22.429363214985866</v>
      </c>
      <c r="F135" s="68">
        <f t="shared" si="106"/>
        <v>22.937064954430681</v>
      </c>
      <c r="G135" s="68">
        <f t="shared" si="106"/>
        <v>23.330220652990604</v>
      </c>
      <c r="H135" s="68">
        <f t="shared" si="106"/>
        <v>23.558296889463552</v>
      </c>
      <c r="I135" s="68">
        <f t="shared" si="106"/>
        <v>23.630561822101065</v>
      </c>
      <c r="J135" s="68">
        <f t="shared" si="106"/>
        <v>23.684008385937421</v>
      </c>
      <c r="K135" s="68">
        <f t="shared" si="106"/>
        <v>23.880025319947222</v>
      </c>
      <c r="L135" s="68">
        <f t="shared" si="106"/>
        <v>23.978809310648373</v>
      </c>
      <c r="M135" s="68">
        <f t="shared" si="106"/>
        <v>24.006086452824952</v>
      </c>
      <c r="N135" s="68">
        <f t="shared" si="106"/>
        <v>24.066140745050927</v>
      </c>
      <c r="O135" s="68">
        <f t="shared" si="106"/>
        <v>24.135232741193828</v>
      </c>
      <c r="P135" s="68">
        <f t="shared" si="106"/>
        <v>24.183541917124966</v>
      </c>
      <c r="Q135" s="68">
        <f t="shared" si="106"/>
        <v>24.528291842288716</v>
      </c>
      <c r="R135" s="68">
        <f t="shared" si="106"/>
        <v>24.747275751917222</v>
      </c>
      <c r="S135" s="68">
        <f t="shared" si="106"/>
        <v>24.189985987531937</v>
      </c>
      <c r="T135" s="68">
        <f t="shared" si="106"/>
        <v>23.953185472516438</v>
      </c>
      <c r="U135" s="68">
        <f t="shared" si="106"/>
        <v>23.461277058112106</v>
      </c>
      <c r="V135" s="68">
        <f t="shared" si="106"/>
        <v>21.371178928566263</v>
      </c>
      <c r="W135" s="68">
        <f t="shared" si="106"/>
        <v>21.089746527584683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17.739415318656874</v>
      </c>
      <c r="C137" s="85">
        <f t="shared" ref="C137:W137" si="108">IF(C107=0,0,C107/C$26)</f>
        <v>18.187356717427708</v>
      </c>
      <c r="D137" s="85">
        <f t="shared" si="108"/>
        <v>17.920571233606911</v>
      </c>
      <c r="E137" s="85">
        <f t="shared" si="108"/>
        <v>18.435285577129054</v>
      </c>
      <c r="F137" s="85">
        <f t="shared" si="108"/>
        <v>19.466972121974653</v>
      </c>
      <c r="G137" s="85">
        <f t="shared" si="108"/>
        <v>21.227864724022719</v>
      </c>
      <c r="H137" s="85">
        <f t="shared" si="108"/>
        <v>28.507522860914825</v>
      </c>
      <c r="I137" s="85">
        <f t="shared" si="108"/>
        <v>23.565531832170084</v>
      </c>
      <c r="J137" s="85">
        <f t="shared" si="108"/>
        <v>24.896918697922338</v>
      </c>
      <c r="K137" s="85">
        <f t="shared" si="108"/>
        <v>28.869392324836856</v>
      </c>
      <c r="L137" s="85">
        <f t="shared" si="108"/>
        <v>30.990831415307365</v>
      </c>
      <c r="M137" s="85">
        <f t="shared" si="108"/>
        <v>30.603828714436023</v>
      </c>
      <c r="N137" s="85">
        <f t="shared" si="108"/>
        <v>31.135622449470265</v>
      </c>
      <c r="O137" s="85">
        <f t="shared" si="108"/>
        <v>28.320661968368622</v>
      </c>
      <c r="P137" s="85">
        <f t="shared" si="108"/>
        <v>24.763074168195079</v>
      </c>
      <c r="Q137" s="85">
        <f t="shared" si="108"/>
        <v>29.590974954115083</v>
      </c>
      <c r="R137" s="85">
        <f t="shared" si="108"/>
        <v>29.911807289601711</v>
      </c>
      <c r="S137" s="85">
        <f t="shared" si="108"/>
        <v>33.457016775051443</v>
      </c>
      <c r="T137" s="85">
        <f t="shared" si="108"/>
        <v>30.461450119402663</v>
      </c>
      <c r="U137" s="85">
        <f t="shared" si="108"/>
        <v>31.764233692798125</v>
      </c>
      <c r="V137" s="85">
        <f t="shared" si="108"/>
        <v>31.831470260332566</v>
      </c>
      <c r="W137" s="85">
        <f t="shared" si="108"/>
        <v>32.703181244604345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6.5647930848754887</v>
      </c>
      <c r="C138" s="65">
        <f t="shared" ref="C138:W138" si="110">IF(C108=0,0,C108/C$26)</f>
        <v>6.1901260203115482</v>
      </c>
      <c r="D138" s="65">
        <f t="shared" si="110"/>
        <v>5.8511044195406257</v>
      </c>
      <c r="E138" s="65">
        <f t="shared" si="110"/>
        <v>4.8376461456154356</v>
      </c>
      <c r="F138" s="65">
        <f t="shared" si="110"/>
        <v>5.5067228017172294</v>
      </c>
      <c r="G138" s="65">
        <f t="shared" si="110"/>
        <v>6.3412984671999171</v>
      </c>
      <c r="H138" s="65">
        <f t="shared" si="110"/>
        <v>11.673377045145715</v>
      </c>
      <c r="I138" s="65">
        <f t="shared" si="110"/>
        <v>7.7127630710237707</v>
      </c>
      <c r="J138" s="65">
        <f t="shared" si="110"/>
        <v>7.829689268299914</v>
      </c>
      <c r="K138" s="65">
        <f t="shared" si="110"/>
        <v>8.3805876893667115</v>
      </c>
      <c r="L138" s="65">
        <f t="shared" si="110"/>
        <v>10.268245070131316</v>
      </c>
      <c r="M138" s="65">
        <f t="shared" si="110"/>
        <v>10.354010535461375</v>
      </c>
      <c r="N138" s="65">
        <f t="shared" si="110"/>
        <v>8.5736328578548164</v>
      </c>
      <c r="O138" s="65">
        <f t="shared" si="110"/>
        <v>7.8723693287942984</v>
      </c>
      <c r="P138" s="65">
        <f t="shared" si="110"/>
        <v>5.0490682068015662</v>
      </c>
      <c r="Q138" s="65">
        <f t="shared" si="110"/>
        <v>5.2036541995904448</v>
      </c>
      <c r="R138" s="65">
        <f t="shared" si="110"/>
        <v>6.0248937495307597</v>
      </c>
      <c r="S138" s="65">
        <f t="shared" si="110"/>
        <v>6.9847230104076674</v>
      </c>
      <c r="T138" s="65">
        <f t="shared" si="110"/>
        <v>8.425735230329634</v>
      </c>
      <c r="U138" s="65">
        <f t="shared" si="110"/>
        <v>8.9325019355650994</v>
      </c>
      <c r="V138" s="65">
        <f t="shared" si="110"/>
        <v>8.8514698483724779</v>
      </c>
      <c r="W138" s="65">
        <f t="shared" si="110"/>
        <v>10.294490345424595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3.0914059398523563</v>
      </c>
      <c r="C139" s="65">
        <f t="shared" ref="C139:W139" si="112">IF(C109=0,0,C109/C$26)</f>
        <v>3.6618377176269399</v>
      </c>
      <c r="D139" s="65">
        <f t="shared" si="112"/>
        <v>3.707358607627016</v>
      </c>
      <c r="E139" s="65">
        <f t="shared" si="112"/>
        <v>5.3854114192739218</v>
      </c>
      <c r="F139" s="65">
        <f t="shared" si="112"/>
        <v>5.2721355876758667</v>
      </c>
      <c r="G139" s="65">
        <f t="shared" si="112"/>
        <v>6.1708782481451001</v>
      </c>
      <c r="H139" s="65">
        <f t="shared" si="112"/>
        <v>7.7780526176205393</v>
      </c>
      <c r="I139" s="65">
        <f t="shared" si="112"/>
        <v>6.7508475102038181</v>
      </c>
      <c r="J139" s="65">
        <f t="shared" si="112"/>
        <v>7.802252398926619</v>
      </c>
      <c r="K139" s="65">
        <f t="shared" si="112"/>
        <v>11.170469502549135</v>
      </c>
      <c r="L139" s="65">
        <f t="shared" si="112"/>
        <v>11.246030412671615</v>
      </c>
      <c r="M139" s="65">
        <f t="shared" si="112"/>
        <v>10.662701576503512</v>
      </c>
      <c r="N139" s="65">
        <f t="shared" si="112"/>
        <v>13.162161342437491</v>
      </c>
      <c r="O139" s="65">
        <f t="shared" si="112"/>
        <v>10.90149262779931</v>
      </c>
      <c r="P139" s="65">
        <f t="shared" si="112"/>
        <v>10.292272130991339</v>
      </c>
      <c r="Q139" s="65">
        <f t="shared" si="112"/>
        <v>15.222320134257101</v>
      </c>
      <c r="R139" s="65">
        <f t="shared" si="112"/>
        <v>14.938079000865928</v>
      </c>
      <c r="S139" s="65">
        <f t="shared" si="112"/>
        <v>17.422843097885689</v>
      </c>
      <c r="T139" s="65">
        <f t="shared" si="112"/>
        <v>12.505785731485071</v>
      </c>
      <c r="U139" s="65">
        <f t="shared" si="112"/>
        <v>13.17217731044618</v>
      </c>
      <c r="V139" s="65">
        <f t="shared" si="112"/>
        <v>14.752871964213313</v>
      </c>
      <c r="W139" s="65">
        <f t="shared" si="112"/>
        <v>12.909484487067417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3.5527050174074186</v>
      </c>
      <c r="C140" s="65">
        <f t="shared" ref="C140:W140" si="114">IF(C110=0,0,C110/C$26)</f>
        <v>3.6922886737528957</v>
      </c>
      <c r="D140" s="65">
        <f t="shared" si="114"/>
        <v>3.8748783475249367</v>
      </c>
      <c r="E140" s="65">
        <f t="shared" si="114"/>
        <v>3.871315899569951</v>
      </c>
      <c r="F140" s="65">
        <f t="shared" si="114"/>
        <v>4.0856530855363147</v>
      </c>
      <c r="G140" s="65">
        <f t="shared" si="114"/>
        <v>4.0839316809902533</v>
      </c>
      <c r="H140" s="65">
        <f t="shared" si="114"/>
        <v>4.1603316150798708</v>
      </c>
      <c r="I140" s="65">
        <f t="shared" si="114"/>
        <v>4.1252639179790247</v>
      </c>
      <c r="J140" s="65">
        <f t="shared" si="114"/>
        <v>4.1715559757427618</v>
      </c>
      <c r="K140" s="65">
        <f t="shared" si="114"/>
        <v>4.2060545581296456</v>
      </c>
      <c r="L140" s="65">
        <f t="shared" si="114"/>
        <v>4.2520148933521842</v>
      </c>
      <c r="M140" s="65">
        <f t="shared" si="114"/>
        <v>4.3018458714028878</v>
      </c>
      <c r="N140" s="65">
        <f t="shared" si="114"/>
        <v>4.2205179732209226</v>
      </c>
      <c r="O140" s="65">
        <f t="shared" si="114"/>
        <v>4.356996350022043</v>
      </c>
      <c r="P140" s="65">
        <f t="shared" si="114"/>
        <v>4.2704074921920157</v>
      </c>
      <c r="Q140" s="65">
        <f t="shared" si="114"/>
        <v>4.0602710375658511</v>
      </c>
      <c r="R140" s="65">
        <f t="shared" si="114"/>
        <v>3.9727761162750039</v>
      </c>
      <c r="S140" s="65">
        <f t="shared" si="114"/>
        <v>3.8706095802828169</v>
      </c>
      <c r="T140" s="65">
        <f t="shared" si="114"/>
        <v>4.1494076392146315</v>
      </c>
      <c r="U140" s="65">
        <f t="shared" si="114"/>
        <v>4.1086539215196423</v>
      </c>
      <c r="V140" s="65">
        <f t="shared" si="114"/>
        <v>3.6973507920306421</v>
      </c>
      <c r="W140" s="65">
        <f t="shared" si="114"/>
        <v>4.0497534702993168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4.5305112765216125</v>
      </c>
      <c r="C141" s="68">
        <f t="shared" ref="C141:W141" si="116">IF(C111=0,0,C111/C$26)</f>
        <v>4.6431043057363244</v>
      </c>
      <c r="D141" s="68">
        <f t="shared" si="116"/>
        <v>4.4872298589143327</v>
      </c>
      <c r="E141" s="68">
        <f t="shared" si="116"/>
        <v>4.3409121126697459</v>
      </c>
      <c r="F141" s="68">
        <f t="shared" si="116"/>
        <v>4.6024606470452429</v>
      </c>
      <c r="G141" s="68">
        <f t="shared" si="116"/>
        <v>4.6317563276874472</v>
      </c>
      <c r="H141" s="68">
        <f t="shared" si="116"/>
        <v>4.8957615830687002</v>
      </c>
      <c r="I141" s="68">
        <f t="shared" si="116"/>
        <v>4.9766573329634749</v>
      </c>
      <c r="J141" s="68">
        <f t="shared" si="116"/>
        <v>5.0934210549530432</v>
      </c>
      <c r="K141" s="68">
        <f t="shared" si="116"/>
        <v>5.1122805747913631</v>
      </c>
      <c r="L141" s="68">
        <f t="shared" si="116"/>
        <v>5.2245410391522498</v>
      </c>
      <c r="M141" s="68">
        <f t="shared" si="116"/>
        <v>5.2852707310682474</v>
      </c>
      <c r="N141" s="68">
        <f t="shared" si="116"/>
        <v>5.1793102759570306</v>
      </c>
      <c r="O141" s="68">
        <f t="shared" si="116"/>
        <v>5.1898036617529701</v>
      </c>
      <c r="P141" s="68">
        <f t="shared" si="116"/>
        <v>5.151326338210156</v>
      </c>
      <c r="Q141" s="68">
        <f t="shared" si="116"/>
        <v>5.1047295827016823</v>
      </c>
      <c r="R141" s="68">
        <f t="shared" si="116"/>
        <v>4.9760584229300191</v>
      </c>
      <c r="S141" s="68">
        <f t="shared" si="116"/>
        <v>5.178841086475269</v>
      </c>
      <c r="T141" s="68">
        <f t="shared" si="116"/>
        <v>5.3805215183733228</v>
      </c>
      <c r="U141" s="68">
        <f t="shared" si="116"/>
        <v>5.5509005252672035</v>
      </c>
      <c r="V141" s="68">
        <f t="shared" si="116"/>
        <v>4.5297776557161322</v>
      </c>
      <c r="W141" s="68">
        <f t="shared" si="116"/>
        <v>5.4494529418130195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4.2111115158721253</v>
      </c>
      <c r="C143" s="82">
        <f t="shared" ref="C143:W143" si="118">IF(C113=0,0,C113/C$26)</f>
        <v>4.4747537762379945</v>
      </c>
      <c r="D143" s="82">
        <f t="shared" si="118"/>
        <v>4.3144018281176413</v>
      </c>
      <c r="E143" s="82">
        <f t="shared" si="118"/>
        <v>3.8258320357071756</v>
      </c>
      <c r="F143" s="82">
        <f t="shared" si="118"/>
        <v>4.1645847601854289</v>
      </c>
      <c r="G143" s="82">
        <f t="shared" si="118"/>
        <v>4.4939893355661704</v>
      </c>
      <c r="H143" s="82">
        <f t="shared" si="118"/>
        <v>5.500578404189838</v>
      </c>
      <c r="I143" s="82">
        <f t="shared" si="118"/>
        <v>4.1088745077630202</v>
      </c>
      <c r="J143" s="82">
        <f t="shared" si="118"/>
        <v>3.7459254804071067</v>
      </c>
      <c r="K143" s="82">
        <f t="shared" si="118"/>
        <v>4.0801206541754826</v>
      </c>
      <c r="L143" s="82">
        <f t="shared" si="118"/>
        <v>4.5282397153677634</v>
      </c>
      <c r="M143" s="82">
        <f t="shared" si="118"/>
        <v>4.652068956026433</v>
      </c>
      <c r="N143" s="82">
        <f t="shared" si="118"/>
        <v>4.2628303583953286</v>
      </c>
      <c r="O143" s="82">
        <f t="shared" si="118"/>
        <v>4.2434124187854341</v>
      </c>
      <c r="P143" s="82">
        <f t="shared" si="118"/>
        <v>3.6988462167298652</v>
      </c>
      <c r="Q143" s="82">
        <f t="shared" si="118"/>
        <v>3.5877561352979357</v>
      </c>
      <c r="R143" s="82">
        <f t="shared" si="118"/>
        <v>3.8088023644213131</v>
      </c>
      <c r="S143" s="82">
        <f t="shared" si="118"/>
        <v>3.8502353578963611</v>
      </c>
      <c r="T143" s="82">
        <f t="shared" si="118"/>
        <v>3.9699542695705565</v>
      </c>
      <c r="U143" s="82">
        <f t="shared" si="118"/>
        <v>3.8719116601005292</v>
      </c>
      <c r="V143" s="82">
        <f t="shared" si="118"/>
        <v>3.6188677569261087</v>
      </c>
      <c r="W143" s="82">
        <f t="shared" si="118"/>
        <v>3.9239406999330346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4.2111115158721253</v>
      </c>
      <c r="C144" s="64">
        <f t="shared" ref="C144:W144" si="120">IF(C114=0,0,C114/C$26)</f>
        <v>4.4747537762379945</v>
      </c>
      <c r="D144" s="64">
        <f t="shared" si="120"/>
        <v>4.3144018281176413</v>
      </c>
      <c r="E144" s="64">
        <f t="shared" si="120"/>
        <v>3.8258320357071756</v>
      </c>
      <c r="F144" s="64">
        <f t="shared" si="120"/>
        <v>4.1645847601854289</v>
      </c>
      <c r="G144" s="64">
        <f t="shared" si="120"/>
        <v>4.4939893355661704</v>
      </c>
      <c r="H144" s="64">
        <f t="shared" si="120"/>
        <v>5.500578404189838</v>
      </c>
      <c r="I144" s="64">
        <f t="shared" si="120"/>
        <v>4.1088745077630202</v>
      </c>
      <c r="J144" s="64">
        <f t="shared" si="120"/>
        <v>3.7459254804071067</v>
      </c>
      <c r="K144" s="64">
        <f t="shared" si="120"/>
        <v>4.0801206541754826</v>
      </c>
      <c r="L144" s="64">
        <f t="shared" si="120"/>
        <v>4.5282397153677634</v>
      </c>
      <c r="M144" s="64">
        <f t="shared" si="120"/>
        <v>4.652068956026433</v>
      </c>
      <c r="N144" s="64">
        <f t="shared" si="120"/>
        <v>4.2628303583953286</v>
      </c>
      <c r="O144" s="64">
        <f t="shared" si="120"/>
        <v>4.2434124187854341</v>
      </c>
      <c r="P144" s="64">
        <f t="shared" si="120"/>
        <v>3.6988462167298652</v>
      </c>
      <c r="Q144" s="64">
        <f t="shared" si="120"/>
        <v>3.5877561352979357</v>
      </c>
      <c r="R144" s="64">
        <f t="shared" si="120"/>
        <v>3.8088023644213131</v>
      </c>
      <c r="S144" s="64">
        <f t="shared" si="120"/>
        <v>3.8502353578963611</v>
      </c>
      <c r="T144" s="64">
        <f t="shared" si="120"/>
        <v>3.9699542695705565</v>
      </c>
      <c r="U144" s="64">
        <f t="shared" si="120"/>
        <v>3.8719116601005292</v>
      </c>
      <c r="V144" s="64">
        <f t="shared" si="120"/>
        <v>3.6188677569261087</v>
      </c>
      <c r="W144" s="64">
        <f t="shared" si="120"/>
        <v>3.9239406999330346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2.8203844879476727</v>
      </c>
      <c r="C145" s="65">
        <f t="shared" ref="C145:W145" si="122">IF(C115=0,0,C115/C$26)</f>
        <v>3.0347186426252084</v>
      </c>
      <c r="D145" s="65">
        <f t="shared" si="122"/>
        <v>2.9637289239868041</v>
      </c>
      <c r="E145" s="65">
        <f t="shared" si="122"/>
        <v>2.621681103291146</v>
      </c>
      <c r="F145" s="65">
        <f t="shared" si="122"/>
        <v>2.8151641724697276</v>
      </c>
      <c r="G145" s="65">
        <f t="shared" si="122"/>
        <v>3.1497310957189728</v>
      </c>
      <c r="H145" s="65">
        <f t="shared" si="122"/>
        <v>4.0170883763286334</v>
      </c>
      <c r="I145" s="65">
        <f t="shared" si="122"/>
        <v>2.6811172494976216</v>
      </c>
      <c r="J145" s="65">
        <f t="shared" si="122"/>
        <v>2.3289272989135203</v>
      </c>
      <c r="K145" s="65">
        <f t="shared" si="122"/>
        <v>2.6686989527206206</v>
      </c>
      <c r="L145" s="65">
        <f t="shared" si="122"/>
        <v>3.1110309121086428</v>
      </c>
      <c r="M145" s="65">
        <f t="shared" si="122"/>
        <v>3.2292513154962053</v>
      </c>
      <c r="N145" s="65">
        <f t="shared" si="122"/>
        <v>2.7774690499520882</v>
      </c>
      <c r="O145" s="65">
        <f t="shared" si="122"/>
        <v>2.6379634014931161</v>
      </c>
      <c r="P145" s="65">
        <f t="shared" si="122"/>
        <v>1.6175983491414652</v>
      </c>
      <c r="Q145" s="65">
        <f t="shared" si="122"/>
        <v>1.4160499956992925</v>
      </c>
      <c r="R145" s="65">
        <f t="shared" si="122"/>
        <v>1.5657156743101979</v>
      </c>
      <c r="S145" s="65">
        <f t="shared" si="122"/>
        <v>1.6609301744437974</v>
      </c>
      <c r="T145" s="65">
        <f t="shared" si="122"/>
        <v>1.9092936591687315</v>
      </c>
      <c r="U145" s="65">
        <f t="shared" si="122"/>
        <v>1.8275307383692347</v>
      </c>
      <c r="V145" s="65">
        <f t="shared" si="122"/>
        <v>1.6319742781774842</v>
      </c>
      <c r="W145" s="65">
        <f t="shared" si="122"/>
        <v>1.8933949348212877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4.3245294131513581E-4</v>
      </c>
      <c r="C146" s="65">
        <f t="shared" ref="C146:W146" si="124">IF(C116=0,0,C116/C$26)</f>
        <v>5.0510908908484942E-4</v>
      </c>
      <c r="D146" s="65">
        <f t="shared" si="124"/>
        <v>4.5250948155059554E-4</v>
      </c>
      <c r="E146" s="65">
        <f t="shared" si="124"/>
        <v>8.7863575989079613E-4</v>
      </c>
      <c r="F146" s="65">
        <f t="shared" si="124"/>
        <v>8.6912868298751934E-4</v>
      </c>
      <c r="G146" s="65">
        <f t="shared" si="124"/>
        <v>1.0861441126334534E-3</v>
      </c>
      <c r="H146" s="65">
        <f t="shared" si="124"/>
        <v>1.3641717356388939E-3</v>
      </c>
      <c r="I146" s="65">
        <f t="shared" si="124"/>
        <v>1.3450047286369801E-3</v>
      </c>
      <c r="J146" s="65">
        <f t="shared" si="124"/>
        <v>1.7969512422011142E-3</v>
      </c>
      <c r="K146" s="65">
        <f t="shared" si="124"/>
        <v>2.7653827652933303E-3</v>
      </c>
      <c r="L146" s="65">
        <f t="shared" si="124"/>
        <v>3.11580519309284E-3</v>
      </c>
      <c r="M146" s="65">
        <f t="shared" si="124"/>
        <v>3.3582717632150679E-3</v>
      </c>
      <c r="N146" s="65">
        <f t="shared" si="124"/>
        <v>4.5448716694351729E-3</v>
      </c>
      <c r="O146" s="65">
        <f t="shared" si="124"/>
        <v>4.549361036852325E-3</v>
      </c>
      <c r="P146" s="65">
        <f t="shared" si="124"/>
        <v>4.7905648135671136E-3</v>
      </c>
      <c r="Q146" s="65">
        <f t="shared" si="124"/>
        <v>8.3544771835535395E-3</v>
      </c>
      <c r="R146" s="65">
        <f t="shared" si="124"/>
        <v>9.2792902188801717E-3</v>
      </c>
      <c r="S146" s="65">
        <f t="shared" si="124"/>
        <v>1.1634563635472855E-2</v>
      </c>
      <c r="T146" s="65">
        <f t="shared" si="124"/>
        <v>9.7387474022574347E-3</v>
      </c>
      <c r="U146" s="65">
        <f t="shared" si="124"/>
        <v>1.0701898941791405E-2</v>
      </c>
      <c r="V146" s="65">
        <f t="shared" si="124"/>
        <v>1.1454314816526572E-2</v>
      </c>
      <c r="W146" s="65">
        <f t="shared" si="124"/>
        <v>1.0318374483734235E-2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0.85596597215836823</v>
      </c>
      <c r="C147" s="65">
        <f t="shared" ref="C147:W147" si="126">IF(C117=0,0,C117/C$26)</f>
        <v>0.83819038337443807</v>
      </c>
      <c r="D147" s="65">
        <f t="shared" si="126"/>
        <v>0.7999756426202338</v>
      </c>
      <c r="E147" s="65">
        <f t="shared" si="126"/>
        <v>0.70635186456375865</v>
      </c>
      <c r="F147" s="65">
        <f t="shared" si="126"/>
        <v>0.72772762354449827</v>
      </c>
      <c r="G147" s="65">
        <f t="shared" si="126"/>
        <v>0.7299768534165888</v>
      </c>
      <c r="H147" s="65">
        <f t="shared" si="126"/>
        <v>0.86037740026828669</v>
      </c>
      <c r="I147" s="65">
        <f t="shared" si="126"/>
        <v>0.808270311616618</v>
      </c>
      <c r="J147" s="65">
        <f t="shared" si="126"/>
        <v>0.77532054718254451</v>
      </c>
      <c r="K147" s="65">
        <f t="shared" si="126"/>
        <v>0.78064777905874894</v>
      </c>
      <c r="L147" s="65">
        <f t="shared" si="126"/>
        <v>0.77042182770469125</v>
      </c>
      <c r="M147" s="65">
        <f t="shared" si="126"/>
        <v>0.77283231836663857</v>
      </c>
      <c r="N147" s="65">
        <f t="shared" si="126"/>
        <v>0.80940968365500454</v>
      </c>
      <c r="O147" s="65">
        <f t="shared" si="126"/>
        <v>0.85574786309401796</v>
      </c>
      <c r="P147" s="65">
        <f t="shared" si="126"/>
        <v>0.9379700646378557</v>
      </c>
      <c r="Q147" s="65">
        <f t="shared" si="126"/>
        <v>0.88292945503985343</v>
      </c>
      <c r="R147" s="65">
        <f t="shared" si="126"/>
        <v>0.89442766750784042</v>
      </c>
      <c r="S147" s="65">
        <f t="shared" si="126"/>
        <v>0.88065517736358478</v>
      </c>
      <c r="T147" s="65">
        <f t="shared" si="126"/>
        <v>0.88406438690020106</v>
      </c>
      <c r="U147" s="65">
        <f t="shared" si="126"/>
        <v>0.87773952074160833</v>
      </c>
      <c r="V147" s="65">
        <f t="shared" si="126"/>
        <v>0.82851150849163979</v>
      </c>
      <c r="W147" s="65">
        <f t="shared" si="126"/>
        <v>0.89386628067344309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0.53432860282476879</v>
      </c>
      <c r="C148" s="67">
        <f t="shared" ref="C148:W148" si="128">IF(C118=0,0,C118/C$26)</f>
        <v>0.60133964114926264</v>
      </c>
      <c r="D148" s="67">
        <f t="shared" si="128"/>
        <v>0.55024475202905365</v>
      </c>
      <c r="E148" s="67">
        <f t="shared" si="128"/>
        <v>0.49692043209238002</v>
      </c>
      <c r="F148" s="67">
        <f t="shared" si="128"/>
        <v>0.6208238354882144</v>
      </c>
      <c r="G148" s="67">
        <f t="shared" si="128"/>
        <v>0.61319524231797429</v>
      </c>
      <c r="H148" s="67">
        <f t="shared" si="128"/>
        <v>0.621748455857278</v>
      </c>
      <c r="I148" s="67">
        <f t="shared" si="128"/>
        <v>0.61814194192014282</v>
      </c>
      <c r="J148" s="67">
        <f t="shared" si="128"/>
        <v>0.63988068306884061</v>
      </c>
      <c r="K148" s="67">
        <f t="shared" si="128"/>
        <v>0.62800853963081915</v>
      </c>
      <c r="L148" s="67">
        <f t="shared" si="128"/>
        <v>0.6436711703613367</v>
      </c>
      <c r="M148" s="67">
        <f t="shared" si="128"/>
        <v>0.64662705040037483</v>
      </c>
      <c r="N148" s="67">
        <f t="shared" si="128"/>
        <v>0.6714067531188016</v>
      </c>
      <c r="O148" s="67">
        <f t="shared" si="128"/>
        <v>0.74515179316144742</v>
      </c>
      <c r="P148" s="67">
        <f t="shared" si="128"/>
        <v>1.1384872381369771</v>
      </c>
      <c r="Q148" s="67">
        <f t="shared" si="128"/>
        <v>1.2804222073752356</v>
      </c>
      <c r="R148" s="67">
        <f t="shared" si="128"/>
        <v>1.3393797323843946</v>
      </c>
      <c r="S148" s="67">
        <f t="shared" si="128"/>
        <v>1.2970154424535061</v>
      </c>
      <c r="T148" s="67">
        <f t="shared" si="128"/>
        <v>1.1668574760993669</v>
      </c>
      <c r="U148" s="67">
        <f t="shared" si="128"/>
        <v>1.1559395020478942</v>
      </c>
      <c r="V148" s="67">
        <f t="shared" si="128"/>
        <v>1.1469276554404579</v>
      </c>
      <c r="W148" s="67">
        <f t="shared" si="128"/>
        <v>1.1263611099545698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7221.5614469274233</v>
      </c>
      <c r="C153" s="82">
        <f t="shared" ref="C153:W153" si="132">IF(C99=0,0,C99/C$23)</f>
        <v>7282.7335324082214</v>
      </c>
      <c r="D153" s="82">
        <f t="shared" si="132"/>
        <v>7187.685979152352</v>
      </c>
      <c r="E153" s="82">
        <f t="shared" si="132"/>
        <v>6950.1198564651722</v>
      </c>
      <c r="F153" s="82">
        <f t="shared" si="132"/>
        <v>7178.1870191971793</v>
      </c>
      <c r="G153" s="82">
        <f t="shared" si="132"/>
        <v>7370.3730742826783</v>
      </c>
      <c r="H153" s="82">
        <f t="shared" si="132"/>
        <v>8554.6487578747183</v>
      </c>
      <c r="I153" s="82">
        <f t="shared" si="132"/>
        <v>7415.4389612480045</v>
      </c>
      <c r="J153" s="82">
        <f t="shared" si="132"/>
        <v>7430.3254542132181</v>
      </c>
      <c r="K153" s="82">
        <f t="shared" si="132"/>
        <v>7907.4283966846697</v>
      </c>
      <c r="L153" s="82">
        <f t="shared" si="132"/>
        <v>8472.3102102968896</v>
      </c>
      <c r="M153" s="82">
        <f t="shared" si="132"/>
        <v>8513.0221226192662</v>
      </c>
      <c r="N153" s="82">
        <f t="shared" si="132"/>
        <v>8399.4003310053049</v>
      </c>
      <c r="O153" s="82">
        <f t="shared" si="132"/>
        <v>8186.1820854393072</v>
      </c>
      <c r="P153" s="82">
        <f t="shared" si="132"/>
        <v>7346.7830523032926</v>
      </c>
      <c r="Q153" s="82">
        <f t="shared" si="132"/>
        <v>7365.2535989867665</v>
      </c>
      <c r="R153" s="82">
        <f t="shared" si="132"/>
        <v>7356.6308209535</v>
      </c>
      <c r="S153" s="82">
        <f t="shared" si="132"/>
        <v>7354.4315864182217</v>
      </c>
      <c r="T153" s="82">
        <f t="shared" si="132"/>
        <v>7265.3198734109028</v>
      </c>
      <c r="U153" s="82">
        <f t="shared" si="132"/>
        <v>7078.0191714862731</v>
      </c>
      <c r="V153" s="82">
        <f t="shared" si="132"/>
        <v>6772.3819125844357</v>
      </c>
      <c r="W153" s="82">
        <f t="shared" si="132"/>
        <v>6953.3652155172213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4260.4225488232214</v>
      </c>
      <c r="C154" s="64">
        <f t="shared" ref="C154:W154" si="134">IF(C100=0,0,C100/C$23)</f>
        <v>4245.0480677473333</v>
      </c>
      <c r="D154" s="64">
        <f t="shared" si="134"/>
        <v>4094.307118477609</v>
      </c>
      <c r="E154" s="64">
        <f t="shared" si="134"/>
        <v>3806.7873696237257</v>
      </c>
      <c r="F154" s="64">
        <f t="shared" si="134"/>
        <v>4005.1737488691456</v>
      </c>
      <c r="G154" s="64">
        <f t="shared" si="134"/>
        <v>4191.990215311801</v>
      </c>
      <c r="H154" s="64">
        <f t="shared" si="134"/>
        <v>5405.2073659187399</v>
      </c>
      <c r="I154" s="64">
        <f t="shared" si="134"/>
        <v>4284.5092732210642</v>
      </c>
      <c r="J154" s="64">
        <f t="shared" si="134"/>
        <v>4294.3950197554186</v>
      </c>
      <c r="K154" s="64">
        <f t="shared" si="134"/>
        <v>4679.2379315218977</v>
      </c>
      <c r="L154" s="64">
        <f t="shared" si="134"/>
        <v>5175.1136156642533</v>
      </c>
      <c r="M154" s="64">
        <f t="shared" si="134"/>
        <v>5175.4031386787719</v>
      </c>
      <c r="N154" s="64">
        <f t="shared" si="134"/>
        <v>4937.8965549247378</v>
      </c>
      <c r="O154" s="64">
        <f t="shared" si="134"/>
        <v>4672.0717482989639</v>
      </c>
      <c r="P154" s="64">
        <f t="shared" si="134"/>
        <v>3863.7392832981741</v>
      </c>
      <c r="Q154" s="64">
        <f t="shared" si="134"/>
        <v>3894.5083155839047</v>
      </c>
      <c r="R154" s="64">
        <f t="shared" si="134"/>
        <v>3884.4708146559715</v>
      </c>
      <c r="S154" s="64">
        <f t="shared" si="134"/>
        <v>4006.9916035032106</v>
      </c>
      <c r="T154" s="64">
        <f t="shared" si="134"/>
        <v>3981.5241162334551</v>
      </c>
      <c r="U154" s="64">
        <f t="shared" si="134"/>
        <v>3909.179448807683</v>
      </c>
      <c r="V154" s="64">
        <f t="shared" si="134"/>
        <v>3735.2096817946822</v>
      </c>
      <c r="W154" s="64">
        <f t="shared" si="134"/>
        <v>4000.6405333563657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2018.5999673549709</v>
      </c>
      <c r="C155" s="65">
        <f t="shared" ref="C155:W155" si="136">IF(C101=0,0,C101/C$23)</f>
        <v>1932.7678500676043</v>
      </c>
      <c r="D155" s="65">
        <f t="shared" si="136"/>
        <v>1814.4308512256689</v>
      </c>
      <c r="E155" s="65">
        <f t="shared" si="136"/>
        <v>1484.5297458775824</v>
      </c>
      <c r="F155" s="65">
        <f t="shared" si="136"/>
        <v>1630.9024037507893</v>
      </c>
      <c r="G155" s="65">
        <f t="shared" si="136"/>
        <v>1818.2657936676926</v>
      </c>
      <c r="H155" s="65">
        <f t="shared" si="136"/>
        <v>2927.0270754626672</v>
      </c>
      <c r="I155" s="65">
        <f t="shared" si="136"/>
        <v>1913.2682287680495</v>
      </c>
      <c r="J155" s="65">
        <f t="shared" si="136"/>
        <v>1863.3154736328415</v>
      </c>
      <c r="K155" s="65">
        <f t="shared" si="136"/>
        <v>2025.513570559835</v>
      </c>
      <c r="L155" s="65">
        <f t="shared" si="136"/>
        <v>2462.2511410931911</v>
      </c>
      <c r="M155" s="65">
        <f t="shared" si="136"/>
        <v>2465.0964821124676</v>
      </c>
      <c r="N155" s="65">
        <f t="shared" si="136"/>
        <v>2061.8671691000168</v>
      </c>
      <c r="O155" s="65">
        <f t="shared" si="136"/>
        <v>1861.539353099899</v>
      </c>
      <c r="P155" s="65">
        <f t="shared" si="136"/>
        <v>1100.1092849192269</v>
      </c>
      <c r="Q155" s="65">
        <f t="shared" si="136"/>
        <v>1009.0959411648541</v>
      </c>
      <c r="R155" s="65">
        <f t="shared" si="136"/>
        <v>1107.7072042881507</v>
      </c>
      <c r="S155" s="65">
        <f t="shared" si="136"/>
        <v>1196.4780950895952</v>
      </c>
      <c r="T155" s="65">
        <f t="shared" si="136"/>
        <v>1388.4889606461859</v>
      </c>
      <c r="U155" s="65">
        <f t="shared" si="136"/>
        <v>1353.0450454549175</v>
      </c>
      <c r="V155" s="65">
        <f t="shared" si="136"/>
        <v>1291.624169674285</v>
      </c>
      <c r="W155" s="65">
        <f t="shared" si="136"/>
        <v>1480.6912783021314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262.03159911793983</v>
      </c>
      <c r="C156" s="65">
        <f t="shared" ref="C156:W156" si="138">IF(C102=0,0,C102/C$23)</f>
        <v>291.37529038444814</v>
      </c>
      <c r="D156" s="65">
        <f t="shared" si="138"/>
        <v>277.74901602687146</v>
      </c>
      <c r="E156" s="65">
        <f t="shared" si="138"/>
        <v>390.97089064510106</v>
      </c>
      <c r="F156" s="65">
        <f t="shared" si="138"/>
        <v>351.35372269384141</v>
      </c>
      <c r="G156" s="65">
        <f t="shared" si="138"/>
        <v>387.06291944199432</v>
      </c>
      <c r="H156" s="65">
        <f t="shared" si="138"/>
        <v>458.17909368371744</v>
      </c>
      <c r="I156" s="65">
        <f t="shared" si="138"/>
        <v>376.95468670751757</v>
      </c>
      <c r="J156" s="65">
        <f t="shared" si="138"/>
        <v>419.28649351495687</v>
      </c>
      <c r="K156" s="65">
        <f t="shared" si="138"/>
        <v>602.12180450795529</v>
      </c>
      <c r="L156" s="65">
        <f t="shared" si="138"/>
        <v>604.47466933555029</v>
      </c>
      <c r="M156" s="65">
        <f t="shared" si="138"/>
        <v>565.5117086911273</v>
      </c>
      <c r="N156" s="65">
        <f t="shared" si="138"/>
        <v>705.27878315041494</v>
      </c>
      <c r="O156" s="65">
        <f t="shared" si="138"/>
        <v>577.47388599115004</v>
      </c>
      <c r="P156" s="65">
        <f t="shared" si="138"/>
        <v>520.98849250624971</v>
      </c>
      <c r="Q156" s="65">
        <f t="shared" si="138"/>
        <v>732.77220415156557</v>
      </c>
      <c r="R156" s="65">
        <f t="shared" si="138"/>
        <v>689.52083777677558</v>
      </c>
      <c r="S156" s="65">
        <f t="shared" si="138"/>
        <v>766.56509193098702</v>
      </c>
      <c r="T156" s="65">
        <f t="shared" si="138"/>
        <v>529.20211892235136</v>
      </c>
      <c r="U156" s="65">
        <f t="shared" si="138"/>
        <v>534.20581297297281</v>
      </c>
      <c r="V156" s="65">
        <f t="shared" si="138"/>
        <v>615.56984838257495</v>
      </c>
      <c r="W156" s="65">
        <f t="shared" si="138"/>
        <v>517.3789848328953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962.65065666250882</v>
      </c>
      <c r="C157" s="65">
        <f t="shared" ref="C157:W157" si="140">IF(C103=0,0,C103/C$23)</f>
        <v>981.19076659691143</v>
      </c>
      <c r="D157" s="65">
        <f t="shared" si="140"/>
        <v>1009.667307966996</v>
      </c>
      <c r="E157" s="65">
        <f t="shared" si="140"/>
        <v>983.89782022730105</v>
      </c>
      <c r="F157" s="65">
        <f t="shared" si="140"/>
        <v>1018.8558188616072</v>
      </c>
      <c r="G157" s="65">
        <f t="shared" si="140"/>
        <v>996.49124566489854</v>
      </c>
      <c r="H157" s="65">
        <f t="shared" si="140"/>
        <v>999.54480561703031</v>
      </c>
      <c r="I157" s="65">
        <f t="shared" si="140"/>
        <v>970.69192399229803</v>
      </c>
      <c r="J157" s="65">
        <f t="shared" si="140"/>
        <v>968.36855646635445</v>
      </c>
      <c r="K157" s="65">
        <f t="shared" si="140"/>
        <v>988.16754443189996</v>
      </c>
      <c r="L157" s="65">
        <f t="shared" si="140"/>
        <v>1005.4257764970931</v>
      </c>
      <c r="M157" s="65">
        <f t="shared" si="140"/>
        <v>1018.0875150961953</v>
      </c>
      <c r="N157" s="65">
        <f t="shared" si="140"/>
        <v>1023.3851598114273</v>
      </c>
      <c r="O157" s="65">
        <f t="shared" si="140"/>
        <v>1055.9427773388172</v>
      </c>
      <c r="P157" s="65">
        <f t="shared" si="140"/>
        <v>1017.8801825000476</v>
      </c>
      <c r="Q157" s="65">
        <f t="shared" si="140"/>
        <v>939.86136819815886</v>
      </c>
      <c r="R157" s="65">
        <f t="shared" si="140"/>
        <v>899.00654020656589</v>
      </c>
      <c r="S157" s="65">
        <f t="shared" si="140"/>
        <v>845.77119534194526</v>
      </c>
      <c r="T157" s="65">
        <f t="shared" si="140"/>
        <v>874.84412763367561</v>
      </c>
      <c r="U157" s="65">
        <f t="shared" si="140"/>
        <v>833.20007422022366</v>
      </c>
      <c r="V157" s="65">
        <f t="shared" si="140"/>
        <v>771.49506285776079</v>
      </c>
      <c r="W157" s="65">
        <f t="shared" si="140"/>
        <v>813.84052182488199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1017.1403256878021</v>
      </c>
      <c r="C158" s="67">
        <f t="shared" ref="C158:W158" si="142">IF(C104=0,0,C104/C$23)</f>
        <v>1039.7141606983685</v>
      </c>
      <c r="D158" s="67">
        <f t="shared" si="142"/>
        <v>992.45994325807328</v>
      </c>
      <c r="E158" s="67">
        <f t="shared" si="142"/>
        <v>947.38891287374099</v>
      </c>
      <c r="F158" s="67">
        <f t="shared" si="142"/>
        <v>1004.0618035629075</v>
      </c>
      <c r="G158" s="67">
        <f t="shared" si="142"/>
        <v>990.17025653721601</v>
      </c>
      <c r="H158" s="67">
        <f t="shared" si="142"/>
        <v>1020.4563911553248</v>
      </c>
      <c r="I158" s="67">
        <f t="shared" si="142"/>
        <v>1023.5944337531993</v>
      </c>
      <c r="J158" s="67">
        <f t="shared" si="142"/>
        <v>1043.4244961412662</v>
      </c>
      <c r="K158" s="67">
        <f t="shared" si="142"/>
        <v>1063.4350120222091</v>
      </c>
      <c r="L158" s="67">
        <f t="shared" si="142"/>
        <v>1102.9620287384189</v>
      </c>
      <c r="M158" s="67">
        <f t="shared" si="142"/>
        <v>1126.7074327789817</v>
      </c>
      <c r="N158" s="67">
        <f t="shared" si="142"/>
        <v>1147.3654428628779</v>
      </c>
      <c r="O158" s="67">
        <f t="shared" si="142"/>
        <v>1177.115731869098</v>
      </c>
      <c r="P158" s="67">
        <f t="shared" si="142"/>
        <v>1224.7613233726515</v>
      </c>
      <c r="Q158" s="67">
        <f t="shared" si="142"/>
        <v>1212.7788020693265</v>
      </c>
      <c r="R158" s="67">
        <f t="shared" si="142"/>
        <v>1188.2362323844793</v>
      </c>
      <c r="S158" s="67">
        <f t="shared" si="142"/>
        <v>1198.1772211406828</v>
      </c>
      <c r="T158" s="67">
        <f t="shared" si="142"/>
        <v>1188.9889090312422</v>
      </c>
      <c r="U158" s="67">
        <f t="shared" si="142"/>
        <v>1188.7285161595689</v>
      </c>
      <c r="V158" s="67">
        <f t="shared" si="142"/>
        <v>1056.5206008800612</v>
      </c>
      <c r="W158" s="67">
        <f t="shared" si="142"/>
        <v>1188.7297483964571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2961.1388981042028</v>
      </c>
      <c r="C159" s="68">
        <f t="shared" ref="C159:W159" si="144">IF(C105=0,0,C105/C$23)</f>
        <v>3037.6854646608872</v>
      </c>
      <c r="D159" s="68">
        <f t="shared" si="144"/>
        <v>3093.3788606747439</v>
      </c>
      <c r="E159" s="68">
        <f t="shared" si="144"/>
        <v>3143.3324868414456</v>
      </c>
      <c r="F159" s="68">
        <f t="shared" si="144"/>
        <v>3173.0132703280337</v>
      </c>
      <c r="G159" s="68">
        <f t="shared" si="144"/>
        <v>3178.3828589708774</v>
      </c>
      <c r="H159" s="68">
        <f t="shared" si="144"/>
        <v>3149.4413919559788</v>
      </c>
      <c r="I159" s="68">
        <f t="shared" si="144"/>
        <v>3130.9296880269408</v>
      </c>
      <c r="J159" s="68">
        <f t="shared" si="144"/>
        <v>3135.930434457799</v>
      </c>
      <c r="K159" s="68">
        <f t="shared" si="144"/>
        <v>3228.1904651627719</v>
      </c>
      <c r="L159" s="68">
        <f t="shared" si="144"/>
        <v>3297.1965946326377</v>
      </c>
      <c r="M159" s="68">
        <f t="shared" si="144"/>
        <v>3337.6189839404951</v>
      </c>
      <c r="N159" s="68">
        <f t="shared" si="144"/>
        <v>3461.5037760805685</v>
      </c>
      <c r="O159" s="68">
        <f t="shared" si="144"/>
        <v>3514.1103371403437</v>
      </c>
      <c r="P159" s="68">
        <f t="shared" si="144"/>
        <v>3483.0437690051194</v>
      </c>
      <c r="Q159" s="68">
        <f t="shared" si="144"/>
        <v>3470.7452834028632</v>
      </c>
      <c r="R159" s="68">
        <f t="shared" si="144"/>
        <v>3472.1600062975281</v>
      </c>
      <c r="S159" s="68">
        <f t="shared" si="144"/>
        <v>3347.4399829150111</v>
      </c>
      <c r="T159" s="68">
        <f t="shared" si="144"/>
        <v>3283.7957571774486</v>
      </c>
      <c r="U159" s="68">
        <f t="shared" si="144"/>
        <v>3168.8397226785896</v>
      </c>
      <c r="V159" s="68">
        <f t="shared" si="144"/>
        <v>3037.1722307897535</v>
      </c>
      <c r="W159" s="68">
        <f t="shared" si="144"/>
        <v>2952.7246821608551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2536.9225487621929</v>
      </c>
      <c r="C161" s="85">
        <f t="shared" ref="C161:W161" si="146">IF(C107=0,0,C107/C$23)</f>
        <v>2578.878337838767</v>
      </c>
      <c r="D161" s="85">
        <f t="shared" si="146"/>
        <v>2528.0388133502138</v>
      </c>
      <c r="E161" s="85">
        <f t="shared" si="146"/>
        <v>2583.5879290622038</v>
      </c>
      <c r="F161" s="85">
        <f t="shared" si="146"/>
        <v>2692.9758013437431</v>
      </c>
      <c r="G161" s="85">
        <f t="shared" si="146"/>
        <v>2891.9692777418127</v>
      </c>
      <c r="H161" s="85">
        <f t="shared" si="146"/>
        <v>3811.0892693797327</v>
      </c>
      <c r="I161" s="85">
        <f t="shared" si="146"/>
        <v>3122.3135439157768</v>
      </c>
      <c r="J161" s="85">
        <f t="shared" si="146"/>
        <v>3296.5283492887879</v>
      </c>
      <c r="K161" s="85">
        <f t="shared" si="146"/>
        <v>3902.6716173635791</v>
      </c>
      <c r="L161" s="85">
        <f t="shared" si="146"/>
        <v>4261.381892803528</v>
      </c>
      <c r="M161" s="85">
        <f t="shared" si="146"/>
        <v>4254.9175976388669</v>
      </c>
      <c r="N161" s="85">
        <f t="shared" si="146"/>
        <v>4478.3281133940773</v>
      </c>
      <c r="O161" s="85">
        <f t="shared" si="146"/>
        <v>4123.5123789727659</v>
      </c>
      <c r="P161" s="85">
        <f t="shared" si="146"/>
        <v>3566.5111206008705</v>
      </c>
      <c r="Q161" s="85">
        <f t="shared" si="146"/>
        <v>4187.113289977231</v>
      </c>
      <c r="R161" s="85">
        <f t="shared" si="146"/>
        <v>4196.7682434292901</v>
      </c>
      <c r="S161" s="85">
        <f t="shared" si="146"/>
        <v>4629.8230895871693</v>
      </c>
      <c r="T161" s="85">
        <f t="shared" si="146"/>
        <v>4176.0283104866821</v>
      </c>
      <c r="U161" s="85">
        <f t="shared" si="146"/>
        <v>4290.2935435639893</v>
      </c>
      <c r="V161" s="85">
        <f t="shared" si="146"/>
        <v>4523.740026838932</v>
      </c>
      <c r="W161" s="85">
        <f t="shared" si="146"/>
        <v>4578.6937419954947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938.83430236074514</v>
      </c>
      <c r="C162" s="65">
        <f t="shared" ref="C162:W162" si="148">IF(C108=0,0,C108/C$23)</f>
        <v>877.72963110008891</v>
      </c>
      <c r="D162" s="65">
        <f t="shared" si="148"/>
        <v>825.41002073774268</v>
      </c>
      <c r="E162" s="65">
        <f t="shared" si="148"/>
        <v>677.965314645955</v>
      </c>
      <c r="F162" s="65">
        <f t="shared" si="148"/>
        <v>761.7759534875255</v>
      </c>
      <c r="G162" s="65">
        <f t="shared" si="148"/>
        <v>863.90414610943344</v>
      </c>
      <c r="H162" s="65">
        <f t="shared" si="148"/>
        <v>1560.580419815223</v>
      </c>
      <c r="I162" s="65">
        <f t="shared" si="148"/>
        <v>1021.9020206790445</v>
      </c>
      <c r="J162" s="65">
        <f t="shared" si="148"/>
        <v>1036.7063070028332</v>
      </c>
      <c r="K162" s="65">
        <f t="shared" si="148"/>
        <v>1132.918952505278</v>
      </c>
      <c r="L162" s="65">
        <f t="shared" si="148"/>
        <v>1411.9309361643566</v>
      </c>
      <c r="M162" s="65">
        <f t="shared" si="148"/>
        <v>1439.540851066507</v>
      </c>
      <c r="N162" s="65">
        <f t="shared" si="148"/>
        <v>1233.1708198081546</v>
      </c>
      <c r="O162" s="65">
        <f t="shared" si="148"/>
        <v>1146.2236446092061</v>
      </c>
      <c r="P162" s="65">
        <f t="shared" si="148"/>
        <v>727.19395766129992</v>
      </c>
      <c r="Q162" s="65">
        <f t="shared" si="148"/>
        <v>736.31536944412119</v>
      </c>
      <c r="R162" s="65">
        <f t="shared" si="148"/>
        <v>845.32113065786609</v>
      </c>
      <c r="S162" s="65">
        <f t="shared" si="148"/>
        <v>966.55455222984381</v>
      </c>
      <c r="T162" s="65">
        <f t="shared" si="148"/>
        <v>1155.1028831719834</v>
      </c>
      <c r="U162" s="65">
        <f t="shared" si="148"/>
        <v>1206.4844929886262</v>
      </c>
      <c r="V162" s="65">
        <f t="shared" si="148"/>
        <v>1257.9295936367523</v>
      </c>
      <c r="W162" s="65">
        <f t="shared" si="148"/>
        <v>1441.306830949525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442.10349074698945</v>
      </c>
      <c r="C163" s="65">
        <f t="shared" ref="C163:W163" si="150">IF(C109=0,0,C109/C$23)</f>
        <v>519.23070039199627</v>
      </c>
      <c r="D163" s="65">
        <f t="shared" si="150"/>
        <v>522.99373345381412</v>
      </c>
      <c r="E163" s="65">
        <f t="shared" si="150"/>
        <v>754.73113110497559</v>
      </c>
      <c r="F163" s="65">
        <f t="shared" si="150"/>
        <v>729.32418406186741</v>
      </c>
      <c r="G163" s="65">
        <f t="shared" si="150"/>
        <v>840.68701879964692</v>
      </c>
      <c r="H163" s="65">
        <f t="shared" si="150"/>
        <v>1039.8256282143107</v>
      </c>
      <c r="I163" s="65">
        <f t="shared" si="150"/>
        <v>894.45308360258809</v>
      </c>
      <c r="J163" s="65">
        <f t="shared" si="150"/>
        <v>1033.0734711968364</v>
      </c>
      <c r="K163" s="65">
        <f t="shared" si="150"/>
        <v>1510.0655320243332</v>
      </c>
      <c r="L163" s="65">
        <f t="shared" si="150"/>
        <v>1546.3809190612933</v>
      </c>
      <c r="M163" s="65">
        <f t="shared" si="150"/>
        <v>1482.4588452501589</v>
      </c>
      <c r="N163" s="65">
        <f t="shared" si="150"/>
        <v>1893.1523616888351</v>
      </c>
      <c r="O163" s="65">
        <f t="shared" si="150"/>
        <v>1587.2665635506062</v>
      </c>
      <c r="P163" s="65">
        <f t="shared" si="150"/>
        <v>1482.3483854269195</v>
      </c>
      <c r="Q163" s="65">
        <f t="shared" si="150"/>
        <v>2153.9533265554742</v>
      </c>
      <c r="R163" s="65">
        <f t="shared" si="150"/>
        <v>2095.8832397421093</v>
      </c>
      <c r="S163" s="65">
        <f t="shared" si="150"/>
        <v>2410.9944351343493</v>
      </c>
      <c r="T163" s="65">
        <f t="shared" si="150"/>
        <v>1714.4461296114473</v>
      </c>
      <c r="U163" s="65">
        <f t="shared" si="150"/>
        <v>1779.1238981628685</v>
      </c>
      <c r="V163" s="65">
        <f t="shared" si="150"/>
        <v>2096.6093262273457</v>
      </c>
      <c r="W163" s="65">
        <f t="shared" si="150"/>
        <v>1807.4258706276701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508.07409972990399</v>
      </c>
      <c r="C164" s="65">
        <f t="shared" ref="C164:W164" si="152">IF(C110=0,0,C110/C$23)</f>
        <v>523.54849721864866</v>
      </c>
      <c r="D164" s="65">
        <f t="shared" si="152"/>
        <v>546.62559200026953</v>
      </c>
      <c r="E164" s="65">
        <f t="shared" si="152"/>
        <v>542.54028156330389</v>
      </c>
      <c r="F164" s="65">
        <f t="shared" si="152"/>
        <v>565.19138277363686</v>
      </c>
      <c r="G164" s="65">
        <f t="shared" si="152"/>
        <v>556.37272553629498</v>
      </c>
      <c r="H164" s="65">
        <f t="shared" si="152"/>
        <v>556.18284523172838</v>
      </c>
      <c r="I164" s="65">
        <f t="shared" si="152"/>
        <v>546.57656339202822</v>
      </c>
      <c r="J164" s="65">
        <f t="shared" si="152"/>
        <v>552.34355309312423</v>
      </c>
      <c r="K164" s="65">
        <f t="shared" si="152"/>
        <v>568.59006799991721</v>
      </c>
      <c r="L164" s="65">
        <f t="shared" si="152"/>
        <v>584.67160921381856</v>
      </c>
      <c r="M164" s="65">
        <f t="shared" si="152"/>
        <v>598.09509036783163</v>
      </c>
      <c r="N164" s="65">
        <f t="shared" si="152"/>
        <v>607.04950810713035</v>
      </c>
      <c r="O164" s="65">
        <f t="shared" si="152"/>
        <v>634.38236028951019</v>
      </c>
      <c r="P164" s="65">
        <f t="shared" si="152"/>
        <v>615.04705380891778</v>
      </c>
      <c r="Q164" s="65">
        <f t="shared" si="152"/>
        <v>574.52702550908657</v>
      </c>
      <c r="R164" s="65">
        <f t="shared" si="152"/>
        <v>557.39930662208053</v>
      </c>
      <c r="S164" s="65">
        <f t="shared" si="152"/>
        <v>535.61970949345448</v>
      </c>
      <c r="T164" s="65">
        <f t="shared" si="152"/>
        <v>568.85157158269271</v>
      </c>
      <c r="U164" s="65">
        <f t="shared" si="152"/>
        <v>554.94275614246021</v>
      </c>
      <c r="V164" s="65">
        <f t="shared" si="152"/>
        <v>525.45024261781919</v>
      </c>
      <c r="W164" s="65">
        <f t="shared" si="152"/>
        <v>566.99624212073661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647.91065592455448</v>
      </c>
      <c r="C165" s="68">
        <f t="shared" ref="C165:W165" si="154">IF(C111=0,0,C111/C$23)</f>
        <v>658.36950912803297</v>
      </c>
      <c r="D165" s="68">
        <f t="shared" si="154"/>
        <v>633.00946715838745</v>
      </c>
      <c r="E165" s="68">
        <f t="shared" si="154"/>
        <v>608.35120174796918</v>
      </c>
      <c r="F165" s="68">
        <f t="shared" si="154"/>
        <v>636.68428102071357</v>
      </c>
      <c r="G165" s="68">
        <f t="shared" si="154"/>
        <v>631.00538729643745</v>
      </c>
      <c r="H165" s="68">
        <f t="shared" si="154"/>
        <v>654.50037611847074</v>
      </c>
      <c r="I165" s="68">
        <f t="shared" si="154"/>
        <v>659.38187624211616</v>
      </c>
      <c r="J165" s="68">
        <f t="shared" si="154"/>
        <v>674.40501799599394</v>
      </c>
      <c r="K165" s="68">
        <f t="shared" si="154"/>
        <v>691.09706483405046</v>
      </c>
      <c r="L165" s="68">
        <f t="shared" si="154"/>
        <v>718.39842836405933</v>
      </c>
      <c r="M165" s="68">
        <f t="shared" si="154"/>
        <v>734.82281095436952</v>
      </c>
      <c r="N165" s="68">
        <f t="shared" si="154"/>
        <v>744.95542378995663</v>
      </c>
      <c r="O165" s="68">
        <f t="shared" si="154"/>
        <v>755.63981052344377</v>
      </c>
      <c r="P165" s="68">
        <f t="shared" si="154"/>
        <v>741.92172370373328</v>
      </c>
      <c r="Q165" s="68">
        <f t="shared" si="154"/>
        <v>722.31756846854887</v>
      </c>
      <c r="R165" s="68">
        <f t="shared" si="154"/>
        <v>698.1645664072347</v>
      </c>
      <c r="S165" s="68">
        <f t="shared" si="154"/>
        <v>716.65439272952131</v>
      </c>
      <c r="T165" s="68">
        <f t="shared" si="154"/>
        <v>737.6277261205579</v>
      </c>
      <c r="U165" s="68">
        <f t="shared" si="154"/>
        <v>749.74239627003476</v>
      </c>
      <c r="V165" s="68">
        <f t="shared" si="154"/>
        <v>643.75086435701451</v>
      </c>
      <c r="W165" s="68">
        <f t="shared" si="154"/>
        <v>762.96479829756333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602.2331383567273</v>
      </c>
      <c r="C167" s="82">
        <f t="shared" ref="C167:W167" si="156">IF(C113=0,0,C113/C$23)</f>
        <v>634.49822643246091</v>
      </c>
      <c r="D167" s="82">
        <f t="shared" si="156"/>
        <v>608.62877280476312</v>
      </c>
      <c r="E167" s="82">
        <f t="shared" si="156"/>
        <v>536.16600755754826</v>
      </c>
      <c r="F167" s="82">
        <f t="shared" si="156"/>
        <v>576.11044550500321</v>
      </c>
      <c r="G167" s="82">
        <f t="shared" si="156"/>
        <v>612.23675870937291</v>
      </c>
      <c r="H167" s="82">
        <f t="shared" si="156"/>
        <v>735.35660863509565</v>
      </c>
      <c r="I167" s="82">
        <f t="shared" si="156"/>
        <v>544.40504959557882</v>
      </c>
      <c r="J167" s="82">
        <f t="shared" si="156"/>
        <v>495.98706130312195</v>
      </c>
      <c r="K167" s="82">
        <f t="shared" si="156"/>
        <v>551.56585539801665</v>
      </c>
      <c r="L167" s="82">
        <f t="shared" si="156"/>
        <v>622.65379301217456</v>
      </c>
      <c r="M167" s="82">
        <f t="shared" si="156"/>
        <v>646.78737589095533</v>
      </c>
      <c r="N167" s="82">
        <f t="shared" si="156"/>
        <v>613.13542286212908</v>
      </c>
      <c r="O167" s="82">
        <f t="shared" si="156"/>
        <v>617.84444366066646</v>
      </c>
      <c r="P167" s="82">
        <f t="shared" si="156"/>
        <v>532.72772498912457</v>
      </c>
      <c r="Q167" s="82">
        <f t="shared" si="156"/>
        <v>507.66632118737425</v>
      </c>
      <c r="R167" s="82">
        <f t="shared" si="156"/>
        <v>534.39301255656778</v>
      </c>
      <c r="S167" s="82">
        <f t="shared" si="156"/>
        <v>532.80029956604164</v>
      </c>
      <c r="T167" s="82">
        <f t="shared" si="156"/>
        <v>544.24990786975775</v>
      </c>
      <c r="U167" s="82">
        <f t="shared" si="156"/>
        <v>522.96673539288849</v>
      </c>
      <c r="V167" s="82">
        <f t="shared" si="156"/>
        <v>514.2965998728713</v>
      </c>
      <c r="W167" s="82">
        <f t="shared" si="156"/>
        <v>549.38149877113506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602.2331383567273</v>
      </c>
      <c r="C168" s="64">
        <f t="shared" ref="C168:W168" si="158">IF(C114=0,0,C114/C$23)</f>
        <v>634.49822643246091</v>
      </c>
      <c r="D168" s="64">
        <f t="shared" si="158"/>
        <v>608.62877280476312</v>
      </c>
      <c r="E168" s="64">
        <f t="shared" si="158"/>
        <v>536.16600755754826</v>
      </c>
      <c r="F168" s="64">
        <f t="shared" si="158"/>
        <v>576.11044550500321</v>
      </c>
      <c r="G168" s="64">
        <f t="shared" si="158"/>
        <v>612.23675870937291</v>
      </c>
      <c r="H168" s="64">
        <f t="shared" si="158"/>
        <v>735.35660863509565</v>
      </c>
      <c r="I168" s="64">
        <f t="shared" si="158"/>
        <v>544.40504959557882</v>
      </c>
      <c r="J168" s="64">
        <f t="shared" si="158"/>
        <v>495.98706130312195</v>
      </c>
      <c r="K168" s="64">
        <f t="shared" si="158"/>
        <v>551.56585539801665</v>
      </c>
      <c r="L168" s="64">
        <f t="shared" si="158"/>
        <v>622.65379301217456</v>
      </c>
      <c r="M168" s="64">
        <f t="shared" si="158"/>
        <v>646.78737589095533</v>
      </c>
      <c r="N168" s="64">
        <f t="shared" si="158"/>
        <v>613.13542286212908</v>
      </c>
      <c r="O168" s="64">
        <f t="shared" si="158"/>
        <v>617.84444366066646</v>
      </c>
      <c r="P168" s="64">
        <f t="shared" si="158"/>
        <v>532.72772498912457</v>
      </c>
      <c r="Q168" s="64">
        <f t="shared" si="158"/>
        <v>507.66632118737425</v>
      </c>
      <c r="R168" s="64">
        <f t="shared" si="158"/>
        <v>534.39301255656778</v>
      </c>
      <c r="S168" s="64">
        <f t="shared" si="158"/>
        <v>532.80029956604164</v>
      </c>
      <c r="T168" s="64">
        <f t="shared" si="158"/>
        <v>544.24990786975775</v>
      </c>
      <c r="U168" s="64">
        <f t="shared" si="158"/>
        <v>522.96673539288849</v>
      </c>
      <c r="V168" s="64">
        <f t="shared" si="158"/>
        <v>514.2965998728713</v>
      </c>
      <c r="W168" s="64">
        <f t="shared" si="158"/>
        <v>549.38149877113506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403.34457901374077</v>
      </c>
      <c r="C169" s="65">
        <f t="shared" ref="C169:W169" si="160">IF(C115=0,0,C115/C$23)</f>
        <v>430.30827901463709</v>
      </c>
      <c r="D169" s="65">
        <f t="shared" si="160"/>
        <v>418.09056499474599</v>
      </c>
      <c r="E169" s="65">
        <f t="shared" si="160"/>
        <v>367.41191906007379</v>
      </c>
      <c r="F169" s="65">
        <f t="shared" si="160"/>
        <v>389.43750192733398</v>
      </c>
      <c r="G169" s="65">
        <f t="shared" si="160"/>
        <v>429.10229928397473</v>
      </c>
      <c r="H169" s="65">
        <f t="shared" si="160"/>
        <v>537.03306596891798</v>
      </c>
      <c r="I169" s="65">
        <f t="shared" si="160"/>
        <v>355.23444836940689</v>
      </c>
      <c r="J169" s="65">
        <f t="shared" si="160"/>
        <v>308.36646725049008</v>
      </c>
      <c r="K169" s="65">
        <f t="shared" si="160"/>
        <v>360.76463061227702</v>
      </c>
      <c r="L169" s="65">
        <f t="shared" si="160"/>
        <v>427.7810627004867</v>
      </c>
      <c r="M169" s="65">
        <f t="shared" si="160"/>
        <v>448.96991084719821</v>
      </c>
      <c r="N169" s="65">
        <f t="shared" si="160"/>
        <v>399.49153901350695</v>
      </c>
      <c r="O169" s="65">
        <f t="shared" si="160"/>
        <v>384.08970643000004</v>
      </c>
      <c r="P169" s="65">
        <f t="shared" si="160"/>
        <v>232.97521388876686</v>
      </c>
      <c r="Q169" s="65">
        <f t="shared" si="160"/>
        <v>200.37061183211088</v>
      </c>
      <c r="R169" s="65">
        <f t="shared" si="160"/>
        <v>219.67732529718404</v>
      </c>
      <c r="S169" s="65">
        <f t="shared" si="160"/>
        <v>229.84155830552569</v>
      </c>
      <c r="T169" s="65">
        <f t="shared" si="160"/>
        <v>261.74933702984475</v>
      </c>
      <c r="U169" s="65">
        <f t="shared" si="160"/>
        <v>246.83873703107656</v>
      </c>
      <c r="V169" s="65">
        <f t="shared" si="160"/>
        <v>231.92856957547042</v>
      </c>
      <c r="W169" s="65">
        <f t="shared" si="160"/>
        <v>265.08967046202974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6.184530878799941E-2</v>
      </c>
      <c r="C170" s="65">
        <f t="shared" ref="C170:W170" si="162">IF(C116=0,0,C116/C$23)</f>
        <v>7.1622001389469794E-2</v>
      </c>
      <c r="D170" s="65">
        <f t="shared" si="162"/>
        <v>6.3835104241743545E-2</v>
      </c>
      <c r="E170" s="65">
        <f t="shared" si="162"/>
        <v>0.12313520904240706</v>
      </c>
      <c r="F170" s="65">
        <f t="shared" si="162"/>
        <v>0.12023146161991483</v>
      </c>
      <c r="G170" s="65">
        <f t="shared" si="162"/>
        <v>0.1479703891923449</v>
      </c>
      <c r="H170" s="65">
        <f t="shared" si="162"/>
        <v>0.18237222113790058</v>
      </c>
      <c r="I170" s="65">
        <f t="shared" si="162"/>
        <v>0.17820631041821405</v>
      </c>
      <c r="J170" s="65">
        <f t="shared" si="162"/>
        <v>0.23792907002182612</v>
      </c>
      <c r="K170" s="65">
        <f t="shared" si="162"/>
        <v>0.37383470728518964</v>
      </c>
      <c r="L170" s="65">
        <f t="shared" si="162"/>
        <v>0.42843754829987485</v>
      </c>
      <c r="M170" s="65">
        <f t="shared" si="162"/>
        <v>0.46690790738275195</v>
      </c>
      <c r="N170" s="65">
        <f t="shared" si="162"/>
        <v>0.65370225381012403</v>
      </c>
      <c r="O170" s="65">
        <f t="shared" si="162"/>
        <v>0.66239082168450991</v>
      </c>
      <c r="P170" s="65">
        <f t="shared" si="162"/>
        <v>0.68996290870422561</v>
      </c>
      <c r="Q170" s="65">
        <f t="shared" si="162"/>
        <v>1.1821557924438684</v>
      </c>
      <c r="R170" s="65">
        <f t="shared" si="162"/>
        <v>1.3019283701288809</v>
      </c>
      <c r="S170" s="65">
        <f t="shared" si="162"/>
        <v>1.6100052111325946</v>
      </c>
      <c r="T170" s="65">
        <f t="shared" si="162"/>
        <v>1.335106657795029</v>
      </c>
      <c r="U170" s="65">
        <f t="shared" si="162"/>
        <v>1.4454712925831439</v>
      </c>
      <c r="V170" s="65">
        <f t="shared" si="162"/>
        <v>1.6278337755610202</v>
      </c>
      <c r="W170" s="65">
        <f t="shared" si="162"/>
        <v>1.4446507917034761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122.41211656270814</v>
      </c>
      <c r="C171" s="65">
        <f t="shared" ref="C171:W171" si="164">IF(C117=0,0,C117/C$23)</f>
        <v>118.85130182759345</v>
      </c>
      <c r="D171" s="65">
        <f t="shared" si="164"/>
        <v>112.85184204876956</v>
      </c>
      <c r="E171" s="65">
        <f t="shared" si="164"/>
        <v>98.990717736508458</v>
      </c>
      <c r="F171" s="65">
        <f t="shared" si="164"/>
        <v>100.67065735212722</v>
      </c>
      <c r="G171" s="65">
        <f t="shared" si="164"/>
        <v>99.448091505614329</v>
      </c>
      <c r="H171" s="65">
        <f t="shared" si="164"/>
        <v>115.02139606366605</v>
      </c>
      <c r="I171" s="65">
        <f t="shared" si="164"/>
        <v>107.09172019026713</v>
      </c>
      <c r="J171" s="65">
        <f t="shared" si="164"/>
        <v>102.65793107107034</v>
      </c>
      <c r="K171" s="65">
        <f t="shared" si="164"/>
        <v>105.5308645298169</v>
      </c>
      <c r="L171" s="65">
        <f t="shared" si="164"/>
        <v>105.93654563200138</v>
      </c>
      <c r="M171" s="65">
        <f t="shared" si="164"/>
        <v>107.44857652046404</v>
      </c>
      <c r="N171" s="65">
        <f t="shared" si="164"/>
        <v>116.41977440625359</v>
      </c>
      <c r="O171" s="65">
        <f t="shared" si="164"/>
        <v>124.59761395015659</v>
      </c>
      <c r="P171" s="65">
        <f t="shared" si="164"/>
        <v>135.09149322898705</v>
      </c>
      <c r="Q171" s="65">
        <f t="shared" si="164"/>
        <v>124.93422947511264</v>
      </c>
      <c r="R171" s="65">
        <f t="shared" si="164"/>
        <v>125.49243831035056</v>
      </c>
      <c r="S171" s="65">
        <f t="shared" si="164"/>
        <v>121.86614549456164</v>
      </c>
      <c r="T171" s="65">
        <f t="shared" si="164"/>
        <v>121.19836362080214</v>
      </c>
      <c r="U171" s="65">
        <f t="shared" si="164"/>
        <v>118.55347228548064</v>
      </c>
      <c r="V171" s="65">
        <f t="shared" si="164"/>
        <v>117.74418972820568</v>
      </c>
      <c r="W171" s="65">
        <f t="shared" si="164"/>
        <v>125.14806785580035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76.414597471490296</v>
      </c>
      <c r="C172" s="67">
        <f t="shared" ref="C172:W172" si="166">IF(C118=0,0,C118/C$23)</f>
        <v>85.267023588840814</v>
      </c>
      <c r="D172" s="67">
        <f t="shared" si="166"/>
        <v>77.622530657005953</v>
      </c>
      <c r="E172" s="67">
        <f t="shared" si="166"/>
        <v>69.640235551923624</v>
      </c>
      <c r="F172" s="67">
        <f t="shared" si="166"/>
        <v>85.882054763922028</v>
      </c>
      <c r="G172" s="67">
        <f t="shared" si="166"/>
        <v>83.538397530591411</v>
      </c>
      <c r="H172" s="67">
        <f t="shared" si="166"/>
        <v>83.119774381373617</v>
      </c>
      <c r="I172" s="67">
        <f t="shared" si="166"/>
        <v>81.900674725486553</v>
      </c>
      <c r="J172" s="67">
        <f t="shared" si="166"/>
        <v>84.724733911539687</v>
      </c>
      <c r="K172" s="67">
        <f t="shared" si="166"/>
        <v>84.896525548637385</v>
      </c>
      <c r="L172" s="67">
        <f t="shared" si="166"/>
        <v>88.507747131386566</v>
      </c>
      <c r="M172" s="67">
        <f t="shared" si="166"/>
        <v>89.901980615910404</v>
      </c>
      <c r="N172" s="67">
        <f t="shared" si="166"/>
        <v>96.570407188558463</v>
      </c>
      <c r="O172" s="67">
        <f t="shared" si="166"/>
        <v>108.49473245882531</v>
      </c>
      <c r="P172" s="67">
        <f t="shared" si="166"/>
        <v>163.97105496266641</v>
      </c>
      <c r="Q172" s="67">
        <f t="shared" si="166"/>
        <v>181.17932408770679</v>
      </c>
      <c r="R172" s="67">
        <f t="shared" si="166"/>
        <v>187.92132057890427</v>
      </c>
      <c r="S172" s="67">
        <f t="shared" si="166"/>
        <v>179.48259055482174</v>
      </c>
      <c r="T172" s="67">
        <f t="shared" si="166"/>
        <v>159.96710056131585</v>
      </c>
      <c r="U172" s="67">
        <f t="shared" si="166"/>
        <v>156.12905478374805</v>
      </c>
      <c r="V172" s="67">
        <f t="shared" si="166"/>
        <v>162.99600679363417</v>
      </c>
      <c r="W172" s="67">
        <f t="shared" si="166"/>
        <v>157.69910966160143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1739976.9009162702</v>
      </c>
      <c r="C3" s="125">
        <f t="shared" si="0"/>
        <v>1793865.7552569367</v>
      </c>
      <c r="D3" s="125">
        <f t="shared" si="0"/>
        <v>1848052.2022861037</v>
      </c>
      <c r="E3" s="125">
        <f t="shared" si="0"/>
        <v>1913692.4760071656</v>
      </c>
      <c r="F3" s="125">
        <f t="shared" si="0"/>
        <v>1980059.3169420427</v>
      </c>
      <c r="G3" s="125">
        <f t="shared" si="0"/>
        <v>2050618.0656610315</v>
      </c>
      <c r="H3" s="125">
        <f t="shared" si="0"/>
        <v>2124452.0888019511</v>
      </c>
      <c r="I3" s="125">
        <f t="shared" si="0"/>
        <v>2195028.8211917756</v>
      </c>
      <c r="J3" s="125">
        <f t="shared" si="0"/>
        <v>2254333.5500316047</v>
      </c>
      <c r="K3" s="125">
        <f t="shared" si="0"/>
        <v>2241646.3530410668</v>
      </c>
      <c r="L3" s="125">
        <f t="shared" si="0"/>
        <v>2276495.609235385</v>
      </c>
      <c r="M3" s="125">
        <f t="shared" si="0"/>
        <v>2284808.8108906364</v>
      </c>
      <c r="N3" s="125">
        <f t="shared" si="0"/>
        <v>2307655.6882040757</v>
      </c>
      <c r="O3" s="125">
        <f t="shared" si="0"/>
        <v>2304440.7882462903</v>
      </c>
      <c r="P3" s="125">
        <f t="shared" si="0"/>
        <v>2317512.3594023287</v>
      </c>
      <c r="Q3" s="125">
        <f t="shared" si="0"/>
        <v>2341033.4845689065</v>
      </c>
      <c r="R3" s="125">
        <f t="shared" si="0"/>
        <v>2366613.528966743</v>
      </c>
      <c r="S3" s="125">
        <f t="shared" si="0"/>
        <v>2391612.0240411526</v>
      </c>
      <c r="T3" s="125">
        <f t="shared" si="0"/>
        <v>2416753.3320825542</v>
      </c>
      <c r="U3" s="125">
        <f t="shared" si="0"/>
        <v>2439111.393506017</v>
      </c>
      <c r="V3" s="125">
        <f t="shared" si="0"/>
        <v>2459337.435555554</v>
      </c>
      <c r="W3" s="125">
        <f t="shared" si="0"/>
        <v>2478663.3420919585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1739976.9009162702</v>
      </c>
      <c r="C4" s="140">
        <f t="shared" si="1"/>
        <v>1793865.7552569367</v>
      </c>
      <c r="D4" s="140">
        <f t="shared" si="1"/>
        <v>1848052.2022861037</v>
      </c>
      <c r="E4" s="140">
        <f t="shared" si="1"/>
        <v>1913692.4760071656</v>
      </c>
      <c r="F4" s="140">
        <f t="shared" si="1"/>
        <v>1980059.3169420427</v>
      </c>
      <c r="G4" s="140">
        <f t="shared" si="1"/>
        <v>2050618.0656610315</v>
      </c>
      <c r="H4" s="140">
        <f t="shared" si="1"/>
        <v>2124452.0888019511</v>
      </c>
      <c r="I4" s="140">
        <f t="shared" si="1"/>
        <v>2195028.8211917756</v>
      </c>
      <c r="J4" s="140">
        <f t="shared" si="1"/>
        <v>2254333.5500316047</v>
      </c>
      <c r="K4" s="140">
        <f t="shared" si="1"/>
        <v>2241646.3530410668</v>
      </c>
      <c r="L4" s="140">
        <f t="shared" si="1"/>
        <v>2276495.609235385</v>
      </c>
      <c r="M4" s="140">
        <f t="shared" si="1"/>
        <v>2284808.8108906364</v>
      </c>
      <c r="N4" s="140">
        <f t="shared" si="1"/>
        <v>2307655.6882040757</v>
      </c>
      <c r="O4" s="140">
        <f t="shared" si="1"/>
        <v>2304440.7882462903</v>
      </c>
      <c r="P4" s="140">
        <f t="shared" si="1"/>
        <v>2317512.3594023287</v>
      </c>
      <c r="Q4" s="140">
        <f t="shared" si="1"/>
        <v>2341033.4845689065</v>
      </c>
      <c r="R4" s="140">
        <f t="shared" ref="R4:W4" si="2">SUM(R5:R14)</f>
        <v>2366613.528966743</v>
      </c>
      <c r="S4" s="140">
        <f t="shared" si="2"/>
        <v>2391612.0240411526</v>
      </c>
      <c r="T4" s="140">
        <f t="shared" si="2"/>
        <v>2416753.3320825542</v>
      </c>
      <c r="U4" s="140">
        <f t="shared" si="2"/>
        <v>2439111.393506017</v>
      </c>
      <c r="V4" s="140">
        <f t="shared" si="2"/>
        <v>2459337.435555554</v>
      </c>
      <c r="W4" s="140">
        <f t="shared" si="2"/>
        <v>2478663.3420919585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1011704.8720256423</v>
      </c>
      <c r="C7" s="141">
        <v>1141251.2625197629</v>
      </c>
      <c r="D7" s="141">
        <v>1330979.1170245358</v>
      </c>
      <c r="E7" s="141">
        <v>1479691.5754847068</v>
      </c>
      <c r="F7" s="141">
        <v>1466399.744236486</v>
      </c>
      <c r="G7" s="141">
        <v>1287326.1900442434</v>
      </c>
      <c r="H7" s="141">
        <v>920177.25137946114</v>
      </c>
      <c r="I7" s="141">
        <v>787592.41436428099</v>
      </c>
      <c r="J7" s="141">
        <v>695548.59007256653</v>
      </c>
      <c r="K7" s="141">
        <v>608949.17846975906</v>
      </c>
      <c r="L7" s="141">
        <v>609880.83690604626</v>
      </c>
      <c r="M7" s="141">
        <v>681492.4821595063</v>
      </c>
      <c r="N7" s="141">
        <v>750078.40220071317</v>
      </c>
      <c r="O7" s="141">
        <v>863239.36017500376</v>
      </c>
      <c r="P7" s="141">
        <v>872741.46678410948</v>
      </c>
      <c r="Q7" s="141">
        <v>855170.50751485478</v>
      </c>
      <c r="R7" s="141">
        <v>824311.11231320351</v>
      </c>
      <c r="S7" s="141">
        <v>771917.74788921734</v>
      </c>
      <c r="T7" s="141">
        <v>722082.83689023682</v>
      </c>
      <c r="U7" s="141">
        <v>662762.8878372563</v>
      </c>
      <c r="V7" s="141">
        <v>613018.58048984839</v>
      </c>
      <c r="W7" s="141">
        <v>596194.77515334007</v>
      </c>
      <c r="DA7" s="171" t="s">
        <v>248</v>
      </c>
    </row>
    <row r="8" spans="1:105" ht="12" customHeight="1" x14ac:dyDescent="0.25">
      <c r="A8" s="132" t="s">
        <v>73</v>
      </c>
      <c r="B8" s="141">
        <v>35.677478321968607</v>
      </c>
      <c r="C8" s="141">
        <v>49.128184218792711</v>
      </c>
      <c r="D8" s="141">
        <v>75.470294944403221</v>
      </c>
      <c r="E8" s="141">
        <v>120.29605584745595</v>
      </c>
      <c r="F8" s="141">
        <v>190.35734209673345</v>
      </c>
      <c r="G8" s="141">
        <v>320.77781681139447</v>
      </c>
      <c r="H8" s="141">
        <v>461.93059199727111</v>
      </c>
      <c r="I8" s="141">
        <v>641.88905155779128</v>
      </c>
      <c r="J8" s="141">
        <v>751.51224312552085</v>
      </c>
      <c r="K8" s="141">
        <v>894.15896297210929</v>
      </c>
      <c r="L8" s="141">
        <v>1285.0041439426313</v>
      </c>
      <c r="M8" s="141">
        <v>2446.8958053430783</v>
      </c>
      <c r="N8" s="141">
        <v>5790.6561421717188</v>
      </c>
      <c r="O8" s="141">
        <v>11684.618284160468</v>
      </c>
      <c r="P8" s="141">
        <v>20724.790151086832</v>
      </c>
      <c r="Q8" s="141">
        <v>28347.66528233435</v>
      </c>
      <c r="R8" s="141">
        <v>34126.471305692758</v>
      </c>
      <c r="S8" s="141">
        <v>37837.809408362838</v>
      </c>
      <c r="T8" s="141">
        <v>41263.187399300397</v>
      </c>
      <c r="U8" s="141">
        <v>45372.417593959908</v>
      </c>
      <c r="V8" s="141">
        <v>50367.399957727626</v>
      </c>
      <c r="W8" s="141">
        <v>51905.934781472301</v>
      </c>
      <c r="DA8" s="171" t="s">
        <v>249</v>
      </c>
    </row>
    <row r="9" spans="1:105" ht="12" customHeight="1" x14ac:dyDescent="0.25">
      <c r="A9" s="132" t="s">
        <v>78</v>
      </c>
      <c r="B9" s="141">
        <v>380301.96351653978</v>
      </c>
      <c r="C9" s="141">
        <v>351827.79758142075</v>
      </c>
      <c r="D9" s="141">
        <v>285681.16921089398</v>
      </c>
      <c r="E9" s="141">
        <v>238954.01989844229</v>
      </c>
      <c r="F9" s="141">
        <v>280128.37594136753</v>
      </c>
      <c r="G9" s="141">
        <v>476479.98031718913</v>
      </c>
      <c r="H9" s="141">
        <v>765457.39023617608</v>
      </c>
      <c r="I9" s="141">
        <v>842492.13550922088</v>
      </c>
      <c r="J9" s="141">
        <v>899657.81448996661</v>
      </c>
      <c r="K9" s="141">
        <v>958384.89713776077</v>
      </c>
      <c r="L9" s="141">
        <v>1030715.9050717378</v>
      </c>
      <c r="M9" s="141">
        <v>1051477.9031066797</v>
      </c>
      <c r="N9" s="141">
        <v>1041068.9923222848</v>
      </c>
      <c r="O9" s="141">
        <v>913198.71090493375</v>
      </c>
      <c r="P9" s="141">
        <v>809833.63121358468</v>
      </c>
      <c r="Q9" s="141">
        <v>713511.15684371814</v>
      </c>
      <c r="R9" s="141">
        <v>651651.93080625089</v>
      </c>
      <c r="S9" s="141">
        <v>628907.27851244109</v>
      </c>
      <c r="T9" s="141">
        <v>630781.87998210161</v>
      </c>
      <c r="U9" s="141">
        <v>629611.07309034024</v>
      </c>
      <c r="V9" s="141">
        <v>608012.46123463009</v>
      </c>
      <c r="W9" s="141">
        <v>613074.28950718872</v>
      </c>
      <c r="DA9" s="171" t="s">
        <v>250</v>
      </c>
    </row>
    <row r="10" spans="1:105" ht="12" customHeight="1" x14ac:dyDescent="0.25">
      <c r="A10" s="132" t="s">
        <v>128</v>
      </c>
      <c r="B10" s="141">
        <v>35784.637252608882</v>
      </c>
      <c r="C10" s="141">
        <v>38034.374624611992</v>
      </c>
      <c r="D10" s="141">
        <v>42468.443604083674</v>
      </c>
      <c r="E10" s="141">
        <v>43812.400338310523</v>
      </c>
      <c r="F10" s="141">
        <v>44220.105368924334</v>
      </c>
      <c r="G10" s="141">
        <v>42761.000413762333</v>
      </c>
      <c r="H10" s="141">
        <v>43542.587444887235</v>
      </c>
      <c r="I10" s="141">
        <v>49520.296298915644</v>
      </c>
      <c r="J10" s="141">
        <v>49605.302449748182</v>
      </c>
      <c r="K10" s="141">
        <v>46395.908208351611</v>
      </c>
      <c r="L10" s="141">
        <v>42534.459427271511</v>
      </c>
      <c r="M10" s="141">
        <v>43740.338578022303</v>
      </c>
      <c r="N10" s="141">
        <v>53822.016885479192</v>
      </c>
      <c r="O10" s="141">
        <v>68073.617594700787</v>
      </c>
      <c r="P10" s="141">
        <v>88316.183235806413</v>
      </c>
      <c r="Q10" s="141">
        <v>101832.00646814903</v>
      </c>
      <c r="R10" s="141">
        <v>106083.53299265889</v>
      </c>
      <c r="S10" s="141">
        <v>103866.17344840062</v>
      </c>
      <c r="T10" s="141">
        <v>95231.701471547014</v>
      </c>
      <c r="U10" s="141">
        <v>89572.222051447912</v>
      </c>
      <c r="V10" s="141">
        <v>87193.717785649787</v>
      </c>
      <c r="W10" s="141">
        <v>85376.321656054337</v>
      </c>
      <c r="DA10" s="171" t="s">
        <v>251</v>
      </c>
    </row>
    <row r="11" spans="1:105" ht="12" customHeight="1" x14ac:dyDescent="0.25">
      <c r="A11" s="132" t="s">
        <v>25</v>
      </c>
      <c r="B11" s="141">
        <v>1502.606754991747</v>
      </c>
      <c r="C11" s="141">
        <v>1199.9636415332523</v>
      </c>
      <c r="D11" s="141">
        <v>595.84713630798558</v>
      </c>
      <c r="E11" s="141">
        <v>317.09128874391189</v>
      </c>
      <c r="F11" s="141">
        <v>157.37512770619159</v>
      </c>
      <c r="G11" s="141">
        <v>132.64787537078067</v>
      </c>
      <c r="H11" s="141">
        <v>108.35446287556034</v>
      </c>
      <c r="I11" s="141">
        <v>108.1511577793634</v>
      </c>
      <c r="J11" s="141">
        <v>105.66576244087832</v>
      </c>
      <c r="K11" s="141">
        <v>102.43007065710026</v>
      </c>
      <c r="L11" s="141">
        <v>94.912128794109492</v>
      </c>
      <c r="M11" s="141">
        <v>96.374797599932819</v>
      </c>
      <c r="N11" s="141">
        <v>114.04280130721963</v>
      </c>
      <c r="O11" s="141">
        <v>140.98532833442866</v>
      </c>
      <c r="P11" s="141">
        <v>172.44109645619184</v>
      </c>
      <c r="Q11" s="141">
        <v>179.20343717047689</v>
      </c>
      <c r="R11" s="141">
        <v>167.49436845930379</v>
      </c>
      <c r="S11" s="141">
        <v>146.65460837294199</v>
      </c>
      <c r="T11" s="141">
        <v>128.09958861009534</v>
      </c>
      <c r="U11" s="141">
        <v>116.6349175969732</v>
      </c>
      <c r="V11" s="141">
        <v>110.15431950292745</v>
      </c>
      <c r="W11" s="141">
        <v>103.76868334245043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6858.8433269898314</v>
      </c>
      <c r="C13" s="141">
        <v>8341.1316373244663</v>
      </c>
      <c r="D13" s="141">
        <v>11645.609770556808</v>
      </c>
      <c r="E13" s="141">
        <v>15966.635277069618</v>
      </c>
      <c r="F13" s="141">
        <v>18507.734181050815</v>
      </c>
      <c r="G13" s="141">
        <v>24411.928172514377</v>
      </c>
      <c r="H13" s="141">
        <v>32941.532458901354</v>
      </c>
      <c r="I13" s="141">
        <v>52359.944881415999</v>
      </c>
      <c r="J13" s="141">
        <v>71698.889201097452</v>
      </c>
      <c r="K13" s="141">
        <v>85501.939176954125</v>
      </c>
      <c r="L13" s="141">
        <v>98349.388035315933</v>
      </c>
      <c r="M13" s="141">
        <v>124602.46048510297</v>
      </c>
      <c r="N13" s="141">
        <v>189197.95231567381</v>
      </c>
      <c r="O13" s="141">
        <v>291584.66202483355</v>
      </c>
      <c r="P13" s="141">
        <v>443263.63292773999</v>
      </c>
      <c r="Q13" s="141">
        <v>594440.76160662051</v>
      </c>
      <c r="R13" s="141">
        <v>708430.15480184252</v>
      </c>
      <c r="S13" s="141">
        <v>791739.94817390956</v>
      </c>
      <c r="T13" s="141">
        <v>861468.45527822012</v>
      </c>
      <c r="U13" s="141">
        <v>943142.60738235328</v>
      </c>
      <c r="V13" s="141">
        <v>1040208.208878265</v>
      </c>
      <c r="W13" s="141">
        <v>1072058.0655807173</v>
      </c>
      <c r="DA13" s="171" t="s">
        <v>254</v>
      </c>
    </row>
    <row r="14" spans="1:105" ht="12" customHeight="1" x14ac:dyDescent="0.25">
      <c r="A14" s="60" t="s">
        <v>76</v>
      </c>
      <c r="B14" s="142">
        <v>303788.30056117586</v>
      </c>
      <c r="C14" s="142">
        <v>253162.09706806441</v>
      </c>
      <c r="D14" s="142">
        <v>176606.54524478078</v>
      </c>
      <c r="E14" s="142">
        <v>134830.45766404475</v>
      </c>
      <c r="F14" s="142">
        <v>170455.62474441086</v>
      </c>
      <c r="G14" s="142">
        <v>219185.54102114029</v>
      </c>
      <c r="H14" s="142">
        <v>361763.04222765239</v>
      </c>
      <c r="I14" s="142">
        <v>462313.98992860521</v>
      </c>
      <c r="J14" s="142">
        <v>536965.77581265999</v>
      </c>
      <c r="K14" s="142">
        <v>541417.84101461223</v>
      </c>
      <c r="L14" s="142">
        <v>493635.10352227662</v>
      </c>
      <c r="M14" s="142">
        <v>380952.35595838208</v>
      </c>
      <c r="N14" s="142">
        <v>267583.62553644541</v>
      </c>
      <c r="O14" s="142">
        <v>156518.83393432337</v>
      </c>
      <c r="P14" s="142">
        <v>82460.213993544981</v>
      </c>
      <c r="Q14" s="142">
        <v>47552.183416059459</v>
      </c>
      <c r="R14" s="142">
        <v>41842.832378634826</v>
      </c>
      <c r="S14" s="142">
        <v>57196.412000448603</v>
      </c>
      <c r="T14" s="142">
        <v>65797.171472537797</v>
      </c>
      <c r="U14" s="142">
        <v>68533.550633062259</v>
      </c>
      <c r="V14" s="142">
        <v>60426.912889930609</v>
      </c>
      <c r="W14" s="142">
        <v>59950.186729843066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1429329.7570281045</v>
      </c>
      <c r="C15" s="144">
        <f t="shared" si="3"/>
        <v>1532362.5265515477</v>
      </c>
      <c r="D15" s="144">
        <f t="shared" si="3"/>
        <v>1659800.047270766</v>
      </c>
      <c r="E15" s="144">
        <f t="shared" si="3"/>
        <v>1762895.3830660512</v>
      </c>
      <c r="F15" s="144">
        <f t="shared" si="3"/>
        <v>1791095.9580165809</v>
      </c>
      <c r="G15" s="144">
        <f t="shared" si="3"/>
        <v>1807020.5964673769</v>
      </c>
      <c r="H15" s="144">
        <f t="shared" si="3"/>
        <v>1729747.5141153971</v>
      </c>
      <c r="I15" s="144">
        <f t="shared" si="3"/>
        <v>1680354.8863817547</v>
      </c>
      <c r="J15" s="144">
        <f t="shared" si="3"/>
        <v>1645668.8850178474</v>
      </c>
      <c r="K15" s="144">
        <f t="shared" si="3"/>
        <v>1614726.5728495007</v>
      </c>
      <c r="L15" s="144">
        <f t="shared" si="3"/>
        <v>1684511.1176777922</v>
      </c>
      <c r="M15" s="144">
        <f t="shared" si="3"/>
        <v>1779253.9944471512</v>
      </c>
      <c r="N15" s="144">
        <f t="shared" si="3"/>
        <v>1850874.1103519562</v>
      </c>
      <c r="O15" s="144">
        <f t="shared" si="3"/>
        <v>1856337.2922871332</v>
      </c>
      <c r="P15" s="144">
        <f t="shared" si="3"/>
        <v>1791788.5124810436</v>
      </c>
      <c r="Q15" s="144">
        <f t="shared" si="3"/>
        <v>1699040.5395462268</v>
      </c>
      <c r="R15" s="144">
        <f t="shared" ref="R15:W15" si="4">SUM(R5:R12)</f>
        <v>1616340.5417862656</v>
      </c>
      <c r="S15" s="144">
        <f t="shared" si="4"/>
        <v>1542675.6638667947</v>
      </c>
      <c r="T15" s="144">
        <f t="shared" si="4"/>
        <v>1489487.7053317961</v>
      </c>
      <c r="U15" s="144">
        <f t="shared" si="4"/>
        <v>1427435.2354906015</v>
      </c>
      <c r="V15" s="144">
        <f t="shared" si="4"/>
        <v>1358702.3137873586</v>
      </c>
      <c r="W15" s="144">
        <f t="shared" si="4"/>
        <v>1346655.089781398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316005.23268924688</v>
      </c>
      <c r="C16" s="140">
        <f t="shared" si="5"/>
        <v>364322.95726453717</v>
      </c>
      <c r="D16" s="140">
        <f t="shared" si="5"/>
        <v>427203.0918086429</v>
      </c>
      <c r="E16" s="140">
        <f t="shared" si="5"/>
        <v>419825.50901111343</v>
      </c>
      <c r="F16" s="140">
        <f t="shared" si="5"/>
        <v>560173.13664208225</v>
      </c>
      <c r="G16" s="140">
        <f t="shared" si="5"/>
        <v>648293.18685661815</v>
      </c>
      <c r="H16" s="140">
        <f t="shared" si="5"/>
        <v>754147.21256918809</v>
      </c>
      <c r="I16" s="140">
        <f t="shared" si="5"/>
        <v>902495.06568603439</v>
      </c>
      <c r="J16" s="140">
        <f t="shared" si="5"/>
        <v>1014221.5060216966</v>
      </c>
      <c r="K16" s="140">
        <f t="shared" si="5"/>
        <v>1122530.1143668636</v>
      </c>
      <c r="L16" s="140">
        <f t="shared" si="5"/>
        <v>1212471.0327297971</v>
      </c>
      <c r="M16" s="140">
        <f t="shared" si="5"/>
        <v>1279543.5305690886</v>
      </c>
      <c r="N16" s="140">
        <f t="shared" si="5"/>
        <v>1319628.3687440711</v>
      </c>
      <c r="O16" s="140">
        <f t="shared" si="5"/>
        <v>1336186.7581998503</v>
      </c>
      <c r="P16" s="140">
        <f t="shared" si="5"/>
        <v>1359487.1231533871</v>
      </c>
      <c r="Q16" s="140">
        <f t="shared" si="5"/>
        <v>1375782.2197056329</v>
      </c>
      <c r="R16" s="140">
        <f t="shared" ref="R16:W16" si="6">SUM(R17:R18)</f>
        <v>1384794.1236576526</v>
      </c>
      <c r="S16" s="140">
        <f t="shared" si="6"/>
        <v>1393474.3055759754</v>
      </c>
      <c r="T16" s="140">
        <f t="shared" si="6"/>
        <v>1406265.8607977724</v>
      </c>
      <c r="U16" s="140">
        <f t="shared" si="6"/>
        <v>1430266.1100712814</v>
      </c>
      <c r="V16" s="140">
        <f t="shared" si="6"/>
        <v>1391149.57096065</v>
      </c>
      <c r="W16" s="140">
        <f t="shared" si="6"/>
        <v>1465267.3729606108</v>
      </c>
      <c r="DA16" s="170" t="s">
        <v>256</v>
      </c>
    </row>
    <row r="17" spans="1:105" ht="12.95" customHeight="1" x14ac:dyDescent="0.25">
      <c r="A17" s="132" t="s">
        <v>73</v>
      </c>
      <c r="B17" s="141">
        <v>272.27529465374329</v>
      </c>
      <c r="C17" s="141">
        <v>307.61042033563535</v>
      </c>
      <c r="D17" s="141">
        <v>321.83644481603329</v>
      </c>
      <c r="E17" s="141">
        <v>447.43225987351599</v>
      </c>
      <c r="F17" s="141">
        <v>589.31353364905635</v>
      </c>
      <c r="G17" s="141">
        <v>715.74842096670784</v>
      </c>
      <c r="H17" s="141">
        <v>827.78532979201816</v>
      </c>
      <c r="I17" s="141">
        <v>1142.0715445563017</v>
      </c>
      <c r="J17" s="141">
        <v>1455.6274742042908</v>
      </c>
      <c r="K17" s="141">
        <v>1719.3275966804154</v>
      </c>
      <c r="L17" s="141">
        <v>2081.6960550155909</v>
      </c>
      <c r="M17" s="141">
        <v>2511.5952956689375</v>
      </c>
      <c r="N17" s="141">
        <v>2852.9360999955329</v>
      </c>
      <c r="O17" s="141">
        <v>3591.054825727485</v>
      </c>
      <c r="P17" s="141">
        <v>4094.2572275837383</v>
      </c>
      <c r="Q17" s="141">
        <v>4858.8150388860759</v>
      </c>
      <c r="R17" s="141">
        <v>5745.2532205588677</v>
      </c>
      <c r="S17" s="141">
        <v>6296.5967400370728</v>
      </c>
      <c r="T17" s="141">
        <v>7553.7362017621099</v>
      </c>
      <c r="U17" s="141">
        <v>8127.1128007292909</v>
      </c>
      <c r="V17" s="141">
        <v>8683.7162745561436</v>
      </c>
      <c r="W17" s="141">
        <v>8428.7231627257934</v>
      </c>
      <c r="DA17" s="171" t="s">
        <v>257</v>
      </c>
    </row>
    <row r="18" spans="1:105" ht="12" customHeight="1" x14ac:dyDescent="0.25">
      <c r="A18" s="132" t="s">
        <v>72</v>
      </c>
      <c r="B18" s="141">
        <v>315732.95739459316</v>
      </c>
      <c r="C18" s="141">
        <v>364015.34684420156</v>
      </c>
      <c r="D18" s="141">
        <v>426881.25536382687</v>
      </c>
      <c r="E18" s="141">
        <v>419378.07675123995</v>
      </c>
      <c r="F18" s="141">
        <v>559583.82310843316</v>
      </c>
      <c r="G18" s="141">
        <v>647577.43843565148</v>
      </c>
      <c r="H18" s="141">
        <v>753319.42723939603</v>
      </c>
      <c r="I18" s="141">
        <v>901352.99414147809</v>
      </c>
      <c r="J18" s="141">
        <v>1012765.8785474923</v>
      </c>
      <c r="K18" s="141">
        <v>1120810.7867701831</v>
      </c>
      <c r="L18" s="141">
        <v>1210389.3366747815</v>
      </c>
      <c r="M18" s="141">
        <v>1277031.9352734196</v>
      </c>
      <c r="N18" s="141">
        <v>1316775.4326440755</v>
      </c>
      <c r="O18" s="141">
        <v>1332595.7033741227</v>
      </c>
      <c r="P18" s="141">
        <v>1355392.8659258033</v>
      </c>
      <c r="Q18" s="141">
        <v>1370923.4046667467</v>
      </c>
      <c r="R18" s="141">
        <v>1379048.8704370938</v>
      </c>
      <c r="S18" s="141">
        <v>1387177.7088359385</v>
      </c>
      <c r="T18" s="141">
        <v>1398712.1245960102</v>
      </c>
      <c r="U18" s="141">
        <v>1422138.9972705522</v>
      </c>
      <c r="V18" s="141">
        <v>1382465.8546860937</v>
      </c>
      <c r="W18" s="141">
        <v>1456838.649797885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1739976.9009162704</v>
      </c>
      <c r="C19" s="140">
        <f t="shared" si="7"/>
        <v>1793865.7552569362</v>
      </c>
      <c r="D19" s="140">
        <f t="shared" si="7"/>
        <v>1848052.2022861037</v>
      </c>
      <c r="E19" s="140">
        <f t="shared" si="7"/>
        <v>1913692.4760071656</v>
      </c>
      <c r="F19" s="140">
        <f t="shared" si="7"/>
        <v>1980059.3169420427</v>
      </c>
      <c r="G19" s="140">
        <f t="shared" si="7"/>
        <v>2050618.0656610313</v>
      </c>
      <c r="H19" s="140">
        <f t="shared" si="7"/>
        <v>2124452.0888019507</v>
      </c>
      <c r="I19" s="140">
        <f t="shared" si="7"/>
        <v>2195028.8211917761</v>
      </c>
      <c r="J19" s="140">
        <f t="shared" si="7"/>
        <v>2254333.5500316042</v>
      </c>
      <c r="K19" s="140">
        <f t="shared" si="7"/>
        <v>2241646.3530410668</v>
      </c>
      <c r="L19" s="140">
        <f t="shared" si="7"/>
        <v>2276495.6092353854</v>
      </c>
      <c r="M19" s="140">
        <f t="shared" si="7"/>
        <v>2284808.8108906369</v>
      </c>
      <c r="N19" s="140">
        <f t="shared" si="7"/>
        <v>2307655.6882040752</v>
      </c>
      <c r="O19" s="140">
        <f t="shared" si="7"/>
        <v>2304440.7882462894</v>
      </c>
      <c r="P19" s="140">
        <f t="shared" si="7"/>
        <v>2317512.3594023269</v>
      </c>
      <c r="Q19" s="140">
        <f t="shared" si="7"/>
        <v>2341033.484568906</v>
      </c>
      <c r="R19" s="140">
        <f t="shared" ref="R19:W19" si="8">SUM(R20:R26)</f>
        <v>2366613.5289667426</v>
      </c>
      <c r="S19" s="140">
        <f t="shared" si="8"/>
        <v>2391612.0240411526</v>
      </c>
      <c r="T19" s="140">
        <f t="shared" si="8"/>
        <v>2416753.3320825538</v>
      </c>
      <c r="U19" s="140">
        <f t="shared" si="8"/>
        <v>2439111.393506018</v>
      </c>
      <c r="V19" s="140">
        <f t="shared" si="8"/>
        <v>2459337.435555554</v>
      </c>
      <c r="W19" s="140">
        <f t="shared" si="8"/>
        <v>2478663.3420919571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92927.995036419306</v>
      </c>
      <c r="C21" s="141">
        <v>89862.497146316673</v>
      </c>
      <c r="D21" s="141">
        <v>86596.099903882423</v>
      </c>
      <c r="E21" s="141">
        <v>83447.685128895828</v>
      </c>
      <c r="F21" s="141">
        <v>78590.601303339703</v>
      </c>
      <c r="G21" s="141">
        <v>76503.038068983456</v>
      </c>
      <c r="H21" s="141">
        <v>75539.812334086033</v>
      </c>
      <c r="I21" s="141">
        <v>75694.299322093546</v>
      </c>
      <c r="J21" s="141">
        <v>75521.310476454106</v>
      </c>
      <c r="K21" s="141">
        <v>75450.882902335041</v>
      </c>
      <c r="L21" s="141">
        <v>75918.732998207008</v>
      </c>
      <c r="M21" s="141">
        <v>76677.430052665222</v>
      </c>
      <c r="N21" s="141">
        <v>78090.102631156973</v>
      </c>
      <c r="O21" s="141">
        <v>79558.748212794118</v>
      </c>
      <c r="P21" s="141">
        <v>82333.172504469068</v>
      </c>
      <c r="Q21" s="141">
        <v>86594.831300648235</v>
      </c>
      <c r="R21" s="141">
        <v>90031.889771414542</v>
      </c>
      <c r="S21" s="141">
        <v>89869.783051167324</v>
      </c>
      <c r="T21" s="141">
        <v>83539.587493995525</v>
      </c>
      <c r="U21" s="141">
        <v>72710.593238249669</v>
      </c>
      <c r="V21" s="141">
        <v>58926.852423514494</v>
      </c>
      <c r="W21" s="141">
        <v>55079.912202479711</v>
      </c>
      <c r="DA21" s="171" t="s">
        <v>261</v>
      </c>
    </row>
    <row r="22" spans="1:105" ht="12" customHeight="1" x14ac:dyDescent="0.25">
      <c r="A22" s="132" t="s">
        <v>168</v>
      </c>
      <c r="B22" s="141">
        <v>493176.64433760231</v>
      </c>
      <c r="C22" s="141">
        <v>492688.71113843465</v>
      </c>
      <c r="D22" s="141">
        <v>491419.05033438362</v>
      </c>
      <c r="E22" s="141">
        <v>495241.04060147918</v>
      </c>
      <c r="F22" s="141">
        <v>486110.94196438964</v>
      </c>
      <c r="G22" s="141">
        <v>479339.70061851322</v>
      </c>
      <c r="H22" s="141">
        <v>463945.9593060718</v>
      </c>
      <c r="I22" s="141">
        <v>445378.40666407306</v>
      </c>
      <c r="J22" s="141">
        <v>428555.29170940944</v>
      </c>
      <c r="K22" s="141">
        <v>418609.63698294479</v>
      </c>
      <c r="L22" s="141">
        <v>419098.02536342479</v>
      </c>
      <c r="M22" s="141">
        <v>428513.04211608163</v>
      </c>
      <c r="N22" s="141">
        <v>448438.5364675051</v>
      </c>
      <c r="O22" s="141">
        <v>473928.18188204023</v>
      </c>
      <c r="P22" s="141">
        <v>514438.53728925798</v>
      </c>
      <c r="Q22" s="141">
        <v>570451.03772510146</v>
      </c>
      <c r="R22" s="141">
        <v>617236.22196253354</v>
      </c>
      <c r="S22" s="141">
        <v>643911.77450595959</v>
      </c>
      <c r="T22" s="141">
        <v>653263.66310160735</v>
      </c>
      <c r="U22" s="141">
        <v>668138.39081959485</v>
      </c>
      <c r="V22" s="141">
        <v>699292.19465545262</v>
      </c>
      <c r="W22" s="141">
        <v>713294.26033604261</v>
      </c>
      <c r="DA22" s="171" t="s">
        <v>262</v>
      </c>
    </row>
    <row r="23" spans="1:105" ht="12" customHeight="1" x14ac:dyDescent="0.25">
      <c r="A23" s="132" t="s">
        <v>153</v>
      </c>
      <c r="B23" s="141">
        <v>210242.38278803692</v>
      </c>
      <c r="C23" s="141">
        <v>187957.9870920105</v>
      </c>
      <c r="D23" s="141">
        <v>142709.83588895752</v>
      </c>
      <c r="E23" s="141">
        <v>108124.42322593868</v>
      </c>
      <c r="F23" s="141">
        <v>137162.57581657876</v>
      </c>
      <c r="G23" s="141">
        <v>201670.39606977985</v>
      </c>
      <c r="H23" s="141">
        <v>312059.32788985322</v>
      </c>
      <c r="I23" s="141">
        <v>375444.40176911483</v>
      </c>
      <c r="J23" s="141">
        <v>408568.56130918261</v>
      </c>
      <c r="K23" s="141">
        <v>419124.66074105178</v>
      </c>
      <c r="L23" s="141">
        <v>431630.01664469688</v>
      </c>
      <c r="M23" s="141">
        <v>454802.5302546192</v>
      </c>
      <c r="N23" s="141">
        <v>510056.82059244678</v>
      </c>
      <c r="O23" s="141">
        <v>566175.50596202107</v>
      </c>
      <c r="P23" s="141">
        <v>624596.80700013414</v>
      </c>
      <c r="Q23" s="141">
        <v>623760.47492111742</v>
      </c>
      <c r="R23" s="141">
        <v>633642.27749542985</v>
      </c>
      <c r="S23" s="141">
        <v>647038.49938764691</v>
      </c>
      <c r="T23" s="141">
        <v>674576.88263062749</v>
      </c>
      <c r="U23" s="141">
        <v>724185.70698402089</v>
      </c>
      <c r="V23" s="141">
        <v>786623.72933818726</v>
      </c>
      <c r="W23" s="141">
        <v>824416.522048224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943629.87875421171</v>
      </c>
      <c r="C26" s="142">
        <v>1023356.5598801745</v>
      </c>
      <c r="D26" s="142">
        <v>1127327.2161588804</v>
      </c>
      <c r="E26" s="142">
        <v>1226879.3270508519</v>
      </c>
      <c r="F26" s="142">
        <v>1278195.1978577345</v>
      </c>
      <c r="G26" s="142">
        <v>1293104.9309037549</v>
      </c>
      <c r="H26" s="142">
        <v>1272906.9892719397</v>
      </c>
      <c r="I26" s="142">
        <v>1298511.7134364946</v>
      </c>
      <c r="J26" s="142">
        <v>1341688.3865365582</v>
      </c>
      <c r="K26" s="142">
        <v>1328461.172414735</v>
      </c>
      <c r="L26" s="142">
        <v>1349848.834229057</v>
      </c>
      <c r="M26" s="142">
        <v>1324815.8084672708</v>
      </c>
      <c r="N26" s="142">
        <v>1271070.2285129665</v>
      </c>
      <c r="O26" s="142">
        <v>1184778.352189434</v>
      </c>
      <c r="P26" s="142">
        <v>1096143.8426084656</v>
      </c>
      <c r="Q26" s="142">
        <v>1060227.1406220391</v>
      </c>
      <c r="R26" s="142">
        <v>1025703.1397373644</v>
      </c>
      <c r="S26" s="142">
        <v>1010791.9670963786</v>
      </c>
      <c r="T26" s="142">
        <v>1005373.1988563234</v>
      </c>
      <c r="U26" s="142">
        <v>974076.70246415248</v>
      </c>
      <c r="V26" s="142">
        <v>914494.65913839987</v>
      </c>
      <c r="W26" s="142">
        <v>885872.6475052106</v>
      </c>
      <c r="DA26" s="172" t="s">
        <v>266</v>
      </c>
    </row>
    <row r="27" spans="1:105" ht="12" customHeight="1" x14ac:dyDescent="0.25">
      <c r="A27" s="145" t="s">
        <v>26</v>
      </c>
      <c r="B27" s="151">
        <v>25579.825494138389</v>
      </c>
      <c r="C27" s="151">
        <v>35580.099874634303</v>
      </c>
      <c r="D27" s="151">
        <v>35931.109818157798</v>
      </c>
      <c r="E27" s="151">
        <v>44258.511212607118</v>
      </c>
      <c r="F27" s="151">
        <v>51036.679373145154</v>
      </c>
      <c r="G27" s="151">
        <v>62076.961547637868</v>
      </c>
      <c r="H27" s="151">
        <v>72841.390062457693</v>
      </c>
      <c r="I27" s="151">
        <v>77967.1589639882</v>
      </c>
      <c r="J27" s="151">
        <v>90452.450449364842</v>
      </c>
      <c r="K27" s="151">
        <v>106210.06986167004</v>
      </c>
      <c r="L27" s="151">
        <v>116256.1548813892</v>
      </c>
      <c r="M27" s="151">
        <v>128642.90517293938</v>
      </c>
      <c r="N27" s="151">
        <v>136333.19211100563</v>
      </c>
      <c r="O27" s="151">
        <v>130794.38041901187</v>
      </c>
      <c r="P27" s="151">
        <v>150182.89143209081</v>
      </c>
      <c r="Q27" s="151">
        <v>155831.30942493756</v>
      </c>
      <c r="R27" s="151">
        <v>160906.22448636504</v>
      </c>
      <c r="S27" s="151">
        <v>173272.3027753577</v>
      </c>
      <c r="T27" s="151">
        <v>165948.78640367309</v>
      </c>
      <c r="U27" s="151">
        <v>172699.9008735047</v>
      </c>
      <c r="V27" s="151">
        <v>187196.23612121402</v>
      </c>
      <c r="W27" s="151">
        <v>164880.25289855109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1739976.9009162704</v>
      </c>
      <c r="C29" s="140">
        <f t="shared" si="9"/>
        <v>1793865.7552569362</v>
      </c>
      <c r="D29" s="140">
        <f t="shared" si="9"/>
        <v>1848052.2022861037</v>
      </c>
      <c r="E29" s="140">
        <f t="shared" si="9"/>
        <v>1913692.4760071654</v>
      </c>
      <c r="F29" s="140">
        <f t="shared" si="9"/>
        <v>1980059.3169420424</v>
      </c>
      <c r="G29" s="140">
        <f t="shared" si="9"/>
        <v>2050618.0656610313</v>
      </c>
      <c r="H29" s="140">
        <f t="shared" si="9"/>
        <v>2124452.0888019502</v>
      </c>
      <c r="I29" s="140">
        <f t="shared" si="9"/>
        <v>2195028.8211917751</v>
      </c>
      <c r="J29" s="140">
        <f t="shared" si="9"/>
        <v>2254333.5500316042</v>
      </c>
      <c r="K29" s="140">
        <f t="shared" si="9"/>
        <v>2241646.3530410663</v>
      </c>
      <c r="L29" s="140">
        <f t="shared" si="9"/>
        <v>2276495.6092353854</v>
      </c>
      <c r="M29" s="140">
        <f t="shared" si="9"/>
        <v>2284808.810890635</v>
      </c>
      <c r="N29" s="140">
        <f t="shared" si="9"/>
        <v>2307655.6882040761</v>
      </c>
      <c r="O29" s="140">
        <f t="shared" si="9"/>
        <v>2304440.7882462898</v>
      </c>
      <c r="P29" s="140">
        <f t="shared" si="9"/>
        <v>2317512.3594023269</v>
      </c>
      <c r="Q29" s="140">
        <f t="shared" si="9"/>
        <v>2341033.4845689069</v>
      </c>
      <c r="R29" s="140">
        <f t="shared" ref="R29:W29" si="10">SUM(R30:R33)</f>
        <v>2366613.5289667435</v>
      </c>
      <c r="S29" s="140">
        <f t="shared" si="10"/>
        <v>2391612.024041153</v>
      </c>
      <c r="T29" s="140">
        <f t="shared" si="10"/>
        <v>2416753.3320825528</v>
      </c>
      <c r="U29" s="140">
        <f t="shared" si="10"/>
        <v>2439111.3935060166</v>
      </c>
      <c r="V29" s="140">
        <f t="shared" si="10"/>
        <v>2459337.4355555559</v>
      </c>
      <c r="W29" s="140">
        <f t="shared" si="10"/>
        <v>2478663.3420919571</v>
      </c>
      <c r="DA29" s="170" t="s">
        <v>268</v>
      </c>
    </row>
    <row r="30" spans="1:105" ht="12" customHeight="1" x14ac:dyDescent="0.25">
      <c r="A30" s="132" t="s">
        <v>52</v>
      </c>
      <c r="B30" s="141">
        <v>275411.28695278289</v>
      </c>
      <c r="C30" s="141">
        <v>286491.84098628646</v>
      </c>
      <c r="D30" s="141">
        <v>295379.59224686323</v>
      </c>
      <c r="E30" s="141">
        <v>298257.58089930157</v>
      </c>
      <c r="F30" s="141">
        <v>289864.36638631305</v>
      </c>
      <c r="G30" s="141">
        <v>270910.83143615955</v>
      </c>
      <c r="H30" s="141">
        <v>249903.81193001877</v>
      </c>
      <c r="I30" s="141">
        <v>238534.98743595873</v>
      </c>
      <c r="J30" s="141">
        <v>230922.57619267734</v>
      </c>
      <c r="K30" s="141">
        <v>217913.97166579863</v>
      </c>
      <c r="L30" s="141">
        <v>205305.65338366621</v>
      </c>
      <c r="M30" s="141">
        <v>190762.2950603026</v>
      </c>
      <c r="N30" s="141">
        <v>175561.39481773111</v>
      </c>
      <c r="O30" s="141">
        <v>164672.77156832765</v>
      </c>
      <c r="P30" s="141">
        <v>163878.2657990107</v>
      </c>
      <c r="Q30" s="141">
        <v>192308.30305846836</v>
      </c>
      <c r="R30" s="141">
        <v>214456.63931588447</v>
      </c>
      <c r="S30" s="141">
        <v>223637.2016262676</v>
      </c>
      <c r="T30" s="141">
        <v>214057.70115209595</v>
      </c>
      <c r="U30" s="141">
        <v>184907.62165784693</v>
      </c>
      <c r="V30" s="141">
        <v>153032.59609746808</v>
      </c>
      <c r="W30" s="141">
        <v>140559.04839747146</v>
      </c>
      <c r="DA30" s="171" t="s">
        <v>269</v>
      </c>
    </row>
    <row r="31" spans="1:105" ht="12" customHeight="1" x14ac:dyDescent="0.25">
      <c r="A31" s="132" t="s">
        <v>153</v>
      </c>
      <c r="B31" s="141">
        <v>260573.4333563555</v>
      </c>
      <c r="C31" s="141">
        <v>274177.33532179717</v>
      </c>
      <c r="D31" s="141">
        <v>279426.07728241978</v>
      </c>
      <c r="E31" s="141">
        <v>304010.0914505187</v>
      </c>
      <c r="F31" s="141">
        <v>362885.4136824439</v>
      </c>
      <c r="G31" s="141">
        <v>412591.40722839086</v>
      </c>
      <c r="H31" s="141">
        <v>454007.4593368026</v>
      </c>
      <c r="I31" s="141">
        <v>474666.31033552525</v>
      </c>
      <c r="J31" s="141">
        <v>491254.43690783705</v>
      </c>
      <c r="K31" s="141">
        <v>505804.90428509936</v>
      </c>
      <c r="L31" s="141">
        <v>529741.79080866743</v>
      </c>
      <c r="M31" s="141">
        <v>568977.69091375673</v>
      </c>
      <c r="N31" s="141">
        <v>681674.41190780152</v>
      </c>
      <c r="O31" s="141">
        <v>866068.10704857076</v>
      </c>
      <c r="P31" s="141">
        <v>1143041.5793943913</v>
      </c>
      <c r="Q31" s="141">
        <v>1303141.7365507954</v>
      </c>
      <c r="R31" s="141">
        <v>1352018.2106151478</v>
      </c>
      <c r="S31" s="141">
        <v>1368140.1222671305</v>
      </c>
      <c r="T31" s="141">
        <v>1317405.8214479322</v>
      </c>
      <c r="U31" s="141">
        <v>1317671.6870821838</v>
      </c>
      <c r="V31" s="141">
        <v>1373959.3131060635</v>
      </c>
      <c r="W31" s="141">
        <v>1380949.853663878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1203992.1806071319</v>
      </c>
      <c r="C33" s="153">
        <v>1233196.5789488526</v>
      </c>
      <c r="D33" s="153">
        <v>1273246.5327568208</v>
      </c>
      <c r="E33" s="153">
        <v>1311424.8036573452</v>
      </c>
      <c r="F33" s="153">
        <v>1327309.5368732854</v>
      </c>
      <c r="G33" s="153">
        <v>1367115.8269964808</v>
      </c>
      <c r="H33" s="153">
        <v>1420540.8175351291</v>
      </c>
      <c r="I33" s="153">
        <v>1481827.5234202913</v>
      </c>
      <c r="J33" s="153">
        <v>1532156.5369310901</v>
      </c>
      <c r="K33" s="153">
        <v>1517927.4770901683</v>
      </c>
      <c r="L33" s="153">
        <v>1541448.1650430516</v>
      </c>
      <c r="M33" s="153">
        <v>1525068.8249165758</v>
      </c>
      <c r="N33" s="153">
        <v>1450419.8814785434</v>
      </c>
      <c r="O33" s="153">
        <v>1273699.9096293913</v>
      </c>
      <c r="P33" s="153">
        <v>1010592.5142089251</v>
      </c>
      <c r="Q33" s="153">
        <v>845583.44495964318</v>
      </c>
      <c r="R33" s="153">
        <v>800138.67903571134</v>
      </c>
      <c r="S33" s="153">
        <v>799834.70014775498</v>
      </c>
      <c r="T33" s="153">
        <v>885289.80948252452</v>
      </c>
      <c r="U33" s="153">
        <v>936532.08476598596</v>
      </c>
      <c r="V33" s="153">
        <v>932345.52635202406</v>
      </c>
      <c r="W33" s="153">
        <v>957154.44003060786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4011.3545100489378</v>
      </c>
      <c r="C3" s="126">
        <f t="shared" si="0"/>
        <v>4155.9860102640687</v>
      </c>
      <c r="D3" s="126">
        <f t="shared" si="0"/>
        <v>4150.7402595861186</v>
      </c>
      <c r="E3" s="126">
        <f t="shared" si="0"/>
        <v>4022.7235370992853</v>
      </c>
      <c r="F3" s="126">
        <f t="shared" si="0"/>
        <v>4436.3756449103375</v>
      </c>
      <c r="G3" s="126">
        <f t="shared" si="0"/>
        <v>4882.9296859679653</v>
      </c>
      <c r="H3" s="126">
        <f t="shared" si="0"/>
        <v>6647.1037203874812</v>
      </c>
      <c r="I3" s="126">
        <f t="shared" si="0"/>
        <v>5492.9398250714285</v>
      </c>
      <c r="J3" s="126">
        <f t="shared" si="0"/>
        <v>5658.1146832946033</v>
      </c>
      <c r="K3" s="126">
        <f t="shared" si="0"/>
        <v>6004.5526130724702</v>
      </c>
      <c r="L3" s="126">
        <f t="shared" si="0"/>
        <v>6630.286147559802</v>
      </c>
      <c r="M3" s="126">
        <f t="shared" si="0"/>
        <v>6581.7510784179403</v>
      </c>
      <c r="N3" s="126">
        <f t="shared" si="0"/>
        <v>6130.8040493973531</v>
      </c>
      <c r="O3" s="126">
        <f t="shared" si="0"/>
        <v>5722.3438358959393</v>
      </c>
      <c r="P3" s="126">
        <f t="shared" si="0"/>
        <v>4811.2025732412585</v>
      </c>
      <c r="Q3" s="126">
        <f t="shared" si="0"/>
        <v>4986.1761667278024</v>
      </c>
      <c r="R3" s="126">
        <f t="shared" ref="R3:W3" si="1">SUM(R4,R16,R19,R29)</f>
        <v>5070.4869295108201</v>
      </c>
      <c r="S3" s="126">
        <f t="shared" si="1"/>
        <v>5359.1359326475231</v>
      </c>
      <c r="T3" s="126">
        <f t="shared" si="1"/>
        <v>5431.6479211811475</v>
      </c>
      <c r="U3" s="126">
        <f t="shared" si="1"/>
        <v>5463.0026506996255</v>
      </c>
      <c r="V3" s="126">
        <f t="shared" si="1"/>
        <v>5002.129856495927</v>
      </c>
      <c r="W3" s="126">
        <f t="shared" si="1"/>
        <v>5480.9807286483501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1900.5908428661785</v>
      </c>
      <c r="C4" s="131">
        <f t="shared" si="2"/>
        <v>1892.2179484840706</v>
      </c>
      <c r="D4" s="131">
        <f t="shared" si="2"/>
        <v>1839.4397304562342</v>
      </c>
      <c r="E4" s="131">
        <f t="shared" si="2"/>
        <v>1568.738195865152</v>
      </c>
      <c r="F4" s="131">
        <f t="shared" si="2"/>
        <v>1806.487347838181</v>
      </c>
      <c r="G4" s="131">
        <f t="shared" si="2"/>
        <v>2117.9591470539008</v>
      </c>
      <c r="H4" s="131">
        <f t="shared" si="2"/>
        <v>3599.5386015455388</v>
      </c>
      <c r="I4" s="131">
        <f t="shared" si="2"/>
        <v>2452.8987054666695</v>
      </c>
      <c r="J4" s="131">
        <f t="shared" si="2"/>
        <v>2455.0262825082336</v>
      </c>
      <c r="K4" s="131">
        <f t="shared" si="2"/>
        <v>2599.2058922644001</v>
      </c>
      <c r="L4" s="131">
        <f t="shared" si="2"/>
        <v>3154.6031343522586</v>
      </c>
      <c r="M4" s="131">
        <f t="shared" si="2"/>
        <v>3134.9541272044739</v>
      </c>
      <c r="N4" s="131">
        <f t="shared" si="2"/>
        <v>2559.9774011123473</v>
      </c>
      <c r="O4" s="131">
        <f t="shared" si="2"/>
        <v>2280.0095581510063</v>
      </c>
      <c r="P4" s="131">
        <f t="shared" si="2"/>
        <v>1369.8772702727215</v>
      </c>
      <c r="Q4" s="131">
        <f t="shared" si="2"/>
        <v>1291.9551645696197</v>
      </c>
      <c r="R4" s="131">
        <f t="shared" ref="R4:W4" si="3">SUM(R5:R15)</f>
        <v>1445.9150728785887</v>
      </c>
      <c r="S4" s="131">
        <f t="shared" si="3"/>
        <v>1600.225153058565</v>
      </c>
      <c r="T4" s="131">
        <f t="shared" si="3"/>
        <v>1894.1950259518703</v>
      </c>
      <c r="U4" s="131">
        <f t="shared" si="3"/>
        <v>1890.854274313426</v>
      </c>
      <c r="V4" s="131">
        <f t="shared" si="3"/>
        <v>1729.7213203289843</v>
      </c>
      <c r="W4" s="131">
        <f t="shared" si="3"/>
        <v>2028.5852462338075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1187.8923516825848</v>
      </c>
      <c r="C7" s="133">
        <v>1311.1675027382582</v>
      </c>
      <c r="D7" s="133">
        <v>1268.9223785100412</v>
      </c>
      <c r="E7" s="133">
        <v>1422.0853960812497</v>
      </c>
      <c r="F7" s="133">
        <v>1576.1057128485027</v>
      </c>
      <c r="G7" s="133">
        <v>1599.6556761105508</v>
      </c>
      <c r="H7" s="133">
        <v>1119.0231966566403</v>
      </c>
      <c r="I7" s="133">
        <v>1027.6070770472352</v>
      </c>
      <c r="J7" s="133">
        <v>968.02606176948768</v>
      </c>
      <c r="K7" s="133">
        <v>958.61642747815404</v>
      </c>
      <c r="L7" s="133">
        <v>949.90957743661693</v>
      </c>
      <c r="M7" s="133">
        <v>890.53411420583416</v>
      </c>
      <c r="N7" s="133">
        <v>951.53313873532488</v>
      </c>
      <c r="O7" s="133">
        <v>1045.6037430549732</v>
      </c>
      <c r="P7" s="133">
        <v>793.12272265225522</v>
      </c>
      <c r="Q7" s="133">
        <v>553.99858393860586</v>
      </c>
      <c r="R7" s="133">
        <v>701.2829618733233</v>
      </c>
      <c r="S7" s="133">
        <v>765.84318680374872</v>
      </c>
      <c r="T7" s="133">
        <v>796.6215931880887</v>
      </c>
      <c r="U7" s="133">
        <v>738.89472451767472</v>
      </c>
      <c r="V7" s="133">
        <v>692.74128973766949</v>
      </c>
      <c r="W7" s="133">
        <v>776.45506006721689</v>
      </c>
      <c r="DA7" s="157" t="s">
        <v>276</v>
      </c>
    </row>
    <row r="8" spans="1:105" ht="12" customHeight="1" x14ac:dyDescent="0.25">
      <c r="A8" s="132" t="s">
        <v>73</v>
      </c>
      <c r="B8" s="133">
        <v>1.4622773806738376E-2</v>
      </c>
      <c r="C8" s="133">
        <v>2.0704583233485542E-2</v>
      </c>
      <c r="D8" s="133">
        <v>2.7201368163372996E-2</v>
      </c>
      <c r="E8" s="133">
        <v>2.8131178246626989E-2</v>
      </c>
      <c r="F8" s="133">
        <v>4.4756546822820382E-2</v>
      </c>
      <c r="G8" s="133">
        <v>0.10611923147684295</v>
      </c>
      <c r="H8" s="133">
        <v>0.22461331208472718</v>
      </c>
      <c r="I8" s="133">
        <v>0.25704111748822633</v>
      </c>
      <c r="J8" s="133">
        <v>0.27901985146856262</v>
      </c>
      <c r="K8" s="133">
        <v>0.29706169387456394</v>
      </c>
      <c r="L8" s="133">
        <v>0.35033611794902497</v>
      </c>
      <c r="M8" s="133">
        <v>0.62082753237127219</v>
      </c>
      <c r="N8" s="133">
        <v>1.0577896183272011</v>
      </c>
      <c r="O8" s="133">
        <v>1.9234066069833349</v>
      </c>
      <c r="P8" s="133">
        <v>3.4243140917463308</v>
      </c>
      <c r="Q8" s="133">
        <v>4.4616587960180976</v>
      </c>
      <c r="R8" s="133">
        <v>5.9891138945270121</v>
      </c>
      <c r="S8" s="133">
        <v>7.4269169808962898</v>
      </c>
      <c r="T8" s="133">
        <v>9.1602229039759688</v>
      </c>
      <c r="U8" s="133">
        <v>10.935884998851408</v>
      </c>
      <c r="V8" s="133">
        <v>12.497194036764688</v>
      </c>
      <c r="W8" s="133">
        <v>14.206406704582582</v>
      </c>
      <c r="DA8" s="157" t="s">
        <v>277</v>
      </c>
    </row>
    <row r="9" spans="1:105" ht="12" customHeight="1" x14ac:dyDescent="0.25">
      <c r="A9" s="132" t="s">
        <v>78</v>
      </c>
      <c r="B9" s="133">
        <v>304.63530454515035</v>
      </c>
      <c r="C9" s="133">
        <v>345.10640669817019</v>
      </c>
      <c r="D9" s="133">
        <v>417.63372916353956</v>
      </c>
      <c r="E9" s="133">
        <v>30.466436128562012</v>
      </c>
      <c r="F9" s="133">
        <v>42.131982051352679</v>
      </c>
      <c r="G9" s="133">
        <v>358.8357847958722</v>
      </c>
      <c r="H9" s="133">
        <v>1819.4550598789388</v>
      </c>
      <c r="I9" s="133">
        <v>920.27978682848834</v>
      </c>
      <c r="J9" s="133">
        <v>735.20080038471201</v>
      </c>
      <c r="K9" s="133">
        <v>1023.472942947402</v>
      </c>
      <c r="L9" s="133">
        <v>1458.8383863699582</v>
      </c>
      <c r="M9" s="133">
        <v>1659.5253182333049</v>
      </c>
      <c r="N9" s="133">
        <v>1215.3894685532757</v>
      </c>
      <c r="O9" s="133">
        <v>975.21512750874638</v>
      </c>
      <c r="P9" s="133">
        <v>396.05381916977115</v>
      </c>
      <c r="Q9" s="133">
        <v>535.98518109084387</v>
      </c>
      <c r="R9" s="133">
        <v>495.76666816204505</v>
      </c>
      <c r="S9" s="133">
        <v>509.87250818398769</v>
      </c>
      <c r="T9" s="133">
        <v>724.86512786617322</v>
      </c>
      <c r="U9" s="133">
        <v>738.56051129744606</v>
      </c>
      <c r="V9" s="133">
        <v>620.23135629459478</v>
      </c>
      <c r="W9" s="133">
        <v>771.98520610553953</v>
      </c>
      <c r="DA9" s="157" t="s">
        <v>278</v>
      </c>
    </row>
    <row r="10" spans="1:105" ht="12" customHeight="1" x14ac:dyDescent="0.25">
      <c r="A10" s="132" t="s">
        <v>128</v>
      </c>
      <c r="B10" s="133">
        <v>42.633963886500425</v>
      </c>
      <c r="C10" s="133">
        <v>43.350558899398095</v>
      </c>
      <c r="D10" s="133">
        <v>43.350558899398095</v>
      </c>
      <c r="E10" s="133">
        <v>43.350558899398109</v>
      </c>
      <c r="F10" s="133">
        <v>43.565520206362841</v>
      </c>
      <c r="G10" s="133">
        <v>44.138693035253645</v>
      </c>
      <c r="H10" s="133">
        <v>68.07110920034394</v>
      </c>
      <c r="I10" s="133">
        <v>69.575838349097168</v>
      </c>
      <c r="J10" s="133">
        <v>79.702837489251934</v>
      </c>
      <c r="K10" s="133">
        <v>58.01564918314704</v>
      </c>
      <c r="L10" s="133">
        <v>60.022012037833157</v>
      </c>
      <c r="M10" s="133">
        <v>64.201805674978516</v>
      </c>
      <c r="N10" s="133">
        <v>68.739810834049848</v>
      </c>
      <c r="O10" s="133">
        <v>72.537489251934687</v>
      </c>
      <c r="P10" s="133">
        <v>74.113843508168586</v>
      </c>
      <c r="Q10" s="133">
        <v>84.957523645743635</v>
      </c>
      <c r="R10" s="133">
        <v>107.81513327601041</v>
      </c>
      <c r="S10" s="133">
        <v>116.41341358555455</v>
      </c>
      <c r="T10" s="133">
        <v>115.0282029234738</v>
      </c>
      <c r="U10" s="133">
        <v>119.27962166809972</v>
      </c>
      <c r="V10" s="133">
        <v>121.357007738607</v>
      </c>
      <c r="W10" s="133">
        <v>131.88538263112619</v>
      </c>
      <c r="DA10" s="157" t="s">
        <v>279</v>
      </c>
    </row>
    <row r="11" spans="1:105" ht="12" customHeight="1" x14ac:dyDescent="0.25">
      <c r="A11" s="132" t="s">
        <v>25</v>
      </c>
      <c r="B11" s="133">
        <v>1.095098882201204</v>
      </c>
      <c r="C11" s="133">
        <v>1.095098882201204</v>
      </c>
      <c r="D11" s="133">
        <v>0.14032674118658639</v>
      </c>
      <c r="E11" s="133">
        <v>0.1003439380911436</v>
      </c>
      <c r="F11" s="133">
        <v>0.1003439380911436</v>
      </c>
      <c r="G11" s="133">
        <v>0.1003439380911436</v>
      </c>
      <c r="H11" s="133">
        <v>0.1003439380911436</v>
      </c>
      <c r="I11" s="133">
        <v>0.1003439380911436</v>
      </c>
      <c r="J11" s="133">
        <v>0.1003439380911436</v>
      </c>
      <c r="K11" s="133">
        <v>0.1003439380911436</v>
      </c>
      <c r="L11" s="133">
        <v>0.1003439380911436</v>
      </c>
      <c r="M11" s="133">
        <v>0.1003439380911436</v>
      </c>
      <c r="N11" s="133">
        <v>0.10034393809114357</v>
      </c>
      <c r="O11" s="133">
        <v>0.1003439380911436</v>
      </c>
      <c r="P11" s="133">
        <v>0.10034393809114359</v>
      </c>
      <c r="Q11" s="133">
        <v>0.10034393809114354</v>
      </c>
      <c r="R11" s="133">
        <v>0.10034393809114363</v>
      </c>
      <c r="S11" s="133">
        <v>0.10034393809114359</v>
      </c>
      <c r="T11" s="133">
        <v>0.10034393809114374</v>
      </c>
      <c r="U11" s="133">
        <v>0.10034393809114367</v>
      </c>
      <c r="V11" s="133">
        <v>0.10034393809114363</v>
      </c>
      <c r="W11" s="133">
        <v>0.10034393809114361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2.4681752565244004</v>
      </c>
      <c r="C13" s="133">
        <v>3.2578147447918382</v>
      </c>
      <c r="D13" s="133">
        <v>3.4124989910223329</v>
      </c>
      <c r="E13" s="133">
        <v>4.5887807867123387</v>
      </c>
      <c r="F13" s="133">
        <v>4.9294683064889346</v>
      </c>
      <c r="G13" s="133">
        <v>7.8466068151423274</v>
      </c>
      <c r="H13" s="133">
        <v>10.272823153526508</v>
      </c>
      <c r="I13" s="133">
        <v>16.304338953961309</v>
      </c>
      <c r="J13" s="133">
        <v>24.609596047358146</v>
      </c>
      <c r="K13" s="133">
        <v>28.674570927043838</v>
      </c>
      <c r="L13" s="133">
        <v>31.804652207497554</v>
      </c>
      <c r="M13" s="133">
        <v>35.203735032689423</v>
      </c>
      <c r="N13" s="133">
        <v>45.54016693304682</v>
      </c>
      <c r="O13" s="133">
        <v>52.741549126969197</v>
      </c>
      <c r="P13" s="133">
        <v>59.942970293782466</v>
      </c>
      <c r="Q13" s="133">
        <v>83.790503889867352</v>
      </c>
      <c r="R13" s="133">
        <v>108.15136155945972</v>
      </c>
      <c r="S13" s="133">
        <v>135.957131350091</v>
      </c>
      <c r="T13" s="133">
        <v>165.03035384447705</v>
      </c>
      <c r="U13" s="133">
        <v>194.70672199199055</v>
      </c>
      <c r="V13" s="133">
        <v>220.68631413266809</v>
      </c>
      <c r="W13" s="133">
        <v>246.74386900590051</v>
      </c>
      <c r="DA13" s="157" t="s">
        <v>282</v>
      </c>
    </row>
    <row r="14" spans="1:105" ht="12" customHeight="1" x14ac:dyDescent="0.25">
      <c r="A14" s="60" t="s">
        <v>76</v>
      </c>
      <c r="B14" s="65">
        <v>349.06424684428669</v>
      </c>
      <c r="C14" s="65">
        <v>173.99949828184768</v>
      </c>
      <c r="D14" s="65">
        <v>91.42583427125669</v>
      </c>
      <c r="E14" s="65">
        <v>55.793762054910893</v>
      </c>
      <c r="F14" s="65">
        <v>126.03860634454489</v>
      </c>
      <c r="G14" s="65">
        <v>90.631958161070372</v>
      </c>
      <c r="H14" s="65">
        <v>555.41990403950535</v>
      </c>
      <c r="I14" s="65">
        <v>401.45531576704019</v>
      </c>
      <c r="J14" s="65">
        <v>632.14497783753825</v>
      </c>
      <c r="K14" s="65">
        <v>512.56701126876658</v>
      </c>
      <c r="L14" s="65">
        <v>631.92846183668451</v>
      </c>
      <c r="M14" s="65">
        <v>461.3826626470721</v>
      </c>
      <c r="N14" s="65">
        <v>257.67425562446141</v>
      </c>
      <c r="O14" s="65">
        <v>113.13153143079604</v>
      </c>
      <c r="P14" s="65">
        <v>32.11092202263854</v>
      </c>
      <c r="Q14" s="65">
        <v>18.391679143418493</v>
      </c>
      <c r="R14" s="65">
        <v>15.507521465196454</v>
      </c>
      <c r="S14" s="65">
        <v>52.379045970787459</v>
      </c>
      <c r="T14" s="65">
        <v>68.578372846832721</v>
      </c>
      <c r="U14" s="65">
        <v>73.679939342169789</v>
      </c>
      <c r="V14" s="65">
        <v>48.800568119400317</v>
      </c>
      <c r="W14" s="65">
        <v>71.274389824300314</v>
      </c>
      <c r="DA14" s="109" t="s">
        <v>283</v>
      </c>
    </row>
    <row r="15" spans="1:105" ht="12" customHeight="1" x14ac:dyDescent="0.25">
      <c r="A15" s="134" t="s">
        <v>80</v>
      </c>
      <c r="B15" s="135">
        <v>12.787078995124137</v>
      </c>
      <c r="C15" s="135">
        <v>14.22036365616996</v>
      </c>
      <c r="D15" s="135">
        <v>14.527202511626466</v>
      </c>
      <c r="E15" s="135">
        <v>12.324786797981277</v>
      </c>
      <c r="F15" s="135">
        <v>13.570957596015253</v>
      </c>
      <c r="G15" s="135">
        <v>16.643964966443026</v>
      </c>
      <c r="H15" s="135">
        <v>26.971551366407748</v>
      </c>
      <c r="I15" s="135">
        <v>17.318963465268176</v>
      </c>
      <c r="J15" s="135">
        <v>14.962645190325901</v>
      </c>
      <c r="K15" s="135">
        <v>17.461884827920969</v>
      </c>
      <c r="L15" s="135">
        <v>21.649364407628262</v>
      </c>
      <c r="M15" s="135">
        <v>23.385319940132245</v>
      </c>
      <c r="N15" s="135">
        <v>19.94242687577033</v>
      </c>
      <c r="O15" s="135">
        <v>18.756367232511806</v>
      </c>
      <c r="P15" s="135">
        <v>11.0083345962679</v>
      </c>
      <c r="Q15" s="135">
        <v>10.269690127031295</v>
      </c>
      <c r="R15" s="135">
        <v>11.301968709935537</v>
      </c>
      <c r="S15" s="135">
        <v>12.232606245408094</v>
      </c>
      <c r="T15" s="135">
        <v>14.810808440757684</v>
      </c>
      <c r="U15" s="135">
        <v>14.696526559102741</v>
      </c>
      <c r="V15" s="135">
        <v>13.307246331188814</v>
      </c>
      <c r="W15" s="135">
        <v>15.934587957050582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246.71300202075255</v>
      </c>
      <c r="C16" s="131">
        <f t="shared" si="4"/>
        <v>285.26217165239262</v>
      </c>
      <c r="D16" s="131">
        <f t="shared" si="4"/>
        <v>281.57731931742239</v>
      </c>
      <c r="E16" s="131">
        <f t="shared" si="4"/>
        <v>413.1483194119603</v>
      </c>
      <c r="F16" s="131">
        <f t="shared" si="4"/>
        <v>389.18089347500722</v>
      </c>
      <c r="G16" s="131">
        <f t="shared" si="4"/>
        <v>450.8600742380699</v>
      </c>
      <c r="H16" s="131">
        <f t="shared" si="4"/>
        <v>563.44997556095404</v>
      </c>
      <c r="I16" s="131">
        <f t="shared" si="4"/>
        <v>483.27341098421567</v>
      </c>
      <c r="J16" s="131">
        <f t="shared" si="4"/>
        <v>552.43429040656804</v>
      </c>
      <c r="K16" s="131">
        <f t="shared" si="4"/>
        <v>772.66258043651987</v>
      </c>
      <c r="L16" s="131">
        <f t="shared" si="4"/>
        <v>774.44483818001424</v>
      </c>
      <c r="M16" s="131">
        <f t="shared" si="4"/>
        <v>719.18210017664489</v>
      </c>
      <c r="N16" s="131">
        <f t="shared" si="4"/>
        <v>875.6615234031583</v>
      </c>
      <c r="O16" s="131">
        <f t="shared" si="4"/>
        <v>707.28882387036458</v>
      </c>
      <c r="P16" s="131">
        <f t="shared" si="4"/>
        <v>648.74490538488885</v>
      </c>
      <c r="Q16" s="131">
        <f t="shared" si="4"/>
        <v>938.17524675982895</v>
      </c>
      <c r="R16" s="131">
        <f t="shared" ref="R16:W16" si="5">SUM(R17:R18)</f>
        <v>900.04702374939404</v>
      </c>
      <c r="S16" s="131">
        <f t="shared" si="5"/>
        <v>1025.2396149991864</v>
      </c>
      <c r="T16" s="131">
        <f t="shared" si="5"/>
        <v>721.9445381253862</v>
      </c>
      <c r="U16" s="131">
        <f t="shared" si="5"/>
        <v>746.54228860755245</v>
      </c>
      <c r="V16" s="131">
        <f t="shared" si="5"/>
        <v>824.36076677593201</v>
      </c>
      <c r="W16" s="131">
        <f t="shared" si="5"/>
        <v>708.82255519659964</v>
      </c>
      <c r="DA16" s="156" t="s">
        <v>214</v>
      </c>
    </row>
    <row r="17" spans="1:105" ht="12.95" customHeight="1" x14ac:dyDescent="0.25">
      <c r="A17" s="132" t="s">
        <v>73</v>
      </c>
      <c r="B17" s="133">
        <v>0.29705303238657832</v>
      </c>
      <c r="C17" s="133">
        <v>0.35359459692181622</v>
      </c>
      <c r="D17" s="133">
        <v>0.32784860369642083</v>
      </c>
      <c r="E17" s="133">
        <v>0.69243254814282673</v>
      </c>
      <c r="F17" s="133">
        <v>0.68889390719099164</v>
      </c>
      <c r="G17" s="133">
        <v>0.87355233976873259</v>
      </c>
      <c r="H17" s="133">
        <v>1.1314008446660933</v>
      </c>
      <c r="I17" s="133">
        <v>1.1667085613970298</v>
      </c>
      <c r="J17" s="133">
        <v>1.5679938196979366</v>
      </c>
      <c r="K17" s="133">
        <v>2.3808241975292237</v>
      </c>
      <c r="L17" s="133">
        <v>2.7262830899241282</v>
      </c>
      <c r="M17" s="133">
        <v>2.9611443303222753</v>
      </c>
      <c r="N17" s="133">
        <v>4.0549181586177347</v>
      </c>
      <c r="O17" s="133">
        <v>4.136430854782712</v>
      </c>
      <c r="P17" s="133">
        <v>4.3635556144845973</v>
      </c>
      <c r="Q17" s="133">
        <v>7.5428915408111914</v>
      </c>
      <c r="R17" s="133">
        <v>8.6570688874592729</v>
      </c>
      <c r="S17" s="133">
        <v>10.965914234144945</v>
      </c>
      <c r="T17" s="133">
        <v>9.2643282917255849</v>
      </c>
      <c r="U17" s="133">
        <v>10.265023050295929</v>
      </c>
      <c r="V17" s="133">
        <v>11.085860858423036</v>
      </c>
      <c r="W17" s="133">
        <v>10.066529128111737</v>
      </c>
      <c r="DA17" s="157" t="s">
        <v>285</v>
      </c>
    </row>
    <row r="18" spans="1:105" ht="12" customHeight="1" x14ac:dyDescent="0.25">
      <c r="A18" s="132" t="s">
        <v>72</v>
      </c>
      <c r="B18" s="133">
        <v>246.41594898836598</v>
      </c>
      <c r="C18" s="133">
        <v>284.9085770554708</v>
      </c>
      <c r="D18" s="133">
        <v>281.249470713726</v>
      </c>
      <c r="E18" s="133">
        <v>412.45588686381745</v>
      </c>
      <c r="F18" s="133">
        <v>388.49199956781621</v>
      </c>
      <c r="G18" s="133">
        <v>449.98652189830119</v>
      </c>
      <c r="H18" s="133">
        <v>562.31857471628791</v>
      </c>
      <c r="I18" s="133">
        <v>482.10670242281867</v>
      </c>
      <c r="J18" s="133">
        <v>550.86629658687013</v>
      </c>
      <c r="K18" s="133">
        <v>770.28175623899062</v>
      </c>
      <c r="L18" s="133">
        <v>771.71855509009015</v>
      </c>
      <c r="M18" s="133">
        <v>716.22095584632257</v>
      </c>
      <c r="N18" s="133">
        <v>871.60660524454056</v>
      </c>
      <c r="O18" s="133">
        <v>703.15239301558188</v>
      </c>
      <c r="P18" s="133">
        <v>644.3813497704042</v>
      </c>
      <c r="Q18" s="133">
        <v>930.63235521901777</v>
      </c>
      <c r="R18" s="133">
        <v>891.38995486193483</v>
      </c>
      <c r="S18" s="133">
        <v>1014.2737007650414</v>
      </c>
      <c r="T18" s="133">
        <v>712.68020983366057</v>
      </c>
      <c r="U18" s="133">
        <v>736.27726555725656</v>
      </c>
      <c r="V18" s="133">
        <v>813.27490591750893</v>
      </c>
      <c r="W18" s="133">
        <v>698.75602606848793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906.37325498883376</v>
      </c>
      <c r="C19" s="131">
        <f t="shared" si="6"/>
        <v>960.60516495893671</v>
      </c>
      <c r="D19" s="131">
        <f t="shared" si="6"/>
        <v>1023.5838745591806</v>
      </c>
      <c r="E19" s="131">
        <f t="shared" si="6"/>
        <v>1039.7084300298761</v>
      </c>
      <c r="F19" s="131">
        <f t="shared" si="6"/>
        <v>1128.5470803230537</v>
      </c>
      <c r="G19" s="131">
        <f t="shared" si="6"/>
        <v>1160.7366514099583</v>
      </c>
      <c r="H19" s="131">
        <f t="shared" si="6"/>
        <v>1229.1994638362278</v>
      </c>
      <c r="I19" s="131">
        <f t="shared" si="6"/>
        <v>1244.4721173783287</v>
      </c>
      <c r="J19" s="131">
        <f t="shared" si="6"/>
        <v>1275.8817768224626</v>
      </c>
      <c r="K19" s="131">
        <f t="shared" si="6"/>
        <v>1268.0492203870749</v>
      </c>
      <c r="L19" s="131">
        <f t="shared" si="6"/>
        <v>1288.1380184834034</v>
      </c>
      <c r="M19" s="131">
        <f t="shared" si="6"/>
        <v>1294.7394475087926</v>
      </c>
      <c r="N19" s="131">
        <f t="shared" si="6"/>
        <v>1270.616711402673</v>
      </c>
      <c r="O19" s="131">
        <f t="shared" si="6"/>
        <v>1293.3165346109249</v>
      </c>
      <c r="P19" s="131">
        <f t="shared" si="6"/>
        <v>1267.4840081640098</v>
      </c>
      <c r="Q19" s="131">
        <f t="shared" si="6"/>
        <v>1203.3134800060691</v>
      </c>
      <c r="R19" s="131">
        <f t="shared" ref="R19:W19" si="7">SUM(R20:R27)</f>
        <v>1173.4934124008475</v>
      </c>
      <c r="S19" s="131">
        <f t="shared" si="7"/>
        <v>1131.1735217494659</v>
      </c>
      <c r="T19" s="131">
        <f t="shared" si="7"/>
        <v>1193.4739432683036</v>
      </c>
      <c r="U19" s="131">
        <f t="shared" si="7"/>
        <v>1164.3809842028404</v>
      </c>
      <c r="V19" s="131">
        <f t="shared" si="7"/>
        <v>1033.17318619869</v>
      </c>
      <c r="W19" s="131">
        <f t="shared" si="7"/>
        <v>1114.9825082067562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52.775256855397842</v>
      </c>
      <c r="C21" s="133">
        <v>51.66663535302893</v>
      </c>
      <c r="D21" s="133">
        <v>52.063171201630233</v>
      </c>
      <c r="E21" s="133">
        <v>52.296669074084463</v>
      </c>
      <c r="F21" s="133">
        <v>47.757792639916673</v>
      </c>
      <c r="G21" s="133">
        <v>47.544682254381698</v>
      </c>
      <c r="H21" s="133">
        <v>48.342666238853909</v>
      </c>
      <c r="I21" s="133">
        <v>48.097337633614444</v>
      </c>
      <c r="J21" s="133">
        <v>47.702843989763025</v>
      </c>
      <c r="K21" s="133">
        <v>47.476745631720732</v>
      </c>
      <c r="L21" s="133">
        <v>47.926879169340182</v>
      </c>
      <c r="M21" s="133">
        <v>48.010827263485609</v>
      </c>
      <c r="N21" s="133">
        <v>48.11012903046776</v>
      </c>
      <c r="O21" s="133">
        <v>48.345129842630321</v>
      </c>
      <c r="P21" s="133">
        <v>47.779209191344783</v>
      </c>
      <c r="Q21" s="133">
        <v>48.433154907673782</v>
      </c>
      <c r="R21" s="133">
        <v>49.128454247753901</v>
      </c>
      <c r="S21" s="133">
        <v>47.963912635794522</v>
      </c>
      <c r="T21" s="133">
        <v>48.36927455030073</v>
      </c>
      <c r="U21" s="133">
        <v>39.178088185957186</v>
      </c>
      <c r="V21" s="133">
        <v>25.420427322461087</v>
      </c>
      <c r="W21" s="133">
        <v>29.201278599528329</v>
      </c>
      <c r="DA21" s="157" t="s">
        <v>288</v>
      </c>
    </row>
    <row r="22" spans="1:105" ht="12" customHeight="1" x14ac:dyDescent="0.25">
      <c r="A22" s="132" t="s">
        <v>168</v>
      </c>
      <c r="B22" s="133">
        <v>290.76680566909107</v>
      </c>
      <c r="C22" s="133">
        <v>303.98967696939377</v>
      </c>
      <c r="D22" s="133">
        <v>312.0630901056079</v>
      </c>
      <c r="E22" s="133">
        <v>318.90058844153577</v>
      </c>
      <c r="F22" s="133">
        <v>323.90864656680264</v>
      </c>
      <c r="G22" s="133">
        <v>325.03383377767005</v>
      </c>
      <c r="H22" s="133">
        <v>317.15487729005008</v>
      </c>
      <c r="I22" s="133">
        <v>295.5657518435637</v>
      </c>
      <c r="J22" s="133">
        <v>284.40532258132856</v>
      </c>
      <c r="K22" s="133">
        <v>277.81951405237072</v>
      </c>
      <c r="L22" s="133">
        <v>276.81252058573926</v>
      </c>
      <c r="M22" s="133">
        <v>280.85453583715798</v>
      </c>
      <c r="N22" s="133">
        <v>291.9176781176414</v>
      </c>
      <c r="O22" s="133">
        <v>298.1447522158773</v>
      </c>
      <c r="P22" s="133">
        <v>304.88450004765872</v>
      </c>
      <c r="Q22" s="133">
        <v>330.19918046380161</v>
      </c>
      <c r="R22" s="133">
        <v>345.8778291842857</v>
      </c>
      <c r="S22" s="133">
        <v>341.13419926675857</v>
      </c>
      <c r="T22" s="133">
        <v>343.06877654536009</v>
      </c>
      <c r="U22" s="133">
        <v>337.46090746856726</v>
      </c>
      <c r="V22" s="133">
        <v>326.97788481091169</v>
      </c>
      <c r="W22" s="133">
        <v>346.65955730165609</v>
      </c>
      <c r="DA22" s="157" t="s">
        <v>289</v>
      </c>
    </row>
    <row r="23" spans="1:105" ht="12" customHeight="1" x14ac:dyDescent="0.25">
      <c r="A23" s="132" t="s">
        <v>153</v>
      </c>
      <c r="B23" s="133">
        <v>127.16780223643221</v>
      </c>
      <c r="C23" s="133">
        <v>115.05756411436417</v>
      </c>
      <c r="D23" s="133">
        <v>94.322049546196965</v>
      </c>
      <c r="E23" s="133">
        <v>36.963265247253972</v>
      </c>
      <c r="F23" s="133">
        <v>70.791692856046652</v>
      </c>
      <c r="G23" s="133">
        <v>90.566390044308534</v>
      </c>
      <c r="H23" s="133">
        <v>229.64773955883393</v>
      </c>
      <c r="I23" s="133">
        <v>241.16899005657874</v>
      </c>
      <c r="J23" s="133">
        <v>241.36105235275812</v>
      </c>
      <c r="K23" s="133">
        <v>249.39658012911801</v>
      </c>
      <c r="L23" s="133">
        <v>252.00862586420016</v>
      </c>
      <c r="M23" s="133">
        <v>252.62698988606499</v>
      </c>
      <c r="N23" s="133">
        <v>280.50985434029502</v>
      </c>
      <c r="O23" s="133">
        <v>316.78606663286848</v>
      </c>
      <c r="P23" s="133">
        <v>386.40823793605819</v>
      </c>
      <c r="Q23" s="133">
        <v>304.79767237928007</v>
      </c>
      <c r="R23" s="133">
        <v>309.30392811023694</v>
      </c>
      <c r="S23" s="133">
        <v>312.87322943101077</v>
      </c>
      <c r="T23" s="133">
        <v>322.08637833373126</v>
      </c>
      <c r="U23" s="133">
        <v>342.08278697915603</v>
      </c>
      <c r="V23" s="133">
        <v>329.32244446943463</v>
      </c>
      <c r="W23" s="133">
        <v>368.96206833657652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429.40096546437002</v>
      </c>
      <c r="C26" s="65">
        <v>481.93049746454017</v>
      </c>
      <c r="D26" s="65">
        <v>555.34622578657104</v>
      </c>
      <c r="E26" s="65">
        <v>619.05470004430197</v>
      </c>
      <c r="F26" s="65">
        <v>671.20984249932474</v>
      </c>
      <c r="G26" s="65">
        <v>679.4993979561259</v>
      </c>
      <c r="H26" s="65">
        <v>613.06699244238507</v>
      </c>
      <c r="I26" s="65">
        <v>636.97984867862169</v>
      </c>
      <c r="J26" s="65">
        <v>675.69269547384954</v>
      </c>
      <c r="K26" s="65">
        <v>661.5769308748113</v>
      </c>
      <c r="L26" s="65">
        <v>676.13633852190549</v>
      </c>
      <c r="M26" s="65">
        <v>675.1778769812413</v>
      </c>
      <c r="N26" s="65">
        <v>609.12126831495675</v>
      </c>
      <c r="O26" s="65">
        <v>588.30395651284175</v>
      </c>
      <c r="P26" s="65">
        <v>483.69366030107182</v>
      </c>
      <c r="Q26" s="65">
        <v>472.34262960699004</v>
      </c>
      <c r="R26" s="65">
        <v>421.72636508900956</v>
      </c>
      <c r="S26" s="65">
        <v>380.83726210119863</v>
      </c>
      <c r="T26" s="65">
        <v>430.7583702447584</v>
      </c>
      <c r="U26" s="65">
        <v>396.02403389934051</v>
      </c>
      <c r="V26" s="65">
        <v>302.14383114360407</v>
      </c>
      <c r="W26" s="65">
        <v>321.82048101112764</v>
      </c>
      <c r="DA26" s="109" t="s">
        <v>293</v>
      </c>
    </row>
    <row r="27" spans="1:105" ht="12" customHeight="1" x14ac:dyDescent="0.25">
      <c r="A27" s="145" t="s">
        <v>26</v>
      </c>
      <c r="B27" s="146">
        <v>6.2624247635425601</v>
      </c>
      <c r="C27" s="146">
        <v>7.9607910576096312</v>
      </c>
      <c r="D27" s="146">
        <v>9.7893379191745478</v>
      </c>
      <c r="E27" s="146">
        <v>12.493207222699906</v>
      </c>
      <c r="F27" s="146">
        <v>14.879105760963027</v>
      </c>
      <c r="G27" s="146">
        <v>18.092347377472041</v>
      </c>
      <c r="H27" s="146">
        <v>20.987188306104905</v>
      </c>
      <c r="I27" s="146">
        <v>22.660189165950136</v>
      </c>
      <c r="J27" s="146">
        <v>26.719862424763551</v>
      </c>
      <c r="K27" s="146">
        <v>31.779449699054165</v>
      </c>
      <c r="L27" s="146">
        <v>35.253654342218397</v>
      </c>
      <c r="M27" s="146">
        <v>38.069217540842637</v>
      </c>
      <c r="N27" s="146">
        <v>40.957781599312128</v>
      </c>
      <c r="O27" s="146">
        <v>41.736629406706818</v>
      </c>
      <c r="P27" s="146">
        <v>44.718400687876226</v>
      </c>
      <c r="Q27" s="146">
        <v>47.54084264832332</v>
      </c>
      <c r="R27" s="146">
        <v>47.456835769561451</v>
      </c>
      <c r="S27" s="146">
        <v>48.364918314703317</v>
      </c>
      <c r="T27" s="146">
        <v>49.191143594153047</v>
      </c>
      <c r="U27" s="146">
        <v>49.635167669819367</v>
      </c>
      <c r="V27" s="146">
        <v>49.308598452278602</v>
      </c>
      <c r="W27" s="146">
        <v>48.339122957867609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957.67741017317292</v>
      </c>
      <c r="C29" s="131">
        <f t="shared" si="8"/>
        <v>1017.9007251686691</v>
      </c>
      <c r="D29" s="131">
        <f t="shared" si="8"/>
        <v>1006.1393352532812</v>
      </c>
      <c r="E29" s="131">
        <f t="shared" si="8"/>
        <v>1001.1285917922968</v>
      </c>
      <c r="F29" s="131">
        <f t="shared" si="8"/>
        <v>1112.1603232740956</v>
      </c>
      <c r="G29" s="131">
        <f t="shared" si="8"/>
        <v>1153.3738132660369</v>
      </c>
      <c r="H29" s="131">
        <f t="shared" si="8"/>
        <v>1254.9156794447608</v>
      </c>
      <c r="I29" s="131">
        <f t="shared" si="8"/>
        <v>1312.2955912422142</v>
      </c>
      <c r="J29" s="131">
        <f t="shared" si="8"/>
        <v>1374.7723335573389</v>
      </c>
      <c r="K29" s="131">
        <f t="shared" si="8"/>
        <v>1364.6349199844753</v>
      </c>
      <c r="L29" s="131">
        <f t="shared" si="8"/>
        <v>1413.1001565441261</v>
      </c>
      <c r="M29" s="131">
        <f t="shared" si="8"/>
        <v>1432.875403528029</v>
      </c>
      <c r="N29" s="131">
        <f t="shared" si="8"/>
        <v>1424.5484134791755</v>
      </c>
      <c r="O29" s="131">
        <f t="shared" si="8"/>
        <v>1441.728919263644</v>
      </c>
      <c r="P29" s="131">
        <f t="shared" si="8"/>
        <v>1525.0963894196389</v>
      </c>
      <c r="Q29" s="131">
        <f t="shared" si="8"/>
        <v>1552.7322753922845</v>
      </c>
      <c r="R29" s="131">
        <f t="shared" ref="R29:W29" si="9">SUM(R30:R33)</f>
        <v>1551.0314204819902</v>
      </c>
      <c r="S29" s="131">
        <f t="shared" si="9"/>
        <v>1602.4976428403056</v>
      </c>
      <c r="T29" s="131">
        <f t="shared" si="9"/>
        <v>1622.0344138355877</v>
      </c>
      <c r="U29" s="131">
        <f t="shared" si="9"/>
        <v>1661.2251035758063</v>
      </c>
      <c r="V29" s="131">
        <f t="shared" si="9"/>
        <v>1414.8745831923206</v>
      </c>
      <c r="W29" s="131">
        <f t="shared" si="9"/>
        <v>1628.5904190111874</v>
      </c>
      <c r="DA29" s="156" t="s">
        <v>216</v>
      </c>
    </row>
    <row r="30" spans="1:105" ht="12" customHeight="1" x14ac:dyDescent="0.25">
      <c r="A30" s="132" t="s">
        <v>52</v>
      </c>
      <c r="B30" s="133">
        <v>177.69189705689797</v>
      </c>
      <c r="C30" s="133">
        <v>195.74669224800286</v>
      </c>
      <c r="D30" s="133">
        <v>195.35015639940158</v>
      </c>
      <c r="E30" s="133">
        <v>191.72740659229549</v>
      </c>
      <c r="F30" s="133">
        <v>201.91495026636022</v>
      </c>
      <c r="G30" s="133">
        <v>184.05222230279801</v>
      </c>
      <c r="H30" s="133">
        <v>165.17839996922856</v>
      </c>
      <c r="I30" s="133">
        <v>169.94273115400372</v>
      </c>
      <c r="J30" s="133">
        <v>177.11564268263587</v>
      </c>
      <c r="K30" s="133">
        <v>157.00640140181326</v>
      </c>
      <c r="L30" s="133">
        <v>154.29676657442602</v>
      </c>
      <c r="M30" s="133">
        <v>141.78564737108005</v>
      </c>
      <c r="N30" s="133">
        <v>132.64842642954946</v>
      </c>
      <c r="O30" s="133">
        <v>124.5052570877223</v>
      </c>
      <c r="P30" s="133">
        <v>85.530249106161691</v>
      </c>
      <c r="Q30" s="133">
        <v>137.97415377676299</v>
      </c>
      <c r="R30" s="133">
        <v>191.50636948397445</v>
      </c>
      <c r="S30" s="133">
        <v>155.38948375285534</v>
      </c>
      <c r="T30" s="133">
        <v>175.3194614772143</v>
      </c>
      <c r="U30" s="133">
        <v>146.09946985359568</v>
      </c>
      <c r="V30" s="133">
        <v>90.942943270832188</v>
      </c>
      <c r="W30" s="133">
        <v>106.78900514939689</v>
      </c>
      <c r="DA30" s="157" t="s">
        <v>295</v>
      </c>
    </row>
    <row r="31" spans="1:105" ht="12" customHeight="1" x14ac:dyDescent="0.25">
      <c r="A31" s="132" t="s">
        <v>153</v>
      </c>
      <c r="B31" s="133">
        <v>161.11651577851816</v>
      </c>
      <c r="C31" s="133">
        <v>196.72931384221994</v>
      </c>
      <c r="D31" s="133">
        <v>173.84970442244509</v>
      </c>
      <c r="E31" s="133">
        <v>159.84552165617794</v>
      </c>
      <c r="F31" s="133">
        <v>254.81937283291182</v>
      </c>
      <c r="G31" s="133">
        <v>281.27610715693118</v>
      </c>
      <c r="H31" s="133">
        <v>326.37059311226869</v>
      </c>
      <c r="I31" s="133">
        <v>339.0621251987306</v>
      </c>
      <c r="J31" s="133">
        <v>357.1099642018533</v>
      </c>
      <c r="K31" s="133">
        <v>363.66927202949631</v>
      </c>
      <c r="L31" s="133">
        <v>389.11832900508773</v>
      </c>
      <c r="M31" s="133">
        <v>409.54276215035162</v>
      </c>
      <c r="N31" s="133">
        <v>448.48367010334539</v>
      </c>
      <c r="O31" s="133">
        <v>533.31644045164967</v>
      </c>
      <c r="P31" s="133">
        <v>938.32960887151671</v>
      </c>
      <c r="Q31" s="133">
        <v>999.83830556535986</v>
      </c>
      <c r="R31" s="133">
        <v>1027.9620687531267</v>
      </c>
      <c r="S31" s="133">
        <v>1042.7140536979043</v>
      </c>
      <c r="T31" s="133">
        <v>907.44328912202081</v>
      </c>
      <c r="U31" s="133">
        <v>940.10188137846342</v>
      </c>
      <c r="V31" s="133">
        <v>1004.9782776167956</v>
      </c>
      <c r="W31" s="133">
        <v>975.4889900691295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618.86899733775681</v>
      </c>
      <c r="C33" s="68">
        <v>625.42471907844629</v>
      </c>
      <c r="D33" s="68">
        <v>636.93947443143452</v>
      </c>
      <c r="E33" s="68">
        <v>649.55566354382336</v>
      </c>
      <c r="F33" s="68">
        <v>655.42600017482357</v>
      </c>
      <c r="G33" s="68">
        <v>688.04548380630763</v>
      </c>
      <c r="H33" s="68">
        <v>763.36668636326351</v>
      </c>
      <c r="I33" s="68">
        <v>803.29073488947984</v>
      </c>
      <c r="J33" s="68">
        <v>840.54672667284979</v>
      </c>
      <c r="K33" s="68">
        <v>843.95924655316571</v>
      </c>
      <c r="L33" s="68">
        <v>869.68506096461238</v>
      </c>
      <c r="M33" s="68">
        <v>881.5469940065974</v>
      </c>
      <c r="N33" s="68">
        <v>843.41631694628052</v>
      </c>
      <c r="O33" s="68">
        <v>783.90722172427206</v>
      </c>
      <c r="P33" s="68">
        <v>501.23653144196032</v>
      </c>
      <c r="Q33" s="68">
        <v>414.91981605016167</v>
      </c>
      <c r="R33" s="68">
        <v>331.5629822448891</v>
      </c>
      <c r="S33" s="68">
        <v>404.39410538954604</v>
      </c>
      <c r="T33" s="68">
        <v>539.27166323635265</v>
      </c>
      <c r="U33" s="68">
        <v>575.02375234374722</v>
      </c>
      <c r="V33" s="68">
        <v>318.9533623046928</v>
      </c>
      <c r="W33" s="68">
        <v>546.31242379266075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2388.611831573593</v>
      </c>
      <c r="C3" s="126">
        <f t="shared" si="0"/>
        <v>2524.7728937774891</v>
      </c>
      <c r="D3" s="126">
        <f t="shared" si="0"/>
        <v>2562.8835787655216</v>
      </c>
      <c r="E3" s="126">
        <f t="shared" si="0"/>
        <v>2730.139344092498</v>
      </c>
      <c r="F3" s="126">
        <f t="shared" si="0"/>
        <v>2982.9048641866057</v>
      </c>
      <c r="G3" s="126">
        <f t="shared" si="0"/>
        <v>3368.6344461427825</v>
      </c>
      <c r="H3" s="126">
        <f t="shared" si="0"/>
        <v>4686.7222561991302</v>
      </c>
      <c r="I3" s="126">
        <f t="shared" si="0"/>
        <v>4002.9509374456584</v>
      </c>
      <c r="J3" s="126">
        <f t="shared" si="0"/>
        <v>4343.3674292194282</v>
      </c>
      <c r="K3" s="126">
        <f t="shared" si="0"/>
        <v>5008.0370780338844</v>
      </c>
      <c r="L3" s="126">
        <f t="shared" si="0"/>
        <v>5459.6253206492802</v>
      </c>
      <c r="M3" s="126">
        <f t="shared" si="0"/>
        <v>5411.135661595712</v>
      </c>
      <c r="N3" s="126">
        <f t="shared" si="0"/>
        <v>5560.2120916736976</v>
      </c>
      <c r="O3" s="126">
        <f t="shared" si="0"/>
        <v>5050.4694523679864</v>
      </c>
      <c r="P3" s="126">
        <f t="shared" si="0"/>
        <v>4441.0883402777099</v>
      </c>
      <c r="Q3" s="126">
        <f t="shared" si="0"/>
        <v>5360.8011081479763</v>
      </c>
      <c r="R3" s="126">
        <f t="shared" ref="R3:W3" si="1">SUM(R4,R16,R19,R29)</f>
        <v>5478.1357718551772</v>
      </c>
      <c r="S3" s="126">
        <f t="shared" si="1"/>
        <v>6192.139574117251</v>
      </c>
      <c r="T3" s="126">
        <f t="shared" si="1"/>
        <v>5696.993118531348</v>
      </c>
      <c r="U3" s="126">
        <f t="shared" si="1"/>
        <v>5995.6022248910085</v>
      </c>
      <c r="V3" s="126">
        <f t="shared" si="1"/>
        <v>6058.1164055037216</v>
      </c>
      <c r="W3" s="126">
        <f t="shared" si="1"/>
        <v>6272.9285355727479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883.94922564749709</v>
      </c>
      <c r="C4" s="131">
        <f t="shared" si="2"/>
        <v>859.31466721458412</v>
      </c>
      <c r="D4" s="131">
        <f t="shared" si="2"/>
        <v>836.78691036149644</v>
      </c>
      <c r="E4" s="131">
        <f t="shared" si="2"/>
        <v>716.42221215858888</v>
      </c>
      <c r="F4" s="131">
        <f t="shared" si="2"/>
        <v>843.78968275336626</v>
      </c>
      <c r="G4" s="131">
        <f t="shared" si="2"/>
        <v>1006.2960513267311</v>
      </c>
      <c r="H4" s="131">
        <f t="shared" si="2"/>
        <v>1919.1381962372575</v>
      </c>
      <c r="I4" s="131">
        <f t="shared" si="2"/>
        <v>1310.1258390996295</v>
      </c>
      <c r="J4" s="131">
        <f t="shared" si="2"/>
        <v>1365.9207294467597</v>
      </c>
      <c r="K4" s="131">
        <f t="shared" si="2"/>
        <v>1453.7990066370405</v>
      </c>
      <c r="L4" s="131">
        <f t="shared" si="2"/>
        <v>1808.9469763573641</v>
      </c>
      <c r="M4" s="131">
        <f t="shared" si="2"/>
        <v>1830.7172011632808</v>
      </c>
      <c r="N4" s="131">
        <f t="shared" si="2"/>
        <v>1531.082834884078</v>
      </c>
      <c r="O4" s="131">
        <f t="shared" si="2"/>
        <v>1403.8923545375219</v>
      </c>
      <c r="P4" s="131">
        <f t="shared" si="2"/>
        <v>905.51592222314594</v>
      </c>
      <c r="Q4" s="131">
        <f t="shared" si="2"/>
        <v>942.71159510085658</v>
      </c>
      <c r="R4" s="131">
        <f t="shared" ref="R4:W4" si="3">SUM(R5:R15)</f>
        <v>1103.4166425110918</v>
      </c>
      <c r="S4" s="131">
        <f t="shared" si="3"/>
        <v>1292.7147706499666</v>
      </c>
      <c r="T4" s="131">
        <f t="shared" si="3"/>
        <v>1575.806648652627</v>
      </c>
      <c r="U4" s="131">
        <f t="shared" si="3"/>
        <v>1686.0387376780945</v>
      </c>
      <c r="V4" s="131">
        <f t="shared" si="3"/>
        <v>1684.5981119530798</v>
      </c>
      <c r="W4" s="131">
        <f t="shared" si="3"/>
        <v>1974.6275374248644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491.81253207422259</v>
      </c>
      <c r="C7" s="133">
        <v>555.47514063398683</v>
      </c>
      <c r="D7" s="133">
        <v>551.15528087894882</v>
      </c>
      <c r="E7" s="133">
        <v>629.42091392416523</v>
      </c>
      <c r="F7" s="133">
        <v>703.31293371451329</v>
      </c>
      <c r="G7" s="133">
        <v>716.90405418365583</v>
      </c>
      <c r="H7" s="133">
        <v>502.70221637906599</v>
      </c>
      <c r="I7" s="133">
        <v>461.63507310828851</v>
      </c>
      <c r="J7" s="133">
        <v>434.8693112154823</v>
      </c>
      <c r="K7" s="133">
        <v>430.64219239640613</v>
      </c>
      <c r="L7" s="133">
        <v>433.68572427791696</v>
      </c>
      <c r="M7" s="133">
        <v>427.23888296517561</v>
      </c>
      <c r="N7" s="133">
        <v>478.91267793673995</v>
      </c>
      <c r="O7" s="133">
        <v>552.22023581718088</v>
      </c>
      <c r="P7" s="133">
        <v>419.63146921248199</v>
      </c>
      <c r="Q7" s="133">
        <v>294.65185230657301</v>
      </c>
      <c r="R7" s="133">
        <v>379.76145517817747</v>
      </c>
      <c r="S7" s="133">
        <v>428.8534383411702</v>
      </c>
      <c r="T7" s="133">
        <v>461.24564798426832</v>
      </c>
      <c r="U7" s="133">
        <v>435.43266091349659</v>
      </c>
      <c r="V7" s="133">
        <v>410.45512131441245</v>
      </c>
      <c r="W7" s="133">
        <v>461.04341745526983</v>
      </c>
      <c r="DA7" s="157" t="s">
        <v>304</v>
      </c>
    </row>
    <row r="8" spans="1:105" ht="12" customHeight="1" x14ac:dyDescent="0.25">
      <c r="A8" s="132" t="s">
        <v>73</v>
      </c>
      <c r="B8" s="133">
        <v>1.5036381220247289E-2</v>
      </c>
      <c r="C8" s="133">
        <v>2.2773457148346582E-2</v>
      </c>
      <c r="D8" s="133">
        <v>3.253782958294596E-2</v>
      </c>
      <c r="E8" s="133">
        <v>3.6539662322318756E-2</v>
      </c>
      <c r="F8" s="133">
        <v>6.2606329966559196E-2</v>
      </c>
      <c r="G8" s="133">
        <v>0.16020215587922412</v>
      </c>
      <c r="H8" s="133">
        <v>0.35770470551618627</v>
      </c>
      <c r="I8" s="133">
        <v>0.43017686282345186</v>
      </c>
      <c r="J8" s="133">
        <v>0.48054537727957075</v>
      </c>
      <c r="K8" s="133">
        <v>0.53021300480451328</v>
      </c>
      <c r="L8" s="133">
        <v>0.66894676984462254</v>
      </c>
      <c r="M8" s="133">
        <v>1.3101614400659534</v>
      </c>
      <c r="N8" s="133">
        <v>2.4616233638733185</v>
      </c>
      <c r="O8" s="133">
        <v>4.7869664870257784</v>
      </c>
      <c r="P8" s="133">
        <v>8.9823627442012768</v>
      </c>
      <c r="Q8" s="133">
        <v>12.066129558028713</v>
      </c>
      <c r="R8" s="133">
        <v>16.487110374904976</v>
      </c>
      <c r="S8" s="133">
        <v>20.667579670970927</v>
      </c>
      <c r="T8" s="133">
        <v>25.736513790809099</v>
      </c>
      <c r="U8" s="133">
        <v>31.044425643501533</v>
      </c>
      <c r="V8" s="133">
        <v>35.87233295508539</v>
      </c>
      <c r="W8" s="133">
        <v>41.035986142161306</v>
      </c>
      <c r="DA8" s="157" t="s">
        <v>305</v>
      </c>
    </row>
    <row r="9" spans="1:105" ht="12" customHeight="1" x14ac:dyDescent="0.25">
      <c r="A9" s="132" t="s">
        <v>78</v>
      </c>
      <c r="B9" s="133">
        <v>138.63865463551411</v>
      </c>
      <c r="C9" s="133">
        <v>157.14379528133313</v>
      </c>
      <c r="D9" s="133">
        <v>190.17869926735071</v>
      </c>
      <c r="E9" s="133">
        <v>13.873561423897513</v>
      </c>
      <c r="F9" s="133">
        <v>19.726682780607071</v>
      </c>
      <c r="G9" s="133">
        <v>181.70172590332743</v>
      </c>
      <c r="H9" s="133">
        <v>975.02298469716789</v>
      </c>
      <c r="I9" s="133">
        <v>501.51499980659128</v>
      </c>
      <c r="J9" s="133">
        <v>406.40383338276513</v>
      </c>
      <c r="K9" s="133">
        <v>573.84854718484496</v>
      </c>
      <c r="L9" s="133">
        <v>830.03369782322204</v>
      </c>
      <c r="M9" s="133">
        <v>955.40142974289233</v>
      </c>
      <c r="N9" s="133">
        <v>707.34035502812958</v>
      </c>
      <c r="O9" s="133">
        <v>571.63043044364122</v>
      </c>
      <c r="P9" s="133">
        <v>232.15262818609423</v>
      </c>
      <c r="Q9" s="133">
        <v>314.17877507358901</v>
      </c>
      <c r="R9" s="133">
        <v>290.61789543694005</v>
      </c>
      <c r="S9" s="133">
        <v>298.9471543005277</v>
      </c>
      <c r="T9" s="133">
        <v>428.42803210201151</v>
      </c>
      <c r="U9" s="133">
        <v>445.80545990040298</v>
      </c>
      <c r="V9" s="133">
        <v>384.13043948145901</v>
      </c>
      <c r="W9" s="133">
        <v>496.7240308509908</v>
      </c>
      <c r="DA9" s="157" t="s">
        <v>306</v>
      </c>
    </row>
    <row r="10" spans="1:105" ht="12" customHeight="1" x14ac:dyDescent="0.25">
      <c r="A10" s="132" t="s">
        <v>128</v>
      </c>
      <c r="B10" s="133">
        <v>17.42509142796769</v>
      </c>
      <c r="C10" s="133">
        <v>18.147714273712353</v>
      </c>
      <c r="D10" s="133">
        <v>18.682994660729424</v>
      </c>
      <c r="E10" s="133">
        <v>18.989628231232135</v>
      </c>
      <c r="F10" s="133">
        <v>19.338780204685385</v>
      </c>
      <c r="G10" s="133">
        <v>19.772030506213991</v>
      </c>
      <c r="H10" s="133">
        <v>30.942383808327328</v>
      </c>
      <c r="I10" s="133">
        <v>32.336612195235695</v>
      </c>
      <c r="J10" s="133">
        <v>37.485388304875492</v>
      </c>
      <c r="K10" s="133">
        <v>27.525525655134157</v>
      </c>
      <c r="L10" s="133">
        <v>28.756391236632748</v>
      </c>
      <c r="M10" s="133">
        <v>31.226095059055847</v>
      </c>
      <c r="N10" s="133">
        <v>34.007901798761736</v>
      </c>
      <c r="O10" s="133">
        <v>36.252584305521431</v>
      </c>
      <c r="P10" s="133">
        <v>37.063562441616121</v>
      </c>
      <c r="Q10" s="133">
        <v>42.503415016059748</v>
      </c>
      <c r="R10" s="133">
        <v>53.953758579539198</v>
      </c>
      <c r="S10" s="133">
        <v>58.269332748798739</v>
      </c>
      <c r="T10" s="133">
        <v>57.584695089025729</v>
      </c>
      <c r="U10" s="133">
        <v>59.718871430562899</v>
      </c>
      <c r="V10" s="133">
        <v>60.764529573369309</v>
      </c>
      <c r="W10" s="133">
        <v>66.048187984675096</v>
      </c>
      <c r="DA10" s="157" t="s">
        <v>307</v>
      </c>
    </row>
    <row r="11" spans="1:105" ht="12" customHeight="1" x14ac:dyDescent="0.25">
      <c r="A11" s="132" t="s">
        <v>25</v>
      </c>
      <c r="B11" s="133">
        <v>0.74583294872463046</v>
      </c>
      <c r="C11" s="133">
        <v>0.74583294872463046</v>
      </c>
      <c r="D11" s="133">
        <v>9.557155875617121E-2</v>
      </c>
      <c r="E11" s="133">
        <v>6.8340691831159206E-2</v>
      </c>
      <c r="F11" s="133">
        <v>6.8340691831159206E-2</v>
      </c>
      <c r="G11" s="133">
        <v>6.8340691831159206E-2</v>
      </c>
      <c r="H11" s="133">
        <v>6.8340691831159206E-2</v>
      </c>
      <c r="I11" s="133">
        <v>6.8340691831159206E-2</v>
      </c>
      <c r="J11" s="133">
        <v>6.8340691831159206E-2</v>
      </c>
      <c r="K11" s="133">
        <v>6.8340691831159206E-2</v>
      </c>
      <c r="L11" s="133">
        <v>6.8340691831159206E-2</v>
      </c>
      <c r="M11" s="133">
        <v>6.8458852837705642E-2</v>
      </c>
      <c r="N11" s="133">
        <v>6.9790406364938634E-2</v>
      </c>
      <c r="O11" s="133">
        <v>7.8105380783245013E-2</v>
      </c>
      <c r="P11" s="133">
        <v>7.8194817521080776E-2</v>
      </c>
      <c r="Q11" s="133">
        <v>7.8226016141841631E-2</v>
      </c>
      <c r="R11" s="133">
        <v>7.8226648713871125E-2</v>
      </c>
      <c r="S11" s="133">
        <v>7.8226648713871111E-2</v>
      </c>
      <c r="T11" s="133">
        <v>7.8226648713871222E-2</v>
      </c>
      <c r="U11" s="133">
        <v>7.8226648713871166E-2</v>
      </c>
      <c r="V11" s="133">
        <v>7.8226648713871111E-2</v>
      </c>
      <c r="W11" s="133">
        <v>7.8226648713871125E-2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3.036913595191566</v>
      </c>
      <c r="C13" s="133">
        <v>4.1499134968598881</v>
      </c>
      <c r="D13" s="133">
        <v>4.6269791333615995</v>
      </c>
      <c r="E13" s="133">
        <v>6.625885330449953</v>
      </c>
      <c r="F13" s="133">
        <v>7.3958058651293115</v>
      </c>
      <c r="G13" s="133">
        <v>12.567945427988548</v>
      </c>
      <c r="H13" s="133">
        <v>17.63044201055558</v>
      </c>
      <c r="I13" s="133">
        <v>30.658835298232358</v>
      </c>
      <c r="J13" s="133">
        <v>49.166036313562287</v>
      </c>
      <c r="K13" s="133">
        <v>59.611415991186597</v>
      </c>
      <c r="L13" s="133">
        <v>68.508933701384336</v>
      </c>
      <c r="M13" s="133">
        <v>80.357869687680548</v>
      </c>
      <c r="N13" s="133">
        <v>113.69041075810173</v>
      </c>
      <c r="O13" s="133">
        <v>143.14763911998034</v>
      </c>
      <c r="P13" s="133">
        <v>174.73823204545491</v>
      </c>
      <c r="Q13" s="133">
        <v>256.44243897480419</v>
      </c>
      <c r="R13" s="133">
        <v>340.65869611949427</v>
      </c>
      <c r="S13" s="133">
        <v>436.96823134273285</v>
      </c>
      <c r="T13" s="133">
        <v>539.26076975042088</v>
      </c>
      <c r="U13" s="133">
        <v>646.77092425361661</v>
      </c>
      <c r="V13" s="133">
        <v>745.12321304753868</v>
      </c>
      <c r="W13" s="133">
        <v>842.293395329286</v>
      </c>
      <c r="DA13" s="157" t="s">
        <v>310</v>
      </c>
    </row>
    <row r="14" spans="1:105" ht="12" customHeight="1" x14ac:dyDescent="0.25">
      <c r="A14" s="60" t="s">
        <v>76</v>
      </c>
      <c r="B14" s="65">
        <v>219.4880855895322</v>
      </c>
      <c r="C14" s="65">
        <v>109.40913346664892</v>
      </c>
      <c r="D14" s="65">
        <v>57.487644521140453</v>
      </c>
      <c r="E14" s="65">
        <v>35.082556096709318</v>
      </c>
      <c r="F14" s="65">
        <v>80.313575570618241</v>
      </c>
      <c r="G14" s="65">
        <v>58.477787491391837</v>
      </c>
      <c r="H14" s="65">
        <v>365.44257257838569</v>
      </c>
      <c r="I14" s="65">
        <v>266.16283767135894</v>
      </c>
      <c r="J14" s="65">
        <v>422.4846289706378</v>
      </c>
      <c r="K14" s="65">
        <v>344.11088688491219</v>
      </c>
      <c r="L14" s="65">
        <v>425.57557744890391</v>
      </c>
      <c r="M14" s="65">
        <v>311.72898347544088</v>
      </c>
      <c r="N14" s="65">
        <v>174.65764871633635</v>
      </c>
      <c r="O14" s="65">
        <v>77.020025750877323</v>
      </c>
      <c r="P14" s="65">
        <v>21.861138179508444</v>
      </c>
      <c r="Q14" s="65">
        <v>12.521068028628907</v>
      </c>
      <c r="R14" s="65">
        <v>10.557531463386379</v>
      </c>
      <c r="S14" s="65">
        <v>36.698201351644066</v>
      </c>
      <c r="T14" s="65">
        <v>48.661954846619864</v>
      </c>
      <c r="U14" s="65">
        <v>52.491642328697154</v>
      </c>
      <c r="V14" s="65">
        <v>34.867002601312457</v>
      </c>
      <c r="W14" s="65">
        <v>51.469705056716876</v>
      </c>
      <c r="DA14" s="109" t="s">
        <v>311</v>
      </c>
    </row>
    <row r="15" spans="1:105" ht="12" customHeight="1" x14ac:dyDescent="0.25">
      <c r="A15" s="134" t="s">
        <v>80</v>
      </c>
      <c r="B15" s="135">
        <v>12.787078995124137</v>
      </c>
      <c r="C15" s="135">
        <v>14.22036365616996</v>
      </c>
      <c r="D15" s="135">
        <v>14.527202511626466</v>
      </c>
      <c r="E15" s="135">
        <v>12.324786797981277</v>
      </c>
      <c r="F15" s="135">
        <v>13.570957596015253</v>
      </c>
      <c r="G15" s="135">
        <v>16.643964966443026</v>
      </c>
      <c r="H15" s="135">
        <v>26.971551366407748</v>
      </c>
      <c r="I15" s="135">
        <v>17.318963465268176</v>
      </c>
      <c r="J15" s="135">
        <v>14.962645190325901</v>
      </c>
      <c r="K15" s="135">
        <v>17.461884827920969</v>
      </c>
      <c r="L15" s="135">
        <v>21.649364407628262</v>
      </c>
      <c r="M15" s="135">
        <v>23.385319940132245</v>
      </c>
      <c r="N15" s="135">
        <v>19.94242687577033</v>
      </c>
      <c r="O15" s="135">
        <v>18.756367232511806</v>
      </c>
      <c r="P15" s="135">
        <v>11.0083345962679</v>
      </c>
      <c r="Q15" s="135">
        <v>10.269690127031295</v>
      </c>
      <c r="R15" s="135">
        <v>11.301968709935537</v>
      </c>
      <c r="S15" s="135">
        <v>12.232606245408094</v>
      </c>
      <c r="T15" s="135">
        <v>14.810808440757684</v>
      </c>
      <c r="U15" s="135">
        <v>14.696526559102741</v>
      </c>
      <c r="V15" s="135">
        <v>13.307246331188814</v>
      </c>
      <c r="W15" s="135">
        <v>15.934587957050582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416.25773293453216</v>
      </c>
      <c r="C16" s="131">
        <f t="shared" si="4"/>
        <v>508.33712421868177</v>
      </c>
      <c r="D16" s="131">
        <f t="shared" si="4"/>
        <v>530.20232291835805</v>
      </c>
      <c r="E16" s="131">
        <f t="shared" si="4"/>
        <v>797.54249199835056</v>
      </c>
      <c r="F16" s="131">
        <f t="shared" si="4"/>
        <v>807.84411620837318</v>
      </c>
      <c r="G16" s="131">
        <f t="shared" si="4"/>
        <v>979.25219045373478</v>
      </c>
      <c r="H16" s="131">
        <f t="shared" si="4"/>
        <v>1278.7351777544191</v>
      </c>
      <c r="I16" s="131">
        <f t="shared" si="4"/>
        <v>1146.7303841041537</v>
      </c>
      <c r="J16" s="131">
        <f t="shared" si="4"/>
        <v>1361.134257424193</v>
      </c>
      <c r="K16" s="131">
        <f t="shared" si="4"/>
        <v>1937.7659501230576</v>
      </c>
      <c r="L16" s="131">
        <f t="shared" si="4"/>
        <v>1981.2024909885708</v>
      </c>
      <c r="M16" s="131">
        <f t="shared" si="4"/>
        <v>1885.297597498145</v>
      </c>
      <c r="N16" s="131">
        <f t="shared" si="4"/>
        <v>2350.5041136579616</v>
      </c>
      <c r="O16" s="131">
        <f t="shared" si="4"/>
        <v>1944.0808115081907</v>
      </c>
      <c r="P16" s="131">
        <f t="shared" si="4"/>
        <v>1845.8487603537503</v>
      </c>
      <c r="Q16" s="131">
        <f t="shared" si="4"/>
        <v>2757.7270019269995</v>
      </c>
      <c r="R16" s="131">
        <f t="shared" ref="R16:W16" si="5">SUM(R17:R18)</f>
        <v>2735.8034285641429</v>
      </c>
      <c r="S16" s="131">
        <f t="shared" si="5"/>
        <v>3224.5754893634771</v>
      </c>
      <c r="T16" s="131">
        <f t="shared" si="5"/>
        <v>2338.87011205411</v>
      </c>
      <c r="U16" s="131">
        <f t="shared" si="5"/>
        <v>2486.2912278307513</v>
      </c>
      <c r="V16" s="131">
        <f t="shared" si="5"/>
        <v>2807.7438755969933</v>
      </c>
      <c r="W16" s="131">
        <f t="shared" si="5"/>
        <v>2476.2200659551963</v>
      </c>
      <c r="DA16" s="156" t="s">
        <v>313</v>
      </c>
    </row>
    <row r="17" spans="1:105" ht="12.95" customHeight="1" x14ac:dyDescent="0.25">
      <c r="A17" s="132" t="s">
        <v>73</v>
      </c>
      <c r="B17" s="133">
        <v>0.35865449417447443</v>
      </c>
      <c r="C17" s="133">
        <v>0.42920761810395264</v>
      </c>
      <c r="D17" s="133">
        <v>0.39943165114485196</v>
      </c>
      <c r="E17" s="133">
        <v>0.84998644386056332</v>
      </c>
      <c r="F17" s="133">
        <v>0.84986770685109447</v>
      </c>
      <c r="G17" s="133">
        <v>1.0811432694011573</v>
      </c>
      <c r="H17" s="133">
        <v>1.4035959918831209</v>
      </c>
      <c r="I17" s="133">
        <v>1.4511417165775145</v>
      </c>
      <c r="J17" s="133">
        <v>1.9535228382029266</v>
      </c>
      <c r="K17" s="133">
        <v>2.9679877562564663</v>
      </c>
      <c r="L17" s="133">
        <v>3.4015355641059575</v>
      </c>
      <c r="M17" s="133">
        <v>3.7006222760116696</v>
      </c>
      <c r="N17" s="133">
        <v>5.0816090720440457</v>
      </c>
      <c r="O17" s="133">
        <v>5.2247892974647936</v>
      </c>
      <c r="P17" s="133">
        <v>5.5589867787365153</v>
      </c>
      <c r="Q17" s="133">
        <v>9.7393863917679706</v>
      </c>
      <c r="R17" s="133">
        <v>11.350337758956814</v>
      </c>
      <c r="S17" s="133">
        <v>14.570675805892245</v>
      </c>
      <c r="T17" s="133">
        <v>12.563218428729781</v>
      </c>
      <c r="U17" s="133">
        <v>14.127715081721307</v>
      </c>
      <c r="V17" s="133">
        <v>15.507987048749847</v>
      </c>
      <c r="W17" s="133">
        <v>14.244078707037415</v>
      </c>
      <c r="DA17" s="157" t="s">
        <v>314</v>
      </c>
    </row>
    <row r="18" spans="1:105" ht="12" customHeight="1" x14ac:dyDescent="0.25">
      <c r="A18" s="132" t="s">
        <v>72</v>
      </c>
      <c r="B18" s="133">
        <v>415.8990784403577</v>
      </c>
      <c r="C18" s="133">
        <v>507.90791660057783</v>
      </c>
      <c r="D18" s="133">
        <v>529.80289126721323</v>
      </c>
      <c r="E18" s="133">
        <v>796.69250555449003</v>
      </c>
      <c r="F18" s="133">
        <v>806.99424850152207</v>
      </c>
      <c r="G18" s="133">
        <v>978.17104718433359</v>
      </c>
      <c r="H18" s="133">
        <v>1277.331581762536</v>
      </c>
      <c r="I18" s="133">
        <v>1145.2792423875762</v>
      </c>
      <c r="J18" s="133">
        <v>1359.1807345859902</v>
      </c>
      <c r="K18" s="133">
        <v>1934.7979623668011</v>
      </c>
      <c r="L18" s="133">
        <v>1977.800955424465</v>
      </c>
      <c r="M18" s="133">
        <v>1881.5969752221333</v>
      </c>
      <c r="N18" s="133">
        <v>2345.4225045859175</v>
      </c>
      <c r="O18" s="133">
        <v>1938.8560222107258</v>
      </c>
      <c r="P18" s="133">
        <v>1840.2897735750139</v>
      </c>
      <c r="Q18" s="133">
        <v>2747.9876155352317</v>
      </c>
      <c r="R18" s="133">
        <v>2724.4530908051861</v>
      </c>
      <c r="S18" s="133">
        <v>3210.0048135575848</v>
      </c>
      <c r="T18" s="133">
        <v>2326.3068936253803</v>
      </c>
      <c r="U18" s="133">
        <v>2472.1635127490299</v>
      </c>
      <c r="V18" s="133">
        <v>2792.2358885482436</v>
      </c>
      <c r="W18" s="133">
        <v>2461.9759872481591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478.37164225730186</v>
      </c>
      <c r="C19" s="131">
        <f t="shared" si="6"/>
        <v>512.56433270262539</v>
      </c>
      <c r="D19" s="131">
        <f t="shared" si="6"/>
        <v>554.15990690978299</v>
      </c>
      <c r="E19" s="131">
        <f t="shared" si="6"/>
        <v>573.31533089669244</v>
      </c>
      <c r="F19" s="131">
        <f t="shared" si="6"/>
        <v>626.04057713054726</v>
      </c>
      <c r="G19" s="131">
        <f t="shared" si="6"/>
        <v>648.07615439102631</v>
      </c>
      <c r="H19" s="131">
        <f t="shared" si="6"/>
        <v>683.97099490874507</v>
      </c>
      <c r="I19" s="131">
        <f t="shared" si="6"/>
        <v>700.73653271606338</v>
      </c>
      <c r="J19" s="131">
        <f t="shared" si="6"/>
        <v>727.74468897304894</v>
      </c>
      <c r="K19" s="131">
        <f t="shared" si="6"/>
        <v>729.63354899662659</v>
      </c>
      <c r="L19" s="131">
        <f t="shared" si="6"/>
        <v>749.07342318209294</v>
      </c>
      <c r="M19" s="131">
        <f t="shared" si="6"/>
        <v>760.61958856984927</v>
      </c>
      <c r="N19" s="131">
        <f t="shared" si="6"/>
        <v>753.70181231846243</v>
      </c>
      <c r="O19" s="131">
        <f t="shared" si="6"/>
        <v>776.99020575304394</v>
      </c>
      <c r="P19" s="131">
        <f t="shared" si="6"/>
        <v>765.86843753700464</v>
      </c>
      <c r="Q19" s="131">
        <f t="shared" si="6"/>
        <v>735.57243420724774</v>
      </c>
      <c r="R19" s="131">
        <f t="shared" ref="R19:W19" si="7">SUM(R20:R27)</f>
        <v>727.58582406699361</v>
      </c>
      <c r="S19" s="131">
        <f t="shared" si="7"/>
        <v>716.36257706929791</v>
      </c>
      <c r="T19" s="131">
        <f t="shared" si="7"/>
        <v>776.0348464674704</v>
      </c>
      <c r="U19" s="131">
        <f t="shared" si="7"/>
        <v>775.52176549927458</v>
      </c>
      <c r="V19" s="131">
        <f t="shared" si="7"/>
        <v>703.67410951846455</v>
      </c>
      <c r="W19" s="131">
        <f t="shared" si="7"/>
        <v>776.79947757579953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25.977177483089367</v>
      </c>
      <c r="C21" s="133">
        <v>25.471595018225159</v>
      </c>
      <c r="D21" s="133">
        <v>25.713679137019302</v>
      </c>
      <c r="E21" s="133">
        <v>25.886183177756607</v>
      </c>
      <c r="F21" s="133">
        <v>23.681751420617555</v>
      </c>
      <c r="G21" s="133">
        <v>23.663593543035113</v>
      </c>
      <c r="H21" s="133">
        <v>24.179756459477741</v>
      </c>
      <c r="I21" s="133">
        <v>24.20959474082019</v>
      </c>
      <c r="J21" s="133">
        <v>24.177506976119076</v>
      </c>
      <c r="K21" s="133">
        <v>24.250089958199339</v>
      </c>
      <c r="L21" s="133">
        <v>24.717232936145951</v>
      </c>
      <c r="M21" s="133">
        <v>25.065545780061498</v>
      </c>
      <c r="N21" s="133">
        <v>25.555028814580925</v>
      </c>
      <c r="O21" s="133">
        <v>26.205463791254878</v>
      </c>
      <c r="P21" s="133">
        <v>26.160678332225956</v>
      </c>
      <c r="Q21" s="133">
        <v>26.993505342581127</v>
      </c>
      <c r="R21" s="133">
        <v>27.922599997355693</v>
      </c>
      <c r="S21" s="133">
        <v>27.70518546701491</v>
      </c>
      <c r="T21" s="133">
        <v>28.109651744221349</v>
      </c>
      <c r="U21" s="133">
        <v>22.918179821689829</v>
      </c>
      <c r="V21" s="133">
        <v>14.943744790145947</v>
      </c>
      <c r="W21" s="133">
        <v>17.248688708954564</v>
      </c>
      <c r="DA21" s="157" t="s">
        <v>318</v>
      </c>
    </row>
    <row r="22" spans="1:105" ht="12" customHeight="1" x14ac:dyDescent="0.25">
      <c r="A22" s="132" t="s">
        <v>168</v>
      </c>
      <c r="B22" s="133">
        <v>134.87658148964417</v>
      </c>
      <c r="C22" s="133">
        <v>141.38556102666294</v>
      </c>
      <c r="D22" s="133">
        <v>145.57324045264269</v>
      </c>
      <c r="E22" s="133">
        <v>149.319285559007</v>
      </c>
      <c r="F22" s="133">
        <v>152.14474823430083</v>
      </c>
      <c r="G22" s="133">
        <v>153.25994358725262</v>
      </c>
      <c r="H22" s="133">
        <v>150.08934468099335</v>
      </c>
      <c r="I22" s="133">
        <v>140.44271587023738</v>
      </c>
      <c r="J22" s="133">
        <v>135.83270762782445</v>
      </c>
      <c r="K22" s="133">
        <v>133.60831334771049</v>
      </c>
      <c r="L22" s="133">
        <v>134.47787914381706</v>
      </c>
      <c r="M22" s="133">
        <v>138.39932151453235</v>
      </c>
      <c r="N22" s="133">
        <v>146.96101337868757</v>
      </c>
      <c r="O22" s="133">
        <v>154.13590967428877</v>
      </c>
      <c r="P22" s="133">
        <v>160.66563347451509</v>
      </c>
      <c r="Q22" s="133">
        <v>179.29194592111585</v>
      </c>
      <c r="R22" s="133">
        <v>193.41575134765498</v>
      </c>
      <c r="S22" s="133">
        <v>195.95680264180814</v>
      </c>
      <c r="T22" s="133">
        <v>201.50233198674422</v>
      </c>
      <c r="U22" s="133">
        <v>202.99281360334408</v>
      </c>
      <c r="V22" s="133">
        <v>201.87683124567573</v>
      </c>
      <c r="W22" s="133">
        <v>218.90953738560739</v>
      </c>
      <c r="DA22" s="157" t="s">
        <v>319</v>
      </c>
    </row>
    <row r="23" spans="1:105" ht="12" customHeight="1" x14ac:dyDescent="0.25">
      <c r="A23" s="132" t="s">
        <v>153</v>
      </c>
      <c r="B23" s="133">
        <v>60.264285211233656</v>
      </c>
      <c r="C23" s="133">
        <v>54.52529443424924</v>
      </c>
      <c r="D23" s="133">
        <v>44.698821522384137</v>
      </c>
      <c r="E23" s="133">
        <v>17.516735526005821</v>
      </c>
      <c r="F23" s="133">
        <v>34.500695976625686</v>
      </c>
      <c r="G23" s="133">
        <v>45.847988838958202</v>
      </c>
      <c r="H23" s="133">
        <v>120.24459908706315</v>
      </c>
      <c r="I23" s="133">
        <v>128.7217270212069</v>
      </c>
      <c r="J23" s="133">
        <v>130.62571865363205</v>
      </c>
      <c r="K23" s="133">
        <v>136.36058292596036</v>
      </c>
      <c r="L23" s="133">
        <v>139.40230851545789</v>
      </c>
      <c r="M23" s="133">
        <v>141.80666767710028</v>
      </c>
      <c r="N23" s="133">
        <v>161.04486490385079</v>
      </c>
      <c r="O23" s="133">
        <v>186.11279562345101</v>
      </c>
      <c r="P23" s="133">
        <v>230.67411605368304</v>
      </c>
      <c r="Q23" s="133">
        <v>183.16778050730818</v>
      </c>
      <c r="R23" s="133">
        <v>188.20929763367428</v>
      </c>
      <c r="S23" s="133">
        <v>193.60666911940186</v>
      </c>
      <c r="T23" s="133">
        <v>204.22332770468583</v>
      </c>
      <c r="U23" s="133">
        <v>224.03497259273482</v>
      </c>
      <c r="V23" s="133">
        <v>223.47808028636746</v>
      </c>
      <c r="W23" s="133">
        <v>258.41745560389489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250.99117330979212</v>
      </c>
      <c r="C26" s="65">
        <v>283.22109116587848</v>
      </c>
      <c r="D26" s="65">
        <v>328.38482787856236</v>
      </c>
      <c r="E26" s="65">
        <v>368.0999194112232</v>
      </c>
      <c r="F26" s="65">
        <v>400.83427573804016</v>
      </c>
      <c r="G26" s="65">
        <v>407.21228104430838</v>
      </c>
      <c r="H26" s="65">
        <v>368.4701063751059</v>
      </c>
      <c r="I26" s="65">
        <v>384.70230591784878</v>
      </c>
      <c r="J26" s="65">
        <v>410.38889329070986</v>
      </c>
      <c r="K26" s="65">
        <v>403.63511306570223</v>
      </c>
      <c r="L26" s="65">
        <v>415.2223482444536</v>
      </c>
      <c r="M26" s="65">
        <v>417.27883605731256</v>
      </c>
      <c r="N26" s="65">
        <v>379.18312362203102</v>
      </c>
      <c r="O26" s="65">
        <v>368.79940725734247</v>
      </c>
      <c r="P26" s="65">
        <v>303.64960898870436</v>
      </c>
      <c r="Q26" s="65">
        <v>298.57835978791928</v>
      </c>
      <c r="R26" s="65">
        <v>270.58133931874721</v>
      </c>
      <c r="S26" s="65">
        <v>250.72900152636967</v>
      </c>
      <c r="T26" s="65">
        <v>293.00839143766592</v>
      </c>
      <c r="U26" s="65">
        <v>275.94063181168656</v>
      </c>
      <c r="V26" s="65">
        <v>214.06685474399677</v>
      </c>
      <c r="W26" s="65">
        <v>233.88467291947501</v>
      </c>
      <c r="DA26" s="109" t="s">
        <v>323</v>
      </c>
    </row>
    <row r="27" spans="1:105" ht="12" customHeight="1" x14ac:dyDescent="0.25">
      <c r="A27" s="145" t="s">
        <v>26</v>
      </c>
      <c r="B27" s="146">
        <v>6.2624247635425601</v>
      </c>
      <c r="C27" s="146">
        <v>7.9607910576096312</v>
      </c>
      <c r="D27" s="146">
        <v>9.7893379191745478</v>
      </c>
      <c r="E27" s="146">
        <v>12.493207222699906</v>
      </c>
      <c r="F27" s="146">
        <v>14.879105760963027</v>
      </c>
      <c r="G27" s="146">
        <v>18.092347377472041</v>
      </c>
      <c r="H27" s="146">
        <v>20.987188306104905</v>
      </c>
      <c r="I27" s="146">
        <v>22.660189165950136</v>
      </c>
      <c r="J27" s="146">
        <v>26.719862424763551</v>
      </c>
      <c r="K27" s="146">
        <v>31.779449699054165</v>
      </c>
      <c r="L27" s="146">
        <v>35.253654342218397</v>
      </c>
      <c r="M27" s="146">
        <v>38.069217540842637</v>
      </c>
      <c r="N27" s="146">
        <v>40.957781599312128</v>
      </c>
      <c r="O27" s="146">
        <v>41.736629406706818</v>
      </c>
      <c r="P27" s="146">
        <v>44.718400687876226</v>
      </c>
      <c r="Q27" s="146">
        <v>47.54084264832332</v>
      </c>
      <c r="R27" s="146">
        <v>47.456835769561451</v>
      </c>
      <c r="S27" s="146">
        <v>48.364918314703317</v>
      </c>
      <c r="T27" s="146">
        <v>49.191143594153047</v>
      </c>
      <c r="U27" s="146">
        <v>49.635167669819367</v>
      </c>
      <c r="V27" s="146">
        <v>49.308598452278602</v>
      </c>
      <c r="W27" s="146">
        <v>48.339122957867609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610.03323073426168</v>
      </c>
      <c r="C29" s="131">
        <f t="shared" si="8"/>
        <v>644.55676964159784</v>
      </c>
      <c r="D29" s="131">
        <f t="shared" si="8"/>
        <v>641.73443857588438</v>
      </c>
      <c r="E29" s="131">
        <f t="shared" si="8"/>
        <v>642.85930903886629</v>
      </c>
      <c r="F29" s="131">
        <f t="shared" si="8"/>
        <v>705.23048809431907</v>
      </c>
      <c r="G29" s="131">
        <f t="shared" si="8"/>
        <v>735.01004997129053</v>
      </c>
      <c r="H29" s="131">
        <f t="shared" si="8"/>
        <v>804.87788729870852</v>
      </c>
      <c r="I29" s="131">
        <f t="shared" si="8"/>
        <v>845.35818152581226</v>
      </c>
      <c r="J29" s="131">
        <f t="shared" si="8"/>
        <v>888.56775337542661</v>
      </c>
      <c r="K29" s="131">
        <f t="shared" si="8"/>
        <v>886.83857227715998</v>
      </c>
      <c r="L29" s="131">
        <f t="shared" si="8"/>
        <v>920.40243012125165</v>
      </c>
      <c r="M29" s="131">
        <f t="shared" si="8"/>
        <v>934.50127436443734</v>
      </c>
      <c r="N29" s="131">
        <f t="shared" si="8"/>
        <v>924.92333081319498</v>
      </c>
      <c r="O29" s="131">
        <f t="shared" si="8"/>
        <v>925.50608056922965</v>
      </c>
      <c r="P29" s="131">
        <f t="shared" si="8"/>
        <v>923.85522016380855</v>
      </c>
      <c r="Q29" s="131">
        <f t="shared" si="8"/>
        <v>924.79007691287143</v>
      </c>
      <c r="R29" s="131">
        <f t="shared" ref="R29:W29" si="9">SUM(R30:R33)</f>
        <v>911.32987671294859</v>
      </c>
      <c r="S29" s="131">
        <f t="shared" si="9"/>
        <v>958.48673703450913</v>
      </c>
      <c r="T29" s="131">
        <f t="shared" si="9"/>
        <v>1006.2815113571403</v>
      </c>
      <c r="U29" s="131">
        <f t="shared" si="9"/>
        <v>1047.7504938828881</v>
      </c>
      <c r="V29" s="131">
        <f t="shared" si="9"/>
        <v>862.10030843518439</v>
      </c>
      <c r="W29" s="131">
        <f t="shared" si="9"/>
        <v>1045.281454616887</v>
      </c>
      <c r="DA29" s="156" t="s">
        <v>325</v>
      </c>
    </row>
    <row r="30" spans="1:105" ht="12" customHeight="1" x14ac:dyDescent="0.25">
      <c r="A30" s="132" t="s">
        <v>52</v>
      </c>
      <c r="B30" s="133">
        <v>94.150639025299711</v>
      </c>
      <c r="C30" s="133">
        <v>103.89443630591165</v>
      </c>
      <c r="D30" s="133">
        <v>103.87178009491835</v>
      </c>
      <c r="E30" s="133">
        <v>102.12492651402114</v>
      </c>
      <c r="F30" s="133">
        <v>107.71386745764892</v>
      </c>
      <c r="G30" s="133">
        <v>98.31128015996218</v>
      </c>
      <c r="H30" s="133">
        <v>88.363259578034231</v>
      </c>
      <c r="I30" s="133">
        <v>91.143686296652362</v>
      </c>
      <c r="J30" s="133">
        <v>95.30838296465285</v>
      </c>
      <c r="K30" s="133">
        <v>84.804927098413927</v>
      </c>
      <c r="L30" s="133">
        <v>83.589324012506651</v>
      </c>
      <c r="M30" s="133">
        <v>76.869634000887629</v>
      </c>
      <c r="N30" s="133">
        <v>72.009442154353579</v>
      </c>
      <c r="O30" s="133">
        <v>67.743207018356031</v>
      </c>
      <c r="P30" s="133">
        <v>46.634390726363314</v>
      </c>
      <c r="Q30" s="133">
        <v>75.368840303908669</v>
      </c>
      <c r="R30" s="133">
        <v>104.83427544887336</v>
      </c>
      <c r="S30" s="133">
        <v>85.267856031160591</v>
      </c>
      <c r="T30" s="133">
        <v>96.363501920211078</v>
      </c>
      <c r="U30" s="133">
        <v>80.364549137912633</v>
      </c>
      <c r="V30" s="133">
        <v>50.057263578614013</v>
      </c>
      <c r="W30" s="133">
        <v>58.805168357144765</v>
      </c>
      <c r="DA30" s="157" t="s">
        <v>326</v>
      </c>
    </row>
    <row r="31" spans="1:105" ht="12" customHeight="1" x14ac:dyDescent="0.25">
      <c r="A31" s="132" t="s">
        <v>153</v>
      </c>
      <c r="B31" s="133">
        <v>85.818361435405635</v>
      </c>
      <c r="C31" s="133">
        <v>104.97890314435773</v>
      </c>
      <c r="D31" s="133">
        <v>92.923532887919137</v>
      </c>
      <c r="E31" s="133">
        <v>85.659326119847492</v>
      </c>
      <c r="F31" s="133">
        <v>137.04041948871401</v>
      </c>
      <c r="G31" s="133">
        <v>151.69891225123735</v>
      </c>
      <c r="H31" s="133">
        <v>176.45585439531564</v>
      </c>
      <c r="I31" s="133">
        <v>183.695932694823</v>
      </c>
      <c r="J31" s="133">
        <v>193.88584612359276</v>
      </c>
      <c r="K31" s="133">
        <v>197.89978061069527</v>
      </c>
      <c r="L31" s="133">
        <v>212.17843706937322</v>
      </c>
      <c r="M31" s="133">
        <v>223.63456062482723</v>
      </c>
      <c r="N31" s="133">
        <v>245.42656573261044</v>
      </c>
      <c r="O31" s="133">
        <v>292.45443843557405</v>
      </c>
      <c r="P31" s="133">
        <v>515.31584479369894</v>
      </c>
      <c r="Q31" s="133">
        <v>549.53488420409087</v>
      </c>
      <c r="R31" s="133">
        <v>565.61816820324771</v>
      </c>
      <c r="S31" s="133">
        <v>574.57063542447077</v>
      </c>
      <c r="T31" s="133">
        <v>500.48563160044228</v>
      </c>
      <c r="U31" s="133">
        <v>519.97956728478732</v>
      </c>
      <c r="V31" s="133">
        <v>559.13589865617917</v>
      </c>
      <c r="W31" s="133">
        <v>545.84592735209856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430.06423027355629</v>
      </c>
      <c r="C33" s="68">
        <v>435.68343019132851</v>
      </c>
      <c r="D33" s="68">
        <v>444.93912559304692</v>
      </c>
      <c r="E33" s="68">
        <v>455.07505640499772</v>
      </c>
      <c r="F33" s="68">
        <v>460.47620114795615</v>
      </c>
      <c r="G33" s="68">
        <v>484.99985756009107</v>
      </c>
      <c r="H33" s="68">
        <v>540.05877332535863</v>
      </c>
      <c r="I33" s="68">
        <v>570.51856253433687</v>
      </c>
      <c r="J33" s="68">
        <v>599.373524287181</v>
      </c>
      <c r="K33" s="68">
        <v>604.13386456805085</v>
      </c>
      <c r="L33" s="68">
        <v>624.63466903937172</v>
      </c>
      <c r="M33" s="68">
        <v>633.9970797387225</v>
      </c>
      <c r="N33" s="68">
        <v>607.48732292623095</v>
      </c>
      <c r="O33" s="68">
        <v>565.30843511529952</v>
      </c>
      <c r="P33" s="68">
        <v>361.90498464374633</v>
      </c>
      <c r="Q33" s="68">
        <v>299.8863524048719</v>
      </c>
      <c r="R33" s="68">
        <v>240.87743306082754</v>
      </c>
      <c r="S33" s="68">
        <v>298.64824557887783</v>
      </c>
      <c r="T33" s="68">
        <v>409.43237783648686</v>
      </c>
      <c r="U33" s="68">
        <v>447.4063774601882</v>
      </c>
      <c r="V33" s="68">
        <v>252.90714620039128</v>
      </c>
      <c r="W33" s="68">
        <v>440.63035890764354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0.59546266120080527</v>
      </c>
      <c r="C3" s="127">
        <f>IF(SER_hh_tes!C3=0,"",SER_hh_tes!C3/SER_hh_fec!C3)</f>
        <v>0.60750274123686632</v>
      </c>
      <c r="D3" s="127">
        <f>IF(SER_hh_tes!D3=0,"",SER_hh_tes!D3/SER_hh_fec!D3)</f>
        <v>0.61745216960915628</v>
      </c>
      <c r="E3" s="127">
        <f>IF(SER_hh_tes!E3=0,"",SER_hh_tes!E3/SER_hh_fec!E3)</f>
        <v>0.67867933724850338</v>
      </c>
      <c r="F3" s="127">
        <f>IF(SER_hh_tes!F3=0,"",SER_hh_tes!F3/SER_hh_fec!F3)</f>
        <v>0.67237427642286418</v>
      </c>
      <c r="G3" s="127">
        <f>IF(SER_hh_tes!G3=0,"",SER_hh_tes!G3/SER_hh_fec!G3)</f>
        <v>0.68987977767183495</v>
      </c>
      <c r="H3" s="127">
        <f>IF(SER_hh_tes!H3=0,"",SER_hh_tes!H3/SER_hh_fec!H3)</f>
        <v>0.70507734696908353</v>
      </c>
      <c r="I3" s="127">
        <f>IF(SER_hh_tes!I3=0,"",SER_hh_tes!I3/SER_hh_fec!I3)</f>
        <v>0.72874472776399024</v>
      </c>
      <c r="J3" s="127">
        <f>IF(SER_hh_tes!J3=0,"",SER_hh_tes!J3/SER_hh_fec!J3)</f>
        <v>0.76763509973438271</v>
      </c>
      <c r="K3" s="127">
        <f>IF(SER_hh_tes!K3=0,"",SER_hh_tes!K3/SER_hh_fec!K3)</f>
        <v>0.83404000276905255</v>
      </c>
      <c r="L3" s="127">
        <f>IF(SER_hh_tes!L3=0,"",SER_hh_tes!L3/SER_hh_fec!L3)</f>
        <v>0.8234373598880993</v>
      </c>
      <c r="M3" s="127">
        <f>IF(SER_hh_tes!M3=0,"",SER_hh_tes!M3/SER_hh_fec!M3)</f>
        <v>0.82214225319751688</v>
      </c>
      <c r="N3" s="127">
        <f>IF(SER_hh_tes!N3=0,"",SER_hh_tes!N3/SER_hh_fec!N3)</f>
        <v>0.90693032216879554</v>
      </c>
      <c r="O3" s="127">
        <f>IF(SER_hh_tes!O3=0,"",SER_hh_tes!O3/SER_hh_fec!O3)</f>
        <v>0.88258755454131876</v>
      </c>
      <c r="P3" s="127">
        <f>IF(SER_hh_tes!P3=0,"",SER_hh_tes!P3/SER_hh_fec!P3)</f>
        <v>0.92307240708964655</v>
      </c>
      <c r="Q3" s="127">
        <f>IF(SER_hh_tes!Q3=0,"",SER_hh_tes!Q3/SER_hh_fec!Q3)</f>
        <v>1.075132712702773</v>
      </c>
      <c r="R3" s="127">
        <f>IF(SER_hh_tes!R3=0,"",SER_hh_tes!R3/SER_hh_fec!R3)</f>
        <v>1.0803963895403799</v>
      </c>
      <c r="S3" s="127">
        <f>IF(SER_hh_tes!S3=0,"",SER_hh_tes!S3/SER_hh_fec!S3)</f>
        <v>1.1554361844780092</v>
      </c>
      <c r="T3" s="127">
        <f>IF(SER_hh_tes!T3=0,"",SER_hh_tes!T3/SER_hh_fec!T3)</f>
        <v>1.0488516931142509</v>
      </c>
      <c r="U3" s="127">
        <f>IF(SER_hh_tes!U3=0,"",SER_hh_tes!U3/SER_hh_fec!U3)</f>
        <v>1.0974920951435334</v>
      </c>
      <c r="V3" s="127">
        <f>IF(SER_hh_tes!V3=0,"",SER_hh_tes!V3/SER_hh_fec!V3)</f>
        <v>1.2111073841148798</v>
      </c>
      <c r="W3" s="127">
        <f>IF(SER_hh_tes!W3=0,"",SER_hh_tes!W3/SER_hh_fec!W3)</f>
        <v>1.1444901644672809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0.46509180498547542</v>
      </c>
      <c r="C4" s="136">
        <f>IF(SER_hh_tes!C4=0,"",SER_hh_tes!C4/SER_hh_fec!C4)</f>
        <v>0.45413091441343451</v>
      </c>
      <c r="D4" s="136">
        <f>IF(SER_hh_tes!D4=0,"",SER_hh_tes!D4/SER_hh_fec!D4)</f>
        <v>0.45491401349363542</v>
      </c>
      <c r="E4" s="136">
        <f>IF(SER_hh_tes!E4=0,"",SER_hh_tes!E4/SER_hh_fec!E4)</f>
        <v>0.45668691821676805</v>
      </c>
      <c r="F4" s="136">
        <f>IF(SER_hh_tes!F4=0,"",SER_hh_tes!F4/SER_hh_fec!F4)</f>
        <v>0.46708862022373271</v>
      </c>
      <c r="G4" s="136">
        <f>IF(SER_hh_tes!G4=0,"",SER_hh_tes!G4/SER_hh_fec!G4)</f>
        <v>0.47512533597567141</v>
      </c>
      <c r="H4" s="136">
        <f>IF(SER_hh_tes!H4=0,"",SER_hh_tes!H4/SER_hh_fec!H4)</f>
        <v>0.53316227680215311</v>
      </c>
      <c r="I4" s="136">
        <f>IF(SER_hh_tes!I4=0,"",SER_hh_tes!I4/SER_hh_fec!I4)</f>
        <v>0.53411330691308556</v>
      </c>
      <c r="J4" s="136">
        <f>IF(SER_hh_tes!J4=0,"",SER_hh_tes!J4/SER_hh_fec!J4)</f>
        <v>0.55637723277293616</v>
      </c>
      <c r="K4" s="136">
        <f>IF(SER_hh_tes!K4=0,"",SER_hh_tes!K4/SER_hh_fec!K4)</f>
        <v>0.55932429630286296</v>
      </c>
      <c r="L4" s="136">
        <f>IF(SER_hh_tes!L4=0,"",SER_hh_tes!L4/SER_hh_fec!L4)</f>
        <v>0.57343091961670767</v>
      </c>
      <c r="M4" s="136">
        <f>IF(SER_hh_tes!M4=0,"",SER_hh_tes!M4/SER_hh_fec!M4)</f>
        <v>0.58396937463189691</v>
      </c>
      <c r="N4" s="136">
        <f>IF(SER_hh_tes!N4=0,"",SER_hh_tes!N4/SER_hh_fec!N4)</f>
        <v>0.59808451208155211</v>
      </c>
      <c r="O4" s="136">
        <f>IF(SER_hh_tes!O4=0,"",SER_hh_tes!O4/SER_hh_fec!O4)</f>
        <v>0.61573967947573893</v>
      </c>
      <c r="P4" s="136">
        <f>IF(SER_hh_tes!P4=0,"",SER_hh_tes!P4/SER_hh_fec!P4)</f>
        <v>0.66101974379272066</v>
      </c>
      <c r="Q4" s="136">
        <f>IF(SER_hh_tes!Q4=0,"",SER_hh_tes!Q4/SER_hh_fec!Q4)</f>
        <v>0.72967825893160598</v>
      </c>
      <c r="R4" s="136">
        <f>IF(SER_hh_tes!R4=0,"",SER_hh_tes!R4/SER_hh_fec!R4)</f>
        <v>0.76312686907285876</v>
      </c>
      <c r="S4" s="136">
        <f>IF(SER_hh_tes!S4=0,"",SER_hh_tes!S4/SER_hh_fec!S4)</f>
        <v>0.80783305285456652</v>
      </c>
      <c r="T4" s="136">
        <f>IF(SER_hh_tes!T4=0,"",SER_hh_tes!T4/SER_hh_fec!T4)</f>
        <v>0.83191362402651925</v>
      </c>
      <c r="U4" s="136">
        <f>IF(SER_hh_tes!U4=0,"",SER_hh_tes!U4/SER_hh_fec!U4)</f>
        <v>0.89168095108244105</v>
      </c>
      <c r="V4" s="136">
        <f>IF(SER_hh_tes!V4=0,"",SER_hh_tes!V4/SER_hh_fec!V4)</f>
        <v>0.97391301833099775</v>
      </c>
      <c r="W4" s="136">
        <f>IF(SER_hh_tes!W4=0,"",SER_hh_tes!W4/SER_hh_fec!W4)</f>
        <v>0.9734013106379833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0.41402112857919904</v>
      </c>
      <c r="C7" s="137">
        <f>IF(SER_hh_tes!C7=0,"",SER_hh_tes!C7/SER_hh_fec!C7)</f>
        <v>0.42364925875139964</v>
      </c>
      <c r="D7" s="137">
        <f>IF(SER_hh_tes!D7=0,"",SER_hh_tes!D7/SER_hh_fec!D7)</f>
        <v>0.43434909038810637</v>
      </c>
      <c r="E7" s="137">
        <f>IF(SER_hh_tes!E7=0,"",SER_hh_tes!E7/SER_hh_fec!E7)</f>
        <v>0.44260416122591545</v>
      </c>
      <c r="F7" s="137">
        <f>IF(SER_hh_tes!F7=0,"",SER_hh_tes!F7/SER_hh_fec!F7)</f>
        <v>0.44623461991227276</v>
      </c>
      <c r="G7" s="137">
        <f>IF(SER_hh_tes!G7=0,"",SER_hh_tes!G7/SER_hh_fec!G7)</f>
        <v>0.44816147930456957</v>
      </c>
      <c r="H7" s="137">
        <f>IF(SER_hh_tes!H7=0,"",SER_hh_tes!H7/SER_hh_fec!H7)</f>
        <v>0.44923306137085783</v>
      </c>
      <c r="I7" s="137">
        <f>IF(SER_hh_tes!I7=0,"",SER_hh_tes!I7/SER_hh_fec!I7)</f>
        <v>0.44923306137085789</v>
      </c>
      <c r="J7" s="137">
        <f>IF(SER_hh_tes!J7=0,"",SER_hh_tes!J7/SER_hh_fec!J7)</f>
        <v>0.44923306137085806</v>
      </c>
      <c r="K7" s="137">
        <f>IF(SER_hh_tes!K7=0,"",SER_hh_tes!K7/SER_hh_fec!K7)</f>
        <v>0.44923306137085789</v>
      </c>
      <c r="L7" s="137">
        <f>IF(SER_hh_tes!L7=0,"",SER_hh_tes!L7/SER_hh_fec!L7)</f>
        <v>0.45655474434550042</v>
      </c>
      <c r="M7" s="137">
        <f>IF(SER_hh_tes!M7=0,"",SER_hh_tes!M7/SER_hh_fec!M7)</f>
        <v>0.47975577369787936</v>
      </c>
      <c r="N7" s="137">
        <f>IF(SER_hh_tes!N7=0,"",SER_hh_tes!N7/SER_hh_fec!N7)</f>
        <v>0.50330635733113716</v>
      </c>
      <c r="O7" s="137">
        <f>IF(SER_hh_tes!O7=0,"",SER_hh_tes!O7/SER_hh_fec!O7)</f>
        <v>0.52813528976449697</v>
      </c>
      <c r="P7" s="137">
        <f>IF(SER_hh_tes!P7=0,"",SER_hh_tes!P7/SER_hh_fec!P7)</f>
        <v>0.52908768999733913</v>
      </c>
      <c r="Q7" s="137">
        <f>IF(SER_hh_tes!Q7=0,"",SER_hh_tes!Q7/SER_hh_fec!Q7)</f>
        <v>0.53186390876989376</v>
      </c>
      <c r="R7" s="137">
        <f>IF(SER_hh_tes!R7=0,"",SER_hh_tes!R7/SER_hh_fec!R7)</f>
        <v>0.54152385816379767</v>
      </c>
      <c r="S7" s="137">
        <f>IF(SER_hh_tes!S7=0,"",SER_hh_tes!S7/SER_hh_fec!S7)</f>
        <v>0.55997552205301016</v>
      </c>
      <c r="T7" s="137">
        <f>IF(SER_hh_tes!T7=0,"",SER_hh_tes!T7/SER_hh_fec!T7)</f>
        <v>0.57900219116375939</v>
      </c>
      <c r="U7" s="137">
        <f>IF(SER_hh_tes!U7=0,"",SER_hh_tes!U7/SER_hh_fec!U7)</f>
        <v>0.58930270641427596</v>
      </c>
      <c r="V7" s="137">
        <f>IF(SER_hh_tes!V7=0,"",SER_hh_tes!V7/SER_hh_fec!V7)</f>
        <v>0.59250852720190172</v>
      </c>
      <c r="W7" s="137">
        <f>IF(SER_hh_tes!W7=0,"",SER_hh_tes!W7/SER_hh_fec!W7)</f>
        <v>0.59377991227896409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1.028285154306245</v>
      </c>
      <c r="C8" s="137">
        <f>IF(SER_hh_tes!C8=0,"",SER_hh_tes!C8/SER_hh_fec!C8)</f>
        <v>1.0999234754706411</v>
      </c>
      <c r="D8" s="137">
        <f>IF(SER_hh_tes!D8=0,"",SER_hh_tes!D8/SER_hh_fec!D8)</f>
        <v>1.1961835664854013</v>
      </c>
      <c r="E8" s="137">
        <f>IF(SER_hh_tes!E8=0,"",SER_hh_tes!E8/SER_hh_fec!E8)</f>
        <v>1.298902662447136</v>
      </c>
      <c r="F8" s="137">
        <f>IF(SER_hh_tes!F8=0,"",SER_hh_tes!F8/SER_hh_fec!F8)</f>
        <v>1.3988194892336421</v>
      </c>
      <c r="G8" s="137">
        <f>IF(SER_hh_tes!G8=0,"",SER_hh_tes!G8/SER_hh_fec!G8)</f>
        <v>1.5096430086207608</v>
      </c>
      <c r="H8" s="137">
        <f>IF(SER_hh_tes!H8=0,"",SER_hh_tes!H8/SER_hh_fec!H8)</f>
        <v>1.5925356435742117</v>
      </c>
      <c r="I8" s="137">
        <f>IF(SER_hh_tes!I8=0,"",SER_hh_tes!I8/SER_hh_fec!I8)</f>
        <v>1.6735721779732611</v>
      </c>
      <c r="J8" s="137">
        <f>IF(SER_hh_tes!J8=0,"",SER_hh_tes!J8/SER_hh_fec!J8)</f>
        <v>1.7222623220187405</v>
      </c>
      <c r="K8" s="137">
        <f>IF(SER_hh_tes!K8=0,"",SER_hh_tes!K8/SER_hh_fec!K8)</f>
        <v>1.7848582154399175</v>
      </c>
      <c r="L8" s="137">
        <f>IF(SER_hh_tes!L8=0,"",SER_hh_tes!L8/SER_hh_fec!L8)</f>
        <v>1.9094427767277951</v>
      </c>
      <c r="M8" s="137">
        <f>IF(SER_hh_tes!M8=0,"",SER_hh_tes!M8/SER_hh_fec!M8)</f>
        <v>2.1103468705096673</v>
      </c>
      <c r="N8" s="137">
        <f>IF(SER_hh_tes!N8=0,"",SER_hh_tes!N8/SER_hh_fec!N8)</f>
        <v>2.3271388953184791</v>
      </c>
      <c r="O8" s="137">
        <f>IF(SER_hh_tes!O8=0,"",SER_hh_tes!O8/SER_hh_fec!O8)</f>
        <v>2.4887959049561768</v>
      </c>
      <c r="P8" s="137">
        <f>IF(SER_hh_tes!P8=0,"",SER_hh_tes!P8/SER_hh_fec!P8)</f>
        <v>2.6231129807430875</v>
      </c>
      <c r="Q8" s="137">
        <f>IF(SER_hh_tes!Q8=0,"",SER_hh_tes!Q8/SER_hh_fec!Q8)</f>
        <v>2.7044043728304343</v>
      </c>
      <c r="R8" s="137">
        <f>IF(SER_hh_tes!R8=0,"",SER_hh_tes!R8/SER_hh_fec!R8)</f>
        <v>2.7528463584523366</v>
      </c>
      <c r="S8" s="137">
        <f>IF(SER_hh_tes!S8=0,"",SER_hh_tes!S8/SER_hh_fec!S8)</f>
        <v>2.7827939539559439</v>
      </c>
      <c r="T8" s="137">
        <f>IF(SER_hh_tes!T8=0,"",SER_hh_tes!T8/SER_hh_fec!T8)</f>
        <v>2.8095947075303416</v>
      </c>
      <c r="U8" s="137">
        <f>IF(SER_hh_tes!U8=0,"",SER_hh_tes!U8/SER_hh_fec!U8)</f>
        <v>2.8387666518770192</v>
      </c>
      <c r="V8" s="137">
        <f>IF(SER_hh_tes!V8=0,"",SER_hh_tes!V8/SER_hh_fec!V8)</f>
        <v>2.8704309823113006</v>
      </c>
      <c r="W8" s="137">
        <f>IF(SER_hh_tes!W8=0,"",SER_hh_tes!W8/SER_hh_fec!W8)</f>
        <v>2.8885549312708516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0.45509713604112595</v>
      </c>
      <c r="C9" s="137">
        <f>IF(SER_hh_tes!C9=0,"",SER_hh_tes!C9/SER_hh_fec!C9)</f>
        <v>0.45534882062844745</v>
      </c>
      <c r="D9" s="137">
        <f>IF(SER_hh_tes!D9=0,"",SER_hh_tes!D9/SER_hh_fec!D9)</f>
        <v>0.45537198264194645</v>
      </c>
      <c r="E9" s="137">
        <f>IF(SER_hh_tes!E9=0,"",SER_hh_tes!E9/SER_hh_fec!E9)</f>
        <v>0.4553719826419465</v>
      </c>
      <c r="F9" s="137">
        <f>IF(SER_hh_tes!F9=0,"",SER_hh_tes!F9/SER_hh_fec!F9)</f>
        <v>0.46821160126203298</v>
      </c>
      <c r="G9" s="137">
        <f>IF(SER_hh_tes!G9=0,"",SER_hh_tes!G9/SER_hh_fec!G9)</f>
        <v>0.50636456452271206</v>
      </c>
      <c r="H9" s="137">
        <f>IF(SER_hh_tes!H9=0,"",SER_hh_tes!H9/SER_hh_fec!H9)</f>
        <v>0.5358873688048349</v>
      </c>
      <c r="I9" s="137">
        <f>IF(SER_hh_tes!I9=0,"",SER_hh_tes!I9/SER_hh_fec!I9)</f>
        <v>0.54495926889249191</v>
      </c>
      <c r="J9" s="137">
        <f>IF(SER_hh_tes!J9=0,"",SER_hh_tes!J9/SER_hh_fec!J9)</f>
        <v>0.5527793674464232</v>
      </c>
      <c r="K9" s="137">
        <f>IF(SER_hh_tes!K9=0,"",SER_hh_tes!K9/SER_hh_fec!K9)</f>
        <v>0.56068756007586618</v>
      </c>
      <c r="L9" s="137">
        <f>IF(SER_hh_tes!L9=0,"",SER_hh_tes!L9/SER_hh_fec!L9)</f>
        <v>0.56896891772131319</v>
      </c>
      <c r="M9" s="137">
        <f>IF(SER_hh_tes!M9=0,"",SER_hh_tes!M9/SER_hh_fec!M9)</f>
        <v>0.57570765522275502</v>
      </c>
      <c r="N9" s="137">
        <f>IF(SER_hh_tes!N9=0,"",SER_hh_tes!N9/SER_hh_fec!N9)</f>
        <v>0.58198657576826274</v>
      </c>
      <c r="O9" s="137">
        <f>IF(SER_hh_tes!O9=0,"",SER_hh_tes!O9/SER_hh_fec!O9)</f>
        <v>0.58615828889355948</v>
      </c>
      <c r="P9" s="137">
        <f>IF(SER_hh_tes!P9=0,"",SER_hh_tes!P9/SER_hh_fec!P9)</f>
        <v>0.5861643467363723</v>
      </c>
      <c r="Q9" s="137">
        <f>IF(SER_hh_tes!Q9=0,"",SER_hh_tes!Q9/SER_hh_fec!Q9)</f>
        <v>0.58617063709516815</v>
      </c>
      <c r="R9" s="137">
        <f>IF(SER_hh_tes!R9=0,"",SER_hh_tes!R9/SER_hh_fec!R9)</f>
        <v>0.58619894014728191</v>
      </c>
      <c r="S9" s="137">
        <f>IF(SER_hh_tes!S9=0,"",SER_hh_tes!S9/SER_hh_fec!S9)</f>
        <v>0.58631746074187729</v>
      </c>
      <c r="T9" s="137">
        <f>IF(SER_hh_tes!T9=0,"",SER_hh_tes!T9/SER_hh_fec!T9)</f>
        <v>0.5910451691381533</v>
      </c>
      <c r="U9" s="137">
        <f>IF(SER_hh_tes!U9=0,"",SER_hh_tes!U9/SER_hh_fec!U9)</f>
        <v>0.60361399381784764</v>
      </c>
      <c r="V9" s="137">
        <f>IF(SER_hh_tes!V9=0,"",SER_hh_tes!V9/SER_hh_fec!V9)</f>
        <v>0.61933411715322306</v>
      </c>
      <c r="W9" s="137">
        <f>IF(SER_hh_tes!W9=0,"",SER_hh_tes!W9/SER_hh_fec!W9)</f>
        <v>0.64343724066531238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0.40871384782227937</v>
      </c>
      <c r="C10" s="137">
        <f>IF(SER_hh_tes!C10=0,"",SER_hh_tes!C10/SER_hh_fec!C10)</f>
        <v>0.41862699661674552</v>
      </c>
      <c r="D10" s="137">
        <f>IF(SER_hh_tes!D10=0,"",SER_hh_tes!D10/SER_hh_fec!D10)</f>
        <v>0.43097471255414033</v>
      </c>
      <c r="E10" s="137">
        <f>IF(SER_hh_tes!E10=0,"",SER_hh_tes!E10/SER_hh_fec!E10)</f>
        <v>0.43804806012537456</v>
      </c>
      <c r="F10" s="137">
        <f>IF(SER_hh_tes!F10=0,"",SER_hh_tes!F10/SER_hh_fec!F10)</f>
        <v>0.44390105094764626</v>
      </c>
      <c r="G10" s="137">
        <f>IF(SER_hh_tes!G10=0,"",SER_hh_tes!G10/SER_hh_fec!G10)</f>
        <v>0.44795233267151879</v>
      </c>
      <c r="H10" s="137">
        <f>IF(SER_hh_tes!H10=0,"",SER_hh_tes!H10/SER_hh_fec!H10)</f>
        <v>0.45455971221592767</v>
      </c>
      <c r="I10" s="137">
        <f>IF(SER_hh_tes!I10=0,"",SER_hh_tes!I10/SER_hh_fec!I10)</f>
        <v>0.46476784128689269</v>
      </c>
      <c r="J10" s="137">
        <f>IF(SER_hh_tes!J10=0,"",SER_hh_tes!J10/SER_hh_fec!J10)</f>
        <v>0.47031435122909471</v>
      </c>
      <c r="K10" s="137">
        <f>IF(SER_hh_tes!K10=0,"",SER_hh_tes!K10/SER_hh_fec!K10)</f>
        <v>0.47445001551633148</v>
      </c>
      <c r="L10" s="137">
        <f>IF(SER_hh_tes!L10=0,"",SER_hh_tes!L10/SER_hh_fec!L10)</f>
        <v>0.47909742210086159</v>
      </c>
      <c r="M10" s="137">
        <f>IF(SER_hh_tes!M10=0,"",SER_hh_tes!M10/SER_hh_fec!M10)</f>
        <v>0.48637409385551983</v>
      </c>
      <c r="N10" s="137">
        <f>IF(SER_hh_tes!N10=0,"",SER_hh_tes!N10/SER_hh_fec!N10)</f>
        <v>0.49473371232956798</v>
      </c>
      <c r="O10" s="137">
        <f>IF(SER_hh_tes!O10=0,"",SER_hh_tes!O10/SER_hh_fec!O10)</f>
        <v>0.49977721422932375</v>
      </c>
      <c r="P10" s="137">
        <f>IF(SER_hh_tes!P10=0,"",SER_hh_tes!P10/SER_hh_fec!P10)</f>
        <v>0.50008960117594081</v>
      </c>
      <c r="Q10" s="137">
        <f>IF(SER_hh_tes!Q10=0,"",SER_hh_tes!Q10/SER_hh_fec!Q10)</f>
        <v>0.50029018257748104</v>
      </c>
      <c r="R10" s="137">
        <f>IF(SER_hh_tes!R10=0,"",SER_hh_tes!R10/SER_hh_fec!R10)</f>
        <v>0.50042843652955227</v>
      </c>
      <c r="S10" s="137">
        <f>IF(SER_hh_tes!S10=0,"",SER_hh_tes!S10/SER_hh_fec!S10)</f>
        <v>0.50053796168407549</v>
      </c>
      <c r="T10" s="137">
        <f>IF(SER_hh_tes!T10=0,"",SER_hh_tes!T10/SER_hh_fec!T10)</f>
        <v>0.50061370712133779</v>
      </c>
      <c r="U10" s="137">
        <f>IF(SER_hh_tes!U10=0,"",SER_hh_tes!U10/SER_hh_fec!U10)</f>
        <v>0.50066281729776962</v>
      </c>
      <c r="V10" s="137">
        <f>IF(SER_hh_tes!V10=0,"",SER_hh_tes!V10/SER_hh_fec!V10)</f>
        <v>0.50070886474270282</v>
      </c>
      <c r="W10" s="137">
        <f>IF(SER_hh_tes!W10=0,"",SER_hh_tes!W10/SER_hh_fec!W10)</f>
        <v>0.50079991176434668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0.68106447814599957</v>
      </c>
      <c r="C11" s="137">
        <f>IF(SER_hh_tes!C11=0,"",SER_hh_tes!C11/SER_hh_fec!C11)</f>
        <v>0.68106447814599957</v>
      </c>
      <c r="D11" s="137">
        <f>IF(SER_hh_tes!D11=0,"",SER_hh_tes!D11/SER_hh_fec!D11)</f>
        <v>0.68106447814599957</v>
      </c>
      <c r="E11" s="137">
        <f>IF(SER_hh_tes!E11=0,"",SER_hh_tes!E11/SER_hh_fec!E11)</f>
        <v>0.68106447814599957</v>
      </c>
      <c r="F11" s="137">
        <f>IF(SER_hh_tes!F11=0,"",SER_hh_tes!F11/SER_hh_fec!F11)</f>
        <v>0.68106447814599957</v>
      </c>
      <c r="G11" s="137">
        <f>IF(SER_hh_tes!G11=0,"",SER_hh_tes!G11/SER_hh_fec!G11)</f>
        <v>0.68106447814599957</v>
      </c>
      <c r="H11" s="137">
        <f>IF(SER_hh_tes!H11=0,"",SER_hh_tes!H11/SER_hh_fec!H11)</f>
        <v>0.68106447814599957</v>
      </c>
      <c r="I11" s="137">
        <f>IF(SER_hh_tes!I11=0,"",SER_hh_tes!I11/SER_hh_fec!I11)</f>
        <v>0.68106447814599957</v>
      </c>
      <c r="J11" s="137">
        <f>IF(SER_hh_tes!J11=0,"",SER_hh_tes!J11/SER_hh_fec!J11)</f>
        <v>0.68106447814599957</v>
      </c>
      <c r="K11" s="137">
        <f>IF(SER_hh_tes!K11=0,"",SER_hh_tes!K11/SER_hh_fec!K11)</f>
        <v>0.68106447814599957</v>
      </c>
      <c r="L11" s="137">
        <f>IF(SER_hh_tes!L11=0,"",SER_hh_tes!L11/SER_hh_fec!L11)</f>
        <v>0.68106447814599957</v>
      </c>
      <c r="M11" s="137">
        <f>IF(SER_hh_tes!M11=0,"",SER_hh_tes!M11/SER_hh_fec!M11)</f>
        <v>0.68224203813411877</v>
      </c>
      <c r="N11" s="137">
        <f>IF(SER_hh_tes!N11=0,"",SER_hh_tes!N11/SER_hh_fec!N11)</f>
        <v>0.69551193318272198</v>
      </c>
      <c r="O11" s="137">
        <f>IF(SER_hh_tes!O11=0,"",SER_hh_tes!O11/SER_hh_fec!O11)</f>
        <v>0.77837667395813148</v>
      </c>
      <c r="P11" s="137">
        <f>IF(SER_hh_tes!P11=0,"",SER_hh_tes!P11/SER_hh_fec!P11)</f>
        <v>0.77926797580991392</v>
      </c>
      <c r="Q11" s="137">
        <f>IF(SER_hh_tes!Q11=0,"",SER_hh_tes!Q11/SER_hh_fec!Q11)</f>
        <v>0.77957889265605707</v>
      </c>
      <c r="R11" s="137">
        <f>IF(SER_hh_tes!R11=0,"",SER_hh_tes!R11/SER_hh_fec!R11)</f>
        <v>0.77958519669436233</v>
      </c>
      <c r="S11" s="137">
        <f>IF(SER_hh_tes!S11=0,"",SER_hh_tes!S11/SER_hh_fec!S11)</f>
        <v>0.77958519669436255</v>
      </c>
      <c r="T11" s="137">
        <f>IF(SER_hh_tes!T11=0,"",SER_hh_tes!T11/SER_hh_fec!T11)</f>
        <v>0.77958519669436244</v>
      </c>
      <c r="U11" s="137">
        <f>IF(SER_hh_tes!U11=0,"",SER_hh_tes!U11/SER_hh_fec!U11)</f>
        <v>0.77958519669436244</v>
      </c>
      <c r="V11" s="137">
        <f>IF(SER_hh_tes!V11=0,"",SER_hh_tes!V11/SER_hh_fec!V11)</f>
        <v>0.77958519669436221</v>
      </c>
      <c r="W11" s="137">
        <f>IF(SER_hh_tes!W11=0,"",SER_hh_tes!W11/SER_hh_fec!W11)</f>
        <v>0.77958519669436244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1.2304286687761563</v>
      </c>
      <c r="C13" s="137">
        <f>IF(SER_hh_tes!C13=0,"",SER_hh_tes!C13/SER_hh_fec!C13)</f>
        <v>1.2738334810149101</v>
      </c>
      <c r="D13" s="137">
        <f>IF(SER_hh_tes!D13=0,"",SER_hh_tes!D13/SER_hh_fec!D13)</f>
        <v>1.3558917220296165</v>
      </c>
      <c r="E13" s="137">
        <f>IF(SER_hh_tes!E13=0,"",SER_hh_tes!E13/SER_hh_fec!E13)</f>
        <v>1.4439315448749319</v>
      </c>
      <c r="F13" s="137">
        <f>IF(SER_hh_tes!F13=0,"",SER_hh_tes!F13/SER_hh_fec!F13)</f>
        <v>1.5003252694400731</v>
      </c>
      <c r="G13" s="137">
        <f>IF(SER_hh_tes!G13=0,"",SER_hh_tes!G13/SER_hh_fec!G13)</f>
        <v>1.6017044977626524</v>
      </c>
      <c r="H13" s="137">
        <f>IF(SER_hh_tes!H13=0,"",SER_hh_tes!H13/SER_hh_fec!H13)</f>
        <v>1.7162216994364701</v>
      </c>
      <c r="I13" s="137">
        <f>IF(SER_hh_tes!I13=0,"",SER_hh_tes!I13/SER_hh_fec!I13)</f>
        <v>1.8804095881963663</v>
      </c>
      <c r="J13" s="137">
        <f>IF(SER_hh_tes!J13=0,"",SER_hh_tes!J13/SER_hh_fec!J13)</f>
        <v>1.9978400384528168</v>
      </c>
      <c r="K13" s="137">
        <f>IF(SER_hh_tes!K13=0,"",SER_hh_tes!K13/SER_hh_fec!K13)</f>
        <v>2.0788947860058582</v>
      </c>
      <c r="L13" s="137">
        <f>IF(SER_hh_tes!L13=0,"",SER_hh_tes!L13/SER_hh_fec!L13)</f>
        <v>2.1540538552166342</v>
      </c>
      <c r="M13" s="137">
        <f>IF(SER_hh_tes!M13=0,"",SER_hh_tes!M13/SER_hh_fec!M13)</f>
        <v>2.2826518155832605</v>
      </c>
      <c r="N13" s="137">
        <f>IF(SER_hh_tes!N13=0,"",SER_hh_tes!N13/SER_hh_fec!N13)</f>
        <v>2.4964864736936394</v>
      </c>
      <c r="O13" s="137">
        <f>IF(SER_hh_tes!O13=0,"",SER_hh_tes!O13/SER_hh_fec!O13)</f>
        <v>2.7141341407202302</v>
      </c>
      <c r="P13" s="137">
        <f>IF(SER_hh_tes!P13=0,"",SER_hh_tes!P13/SER_hh_fec!P13)</f>
        <v>2.9150746315882761</v>
      </c>
      <c r="Q13" s="137">
        <f>IF(SER_hh_tes!Q13=0,"",SER_hh_tes!Q13/SER_hh_fec!Q13)</f>
        <v>3.0605191169618369</v>
      </c>
      <c r="R13" s="137">
        <f>IF(SER_hh_tes!R13=0,"",SER_hh_tes!R13/SER_hh_fec!R13)</f>
        <v>3.1498327085989213</v>
      </c>
      <c r="S13" s="137">
        <f>IF(SER_hh_tes!S13=0,"",SER_hh_tes!S13/SER_hh_fec!S13)</f>
        <v>3.2140147927771086</v>
      </c>
      <c r="T13" s="137">
        <f>IF(SER_hh_tes!T13=0,"",SER_hh_tes!T13/SER_hh_fec!T13)</f>
        <v>3.2676459644424858</v>
      </c>
      <c r="U13" s="137">
        <f>IF(SER_hh_tes!U13=0,"",SER_hh_tes!U13/SER_hh_fec!U13)</f>
        <v>3.3217698784956289</v>
      </c>
      <c r="V13" s="137">
        <f>IF(SER_hh_tes!V13=0,"",SER_hh_tes!V13/SER_hh_fec!V13)</f>
        <v>3.3763906745916259</v>
      </c>
      <c r="W13" s="137">
        <f>IF(SER_hh_tes!W13=0,"",SER_hh_tes!W13/SER_hh_fec!W13)</f>
        <v>3.4136345463122484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0.62878993644812664</v>
      </c>
      <c r="C14" s="138">
        <f>IF(SER_hh_tes!C14=0,"",SER_hh_tes!C14/SER_hh_fec!C14)</f>
        <v>0.62878993644812664</v>
      </c>
      <c r="D14" s="138">
        <f>IF(SER_hh_tes!D14=0,"",SER_hh_tes!D14/SER_hh_fec!D14)</f>
        <v>0.62878993644812664</v>
      </c>
      <c r="E14" s="138">
        <f>IF(SER_hh_tes!E14=0,"",SER_hh_tes!E14/SER_hh_fec!E14)</f>
        <v>0.62878993644812664</v>
      </c>
      <c r="F14" s="138">
        <f>IF(SER_hh_tes!F14=0,"",SER_hh_tes!F14/SER_hh_fec!F14)</f>
        <v>0.63721408780948741</v>
      </c>
      <c r="G14" s="138">
        <f>IF(SER_hh_tes!G14=0,"",SER_hh_tes!G14/SER_hh_fec!G14)</f>
        <v>0.64522259783315716</v>
      </c>
      <c r="H14" s="138">
        <f>IF(SER_hh_tes!H14=0,"",SER_hh_tes!H14/SER_hh_fec!H14)</f>
        <v>0.65795728586707769</v>
      </c>
      <c r="I14" s="138">
        <f>IF(SER_hh_tes!I14=0,"",SER_hh_tes!I14/SER_hh_fec!I14)</f>
        <v>0.66299492675247107</v>
      </c>
      <c r="J14" s="138">
        <f>IF(SER_hh_tes!J14=0,"",SER_hh_tes!J14/SER_hh_fec!J14)</f>
        <v>0.66833502405711853</v>
      </c>
      <c r="K14" s="138">
        <f>IF(SER_hh_tes!K14=0,"",SER_hh_tes!K14/SER_hh_fec!K14)</f>
        <v>0.67134809560437403</v>
      </c>
      <c r="L14" s="138">
        <f>IF(SER_hh_tes!L14=0,"",SER_hh_tes!L14/SER_hh_fec!L14)</f>
        <v>0.67345530886831551</v>
      </c>
      <c r="M14" s="138">
        <f>IF(SER_hh_tes!M14=0,"",SER_hh_tes!M14/SER_hh_fec!M14)</f>
        <v>0.67564086974350268</v>
      </c>
      <c r="N14" s="138">
        <f>IF(SER_hh_tes!N14=0,"",SER_hh_tes!N14/SER_hh_fec!N14)</f>
        <v>0.67782343367233866</v>
      </c>
      <c r="O14" s="138">
        <f>IF(SER_hh_tes!O14=0,"",SER_hh_tes!O14/SER_hh_fec!O14)</f>
        <v>0.680800699652788</v>
      </c>
      <c r="P14" s="138">
        <f>IF(SER_hh_tes!P14=0,"",SER_hh_tes!P14/SER_hh_fec!P14)</f>
        <v>0.68080069965278822</v>
      </c>
      <c r="Q14" s="138">
        <f>IF(SER_hh_tes!Q14=0,"",SER_hh_tes!Q14/SER_hh_fec!Q14)</f>
        <v>0.68080069965278844</v>
      </c>
      <c r="R14" s="138">
        <f>IF(SER_hh_tes!R14=0,"",SER_hh_tes!R14/SER_hh_fec!R14)</f>
        <v>0.68080069965278833</v>
      </c>
      <c r="S14" s="138">
        <f>IF(SER_hh_tes!S14=0,"",SER_hh_tes!S14/SER_hh_fec!S14)</f>
        <v>0.70062752521516292</v>
      </c>
      <c r="T14" s="138">
        <f>IF(SER_hh_tes!T14=0,"",SER_hh_tes!T14/SER_hh_fec!T14)</f>
        <v>0.70958164836171533</v>
      </c>
      <c r="U14" s="138">
        <f>IF(SER_hh_tes!U14=0,"",SER_hh_tes!U14/SER_hh_fec!U14)</f>
        <v>0.71242787110513028</v>
      </c>
      <c r="V14" s="138">
        <f>IF(SER_hh_tes!V14=0,"",SER_hh_tes!V14/SER_hh_fec!V14)</f>
        <v>0.71447944040330402</v>
      </c>
      <c r="W14" s="138">
        <f>IF(SER_hh_tes!W14=0,"",SER_hh_tes!W14/SER_hh_fec!W14)</f>
        <v>0.72213462905253489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1.687214413205179</v>
      </c>
      <c r="C16" s="136">
        <f>IF(SER_hh_tes!C16=0,"",SER_hh_tes!C16/SER_hh_fec!C16)</f>
        <v>1.7819997698051533</v>
      </c>
      <c r="D16" s="136">
        <f>IF(SER_hh_tes!D16=0,"",SER_hh_tes!D16/SER_hh_fec!D16)</f>
        <v>1.8829724077338077</v>
      </c>
      <c r="E16" s="136">
        <f>IF(SER_hh_tes!E16=0,"",SER_hh_tes!E16/SER_hh_fec!E16)</f>
        <v>1.9304023628451492</v>
      </c>
      <c r="F16" s="136">
        <f>IF(SER_hh_tes!F16=0,"",SER_hh_tes!F16/SER_hh_fec!F16)</f>
        <v>2.0757548218647379</v>
      </c>
      <c r="G16" s="136">
        <f>IF(SER_hh_tes!G16=0,"",SER_hh_tes!G16/SER_hh_fec!G16)</f>
        <v>2.1719647544942187</v>
      </c>
      <c r="H16" s="136">
        <f>IF(SER_hh_tes!H16=0,"",SER_hh_tes!H16/SER_hh_fec!H16)</f>
        <v>2.2694741915311085</v>
      </c>
      <c r="I16" s="136">
        <f>IF(SER_hh_tes!I16=0,"",SER_hh_tes!I16/SER_hh_fec!I16)</f>
        <v>2.3728398004946465</v>
      </c>
      <c r="J16" s="136">
        <f>IF(SER_hh_tes!J16=0,"",SER_hh_tes!J16/SER_hh_fec!J16)</f>
        <v>2.4638844493567849</v>
      </c>
      <c r="K16" s="136">
        <f>IF(SER_hh_tes!K16=0,"",SER_hh_tes!K16/SER_hh_fec!K16)</f>
        <v>2.5079070724873285</v>
      </c>
      <c r="L16" s="136">
        <f>IF(SER_hh_tes!L16=0,"",SER_hh_tes!L16/SER_hh_fec!L16)</f>
        <v>2.5582228627728996</v>
      </c>
      <c r="M16" s="136">
        <f>IF(SER_hh_tes!M16=0,"",SER_hh_tes!M16/SER_hh_fec!M16)</f>
        <v>2.6214467754899347</v>
      </c>
      <c r="N16" s="136">
        <f>IF(SER_hh_tes!N16=0,"",SER_hh_tes!N16/SER_hh_fec!N16)</f>
        <v>2.6842610424664959</v>
      </c>
      <c r="O16" s="136">
        <f>IF(SER_hh_tes!O16=0,"",SER_hh_tes!O16/SER_hh_fec!O16)</f>
        <v>2.7486378207843867</v>
      </c>
      <c r="P16" s="136">
        <f>IF(SER_hh_tes!P16=0,"",SER_hh_tes!P16/SER_hh_fec!P16)</f>
        <v>2.8452612807165569</v>
      </c>
      <c r="Q16" s="136">
        <f>IF(SER_hh_tes!Q16=0,"",SER_hh_tes!Q16/SER_hh_fec!Q16)</f>
        <v>2.9394582850606508</v>
      </c>
      <c r="R16" s="136">
        <f>IF(SER_hh_tes!R16=0,"",SER_hh_tes!R16/SER_hh_fec!R16)</f>
        <v>3.0396227712274402</v>
      </c>
      <c r="S16" s="136">
        <f>IF(SER_hh_tes!S16=0,"",SER_hh_tes!S16/SER_hh_fec!S16)</f>
        <v>3.1451920528510167</v>
      </c>
      <c r="T16" s="136">
        <f>IF(SER_hh_tes!T16=0,"",SER_hh_tes!T16/SER_hh_fec!T16)</f>
        <v>3.2396811507532988</v>
      </c>
      <c r="U16" s="136">
        <f>IF(SER_hh_tes!U16=0,"",SER_hh_tes!U16/SER_hh_fec!U16)</f>
        <v>3.3304090950670342</v>
      </c>
      <c r="V16" s="136">
        <f>IF(SER_hh_tes!V16=0,"",SER_hh_tes!V16/SER_hh_fec!V16)</f>
        <v>3.4059649473349585</v>
      </c>
      <c r="W16" s="136">
        <f>IF(SER_hh_tes!W16=0,"",SER_hh_tes!W16/SER_hh_fec!W16)</f>
        <v>3.4934273010942629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1.2073753002720717</v>
      </c>
      <c r="C17" s="137">
        <f>IF(SER_hh_tes!C17=0,"",SER_hh_tes!C17/SER_hh_fec!C17)</f>
        <v>1.2138409971203699</v>
      </c>
      <c r="D17" s="137">
        <f>IF(SER_hh_tes!D17=0,"",SER_hh_tes!D17/SER_hh_fec!D17)</f>
        <v>1.2183417792278144</v>
      </c>
      <c r="E17" s="137">
        <f>IF(SER_hh_tes!E17=0,"",SER_hh_tes!E17/SER_hh_fec!E17)</f>
        <v>1.2275368137160967</v>
      </c>
      <c r="F17" s="137">
        <f>IF(SER_hh_tes!F17=0,"",SER_hh_tes!F17/SER_hh_fec!F17)</f>
        <v>1.2336699424683311</v>
      </c>
      <c r="G17" s="137">
        <f>IF(SER_hh_tes!G17=0,"",SER_hh_tes!G17/SER_hh_fec!G17)</f>
        <v>1.2376399446052462</v>
      </c>
      <c r="H17" s="137">
        <f>IF(SER_hh_tes!H17=0,"",SER_hh_tes!H17/SER_hh_fec!H17)</f>
        <v>1.2405824147120552</v>
      </c>
      <c r="I17" s="137">
        <f>IF(SER_hh_tes!I17=0,"",SER_hh_tes!I17/SER_hh_fec!I17)</f>
        <v>1.2437910928157596</v>
      </c>
      <c r="J17" s="137">
        <f>IF(SER_hh_tes!J17=0,"",SER_hh_tes!J17/SER_hh_fec!J17)</f>
        <v>1.2458740676536975</v>
      </c>
      <c r="K17" s="137">
        <f>IF(SER_hh_tes!K17=0,"",SER_hh_tes!K17/SER_hh_fec!K17)</f>
        <v>1.2466219720618559</v>
      </c>
      <c r="L17" s="137">
        <f>IF(SER_hh_tes!L17=0,"",SER_hh_tes!L17/SER_hh_fec!L17)</f>
        <v>1.2476824496610224</v>
      </c>
      <c r="M17" s="137">
        <f>IF(SER_hh_tes!M17=0,"",SER_hh_tes!M17/SER_hh_fec!M17)</f>
        <v>1.2497270862879262</v>
      </c>
      <c r="N17" s="137">
        <f>IF(SER_hh_tes!N17=0,"",SER_hh_tes!N17/SER_hh_fec!N17)</f>
        <v>1.2531964575522518</v>
      </c>
      <c r="O17" s="137">
        <f>IF(SER_hh_tes!O17=0,"",SER_hh_tes!O17/SER_hh_fec!O17)</f>
        <v>1.2631153477214969</v>
      </c>
      <c r="P17" s="137">
        <f>IF(SER_hh_tes!P17=0,"",SER_hh_tes!P17/SER_hh_fec!P17)</f>
        <v>1.2739580447385033</v>
      </c>
      <c r="Q17" s="137">
        <f>IF(SER_hh_tes!Q17=0,"",SER_hh_tes!Q17/SER_hh_fec!Q17)</f>
        <v>1.2912006409044243</v>
      </c>
      <c r="R17" s="137">
        <f>IF(SER_hh_tes!R17=0,"",SER_hh_tes!R17/SER_hh_fec!R17)</f>
        <v>1.3111063232266802</v>
      </c>
      <c r="S17" s="137">
        <f>IF(SER_hh_tes!S17=0,"",SER_hh_tes!S17/SER_hh_fec!S17)</f>
        <v>1.328724217131211</v>
      </c>
      <c r="T17" s="137">
        <f>IF(SER_hh_tes!T17=0,"",SER_hh_tes!T17/SER_hh_fec!T17)</f>
        <v>1.3560851939962655</v>
      </c>
      <c r="U17" s="137">
        <f>IF(SER_hh_tes!U17=0,"",SER_hh_tes!U17/SER_hh_fec!U17)</f>
        <v>1.3762964790725942</v>
      </c>
      <c r="V17" s="137">
        <f>IF(SER_hh_tes!V17=0,"",SER_hh_tes!V17/SER_hh_fec!V17)</f>
        <v>1.3988978615915857</v>
      </c>
      <c r="W17" s="137">
        <f>IF(SER_hh_tes!W17=0,"",SER_hh_tes!W17/SER_hh_fec!W17)</f>
        <v>1.4149940387357023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1.6877928565410898</v>
      </c>
      <c r="C18" s="137">
        <f>IF(SER_hh_tes!C18=0,"",SER_hh_tes!C18/SER_hh_fec!C18)</f>
        <v>1.7827049008134626</v>
      </c>
      <c r="D18" s="137">
        <f>IF(SER_hh_tes!D18=0,"",SER_hh_tes!D18/SER_hh_fec!D18)</f>
        <v>1.8837471584310324</v>
      </c>
      <c r="E18" s="137">
        <f>IF(SER_hh_tes!E18=0,"",SER_hh_tes!E18/SER_hh_fec!E18)</f>
        <v>1.9315823362645757</v>
      </c>
      <c r="F18" s="137">
        <f>IF(SER_hh_tes!F18=0,"",SER_hh_tes!F18/SER_hh_fec!F18)</f>
        <v>2.077248049893627</v>
      </c>
      <c r="G18" s="137">
        <f>IF(SER_hh_tes!G18=0,"",SER_hh_tes!G18/SER_hh_fec!G18)</f>
        <v>2.1737785457614311</v>
      </c>
      <c r="H18" s="137">
        <f>IF(SER_hh_tes!H18=0,"",SER_hh_tes!H18/SER_hh_fec!H18)</f>
        <v>2.2715443508281772</v>
      </c>
      <c r="I18" s="137">
        <f>IF(SER_hh_tes!I18=0,"",SER_hh_tes!I18/SER_hh_fec!I18)</f>
        <v>2.3755721225861324</v>
      </c>
      <c r="J18" s="137">
        <f>IF(SER_hh_tes!J18=0,"",SER_hh_tes!J18/SER_hh_fec!J18)</f>
        <v>2.4673514117806463</v>
      </c>
      <c r="K18" s="137">
        <f>IF(SER_hh_tes!K18=0,"",SER_hh_tes!K18/SER_hh_fec!K18)</f>
        <v>2.5118055136262414</v>
      </c>
      <c r="L18" s="137">
        <f>IF(SER_hh_tes!L18=0,"",SER_hh_tes!L18/SER_hh_fec!L18)</f>
        <v>2.5628526648469365</v>
      </c>
      <c r="M18" s="137">
        <f>IF(SER_hh_tes!M18=0,"",SER_hh_tes!M18/SER_hh_fec!M18)</f>
        <v>2.6271180141591137</v>
      </c>
      <c r="N18" s="137">
        <f>IF(SER_hh_tes!N18=0,"",SER_hh_tes!N18/SER_hh_fec!N18)</f>
        <v>2.6909186902362663</v>
      </c>
      <c r="O18" s="137">
        <f>IF(SER_hh_tes!O18=0,"",SER_hh_tes!O18/SER_hh_fec!O18)</f>
        <v>2.757376695961498</v>
      </c>
      <c r="P18" s="137">
        <f>IF(SER_hh_tes!P18=0,"",SER_hh_tes!P18/SER_hh_fec!P18)</f>
        <v>2.8559016710069542</v>
      </c>
      <c r="Q18" s="137">
        <f>IF(SER_hh_tes!Q18=0,"",SER_hh_tes!Q18/SER_hh_fec!Q18)</f>
        <v>2.9528176192504207</v>
      </c>
      <c r="R18" s="137">
        <f>IF(SER_hh_tes!R18=0,"",SER_hh_tes!R18/SER_hh_fec!R18)</f>
        <v>3.0564099089799255</v>
      </c>
      <c r="S18" s="137">
        <f>IF(SER_hh_tes!S18=0,"",SER_hh_tes!S18/SER_hh_fec!S18)</f>
        <v>3.1648309634138774</v>
      </c>
      <c r="T18" s="137">
        <f>IF(SER_hh_tes!T18=0,"",SER_hh_tes!T18/SER_hh_fec!T18)</f>
        <v>3.2641665385493726</v>
      </c>
      <c r="U18" s="137">
        <f>IF(SER_hh_tes!U18=0,"",SER_hh_tes!U18/SER_hh_fec!U18)</f>
        <v>3.3576529228808334</v>
      </c>
      <c r="V18" s="137">
        <f>IF(SER_hh_tes!V18=0,"",SER_hh_tes!V18/SER_hh_fec!V18)</f>
        <v>3.4333235517676997</v>
      </c>
      <c r="W18" s="137">
        <f>IF(SER_hh_tes!W18=0,"",SER_hh_tes!W18/SER_hh_fec!W18)</f>
        <v>3.5233699537452732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0.52778658198955264</v>
      </c>
      <c r="C19" s="136">
        <f>IF(SER_hh_tes!C19=0,"",SER_hh_tes!C19/SER_hh_fec!C19)</f>
        <v>0.53358481861227147</v>
      </c>
      <c r="D19" s="136">
        <f>IF(SER_hh_tes!D19=0,"",SER_hh_tes!D19/SER_hh_fec!D19)</f>
        <v>0.5413917908275363</v>
      </c>
      <c r="E19" s="136">
        <f>IF(SER_hh_tes!E19=0,"",SER_hh_tes!E19/SER_hh_fec!E19)</f>
        <v>0.55141933482276195</v>
      </c>
      <c r="F19" s="136">
        <f>IF(SER_hh_tes!F19=0,"",SER_hh_tes!F19/SER_hh_fec!F19)</f>
        <v>0.55473146672032436</v>
      </c>
      <c r="G19" s="136">
        <f>IF(SER_hh_tes!G19=0,"",SER_hh_tes!G19/SER_hh_fec!G19)</f>
        <v>0.55833177457074501</v>
      </c>
      <c r="H19" s="136">
        <f>IF(SER_hh_tes!H19=0,"",SER_hh_tes!H19/SER_hh_fec!H19)</f>
        <v>0.55643613183342056</v>
      </c>
      <c r="I19" s="136">
        <f>IF(SER_hh_tes!I19=0,"",SER_hh_tes!I19/SER_hh_fec!I19)</f>
        <v>0.5630793353508573</v>
      </c>
      <c r="J19" s="136">
        <f>IF(SER_hh_tes!J19=0,"",SER_hh_tes!J19/SER_hh_fec!J19)</f>
        <v>0.57038567537618634</v>
      </c>
      <c r="K19" s="136">
        <f>IF(SER_hh_tes!K19=0,"",SER_hh_tes!K19/SER_hh_fec!K19)</f>
        <v>0.57539844452875755</v>
      </c>
      <c r="L19" s="136">
        <f>IF(SER_hh_tes!L19=0,"",SER_hh_tes!L19/SER_hh_fec!L19)</f>
        <v>0.58151643102966466</v>
      </c>
      <c r="M19" s="136">
        <f>IF(SER_hh_tes!M19=0,"",SER_hh_tes!M19/SER_hh_fec!M19)</f>
        <v>0.58746923176964827</v>
      </c>
      <c r="N19" s="136">
        <f>IF(SER_hh_tes!N19=0,"",SER_hh_tes!N19/SER_hh_fec!N19)</f>
        <v>0.59317794701946569</v>
      </c>
      <c r="O19" s="136">
        <f>IF(SER_hh_tes!O19=0,"",SER_hh_tes!O19/SER_hh_fec!O19)</f>
        <v>0.60077342627247077</v>
      </c>
      <c r="P19" s="136">
        <f>IF(SER_hh_tes!P19=0,"",SER_hh_tes!P19/SER_hh_fec!P19)</f>
        <v>0.60424307731218563</v>
      </c>
      <c r="Q19" s="136">
        <f>IF(SER_hh_tes!Q19=0,"",SER_hh_tes!Q19/SER_hh_fec!Q19)</f>
        <v>0.61128911661783913</v>
      </c>
      <c r="R19" s="136">
        <f>IF(SER_hh_tes!R19=0,"",SER_hh_tes!R19/SER_hh_fec!R19)</f>
        <v>0.62001696505345305</v>
      </c>
      <c r="S19" s="136">
        <f>IF(SER_hh_tes!S19=0,"",SER_hh_tes!S19/SER_hh_fec!S19)</f>
        <v>0.63329150063676887</v>
      </c>
      <c r="T19" s="136">
        <f>IF(SER_hh_tes!T19=0,"",SER_hh_tes!T19/SER_hh_fec!T19)</f>
        <v>0.65023191402261793</v>
      </c>
      <c r="U19" s="136">
        <f>IF(SER_hh_tes!U19=0,"",SER_hh_tes!U19/SER_hh_fec!U19)</f>
        <v>0.66603781410103757</v>
      </c>
      <c r="V19" s="136">
        <f>IF(SER_hh_tes!V19=0,"",SER_hh_tes!V19/SER_hh_fec!V19)</f>
        <v>0.68108049929892456</v>
      </c>
      <c r="W19" s="136">
        <f>IF(SER_hh_tes!W19=0,"",SER_hh_tes!W19/SER_hh_fec!W19)</f>
        <v>0.69669207530900046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0.49222266325042863</v>
      </c>
      <c r="C21" s="137">
        <f>IF(SER_hh_tes!C21=0,"",SER_hh_tes!C21/SER_hh_fec!C21)</f>
        <v>0.49299891204802249</v>
      </c>
      <c r="D21" s="137">
        <f>IF(SER_hh_tes!D21=0,"",SER_hh_tes!D21/SER_hh_fec!D21)</f>
        <v>0.49389383211858867</v>
      </c>
      <c r="E21" s="137">
        <f>IF(SER_hh_tes!E21=0,"",SER_hh_tes!E21/SER_hh_fec!E21)</f>
        <v>0.4949872264538635</v>
      </c>
      <c r="F21" s="137">
        <f>IF(SER_hh_tes!F21=0,"",SER_hh_tes!F21/SER_hh_fec!F21)</f>
        <v>0.49587198468682986</v>
      </c>
      <c r="G21" s="137">
        <f>IF(SER_hh_tes!G21=0,"",SER_hh_tes!G21/SER_hh_fec!G21)</f>
        <v>0.49771272876377853</v>
      </c>
      <c r="H21" s="137">
        <f>IF(SER_hh_tes!H21=0,"",SER_hh_tes!H21/SER_hh_fec!H21)</f>
        <v>0.50017424235579333</v>
      </c>
      <c r="I21" s="137">
        <f>IF(SER_hh_tes!I21=0,"",SER_hh_tes!I21/SER_hh_fec!I21)</f>
        <v>0.50334583850022707</v>
      </c>
      <c r="J21" s="137">
        <f>IF(SER_hh_tes!J21=0,"",SER_hh_tes!J21/SER_hh_fec!J21)</f>
        <v>0.50683575556433369</v>
      </c>
      <c r="K21" s="137">
        <f>IF(SER_hh_tes!K21=0,"",SER_hh_tes!K21/SER_hh_fec!K21)</f>
        <v>0.5107782691406102</v>
      </c>
      <c r="L21" s="137">
        <f>IF(SER_hh_tes!L21=0,"",SER_hh_tes!L21/SER_hh_fec!L21)</f>
        <v>0.51572798739539205</v>
      </c>
      <c r="M21" s="137">
        <f>IF(SER_hh_tes!M21=0,"",SER_hh_tes!M21/SER_hh_fec!M21)</f>
        <v>0.52208110563270738</v>
      </c>
      <c r="N21" s="137">
        <f>IF(SER_hh_tes!N21=0,"",SER_hh_tes!N21/SER_hh_fec!N21)</f>
        <v>0.53117772347684056</v>
      </c>
      <c r="O21" s="137">
        <f>IF(SER_hh_tes!O21=0,"",SER_hh_tes!O21/SER_hh_fec!O21)</f>
        <v>0.54204971372622368</v>
      </c>
      <c r="P21" s="137">
        <f>IF(SER_hh_tes!P21=0,"",SER_hh_tes!P21/SER_hh_fec!P21)</f>
        <v>0.54753267739234512</v>
      </c>
      <c r="Q21" s="137">
        <f>IF(SER_hh_tes!Q21=0,"",SER_hh_tes!Q21/SER_hh_fec!Q21)</f>
        <v>0.5573352674224461</v>
      </c>
      <c r="R21" s="137">
        <f>IF(SER_hh_tes!R21=0,"",SER_hh_tes!R21/SER_hh_fec!R21)</f>
        <v>0.5683590176996518</v>
      </c>
      <c r="S21" s="137">
        <f>IF(SER_hh_tes!S21=0,"",SER_hh_tes!S21/SER_hh_fec!S21)</f>
        <v>0.57762563445124526</v>
      </c>
      <c r="T21" s="137">
        <f>IF(SER_hh_tes!T21=0,"",SER_hh_tes!T21/SER_hh_fec!T21)</f>
        <v>0.58114685418713974</v>
      </c>
      <c r="U21" s="137">
        <f>IF(SER_hh_tes!U21=0,"",SER_hh_tes!U21/SER_hh_fec!U21)</f>
        <v>0.58497443042421138</v>
      </c>
      <c r="V21" s="137">
        <f>IF(SER_hh_tes!V21=0,"",SER_hh_tes!V21/SER_hh_fec!V21)</f>
        <v>0.58786363425692267</v>
      </c>
      <c r="W21" s="137">
        <f>IF(SER_hh_tes!W21=0,"",SER_hh_tes!W21/SER_hh_fec!W21)</f>
        <v>0.59068265282168742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0.46386512786174527</v>
      </c>
      <c r="C22" s="137">
        <f>IF(SER_hh_tes!C22=0,"",SER_hh_tes!C22/SER_hh_fec!C22)</f>
        <v>0.4650998758780151</v>
      </c>
      <c r="D22" s="137">
        <f>IF(SER_hh_tes!D22=0,"",SER_hh_tes!D22/SER_hh_fec!D22)</f>
        <v>0.46648656976183256</v>
      </c>
      <c r="E22" s="137">
        <f>IF(SER_hh_tes!E22=0,"",SER_hh_tes!E22/SER_hh_fec!E22)</f>
        <v>0.46823145196667387</v>
      </c>
      <c r="F22" s="137">
        <f>IF(SER_hh_tes!F22=0,"",SER_hh_tes!F22/SER_hh_fec!F22)</f>
        <v>0.46971499478919476</v>
      </c>
      <c r="G22" s="137">
        <f>IF(SER_hh_tes!G22=0,"",SER_hh_tes!G22/SER_hh_fec!G22)</f>
        <v>0.47151997010897528</v>
      </c>
      <c r="H22" s="137">
        <f>IF(SER_hh_tes!H22=0,"",SER_hh_tes!H22/SER_hh_fec!H22)</f>
        <v>0.47323675411660465</v>
      </c>
      <c r="I22" s="137">
        <f>IF(SER_hh_tes!I22=0,"",SER_hh_tes!I22/SER_hh_fec!I22)</f>
        <v>0.47516572875659335</v>
      </c>
      <c r="J22" s="137">
        <f>IF(SER_hh_tes!J22=0,"",SER_hh_tes!J22/SER_hh_fec!J22)</f>
        <v>0.47760255115823902</v>
      </c>
      <c r="K22" s="137">
        <f>IF(SER_hh_tes!K22=0,"",SER_hh_tes!K22/SER_hh_fec!K22)</f>
        <v>0.48091766988882029</v>
      </c>
      <c r="L22" s="137">
        <f>IF(SER_hh_tes!L22=0,"",SER_hh_tes!L22/SER_hh_fec!L22)</f>
        <v>0.48580851349953369</v>
      </c>
      <c r="M22" s="137">
        <f>IF(SER_hh_tes!M22=0,"",SER_hh_tes!M22/SER_hh_fec!M22)</f>
        <v>0.49277937100783564</v>
      </c>
      <c r="N22" s="137">
        <f>IF(SER_hh_tes!N22=0,"",SER_hh_tes!N22/SER_hh_fec!N22)</f>
        <v>0.50343307170134111</v>
      </c>
      <c r="O22" s="137">
        <f>IF(SER_hh_tes!O22=0,"",SER_hh_tes!O22/SER_hh_fec!O22)</f>
        <v>0.5169834737278346</v>
      </c>
      <c r="P22" s="137">
        <f>IF(SER_hh_tes!P22=0,"",SER_hh_tes!P22/SER_hh_fec!P22)</f>
        <v>0.52697212698382589</v>
      </c>
      <c r="Q22" s="137">
        <f>IF(SER_hh_tes!Q22=0,"",SER_hh_tes!Q22/SER_hh_fec!Q22)</f>
        <v>0.54298119598383099</v>
      </c>
      <c r="R22" s="137">
        <f>IF(SER_hh_tes!R22=0,"",SER_hh_tes!R22/SER_hh_fec!R22)</f>
        <v>0.5592025132220948</v>
      </c>
      <c r="S22" s="137">
        <f>IF(SER_hh_tes!S22=0,"",SER_hh_tes!S22/SER_hh_fec!S22)</f>
        <v>0.57442731647252621</v>
      </c>
      <c r="T22" s="137">
        <f>IF(SER_hh_tes!T22=0,"",SER_hh_tes!T22/SER_hh_fec!T22)</f>
        <v>0.58735258281396485</v>
      </c>
      <c r="U22" s="137">
        <f>IF(SER_hh_tes!U22=0,"",SER_hh_tes!U22/SER_hh_fec!U22)</f>
        <v>0.60152986349167514</v>
      </c>
      <c r="V22" s="137">
        <f>IF(SER_hh_tes!V22=0,"",SER_hh_tes!V22/SER_hh_fec!V22)</f>
        <v>0.61740209544269098</v>
      </c>
      <c r="W22" s="137">
        <f>IF(SER_hh_tes!W22=0,"",SER_hh_tes!W22/SER_hh_fec!W22)</f>
        <v>0.63148276969360106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0.47389578298435503</v>
      </c>
      <c r="C23" s="137">
        <f>IF(SER_hh_tes!C23=0,"",SER_hh_tes!C23/SER_hh_fec!C23)</f>
        <v>0.47389578298435503</v>
      </c>
      <c r="D23" s="137">
        <f>IF(SER_hh_tes!D23=0,"",SER_hh_tes!D23/SER_hh_fec!D23)</f>
        <v>0.47389578298435497</v>
      </c>
      <c r="E23" s="137">
        <f>IF(SER_hh_tes!E23=0,"",SER_hh_tes!E23/SER_hh_fec!E23)</f>
        <v>0.47389578298435503</v>
      </c>
      <c r="F23" s="137">
        <f>IF(SER_hh_tes!F23=0,"",SER_hh_tes!F23/SER_hh_fec!F23)</f>
        <v>0.48735514838982719</v>
      </c>
      <c r="G23" s="137">
        <f>IF(SER_hh_tes!G23=0,"",SER_hh_tes!G23/SER_hh_fec!G23)</f>
        <v>0.50623624080111418</v>
      </c>
      <c r="H23" s="137">
        <f>IF(SER_hh_tes!H23=0,"",SER_hh_tes!H23/SER_hh_fec!H23)</f>
        <v>0.52360454023218217</v>
      </c>
      <c r="I23" s="137">
        <f>IF(SER_hh_tes!I23=0,"",SER_hh_tes!I23/SER_hh_fec!I23)</f>
        <v>0.53374078894226207</v>
      </c>
      <c r="J23" s="137">
        <f>IF(SER_hh_tes!J23=0,"",SER_hh_tes!J23/SER_hh_fec!J23)</f>
        <v>0.54120462841998929</v>
      </c>
      <c r="K23" s="137">
        <f>IF(SER_hh_tes!K23=0,"",SER_hh_tes!K23/SER_hh_fec!K23)</f>
        <v>0.54676204002221496</v>
      </c>
      <c r="L23" s="137">
        <f>IF(SER_hh_tes!L23=0,"",SER_hh_tes!L23/SER_hh_fec!L23)</f>
        <v>0.55316482932841193</v>
      </c>
      <c r="M23" s="137">
        <f>IF(SER_hh_tes!M23=0,"",SER_hh_tes!M23/SER_hh_fec!M23)</f>
        <v>0.56132825610222892</v>
      </c>
      <c r="N23" s="137">
        <f>IF(SER_hh_tes!N23=0,"",SER_hh_tes!N23/SER_hh_fec!N23)</f>
        <v>0.57411482132275604</v>
      </c>
      <c r="O23" s="137">
        <f>IF(SER_hh_tes!O23=0,"",SER_hh_tes!O23/SER_hh_fec!O23)</f>
        <v>0.58750309823172209</v>
      </c>
      <c r="P23" s="137">
        <f>IF(SER_hh_tes!P23=0,"",SER_hh_tes!P23/SER_hh_fec!P23)</f>
        <v>0.59696997477536795</v>
      </c>
      <c r="Q23" s="137">
        <f>IF(SER_hh_tes!Q23=0,"",SER_hh_tes!Q23/SER_hh_fec!Q23)</f>
        <v>0.60094875094511968</v>
      </c>
      <c r="R23" s="137">
        <f>IF(SER_hh_tes!R23=0,"",SER_hh_tes!R23/SER_hh_fec!R23)</f>
        <v>0.60849307276367948</v>
      </c>
      <c r="S23" s="137">
        <f>IF(SER_hh_tes!S23=0,"",SER_hh_tes!S23/SER_hh_fec!S23)</f>
        <v>0.61880228446356278</v>
      </c>
      <c r="T23" s="137">
        <f>IF(SER_hh_tes!T23=0,"",SER_hh_tes!T23/SER_hh_fec!T23)</f>
        <v>0.63406384573357799</v>
      </c>
      <c r="U23" s="137">
        <f>IF(SER_hh_tes!U23=0,"",SER_hh_tes!U23/SER_hh_fec!U23)</f>
        <v>0.65491448596735691</v>
      </c>
      <c r="V23" s="137">
        <f>IF(SER_hh_tes!V23=0,"",SER_hh_tes!V23/SER_hh_fec!V23)</f>
        <v>0.678599603638947</v>
      </c>
      <c r="W23" s="137">
        <f>IF(SER_hh_tes!W23=0,"",SER_hh_tes!W23/SER_hh_fec!W23)</f>
        <v>0.70039030507645561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0.58451469255165978</v>
      </c>
      <c r="C26" s="138">
        <f>IF(SER_hh_tes!C26=0,"",SER_hh_tes!C26/SER_hh_fec!C26)</f>
        <v>0.58768036606091223</v>
      </c>
      <c r="D26" s="138">
        <f>IF(SER_hh_tes!D26=0,"",SER_hh_tes!D26/SER_hh_fec!D26)</f>
        <v>0.59131549406579786</v>
      </c>
      <c r="E26" s="138">
        <f>IF(SER_hh_tes!E26=0,"",SER_hh_tes!E26/SER_hh_fec!E26)</f>
        <v>0.59461614520474615</v>
      </c>
      <c r="F26" s="138">
        <f>IF(SER_hh_tes!F26=0,"",SER_hh_tes!F26/SER_hh_fec!F26)</f>
        <v>0.59718176099070452</v>
      </c>
      <c r="G26" s="138">
        <f>IF(SER_hh_tes!G26=0,"",SER_hh_tes!G26/SER_hh_fec!G26)</f>
        <v>0.59928276944639969</v>
      </c>
      <c r="H26" s="138">
        <f>IF(SER_hh_tes!H26=0,"",SER_hh_tes!H26/SER_hh_fec!H26)</f>
        <v>0.60102747483952013</v>
      </c>
      <c r="I26" s="138">
        <f>IF(SER_hh_tes!I26=0,"",SER_hh_tes!I26/SER_hh_fec!I26)</f>
        <v>0.60394737245753027</v>
      </c>
      <c r="J26" s="138">
        <f>IF(SER_hh_tes!J26=0,"",SER_hh_tes!J26/SER_hh_fec!J26)</f>
        <v>0.60736026308958757</v>
      </c>
      <c r="K26" s="138">
        <f>IF(SER_hh_tes!K26=0,"",SER_hh_tes!K26/SER_hh_fec!K26)</f>
        <v>0.61011062240633229</v>
      </c>
      <c r="L26" s="138">
        <f>IF(SER_hh_tes!L26=0,"",SER_hh_tes!L26/SER_hh_fec!L26)</f>
        <v>0.61411038660067696</v>
      </c>
      <c r="M26" s="138">
        <f>IF(SER_hh_tes!M26=0,"",SER_hh_tes!M26/SER_hh_fec!M26)</f>
        <v>0.61802800459486318</v>
      </c>
      <c r="N26" s="138">
        <f>IF(SER_hh_tes!N26=0,"",SER_hh_tes!N26/SER_hh_fec!N26)</f>
        <v>0.62250842869267176</v>
      </c>
      <c r="O26" s="138">
        <f>IF(SER_hh_tes!O26=0,"",SER_hh_tes!O26/SER_hh_fec!O26)</f>
        <v>0.62688581841841162</v>
      </c>
      <c r="P26" s="138">
        <f>IF(SER_hh_tes!P26=0,"",SER_hh_tes!P26/SER_hh_fec!P26)</f>
        <v>0.62777256331972542</v>
      </c>
      <c r="Q26" s="138">
        <f>IF(SER_hh_tes!Q26=0,"",SER_hh_tes!Q26/SER_hh_fec!Q26)</f>
        <v>0.63212240664440911</v>
      </c>
      <c r="R26" s="138">
        <f>IF(SER_hh_tes!R26=0,"",SER_hh_tes!R26/SER_hh_fec!R26)</f>
        <v>0.64160403929604526</v>
      </c>
      <c r="S26" s="138">
        <f>IF(SER_hh_tes!S26=0,"",SER_hh_tes!S26/SER_hh_fec!S26)</f>
        <v>0.65836257760865924</v>
      </c>
      <c r="T26" s="138">
        <f>IF(SER_hh_tes!T26=0,"",SER_hh_tes!T26/SER_hh_fec!T26)</f>
        <v>0.6802152010909911</v>
      </c>
      <c r="U26" s="138">
        <f>IF(SER_hh_tes!U26=0,"",SER_hh_tes!U26/SER_hh_fec!U26)</f>
        <v>0.69677748871631318</v>
      </c>
      <c r="V26" s="138">
        <f>IF(SER_hh_tes!V26=0,"",SER_hh_tes!V26/SER_hh_fec!V26)</f>
        <v>0.70849321640544849</v>
      </c>
      <c r="W26" s="138">
        <f>IF(SER_hh_tes!W26=0,"",SER_hh_tes!W26/SER_hh_fec!W26)</f>
        <v>0.72675509086504642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0.63699239874933655</v>
      </c>
      <c r="C29" s="136">
        <f>IF(SER_hh_tes!C29=0,"",SER_hh_tes!C29/SER_hh_fec!C29)</f>
        <v>0.63322164303870887</v>
      </c>
      <c r="D29" s="136">
        <f>IF(SER_hh_tes!D29=0,"",SER_hh_tes!D29/SER_hh_fec!D29)</f>
        <v>0.63781865601580612</v>
      </c>
      <c r="E29" s="136">
        <f>IF(SER_hh_tes!E29=0,"",SER_hh_tes!E29/SER_hh_fec!E29)</f>
        <v>0.64213460119840404</v>
      </c>
      <c r="F29" s="136">
        <f>IF(SER_hh_tes!F29=0,"",SER_hh_tes!F29/SER_hh_fec!F29)</f>
        <v>0.63410865622160184</v>
      </c>
      <c r="G29" s="136">
        <f>IF(SER_hh_tes!G29=0,"",SER_hh_tes!G29/SER_hh_fec!G29)</f>
        <v>0.63726958382204335</v>
      </c>
      <c r="H29" s="136">
        <f>IF(SER_hh_tes!H29=0,"",SER_hh_tes!H29/SER_hh_fec!H29)</f>
        <v>0.64138005483749139</v>
      </c>
      <c r="I29" s="136">
        <f>IF(SER_hh_tes!I29=0,"",SER_hh_tes!I29/SER_hh_fec!I29)</f>
        <v>0.64418274904482409</v>
      </c>
      <c r="J29" s="136">
        <f>IF(SER_hh_tes!J29=0,"",SER_hh_tes!J29/SER_hh_fec!J29)</f>
        <v>0.64633811118105855</v>
      </c>
      <c r="K29" s="136">
        <f>IF(SER_hh_tes!K29=0,"",SER_hh_tes!K29/SER_hh_fec!K29)</f>
        <v>0.64987240124798284</v>
      </c>
      <c r="L29" s="136">
        <f>IF(SER_hh_tes!L29=0,"",SER_hh_tes!L29/SER_hh_fec!L29)</f>
        <v>0.65133559419608678</v>
      </c>
      <c r="M29" s="136">
        <f>IF(SER_hh_tes!M29=0,"",SER_hh_tes!M29/SER_hh_fec!M29)</f>
        <v>0.6521859975148615</v>
      </c>
      <c r="N29" s="136">
        <f>IF(SER_hh_tes!N29=0,"",SER_hh_tes!N29/SER_hh_fec!N29)</f>
        <v>0.64927476108323634</v>
      </c>
      <c r="O29" s="136">
        <f>IF(SER_hh_tes!O29=0,"",SER_hh_tes!O29/SER_hh_fec!O29)</f>
        <v>0.64194181597045818</v>
      </c>
      <c r="P29" s="136">
        <f>IF(SER_hh_tes!P29=0,"",SER_hh_tes!P29/SER_hh_fec!P29)</f>
        <v>0.60576841344131238</v>
      </c>
      <c r="Q29" s="136">
        <f>IF(SER_hh_tes!Q29=0,"",SER_hh_tes!Q29/SER_hh_fec!Q29)</f>
        <v>0.59558888004645305</v>
      </c>
      <c r="R29" s="136">
        <f>IF(SER_hh_tes!R29=0,"",SER_hh_tes!R29/SER_hh_fec!R29)</f>
        <v>0.58756377509731472</v>
      </c>
      <c r="S29" s="136">
        <f>IF(SER_hh_tes!S29=0,"",SER_hh_tes!S29/SER_hh_fec!S29)</f>
        <v>0.59812052848680886</v>
      </c>
      <c r="T29" s="136">
        <f>IF(SER_hh_tes!T29=0,"",SER_hh_tes!T29/SER_hh_fec!T29)</f>
        <v>0.62038234378616508</v>
      </c>
      <c r="U29" s="136">
        <f>IF(SER_hh_tes!U29=0,"",SER_hh_tes!U29/SER_hh_fec!U29)</f>
        <v>0.6307095237289595</v>
      </c>
      <c r="V29" s="136">
        <f>IF(SER_hh_tes!V29=0,"",SER_hh_tes!V29/SER_hh_fec!V29)</f>
        <v>0.60931217415049221</v>
      </c>
      <c r="W29" s="136">
        <f>IF(SER_hh_tes!W29=0,"",SER_hh_tes!W29/SER_hh_fec!W29)</f>
        <v>0.6418320054047344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0.52985330555141819</v>
      </c>
      <c r="C30" s="137">
        <f>IF(SER_hh_tes!C30=0,"",SER_hh_tes!C30/SER_hh_fec!C30)</f>
        <v>0.53075960115985898</v>
      </c>
      <c r="D30" s="137">
        <f>IF(SER_hh_tes!D30=0,"",SER_hh_tes!D30/SER_hh_fec!D30)</f>
        <v>0.53172099787085991</v>
      </c>
      <c r="E30" s="137">
        <f>IF(SER_hh_tes!E30=0,"",SER_hh_tes!E30/SER_hh_fec!E30)</f>
        <v>0.53265690246980579</v>
      </c>
      <c r="F30" s="137">
        <f>IF(SER_hh_tes!F30=0,"",SER_hh_tes!F30/SER_hh_fec!F30)</f>
        <v>0.53346157535911021</v>
      </c>
      <c r="G30" s="137">
        <f>IF(SER_hh_tes!G30=0,"",SER_hh_tes!G30/SER_hh_fec!G30)</f>
        <v>0.53414883520516787</v>
      </c>
      <c r="H30" s="137">
        <f>IF(SER_hh_tes!H30=0,"",SER_hh_tes!H30/SER_hh_fec!H30)</f>
        <v>0.53495650517558957</v>
      </c>
      <c r="I30" s="137">
        <f>IF(SER_hh_tes!I30=0,"",SER_hh_tes!I30/SER_hh_fec!I30)</f>
        <v>0.53632000426106541</v>
      </c>
      <c r="J30" s="137">
        <f>IF(SER_hh_tes!J30=0,"",SER_hh_tes!J30/SER_hh_fec!J30)</f>
        <v>0.53811386459766797</v>
      </c>
      <c r="K30" s="137">
        <f>IF(SER_hh_tes!K30=0,"",SER_hh_tes!K30/SER_hh_fec!K30)</f>
        <v>0.54013674819143087</v>
      </c>
      <c r="L30" s="137">
        <f>IF(SER_hh_tes!L30=0,"",SER_hh_tes!L30/SER_hh_fec!L30)</f>
        <v>0.54174384770523898</v>
      </c>
      <c r="M30" s="137">
        <f>IF(SER_hh_tes!M30=0,"",SER_hh_tes!M30/SER_hh_fec!M30)</f>
        <v>0.54215384579586645</v>
      </c>
      <c r="N30" s="137">
        <f>IF(SER_hh_tes!N30=0,"",SER_hh_tes!N30/SER_hh_fec!N30)</f>
        <v>0.54285937717171728</v>
      </c>
      <c r="O30" s="137">
        <f>IF(SER_hh_tes!O30=0,"",SER_hh_tes!O30/SER_hh_fec!O30)</f>
        <v>0.54409916980956397</v>
      </c>
      <c r="P30" s="137">
        <f>IF(SER_hh_tes!P30=0,"",SER_hh_tes!P30/SER_hh_fec!P30)</f>
        <v>0.54523857014001986</v>
      </c>
      <c r="Q30" s="137">
        <f>IF(SER_hh_tes!Q30=0,"",SER_hh_tes!Q30/SER_hh_fec!Q30)</f>
        <v>0.54625332528476767</v>
      </c>
      <c r="R30" s="137">
        <f>IF(SER_hh_tes!R30=0,"",SER_hh_tes!R30/SER_hh_fec!R30)</f>
        <v>0.54741926198776403</v>
      </c>
      <c r="S30" s="137">
        <f>IF(SER_hh_tes!S30=0,"",SER_hh_tes!S30/SER_hh_fec!S30)</f>
        <v>0.54873633640985542</v>
      </c>
      <c r="T30" s="137">
        <f>IF(SER_hh_tes!T30=0,"",SER_hh_tes!T30/SER_hh_fec!T30)</f>
        <v>0.54964520828587604</v>
      </c>
      <c r="U30" s="137">
        <f>IF(SER_hh_tes!U30=0,"",SER_hh_tes!U30/SER_hh_fec!U30)</f>
        <v>0.55006735629119574</v>
      </c>
      <c r="V30" s="137">
        <f>IF(SER_hh_tes!V30=0,"",SER_hh_tes!V30/SER_hh_fec!V30)</f>
        <v>0.55042493434087814</v>
      </c>
      <c r="W30" s="137">
        <f>IF(SER_hh_tes!W30=0,"",SER_hh_tes!W30/SER_hh_fec!W30)</f>
        <v>0.55066688068567404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0.53264782335150207</v>
      </c>
      <c r="C31" s="137">
        <f>IF(SER_hh_tes!C31=0,"",SER_hh_tes!C31/SER_hh_fec!C31)</f>
        <v>0.53362105064094567</v>
      </c>
      <c r="D31" s="137">
        <f>IF(SER_hh_tes!D31=0,"",SER_hh_tes!D31/SER_hh_fec!D31)</f>
        <v>0.53450498059013163</v>
      </c>
      <c r="E31" s="137">
        <f>IF(SER_hh_tes!E31=0,"",SER_hh_tes!E31/SER_hh_fec!E31)</f>
        <v>0.53588818274244598</v>
      </c>
      <c r="F31" s="137">
        <f>IF(SER_hh_tes!F31=0,"",SER_hh_tes!F31/SER_hh_fec!F31)</f>
        <v>0.53779435199604342</v>
      </c>
      <c r="G31" s="137">
        <f>IF(SER_hh_tes!G31=0,"",SER_hh_tes!G31/SER_hh_fec!G31)</f>
        <v>0.539323847249495</v>
      </c>
      <c r="H31" s="137">
        <f>IF(SER_hh_tes!H31=0,"",SER_hh_tes!H31/SER_hh_fec!H31)</f>
        <v>0.54066100965970398</v>
      </c>
      <c r="I31" s="137">
        <f>IF(SER_hh_tes!I31=0,"",SER_hh_tes!I31/SER_hh_fec!I31)</f>
        <v>0.54177662157681405</v>
      </c>
      <c r="J31" s="137">
        <f>IF(SER_hh_tes!J31=0,"",SER_hh_tes!J31/SER_hh_fec!J31)</f>
        <v>0.54293037316091375</v>
      </c>
      <c r="K31" s="137">
        <f>IF(SER_hh_tes!K31=0,"",SER_hh_tes!K31/SER_hh_fec!K31)</f>
        <v>0.54417514987255811</v>
      </c>
      <c r="L31" s="137">
        <f>IF(SER_hh_tes!L31=0,"",SER_hh_tes!L31/SER_hh_fec!L31)</f>
        <v>0.5452799861982317</v>
      </c>
      <c r="M31" s="137">
        <f>IF(SER_hh_tes!M31=0,"",SER_hh_tes!M31/SER_hh_fec!M31)</f>
        <v>0.54605912078779784</v>
      </c>
      <c r="N31" s="137">
        <f>IF(SER_hh_tes!N31=0,"",SER_hh_tes!N31/SER_hh_fec!N31)</f>
        <v>0.54723634792779874</v>
      </c>
      <c r="O31" s="137">
        <f>IF(SER_hh_tes!O31=0,"",SER_hh_tes!O31/SER_hh_fec!O31)</f>
        <v>0.54836944120436859</v>
      </c>
      <c r="P31" s="137">
        <f>IF(SER_hh_tes!P31=0,"",SER_hh_tes!P31/SER_hh_fec!P31)</f>
        <v>0.54918425244349289</v>
      </c>
      <c r="Q31" s="137">
        <f>IF(SER_hh_tes!Q31=0,"",SER_hh_tes!Q31/SER_hh_fec!Q31)</f>
        <v>0.5496237553064699</v>
      </c>
      <c r="R31" s="137">
        <f>IF(SER_hh_tes!R31=0,"",SER_hh_tes!R31/SER_hh_fec!R31)</f>
        <v>0.55023252841354153</v>
      </c>
      <c r="S31" s="137">
        <f>IF(SER_hh_tes!S31=0,"",SER_hh_tes!S31/SER_hh_fec!S31)</f>
        <v>0.55103375022787948</v>
      </c>
      <c r="T31" s="137">
        <f>IF(SER_hh_tes!T31=0,"",SER_hh_tes!T31/SER_hh_fec!T31)</f>
        <v>0.55153378464529446</v>
      </c>
      <c r="U31" s="137">
        <f>IF(SER_hh_tes!U31=0,"",SER_hh_tes!U31/SER_hh_fec!U31)</f>
        <v>0.55310980393140552</v>
      </c>
      <c r="V31" s="137">
        <f>IF(SER_hh_tes!V31=0,"",SER_hh_tes!V31/SER_hh_fec!V31)</f>
        <v>0.55636615348752949</v>
      </c>
      <c r="W31" s="137">
        <f>IF(SER_hh_tes!W31=0,"",SER_hh_tes!W31/SER_hh_fec!W31)</f>
        <v>0.55956134093672993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0.69491965524788191</v>
      </c>
      <c r="C33" s="150">
        <f>IF(SER_hh_tes!C33=0,"",SER_hh_tes!C33/SER_hh_fec!C33)</f>
        <v>0.69662009975125605</v>
      </c>
      <c r="D33" s="150">
        <f>IF(SER_hh_tes!D33=0,"",SER_hh_tes!D33/SER_hh_fec!D33)</f>
        <v>0.69855793753436757</v>
      </c>
      <c r="E33" s="150">
        <f>IF(SER_hh_tes!E33=0,"",SER_hh_tes!E33/SER_hh_fec!E33)</f>
        <v>0.70059439390030864</v>
      </c>
      <c r="F33" s="150">
        <f>IF(SER_hh_tes!F33=0,"",SER_hh_tes!F33/SER_hh_fec!F33)</f>
        <v>0.70256016853944159</v>
      </c>
      <c r="G33" s="150">
        <f>IF(SER_hh_tes!G33=0,"",SER_hh_tes!G33/SER_hh_fec!G33)</f>
        <v>0.70489505268902231</v>
      </c>
      <c r="H33" s="150">
        <f>IF(SER_hh_tes!H33=0,"",SER_hh_tes!H33/SER_hh_fec!H33)</f>
        <v>0.70746966428183988</v>
      </c>
      <c r="I33" s="150">
        <f>IF(SER_hh_tes!I33=0,"",SER_hh_tes!I33/SER_hh_fec!I33)</f>
        <v>0.71022674326354729</v>
      </c>
      <c r="J33" s="150">
        <f>IF(SER_hh_tes!J33=0,"",SER_hh_tes!J33/SER_hh_fec!J33)</f>
        <v>0.71307579372736518</v>
      </c>
      <c r="K33" s="150">
        <f>IF(SER_hh_tes!K33=0,"",SER_hh_tes!K33/SER_hh_fec!K33)</f>
        <v>0.71583298249934291</v>
      </c>
      <c r="L33" s="150">
        <f>IF(SER_hh_tes!L33=0,"",SER_hh_tes!L33/SER_hh_fec!L33)</f>
        <v>0.71823088273651303</v>
      </c>
      <c r="M33" s="150">
        <f>IF(SER_hh_tes!M33=0,"",SER_hh_tes!M33/SER_hh_fec!M33)</f>
        <v>0.719186933934435</v>
      </c>
      <c r="N33" s="150">
        <f>IF(SER_hh_tes!N33=0,"",SER_hh_tes!N33/SER_hh_fec!N33)</f>
        <v>0.72026982490181468</v>
      </c>
      <c r="O33" s="150">
        <f>IF(SER_hh_tes!O33=0,"",SER_hh_tes!O33/SER_hh_fec!O33)</f>
        <v>0.72114201712781067</v>
      </c>
      <c r="P33" s="150">
        <f>IF(SER_hh_tes!P33=0,"",SER_hh_tes!P33/SER_hh_fec!P33)</f>
        <v>0.72202435764730843</v>
      </c>
      <c r="Q33" s="150">
        <f>IF(SER_hh_tes!Q33=0,"",SER_hh_tes!Q33/SER_hh_fec!Q33)</f>
        <v>0.7227573637230601</v>
      </c>
      <c r="R33" s="150">
        <f>IF(SER_hh_tes!R33=0,"",SER_hh_tes!R33/SER_hh_fec!R33)</f>
        <v>0.72649073014706411</v>
      </c>
      <c r="S33" s="150">
        <f>IF(SER_hh_tes!S33=0,"",SER_hh_tes!S33/SER_hh_fec!S33)</f>
        <v>0.73850790997854676</v>
      </c>
      <c r="T33" s="150">
        <f>IF(SER_hh_tes!T33=0,"",SER_hh_tes!T33/SER_hh_fec!T33)</f>
        <v>0.75923213799023659</v>
      </c>
      <c r="U33" s="150">
        <f>IF(SER_hh_tes!U33=0,"",SER_hh_tes!U33/SER_hh_fec!U33)</f>
        <v>0.77806590708053081</v>
      </c>
      <c r="V33" s="150">
        <f>IF(SER_hh_tes!V33=0,"",SER_hh_tes!V33/SER_hh_fec!V33)</f>
        <v>0.79292829639084272</v>
      </c>
      <c r="W33" s="150">
        <f>IF(SER_hh_tes!W33=0,"",SER_hh_tes!W33/SER_hh_fec!W33)</f>
        <v>0.8065537954430152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6594.5130883199981</v>
      </c>
      <c r="C3" s="126">
        <f t="shared" si="0"/>
        <v>7224.3968061599999</v>
      </c>
      <c r="D3" s="126">
        <f t="shared" si="0"/>
        <v>7175.9158199999993</v>
      </c>
      <c r="E3" s="126">
        <f t="shared" si="0"/>
        <v>6589.319383080001</v>
      </c>
      <c r="F3" s="126">
        <f t="shared" si="0"/>
        <v>7421.5123700400018</v>
      </c>
      <c r="G3" s="126">
        <f t="shared" si="0"/>
        <v>8293.9101465600033</v>
      </c>
      <c r="H3" s="126">
        <f t="shared" si="0"/>
        <v>10517.14375236</v>
      </c>
      <c r="I3" s="126">
        <f t="shared" si="0"/>
        <v>8117.1881704799998</v>
      </c>
      <c r="J3" s="126">
        <f t="shared" si="0"/>
        <v>7600.1089377599983</v>
      </c>
      <c r="K3" s="126">
        <f t="shared" si="0"/>
        <v>8231.568825960001</v>
      </c>
      <c r="L3" s="126">
        <f t="shared" si="0"/>
        <v>9277.6660466400008</v>
      </c>
      <c r="M3" s="126">
        <f t="shared" si="0"/>
        <v>9566.1793256399978</v>
      </c>
      <c r="N3" s="126">
        <f t="shared" si="0"/>
        <v>8853.4302519600005</v>
      </c>
      <c r="O3" s="126">
        <f t="shared" si="0"/>
        <v>8800.8233932799994</v>
      </c>
      <c r="P3" s="126">
        <f t="shared" si="0"/>
        <v>7714.9096405200025</v>
      </c>
      <c r="Q3" s="126">
        <f t="shared" si="0"/>
        <v>7559.1515224800023</v>
      </c>
      <c r="R3" s="126">
        <f t="shared" ref="R3:W3" si="1">SUM(R4,R16,R19,R29)</f>
        <v>8112.5668843200001</v>
      </c>
      <c r="S3" s="126">
        <f t="shared" si="1"/>
        <v>8287.4422595999968</v>
      </c>
      <c r="T3" s="126">
        <f t="shared" si="1"/>
        <v>8634.9601882800034</v>
      </c>
      <c r="U3" s="126">
        <f t="shared" si="1"/>
        <v>8499.6214603199987</v>
      </c>
      <c r="V3" s="126">
        <f t="shared" si="1"/>
        <v>8010.0152540400086</v>
      </c>
      <c r="W3" s="126">
        <f t="shared" si="1"/>
        <v>8753.515172520003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4416.6634746583622</v>
      </c>
      <c r="C4" s="131">
        <f t="shared" si="2"/>
        <v>4899.4900648606581</v>
      </c>
      <c r="D4" s="131">
        <f t="shared" si="2"/>
        <v>4929.4131884575536</v>
      </c>
      <c r="E4" s="131">
        <f t="shared" si="2"/>
        <v>4515.3822616725884</v>
      </c>
      <c r="F4" s="131">
        <f t="shared" si="2"/>
        <v>5016.7728435781091</v>
      </c>
      <c r="G4" s="131">
        <f t="shared" si="2"/>
        <v>5813.0059381700776</v>
      </c>
      <c r="H4" s="131">
        <f t="shared" si="2"/>
        <v>7680.7006127940631</v>
      </c>
      <c r="I4" s="131">
        <f t="shared" si="2"/>
        <v>5296.6166720775309</v>
      </c>
      <c r="J4" s="131">
        <f t="shared" si="2"/>
        <v>4725.1610509727097</v>
      </c>
      <c r="K4" s="131">
        <f t="shared" si="2"/>
        <v>5384.051347257624</v>
      </c>
      <c r="L4" s="131">
        <f t="shared" si="2"/>
        <v>6374.0233904497909</v>
      </c>
      <c r="M4" s="131">
        <f t="shared" si="2"/>
        <v>6640.3996724033168</v>
      </c>
      <c r="N4" s="131">
        <f t="shared" si="2"/>
        <v>5768.4980267394349</v>
      </c>
      <c r="O4" s="131">
        <f t="shared" si="2"/>
        <v>5471.1274142714938</v>
      </c>
      <c r="P4" s="131">
        <f t="shared" si="2"/>
        <v>3373.9237500157324</v>
      </c>
      <c r="Q4" s="131">
        <f t="shared" si="2"/>
        <v>2983.518410180131</v>
      </c>
      <c r="R4" s="131">
        <f t="shared" ref="R4:W4" si="3">SUM(R5:R15)</f>
        <v>3334.8995076040214</v>
      </c>
      <c r="S4" s="131">
        <f t="shared" si="3"/>
        <v>3575.0705186632999</v>
      </c>
      <c r="T4" s="131">
        <f t="shared" si="3"/>
        <v>4152.8626314481107</v>
      </c>
      <c r="U4" s="131">
        <f t="shared" si="3"/>
        <v>4011.7959413449785</v>
      </c>
      <c r="V4" s="131">
        <f t="shared" si="3"/>
        <v>3612.2178925670792</v>
      </c>
      <c r="W4" s="131">
        <f t="shared" si="3"/>
        <v>4223.7797553397049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3722.1319927944269</v>
      </c>
      <c r="C7" s="133">
        <v>4103.5303488849659</v>
      </c>
      <c r="D7" s="133">
        <v>3970.5979205416793</v>
      </c>
      <c r="E7" s="133">
        <v>4448.7371139193956</v>
      </c>
      <c r="F7" s="133">
        <v>4921.9472776818911</v>
      </c>
      <c r="G7" s="133">
        <v>4989.3421518121331</v>
      </c>
      <c r="H7" s="133">
        <v>3485.6525305123555</v>
      </c>
      <c r="I7" s="133">
        <v>3200.1627046904177</v>
      </c>
      <c r="J7" s="133">
        <v>3015.0536289752126</v>
      </c>
      <c r="K7" s="133">
        <v>2984.9978479051665</v>
      </c>
      <c r="L7" s="133">
        <v>2957.2188310328811</v>
      </c>
      <c r="M7" s="133">
        <v>2768.7597661534469</v>
      </c>
      <c r="N7" s="133">
        <v>2936.803927937985</v>
      </c>
      <c r="O7" s="133">
        <v>3242.2363757321373</v>
      </c>
      <c r="P7" s="133">
        <v>2459.1708711999263</v>
      </c>
      <c r="Q7" s="133">
        <v>1713.0582778851726</v>
      </c>
      <c r="R7" s="133">
        <v>2167.7369365469099</v>
      </c>
      <c r="S7" s="133">
        <v>2366.9945841693789</v>
      </c>
      <c r="T7" s="133">
        <v>2458.316401014391</v>
      </c>
      <c r="U7" s="133">
        <v>2278.0531894481683</v>
      </c>
      <c r="V7" s="133">
        <v>2147.2675051358178</v>
      </c>
      <c r="W7" s="133">
        <v>2403.8127494028572</v>
      </c>
      <c r="DA7" s="157" t="s">
        <v>359</v>
      </c>
    </row>
    <row r="8" spans="1:105" ht="12" customHeight="1" x14ac:dyDescent="0.25">
      <c r="A8" s="132" t="s">
        <v>73</v>
      </c>
      <c r="B8" s="133">
        <v>3.3336547460660365E-2</v>
      </c>
      <c r="C8" s="133">
        <v>4.7750563926237131E-2</v>
      </c>
      <c r="D8" s="133">
        <v>6.2445599280833618E-2</v>
      </c>
      <c r="E8" s="133">
        <v>6.1480017468529727E-2</v>
      </c>
      <c r="F8" s="133">
        <v>0.10062572453665572</v>
      </c>
      <c r="G8" s="133">
        <v>0.24351174110045329</v>
      </c>
      <c r="H8" s="133">
        <v>0.51781841496509484</v>
      </c>
      <c r="I8" s="133">
        <v>0.58539197366195317</v>
      </c>
      <c r="J8" s="133">
        <v>0.64876548037416226</v>
      </c>
      <c r="K8" s="133">
        <v>0.69612011778275884</v>
      </c>
      <c r="L8" s="133">
        <v>0.82033943018399991</v>
      </c>
      <c r="M8" s="133">
        <v>1.4478367795256217</v>
      </c>
      <c r="N8" s="133">
        <v>2.4623645619397867</v>
      </c>
      <c r="O8" s="133">
        <v>4.387365353114606</v>
      </c>
      <c r="P8" s="133">
        <v>7.8412331303848095</v>
      </c>
      <c r="Q8" s="133">
        <v>10.411850028935937</v>
      </c>
      <c r="R8" s="133">
        <v>13.673393394122391</v>
      </c>
      <c r="S8" s="133">
        <v>16.960828446932901</v>
      </c>
      <c r="T8" s="133">
        <v>20.944502191229734</v>
      </c>
      <c r="U8" s="133">
        <v>25.028164200489922</v>
      </c>
      <c r="V8" s="133">
        <v>28.580698260571204</v>
      </c>
      <c r="W8" s="133">
        <v>32.484473185066101</v>
      </c>
      <c r="DA8" s="157" t="s">
        <v>360</v>
      </c>
    </row>
    <row r="9" spans="1:105" ht="12" customHeight="1" x14ac:dyDescent="0.25">
      <c r="A9" s="132" t="s">
        <v>78</v>
      </c>
      <c r="B9" s="133">
        <v>694.49814531647462</v>
      </c>
      <c r="C9" s="133">
        <v>795.91196541176555</v>
      </c>
      <c r="D9" s="133">
        <v>958.75282231659332</v>
      </c>
      <c r="E9" s="133">
        <v>66.583667735723978</v>
      </c>
      <c r="F9" s="133">
        <v>94.724940171681837</v>
      </c>
      <c r="G9" s="133">
        <v>823.42027461684359</v>
      </c>
      <c r="H9" s="133">
        <v>4194.5302638667426</v>
      </c>
      <c r="I9" s="133">
        <v>2095.8685754134508</v>
      </c>
      <c r="J9" s="133">
        <v>1709.458656517123</v>
      </c>
      <c r="K9" s="133">
        <v>2398.3573792346742</v>
      </c>
      <c r="L9" s="133">
        <v>3415.9842199867253</v>
      </c>
      <c r="M9" s="133">
        <v>3870.192069470344</v>
      </c>
      <c r="N9" s="133">
        <v>2829.2317342395104</v>
      </c>
      <c r="O9" s="133">
        <v>2224.5036731862424</v>
      </c>
      <c r="P9" s="133">
        <v>906.91164568542138</v>
      </c>
      <c r="Q9" s="133">
        <v>1250.7898022660224</v>
      </c>
      <c r="R9" s="133">
        <v>1131.8556976629893</v>
      </c>
      <c r="S9" s="133">
        <v>1164.3943460469882</v>
      </c>
      <c r="T9" s="133">
        <v>1657.3766182424893</v>
      </c>
      <c r="U9" s="133">
        <v>1690.2896976963202</v>
      </c>
      <c r="V9" s="133">
        <v>1418.45002917069</v>
      </c>
      <c r="W9" s="133">
        <v>1765.2270027517814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9.2584799999999916</v>
      </c>
      <c r="R10" s="133">
        <v>21.633480000000009</v>
      </c>
      <c r="S10" s="133">
        <v>26.720760000000006</v>
      </c>
      <c r="T10" s="133">
        <v>16.225110000000015</v>
      </c>
      <c r="U10" s="133">
        <v>18.424890000000012</v>
      </c>
      <c r="V10" s="133">
        <v>17.919659999999986</v>
      </c>
      <c r="W10" s="133">
        <v>22.255529999999965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0.67721231575947216</v>
      </c>
      <c r="C16" s="131">
        <f t="shared" si="4"/>
        <v>0.81548810782050307</v>
      </c>
      <c r="D16" s="131">
        <f t="shared" si="4"/>
        <v>0.75263502954142902</v>
      </c>
      <c r="E16" s="131">
        <f t="shared" si="4"/>
        <v>1.5132947785684696</v>
      </c>
      <c r="F16" s="131">
        <f t="shared" si="4"/>
        <v>1.5488337117339046</v>
      </c>
      <c r="G16" s="131">
        <f t="shared" si="4"/>
        <v>2.0045400653497767</v>
      </c>
      <c r="H16" s="131">
        <f t="shared" si="4"/>
        <v>2.6083057439363677</v>
      </c>
      <c r="I16" s="131">
        <f t="shared" si="4"/>
        <v>2.657091729597655</v>
      </c>
      <c r="J16" s="131">
        <f t="shared" si="4"/>
        <v>3.645834725758446</v>
      </c>
      <c r="K16" s="131">
        <f t="shared" si="4"/>
        <v>5.5791091715241716</v>
      </c>
      <c r="L16" s="131">
        <f t="shared" si="4"/>
        <v>6.383805157177795</v>
      </c>
      <c r="M16" s="131">
        <f t="shared" si="4"/>
        <v>6.9057080225631164</v>
      </c>
      <c r="N16" s="131">
        <f t="shared" si="4"/>
        <v>9.4391990641166679</v>
      </c>
      <c r="O16" s="131">
        <f t="shared" si="4"/>
        <v>9.4353598204028337</v>
      </c>
      <c r="P16" s="131">
        <f t="shared" si="4"/>
        <v>9.9919738475637256</v>
      </c>
      <c r="Q16" s="131">
        <f t="shared" si="4"/>
        <v>17.602299749489198</v>
      </c>
      <c r="R16" s="131">
        <f t="shared" ref="R16:W16" si="5">SUM(R17:R18)</f>
        <v>19.764444394089526</v>
      </c>
      <c r="S16" s="131">
        <f t="shared" si="5"/>
        <v>25.04282605656195</v>
      </c>
      <c r="T16" s="131">
        <f t="shared" si="5"/>
        <v>21.182535211244371</v>
      </c>
      <c r="U16" s="131">
        <f t="shared" si="5"/>
        <v>23.492811276966066</v>
      </c>
      <c r="V16" s="131">
        <f t="shared" si="5"/>
        <v>25.35302270423022</v>
      </c>
      <c r="W16" s="131">
        <f t="shared" si="5"/>
        <v>23.018198924528168</v>
      </c>
      <c r="DA16" s="156" t="s">
        <v>234</v>
      </c>
    </row>
    <row r="17" spans="1:105" ht="12.95" customHeight="1" x14ac:dyDescent="0.25">
      <c r="A17" s="132" t="s">
        <v>73</v>
      </c>
      <c r="B17" s="133">
        <v>0.67721231575947216</v>
      </c>
      <c r="C17" s="133">
        <v>0.81548810782050307</v>
      </c>
      <c r="D17" s="133">
        <v>0.75263502954142902</v>
      </c>
      <c r="E17" s="133">
        <v>1.5132947785684696</v>
      </c>
      <c r="F17" s="133">
        <v>1.5488337117339046</v>
      </c>
      <c r="G17" s="133">
        <v>2.0045400653497767</v>
      </c>
      <c r="H17" s="133">
        <v>2.6083057439363677</v>
      </c>
      <c r="I17" s="133">
        <v>2.657091729597655</v>
      </c>
      <c r="J17" s="133">
        <v>3.645834725758446</v>
      </c>
      <c r="K17" s="133">
        <v>5.5791091715241716</v>
      </c>
      <c r="L17" s="133">
        <v>6.383805157177795</v>
      </c>
      <c r="M17" s="133">
        <v>6.9057080225631164</v>
      </c>
      <c r="N17" s="133">
        <v>9.4391990641166679</v>
      </c>
      <c r="O17" s="133">
        <v>9.4353598204028337</v>
      </c>
      <c r="P17" s="133">
        <v>9.9919738475637256</v>
      </c>
      <c r="Q17" s="133">
        <v>17.602299749489198</v>
      </c>
      <c r="R17" s="133">
        <v>19.764444394089526</v>
      </c>
      <c r="S17" s="133">
        <v>25.04282605656195</v>
      </c>
      <c r="T17" s="133">
        <v>21.182535211244371</v>
      </c>
      <c r="U17" s="133">
        <v>23.492811276966066</v>
      </c>
      <c r="V17" s="133">
        <v>25.35302270423022</v>
      </c>
      <c r="W17" s="133">
        <v>23.018198924528168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1340.42491757331</v>
      </c>
      <c r="C19" s="131">
        <f t="shared" si="6"/>
        <v>1353.2409226089792</v>
      </c>
      <c r="D19" s="131">
        <f t="shared" si="6"/>
        <v>1330.5570733076077</v>
      </c>
      <c r="E19" s="131">
        <f t="shared" si="6"/>
        <v>1216.5662237663678</v>
      </c>
      <c r="F19" s="131">
        <f t="shared" si="6"/>
        <v>1296.8494750758382</v>
      </c>
      <c r="G19" s="131">
        <f t="shared" si="6"/>
        <v>1347.2133508174063</v>
      </c>
      <c r="H19" s="131">
        <f t="shared" si="6"/>
        <v>1645.0475086421582</v>
      </c>
      <c r="I19" s="131">
        <f t="shared" si="6"/>
        <v>1596.7589663809208</v>
      </c>
      <c r="J19" s="131">
        <f t="shared" si="6"/>
        <v>1573.048009388225</v>
      </c>
      <c r="K19" s="131">
        <f t="shared" si="6"/>
        <v>1574.9426222429875</v>
      </c>
      <c r="L19" s="131">
        <f t="shared" si="6"/>
        <v>1578.4757172259467</v>
      </c>
      <c r="M19" s="131">
        <f t="shared" si="6"/>
        <v>1589.1966813106196</v>
      </c>
      <c r="N19" s="131">
        <f t="shared" si="6"/>
        <v>1681.0549745165395</v>
      </c>
      <c r="O19" s="131">
        <f t="shared" si="6"/>
        <v>1774.8182521516107</v>
      </c>
      <c r="P19" s="131">
        <f t="shared" si="6"/>
        <v>1956.3814957928676</v>
      </c>
      <c r="Q19" s="131">
        <f t="shared" si="6"/>
        <v>1860.2706768844273</v>
      </c>
      <c r="R19" s="131">
        <f t="shared" ref="R19:W19" si="7">SUM(R20:R27)</f>
        <v>1905.0881567456013</v>
      </c>
      <c r="S19" s="131">
        <f t="shared" si="7"/>
        <v>1895.5669600951594</v>
      </c>
      <c r="T19" s="131">
        <f t="shared" si="7"/>
        <v>1922.9089975349225</v>
      </c>
      <c r="U19" s="131">
        <f t="shared" si="7"/>
        <v>1926.8140190142315</v>
      </c>
      <c r="V19" s="131">
        <f t="shared" si="7"/>
        <v>1833.830431759885</v>
      </c>
      <c r="W19" s="131">
        <f t="shared" si="7"/>
        <v>1994.0342243736095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139.4254100487754</v>
      </c>
      <c r="C21" s="133">
        <v>136.49657527341483</v>
      </c>
      <c r="D21" s="133">
        <v>137.54417175298784</v>
      </c>
      <c r="E21" s="133">
        <v>138.16104296408682</v>
      </c>
      <c r="F21" s="133">
        <v>126.16991784785078</v>
      </c>
      <c r="G21" s="133">
        <v>125.6069077431292</v>
      </c>
      <c r="H21" s="133">
        <v>127.71507833057399</v>
      </c>
      <c r="I21" s="133">
        <v>127.06695185198716</v>
      </c>
      <c r="J21" s="133">
        <v>126.02475061351045</v>
      </c>
      <c r="K21" s="133">
        <v>125.42742796347056</v>
      </c>
      <c r="L21" s="133">
        <v>126.6166226126081</v>
      </c>
      <c r="M21" s="133">
        <v>126.83840263124654</v>
      </c>
      <c r="N21" s="133">
        <v>127.10074506982511</v>
      </c>
      <c r="O21" s="133">
        <v>127.72158685345366</v>
      </c>
      <c r="P21" s="133">
        <v>126.22649760970542</v>
      </c>
      <c r="Q21" s="133">
        <v>127.95413770246007</v>
      </c>
      <c r="R21" s="133">
        <v>129.79102872627701</v>
      </c>
      <c r="S21" s="133">
        <v>126.71446024625659</v>
      </c>
      <c r="T21" s="133">
        <v>127.78537405162265</v>
      </c>
      <c r="U21" s="133">
        <v>103.50344717830528</v>
      </c>
      <c r="V21" s="133">
        <v>67.157484666732145</v>
      </c>
      <c r="W21" s="133">
        <v>77.146005254758791</v>
      </c>
      <c r="DA21" s="157" t="s">
        <v>371</v>
      </c>
    </row>
    <row r="22" spans="1:105" ht="12" customHeight="1" x14ac:dyDescent="0.25">
      <c r="A22" s="132" t="s">
        <v>168</v>
      </c>
      <c r="B22" s="133">
        <v>911.08628512557038</v>
      </c>
      <c r="C22" s="133">
        <v>951.3894011150328</v>
      </c>
      <c r="D22" s="133">
        <v>976.47978917831995</v>
      </c>
      <c r="E22" s="133">
        <v>997.62284836060462</v>
      </c>
      <c r="F22" s="133">
        <v>1011.5192579981104</v>
      </c>
      <c r="G22" s="133">
        <v>1013.7837985078689</v>
      </c>
      <c r="H22" s="133">
        <v>987.90776088764699</v>
      </c>
      <c r="I22" s="133">
        <v>920.44762726957947</v>
      </c>
      <c r="J22" s="133">
        <v>885.8204689047858</v>
      </c>
      <c r="K22" s="133">
        <v>865.09121665483303</v>
      </c>
      <c r="L22" s="133">
        <v>861.76118020711954</v>
      </c>
      <c r="M22" s="133">
        <v>873.20488520655272</v>
      </c>
      <c r="N22" s="133">
        <v>900.97228234201373</v>
      </c>
      <c r="O22" s="133">
        <v>924.49531410786039</v>
      </c>
      <c r="P22" s="133">
        <v>945.33047684007477</v>
      </c>
      <c r="Q22" s="133">
        <v>1021.032283914828</v>
      </c>
      <c r="R22" s="133">
        <v>1069.1435363730889</v>
      </c>
      <c r="S22" s="133">
        <v>1054.3448267906206</v>
      </c>
      <c r="T22" s="133">
        <v>1058.6853372656108</v>
      </c>
      <c r="U22" s="133">
        <v>1040.4105903918303</v>
      </c>
      <c r="V22" s="133">
        <v>1013.5226488641829</v>
      </c>
      <c r="W22" s="133">
        <v>1073.2168626371408</v>
      </c>
      <c r="DA22" s="157" t="s">
        <v>372</v>
      </c>
    </row>
    <row r="23" spans="1:105" ht="12" customHeight="1" x14ac:dyDescent="0.25">
      <c r="A23" s="132" t="s">
        <v>153</v>
      </c>
      <c r="B23" s="133">
        <v>289.91322239896436</v>
      </c>
      <c r="C23" s="133">
        <v>265.35494622053147</v>
      </c>
      <c r="D23" s="133">
        <v>216.53311237629987</v>
      </c>
      <c r="E23" s="133">
        <v>80.782332441676232</v>
      </c>
      <c r="F23" s="133">
        <v>159.16029922987693</v>
      </c>
      <c r="G23" s="133">
        <v>207.82264456640823</v>
      </c>
      <c r="H23" s="133">
        <v>529.42466942393708</v>
      </c>
      <c r="I23" s="133">
        <v>549.24438725935431</v>
      </c>
      <c r="J23" s="133">
        <v>561.20278986992867</v>
      </c>
      <c r="K23" s="133">
        <v>584.42397762468397</v>
      </c>
      <c r="L23" s="133">
        <v>590.09791440621905</v>
      </c>
      <c r="M23" s="133">
        <v>589.15339347282031</v>
      </c>
      <c r="N23" s="133">
        <v>652.98194710470068</v>
      </c>
      <c r="O23" s="133">
        <v>722.60135119029678</v>
      </c>
      <c r="P23" s="133">
        <v>884.82452134308721</v>
      </c>
      <c r="Q23" s="133">
        <v>711.28425526713932</v>
      </c>
      <c r="R23" s="133">
        <v>706.15359164623521</v>
      </c>
      <c r="S23" s="133">
        <v>714.50767305828231</v>
      </c>
      <c r="T23" s="133">
        <v>736.43828621768887</v>
      </c>
      <c r="U23" s="133">
        <v>782.89998144409583</v>
      </c>
      <c r="V23" s="133">
        <v>753.15029822896975</v>
      </c>
      <c r="W23" s="133">
        <v>843.67135648170984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836.74748377256572</v>
      </c>
      <c r="C29" s="131">
        <f t="shared" si="8"/>
        <v>970.85033058254146</v>
      </c>
      <c r="D29" s="131">
        <f t="shared" si="8"/>
        <v>915.19292320529735</v>
      </c>
      <c r="E29" s="131">
        <f t="shared" si="8"/>
        <v>855.85760286247569</v>
      </c>
      <c r="F29" s="131">
        <f t="shared" si="8"/>
        <v>1106.34121767432</v>
      </c>
      <c r="G29" s="131">
        <f t="shared" si="8"/>
        <v>1131.6863175071687</v>
      </c>
      <c r="H29" s="131">
        <f t="shared" si="8"/>
        <v>1188.7873251798437</v>
      </c>
      <c r="I29" s="131">
        <f t="shared" si="8"/>
        <v>1221.1554402919496</v>
      </c>
      <c r="J29" s="131">
        <f t="shared" si="8"/>
        <v>1298.2540426733049</v>
      </c>
      <c r="K29" s="131">
        <f t="shared" si="8"/>
        <v>1266.9957472878643</v>
      </c>
      <c r="L29" s="131">
        <f t="shared" si="8"/>
        <v>1318.783133807086</v>
      </c>
      <c r="M29" s="131">
        <f t="shared" si="8"/>
        <v>1329.6772639034998</v>
      </c>
      <c r="N29" s="131">
        <f t="shared" si="8"/>
        <v>1394.4380516399087</v>
      </c>
      <c r="O29" s="131">
        <f t="shared" si="8"/>
        <v>1545.4423670364913</v>
      </c>
      <c r="P29" s="131">
        <f t="shared" si="8"/>
        <v>2374.6124208638385</v>
      </c>
      <c r="Q29" s="131">
        <f t="shared" si="8"/>
        <v>2697.7601356659543</v>
      </c>
      <c r="R29" s="131">
        <f t="shared" ref="R29:W29" si="9">SUM(R30:R33)</f>
        <v>2852.814775576288</v>
      </c>
      <c r="S29" s="131">
        <f t="shared" si="9"/>
        <v>2791.7619547849749</v>
      </c>
      <c r="T29" s="131">
        <f t="shared" si="9"/>
        <v>2538.0060240857251</v>
      </c>
      <c r="U29" s="131">
        <f t="shared" si="9"/>
        <v>2537.5186886838219</v>
      </c>
      <c r="V29" s="131">
        <f t="shared" si="9"/>
        <v>2538.6139070088138</v>
      </c>
      <c r="W29" s="131">
        <f t="shared" si="9"/>
        <v>2512.6829938821602</v>
      </c>
      <c r="DA29" s="156" t="s">
        <v>236</v>
      </c>
    </row>
    <row r="30" spans="1:105" ht="12" customHeight="1" x14ac:dyDescent="0.25">
      <c r="A30" s="132" t="s">
        <v>52</v>
      </c>
      <c r="B30" s="133">
        <v>469.43903423122475</v>
      </c>
      <c r="C30" s="133">
        <v>517.13747044658521</v>
      </c>
      <c r="D30" s="133">
        <v>516.08987396701229</v>
      </c>
      <c r="E30" s="133">
        <v>506.51903703591307</v>
      </c>
      <c r="F30" s="133">
        <v>533.43321119214943</v>
      </c>
      <c r="G30" s="133">
        <v>486.24219177687092</v>
      </c>
      <c r="H30" s="133">
        <v>436.37999166942592</v>
      </c>
      <c r="I30" s="133">
        <v>448.96673910801286</v>
      </c>
      <c r="J30" s="133">
        <v>467.91664462648941</v>
      </c>
      <c r="K30" s="133">
        <v>414.79062727652962</v>
      </c>
      <c r="L30" s="133">
        <v>407.63212214739218</v>
      </c>
      <c r="M30" s="133">
        <v>374.57936164875321</v>
      </c>
      <c r="N30" s="133">
        <v>350.44000445017502</v>
      </c>
      <c r="O30" s="133">
        <v>328.9268031465466</v>
      </c>
      <c r="P30" s="133">
        <v>225.9598676302947</v>
      </c>
      <c r="Q30" s="133">
        <v>364.50988801753994</v>
      </c>
      <c r="R30" s="133">
        <v>505.93508555372324</v>
      </c>
      <c r="S30" s="133">
        <v>410.51893975374298</v>
      </c>
      <c r="T30" s="133">
        <v>463.1713659483774</v>
      </c>
      <c r="U30" s="133">
        <v>385.97592330169476</v>
      </c>
      <c r="V30" s="133">
        <v>240.25950629326809</v>
      </c>
      <c r="W30" s="133">
        <v>282.12275446524131</v>
      </c>
      <c r="DA30" s="157" t="s">
        <v>378</v>
      </c>
    </row>
    <row r="31" spans="1:105" ht="12" customHeight="1" x14ac:dyDescent="0.25">
      <c r="A31" s="132" t="s">
        <v>153</v>
      </c>
      <c r="B31" s="133">
        <v>367.30844954134096</v>
      </c>
      <c r="C31" s="133">
        <v>453.71286013595625</v>
      </c>
      <c r="D31" s="133">
        <v>399.10304923828511</v>
      </c>
      <c r="E31" s="133">
        <v>349.33856582656256</v>
      </c>
      <c r="F31" s="133">
        <v>572.90800648217066</v>
      </c>
      <c r="G31" s="133">
        <v>645.44412573029774</v>
      </c>
      <c r="H31" s="133">
        <v>752.40733351041774</v>
      </c>
      <c r="I31" s="133">
        <v>772.1887011839367</v>
      </c>
      <c r="J31" s="133">
        <v>830.33739804681557</v>
      </c>
      <c r="K31" s="133">
        <v>852.20512001133466</v>
      </c>
      <c r="L31" s="133">
        <v>911.15101165969372</v>
      </c>
      <c r="M31" s="133">
        <v>955.09790225474649</v>
      </c>
      <c r="N31" s="133">
        <v>1043.9980471897338</v>
      </c>
      <c r="O31" s="133">
        <v>1216.5155638899446</v>
      </c>
      <c r="P31" s="133">
        <v>2148.6525532335436</v>
      </c>
      <c r="Q31" s="133">
        <v>2333.2502476484142</v>
      </c>
      <c r="R31" s="133">
        <v>2346.8796900225648</v>
      </c>
      <c r="S31" s="133">
        <v>2381.2430150312321</v>
      </c>
      <c r="T31" s="133">
        <v>2074.8346581373476</v>
      </c>
      <c r="U31" s="133">
        <v>2151.5427653821271</v>
      </c>
      <c r="V31" s="133">
        <v>2298.3544007155456</v>
      </c>
      <c r="W31" s="133">
        <v>2230.5602394169191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26811.880621692289</v>
      </c>
      <c r="C3" s="126">
        <f>IF(SER_hh_fec!C3=0,0,11630*1000*SER_hh_fec!C3/SER_hh_num!C3)</f>
        <v>26944.110593408474</v>
      </c>
      <c r="D3" s="126">
        <f>IF(SER_hh_fec!D3=0,0,11630*1000*SER_hh_fec!D3/SER_hh_num!D3)</f>
        <v>26121.074480077496</v>
      </c>
      <c r="E3" s="126">
        <f>IF(SER_hh_fec!E3=0,0,11630*1000*SER_hh_fec!E3/SER_hh_num!E3)</f>
        <v>24447.122681946268</v>
      </c>
      <c r="F3" s="126">
        <f>IF(SER_hh_fec!F3=0,0,11630*1000*SER_hh_fec!F3/SER_hh_num!F3)</f>
        <v>26057.324802768744</v>
      </c>
      <c r="G3" s="126">
        <f>IF(SER_hh_fec!G3=0,0,11630*1000*SER_hh_fec!G3/SER_hh_num!G3)</f>
        <v>27693.344362252687</v>
      </c>
      <c r="H3" s="126">
        <f>IF(SER_hh_fec!H3=0,0,11630*1000*SER_hh_fec!H3/SER_hh_num!H3)</f>
        <v>36388.590110168931</v>
      </c>
      <c r="I3" s="126">
        <f>IF(SER_hh_fec!I3=0,0,11630*1000*SER_hh_fec!I3/SER_hh_num!I3)</f>
        <v>29103.440259566134</v>
      </c>
      <c r="J3" s="126">
        <f>IF(SER_hh_fec!J3=0,0,11630*1000*SER_hh_fec!J3/SER_hh_num!J3)</f>
        <v>29189.945634173655</v>
      </c>
      <c r="K3" s="126">
        <f>IF(SER_hh_fec!K3=0,0,11630*1000*SER_hh_fec!K3/SER_hh_num!K3)</f>
        <v>31152.526265035478</v>
      </c>
      <c r="L3" s="126">
        <f>IF(SER_hh_fec!L3=0,0,11630*1000*SER_hh_fec!L3/SER_hh_num!L3)</f>
        <v>33872.337633025258</v>
      </c>
      <c r="M3" s="126">
        <f>IF(SER_hh_fec!M3=0,0,11630*1000*SER_hh_fec!M3/SER_hh_num!M3)</f>
        <v>33502.043880933081</v>
      </c>
      <c r="N3" s="126">
        <f>IF(SER_hh_fec!N3=0,0,11630*1000*SER_hh_fec!N3/SER_hh_num!N3)</f>
        <v>30897.699106048676</v>
      </c>
      <c r="O3" s="126">
        <f>IF(SER_hh_fec!O3=0,0,11630*1000*SER_hh_fec!O3/SER_hh_num!O3)</f>
        <v>28879.396316412127</v>
      </c>
      <c r="P3" s="126">
        <f>IF(SER_hh_fec!P3=0,0,11630*1000*SER_hh_fec!P3/SER_hh_num!P3)</f>
        <v>24144.115434718147</v>
      </c>
      <c r="Q3" s="126">
        <f>IF(SER_hh_fec!Q3=0,0,11630*1000*SER_hh_fec!Q3/SER_hh_num!Q3)</f>
        <v>24770.781452416031</v>
      </c>
      <c r="R3" s="126">
        <f>IF(SER_hh_fec!R3=0,0,11630*1000*SER_hh_fec!R3/SER_hh_num!R3)</f>
        <v>24917.360721738489</v>
      </c>
      <c r="S3" s="126">
        <f>IF(SER_hh_fec!S3=0,0,11630*1000*SER_hh_fec!S3/SER_hh_num!S3)</f>
        <v>26060.560939719642</v>
      </c>
      <c r="T3" s="126">
        <f>IF(SER_hh_fec!T3=0,0,11630*1000*SER_hh_fec!T3/SER_hh_num!T3)</f>
        <v>26138.400011598249</v>
      </c>
      <c r="U3" s="126">
        <f>IF(SER_hh_fec!U3=0,0,11630*1000*SER_hh_fec!U3/SER_hh_num!U3)</f>
        <v>26048.306361404364</v>
      </c>
      <c r="V3" s="126">
        <f>IF(SER_hh_fec!V3=0,0,11630*1000*SER_hh_fec!V3/SER_hh_num!V3)</f>
        <v>23654.651610630321</v>
      </c>
      <c r="W3" s="126">
        <f>IF(SER_hh_fec!W3=0,0,11630*1000*SER_hh_fec!W3/SER_hh_num!W3)</f>
        <v>25717.008353535177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12703.543070539488</v>
      </c>
      <c r="C4" s="131">
        <f>IF(SER_hh_fec!C4=0,0,11630*1000*SER_hh_fec!C4/SER_hh_num!C4)</f>
        <v>12267.637461933562</v>
      </c>
      <c r="D4" s="131">
        <f>IF(SER_hh_fec!D4=0,0,11630*1000*SER_hh_fec!D4/SER_hh_num!D4)</f>
        <v>11575.800747804919</v>
      </c>
      <c r="E4" s="131">
        <f>IF(SER_hh_fec!E4=0,0,11630*1000*SER_hh_fec!E4/SER_hh_num!E4)</f>
        <v>9533.6243658008734</v>
      </c>
      <c r="F4" s="131">
        <f>IF(SER_hh_fec!F4=0,0,11630*1000*SER_hh_fec!F4/SER_hh_num!F4)</f>
        <v>10610.514379844208</v>
      </c>
      <c r="G4" s="131">
        <f>IF(SER_hh_fec!G4=0,0,11630*1000*SER_hh_fec!G4/SER_hh_num!G4)</f>
        <v>12011.922304164724</v>
      </c>
      <c r="H4" s="131">
        <f>IF(SER_hh_fec!H4=0,0,11630*1000*SER_hh_fec!H4/SER_hh_num!H4)</f>
        <v>19705.14381408448</v>
      </c>
      <c r="I4" s="131">
        <f>IF(SER_hh_fec!I4=0,0,11630*1000*SER_hh_fec!I4/SER_hh_num!I4)</f>
        <v>12996.281264812147</v>
      </c>
      <c r="J4" s="131">
        <f>IF(SER_hh_fec!J4=0,0,11630*1000*SER_hh_fec!J4/SER_hh_num!J4)</f>
        <v>12665.364300314155</v>
      </c>
      <c r="K4" s="131">
        <f>IF(SER_hh_fec!K4=0,0,11630*1000*SER_hh_fec!K4/SER_hh_num!K4)</f>
        <v>13485.072917958698</v>
      </c>
      <c r="L4" s="131">
        <f>IF(SER_hh_fec!L4=0,0,11630*1000*SER_hh_fec!L4/SER_hh_num!L4)</f>
        <v>16116.01371146036</v>
      </c>
      <c r="M4" s="131">
        <f>IF(SER_hh_fec!M4=0,0,11630*1000*SER_hh_fec!M4/SER_hh_num!M4)</f>
        <v>15957.359900575588</v>
      </c>
      <c r="N4" s="131">
        <f>IF(SER_hh_fec!N4=0,0,11630*1000*SER_hh_fec!N4/SER_hh_num!N4)</f>
        <v>12901.63750472973</v>
      </c>
      <c r="O4" s="131">
        <f>IF(SER_hh_fec!O4=0,0,11630*1000*SER_hh_fec!O4/SER_hh_num!O4)</f>
        <v>11506.701016811812</v>
      </c>
      <c r="P4" s="131">
        <f>IF(SER_hh_fec!P4=0,0,11630*1000*SER_hh_fec!P4/SER_hh_num!P4)</f>
        <v>6874.4714946764834</v>
      </c>
      <c r="Q4" s="131">
        <f>IF(SER_hh_fec!Q4=0,0,11630*1000*SER_hh_fec!Q4/SER_hh_num!Q4)</f>
        <v>6418.2928877292679</v>
      </c>
      <c r="R4" s="131">
        <f>IF(SER_hh_fec!R4=0,0,11630*1000*SER_hh_fec!R4/SER_hh_num!R4)</f>
        <v>7105.508394908823</v>
      </c>
      <c r="S4" s="131">
        <f>IF(SER_hh_fec!S4=0,0,11630*1000*SER_hh_fec!S4/SER_hh_num!S4)</f>
        <v>7781.6210752379438</v>
      </c>
      <c r="T4" s="131">
        <f>IF(SER_hh_fec!T4=0,0,11630*1000*SER_hh_fec!T4/SER_hh_num!T4)</f>
        <v>9115.3233800807866</v>
      </c>
      <c r="U4" s="131">
        <f>IF(SER_hh_fec!U4=0,0,11630*1000*SER_hh_fec!U4/SER_hh_num!U4)</f>
        <v>9015.8388291792853</v>
      </c>
      <c r="V4" s="131">
        <f>IF(SER_hh_fec!V4=0,0,11630*1000*SER_hh_fec!V4/SER_hh_num!V4)</f>
        <v>8179.7067228726255</v>
      </c>
      <c r="W4" s="131">
        <f>IF(SER_hh_fec!W4=0,0,11630*1000*SER_hh_fec!W4/SER_hh_num!W4)</f>
        <v>9518.2133099961338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13655.353880433135</v>
      </c>
      <c r="C7" s="133">
        <f>IF(SER_hh_fec!C7=0,0,11630*1000*SER_hh_fec!C7/SER_hh_num!C7)</f>
        <v>13361.543209317484</v>
      </c>
      <c r="D7" s="133">
        <f>IF(SER_hh_fec!D7=0,0,11630*1000*SER_hh_fec!D7/SER_hh_num!D7)</f>
        <v>11087.75267268129</v>
      </c>
      <c r="E7" s="133">
        <f>IF(SER_hh_fec!E7=0,0,11630*1000*SER_hh_fec!E7/SER_hh_num!E7)</f>
        <v>11177.230059586745</v>
      </c>
      <c r="F7" s="133">
        <f>IF(SER_hh_fec!F7=0,0,11630*1000*SER_hh_fec!F7/SER_hh_num!F7)</f>
        <v>12500.076812255629</v>
      </c>
      <c r="G7" s="133">
        <f>IF(SER_hh_fec!G7=0,0,11630*1000*SER_hh_fec!G7/SER_hh_num!G7)</f>
        <v>14451.656197972883</v>
      </c>
      <c r="H7" s="133">
        <f>IF(SER_hh_fec!H7=0,0,11630*1000*SER_hh_fec!H7/SER_hh_num!H7)</f>
        <v>14143.187910380037</v>
      </c>
      <c r="I7" s="133">
        <f>IF(SER_hh_fec!I7=0,0,11630*1000*SER_hh_fec!I7/SER_hh_num!I7)</f>
        <v>15174.181579320899</v>
      </c>
      <c r="J7" s="133">
        <f>IF(SER_hh_fec!J7=0,0,11630*1000*SER_hh_fec!J7/SER_hh_num!J7)</f>
        <v>16185.990826614399</v>
      </c>
      <c r="K7" s="133">
        <f>IF(SER_hh_fec!K7=0,0,11630*1000*SER_hh_fec!K7/SER_hh_num!K7)</f>
        <v>18308.110833791998</v>
      </c>
      <c r="L7" s="133">
        <f>IF(SER_hh_fec!L7=0,0,11630*1000*SER_hh_fec!L7/SER_hh_num!L7)</f>
        <v>18114.109703187383</v>
      </c>
      <c r="M7" s="133">
        <f>IF(SER_hh_fec!M7=0,0,11630*1000*SER_hh_fec!M7/SER_hh_num!M7)</f>
        <v>15197.396918297583</v>
      </c>
      <c r="N7" s="133">
        <f>IF(SER_hh_fec!N7=0,0,11630*1000*SER_hh_fec!N7/SER_hh_num!N7)</f>
        <v>14753.564922044769</v>
      </c>
      <c r="O7" s="133">
        <f>IF(SER_hh_fec!O7=0,0,11630*1000*SER_hh_fec!O7/SER_hh_num!O7)</f>
        <v>14086.905779254639</v>
      </c>
      <c r="P7" s="133">
        <f>IF(SER_hh_fec!P7=0,0,11630*1000*SER_hh_fec!P7/SER_hh_num!P7)</f>
        <v>10569.014554143419</v>
      </c>
      <c r="Q7" s="133">
        <f>IF(SER_hh_fec!Q7=0,0,11630*1000*SER_hh_fec!Q7/SER_hh_num!Q7)</f>
        <v>7534.1741495850965</v>
      </c>
      <c r="R7" s="133">
        <f>IF(SER_hh_fec!R7=0,0,11630*1000*SER_hh_fec!R7/SER_hh_num!R7)</f>
        <v>9894.2264938044937</v>
      </c>
      <c r="S7" s="133">
        <f>IF(SER_hh_fec!S7=0,0,11630*1000*SER_hh_fec!S7/SER_hh_num!S7)</f>
        <v>11538.478402501843</v>
      </c>
      <c r="T7" s="133">
        <f>IF(SER_hh_fec!T7=0,0,11630*1000*SER_hh_fec!T7/SER_hh_num!T7)</f>
        <v>12830.535023761813</v>
      </c>
      <c r="U7" s="133">
        <f>IF(SER_hh_fec!U7=0,0,11630*1000*SER_hh_fec!U7/SER_hh_num!U7)</f>
        <v>12965.942728299962</v>
      </c>
      <c r="V7" s="133">
        <f>IF(SER_hh_fec!V7=0,0,11630*1000*SER_hh_fec!V7/SER_hh_num!V7)</f>
        <v>13142.474724357093</v>
      </c>
      <c r="W7" s="133">
        <f>IF(SER_hh_fec!W7=0,0,11630*1000*SER_hh_fec!W7/SER_hh_num!W7)</f>
        <v>15146.346001202694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4766.6726285318819</v>
      </c>
      <c r="C8" s="133">
        <f>IF(SER_hh_fec!C8=0,0,11630*1000*SER_hh_fec!C8/SER_hh_num!C8)</f>
        <v>4901.3475021396625</v>
      </c>
      <c r="D8" s="133">
        <f>IF(SER_hh_fec!D8=0,0,11630*1000*SER_hh_fec!D8/SER_hh_num!D8)</f>
        <v>4191.7407633437133</v>
      </c>
      <c r="E8" s="133">
        <f>IF(SER_hh_fec!E8=0,0,11630*1000*SER_hh_fec!E8/SER_hh_num!E8)</f>
        <v>2719.6702394228237</v>
      </c>
      <c r="F8" s="133">
        <f>IF(SER_hh_fec!F8=0,0,11630*1000*SER_hh_fec!F8/SER_hh_num!F8)</f>
        <v>2734.4290155348476</v>
      </c>
      <c r="G8" s="133">
        <f>IF(SER_hh_fec!G8=0,0,11630*1000*SER_hh_fec!G8/SER_hh_num!G8)</f>
        <v>3847.4189840918084</v>
      </c>
      <c r="H8" s="133">
        <f>IF(SER_hh_fec!H8=0,0,11630*1000*SER_hh_fec!H8/SER_hh_num!H8)</f>
        <v>5655.076465602021</v>
      </c>
      <c r="I8" s="133">
        <f>IF(SER_hh_fec!I8=0,0,11630*1000*SER_hh_fec!I8/SER_hh_num!I8)</f>
        <v>4657.17274524806</v>
      </c>
      <c r="J8" s="133">
        <f>IF(SER_hh_fec!J8=0,0,11630*1000*SER_hh_fec!J8/SER_hh_num!J8)</f>
        <v>4317.9614201406812</v>
      </c>
      <c r="K8" s="133">
        <f>IF(SER_hh_fec!K8=0,0,11630*1000*SER_hh_fec!K8/SER_hh_num!K8)</f>
        <v>3863.7732694392753</v>
      </c>
      <c r="L8" s="133">
        <f>IF(SER_hh_fec!L8=0,0,11630*1000*SER_hh_fec!L8/SER_hh_num!L8)</f>
        <v>3170.7361185981213</v>
      </c>
      <c r="M8" s="133">
        <f>IF(SER_hh_fec!M8=0,0,11630*1000*SER_hh_fec!M8/SER_hh_num!M8)</f>
        <v>2950.7689643799731</v>
      </c>
      <c r="N8" s="133">
        <f>IF(SER_hh_fec!N8=0,0,11630*1000*SER_hh_fec!N8/SER_hh_num!N8)</f>
        <v>2124.4731096278824</v>
      </c>
      <c r="O8" s="133">
        <f>IF(SER_hh_fec!O8=0,0,11630*1000*SER_hh_fec!O8/SER_hh_num!O8)</f>
        <v>1914.4158837896857</v>
      </c>
      <c r="P8" s="133">
        <f>IF(SER_hh_fec!P8=0,0,11630*1000*SER_hh_fec!P8/SER_hh_num!P8)</f>
        <v>1921.6007784243534</v>
      </c>
      <c r="Q8" s="133">
        <f>IF(SER_hh_fec!Q8=0,0,11630*1000*SER_hh_fec!Q8/SER_hh_num!Q8)</f>
        <v>1830.4538056623178</v>
      </c>
      <c r="R8" s="133">
        <f>IF(SER_hh_fec!R8=0,0,11630*1000*SER_hh_fec!R8/SER_hh_num!R8)</f>
        <v>2041.0371165954687</v>
      </c>
      <c r="S8" s="133">
        <f>IF(SER_hh_fec!S8=0,0,11630*1000*SER_hh_fec!S8/SER_hh_num!S8)</f>
        <v>2282.7707480532263</v>
      </c>
      <c r="T8" s="133">
        <f>IF(SER_hh_fec!T8=0,0,11630*1000*SER_hh_fec!T8/SER_hh_num!T8)</f>
        <v>2581.8023058259128</v>
      </c>
      <c r="U8" s="133">
        <f>IF(SER_hh_fec!U8=0,0,11630*1000*SER_hh_fec!U8/SER_hh_num!U8)</f>
        <v>2803.1202497257495</v>
      </c>
      <c r="V8" s="133">
        <f>IF(SER_hh_fec!V8=0,0,11630*1000*SER_hh_fec!V8/SER_hh_num!V8)</f>
        <v>2885.6436260270798</v>
      </c>
      <c r="W8" s="133">
        <f>IF(SER_hh_fec!W8=0,0,11630*1000*SER_hh_fec!W8/SER_hh_num!W8)</f>
        <v>3183.0755128461824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9316.0407564028083</v>
      </c>
      <c r="C9" s="133">
        <f>IF(SER_hh_fec!C9=0,0,11630*1000*SER_hh_fec!C9/SER_hh_num!C9)</f>
        <v>11407.818078873903</v>
      </c>
      <c r="D9" s="133">
        <f>IF(SER_hh_fec!D9=0,0,11630*1000*SER_hh_fec!D9/SER_hh_num!D9)</f>
        <v>17001.75158057547</v>
      </c>
      <c r="E9" s="133">
        <f>IF(SER_hh_fec!E9=0,0,11630*1000*SER_hh_fec!E9/SER_hh_num!E9)</f>
        <v>1482.8151973579165</v>
      </c>
      <c r="F9" s="133">
        <f>IF(SER_hh_fec!F9=0,0,11630*1000*SER_hh_fec!F9/SER_hh_num!F9)</f>
        <v>1749.1799951026396</v>
      </c>
      <c r="G9" s="133">
        <f>IF(SER_hh_fec!G9=0,0,11630*1000*SER_hh_fec!G9/SER_hh_num!G9)</f>
        <v>8758.5215529892484</v>
      </c>
      <c r="H9" s="133">
        <f>IF(SER_hh_fec!H9=0,0,11630*1000*SER_hh_fec!H9/SER_hh_num!H9)</f>
        <v>27643.945458366037</v>
      </c>
      <c r="I9" s="133">
        <f>IF(SER_hh_fec!I9=0,0,11630*1000*SER_hh_fec!I9/SER_hh_num!I9)</f>
        <v>12703.802765287865</v>
      </c>
      <c r="J9" s="133">
        <f>IF(SER_hh_fec!J9=0,0,11630*1000*SER_hh_fec!J9/SER_hh_num!J9)</f>
        <v>9504.0416153352471</v>
      </c>
      <c r="K9" s="133">
        <f>IF(SER_hh_fec!K9=0,0,11630*1000*SER_hh_fec!K9/SER_hh_num!K9)</f>
        <v>12419.843386542138</v>
      </c>
      <c r="L9" s="133">
        <f>IF(SER_hh_fec!L9=0,0,11630*1000*SER_hh_fec!L9/SER_hh_num!L9)</f>
        <v>16460.685577857421</v>
      </c>
      <c r="M9" s="133">
        <f>IF(SER_hh_fec!M9=0,0,11630*1000*SER_hh_fec!M9/SER_hh_num!M9)</f>
        <v>18355.382832134695</v>
      </c>
      <c r="N9" s="133">
        <f>IF(SER_hh_fec!N9=0,0,11630*1000*SER_hh_fec!N9/SER_hh_num!N9)</f>
        <v>13577.370590727205</v>
      </c>
      <c r="O9" s="133">
        <f>IF(SER_hh_fec!O9=0,0,11630*1000*SER_hh_fec!O9/SER_hh_num!O9)</f>
        <v>12419.807208978227</v>
      </c>
      <c r="P9" s="133">
        <f>IF(SER_hh_fec!P9=0,0,11630*1000*SER_hh_fec!P9/SER_hh_num!P9)</f>
        <v>5687.718735565365</v>
      </c>
      <c r="Q9" s="133">
        <f>IF(SER_hh_fec!Q9=0,0,11630*1000*SER_hh_fec!Q9/SER_hh_num!Q9)</f>
        <v>8736.3842825682023</v>
      </c>
      <c r="R9" s="133">
        <f>IF(SER_hh_fec!R9=0,0,11630*1000*SER_hh_fec!R9/SER_hh_num!R9)</f>
        <v>8847.9233746625105</v>
      </c>
      <c r="S9" s="133">
        <f>IF(SER_hh_fec!S9=0,0,11630*1000*SER_hh_fec!S9/SER_hh_num!S9)</f>
        <v>9428.7623514321804</v>
      </c>
      <c r="T9" s="133">
        <f>IF(SER_hh_fec!T9=0,0,11630*1000*SER_hh_fec!T9/SER_hh_num!T9)</f>
        <v>13364.653780674233</v>
      </c>
      <c r="U9" s="133">
        <f>IF(SER_hh_fec!U9=0,0,11630*1000*SER_hh_fec!U9/SER_hh_num!U9)</f>
        <v>13642.483611715057</v>
      </c>
      <c r="V9" s="133">
        <f>IF(SER_hh_fec!V9=0,0,11630*1000*SER_hh_fec!V9/SER_hh_num!V9)</f>
        <v>11863.721771522298</v>
      </c>
      <c r="W9" s="133">
        <f>IF(SER_hh_fec!W9=0,0,11630*1000*SER_hh_fec!W9/SER_hh_num!W9)</f>
        <v>14644.53509251614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13856.029795687007</v>
      </c>
      <c r="C10" s="133">
        <f>IF(SER_hh_fec!C10=0,0,11630*1000*SER_hh_fec!C10/SER_hh_num!C10)</f>
        <v>13255.561711635297</v>
      </c>
      <c r="D10" s="133">
        <f>IF(SER_hh_fec!D10=0,0,11630*1000*SER_hh_fec!D10/SER_hh_num!D10)</f>
        <v>11871.567620893933</v>
      </c>
      <c r="E10" s="133">
        <f>IF(SER_hh_fec!E10=0,0,11630*1000*SER_hh_fec!E10/SER_hh_num!E10)</f>
        <v>11507.404207642678</v>
      </c>
      <c r="F10" s="133">
        <f>IF(SER_hh_fec!F10=0,0,11630*1000*SER_hh_fec!F10/SER_hh_num!F10)</f>
        <v>11457.842440060305</v>
      </c>
      <c r="G10" s="133">
        <f>IF(SER_hh_fec!G10=0,0,11630*1000*SER_hh_fec!G10/SER_hh_num!G10)</f>
        <v>12004.700428729615</v>
      </c>
      <c r="H10" s="133">
        <f>IF(SER_hh_fec!H10=0,0,11630*1000*SER_hh_fec!H10/SER_hh_num!H10)</f>
        <v>18181.441353296461</v>
      </c>
      <c r="I10" s="133">
        <f>IF(SER_hh_fec!I10=0,0,11630*1000*SER_hh_fec!I10/SER_hh_num!I10)</f>
        <v>16340.108207666734</v>
      </c>
      <c r="J10" s="133">
        <f>IF(SER_hh_fec!J10=0,0,11630*1000*SER_hh_fec!J10/SER_hh_num!J10)</f>
        <v>18686.389442721877</v>
      </c>
      <c r="K10" s="133">
        <f>IF(SER_hh_fec!K10=0,0,11630*1000*SER_hh_fec!K10/SER_hh_num!K10)</f>
        <v>14542.704864618752</v>
      </c>
      <c r="L10" s="133">
        <f>IF(SER_hh_fec!L10=0,0,11630*1000*SER_hh_fec!L10/SER_hh_num!L10)</f>
        <v>16411.540416860975</v>
      </c>
      <c r="M10" s="133">
        <f>IF(SER_hh_fec!M10=0,0,11630*1000*SER_hh_fec!M10/SER_hh_num!M10)</f>
        <v>17070.443994577792</v>
      </c>
      <c r="N10" s="133">
        <f>IF(SER_hh_fec!N10=0,0,11630*1000*SER_hh_fec!N10/SER_hh_num!N10)</f>
        <v>14853.475329641245</v>
      </c>
      <c r="O10" s="133">
        <f>IF(SER_hh_fec!O10=0,0,11630*1000*SER_hh_fec!O10/SER_hh_num!O10)</f>
        <v>12392.627714053962</v>
      </c>
      <c r="P10" s="133">
        <f>IF(SER_hh_fec!P10=0,0,11630*1000*SER_hh_fec!P10/SER_hh_num!P10)</f>
        <v>9759.7514795061816</v>
      </c>
      <c r="Q10" s="133">
        <f>IF(SER_hh_fec!Q10=0,0,11630*1000*SER_hh_fec!Q10/SER_hh_num!Q10)</f>
        <v>9702.8040030718839</v>
      </c>
      <c r="R10" s="133">
        <f>IF(SER_hh_fec!R10=0,0,11630*1000*SER_hh_fec!R10/SER_hh_num!R10)</f>
        <v>11819.836355627145</v>
      </c>
      <c r="S10" s="133">
        <f>IF(SER_hh_fec!S10=0,0,11630*1000*SER_hh_fec!S10/SER_hh_num!S10)</f>
        <v>13034.927109089984</v>
      </c>
      <c r="T10" s="133">
        <f>IF(SER_hh_fec!T10=0,0,11630*1000*SER_hh_fec!T10/SER_hh_num!T10)</f>
        <v>14047.612080098104</v>
      </c>
      <c r="U10" s="133">
        <f>IF(SER_hh_fec!U10=0,0,11630*1000*SER_hh_fec!U10/SER_hh_num!U10)</f>
        <v>15487.189758485796</v>
      </c>
      <c r="V10" s="133">
        <f>IF(SER_hh_fec!V10=0,0,11630*1000*SER_hh_fec!V10/SER_hh_num!V10)</f>
        <v>16186.739547792082</v>
      </c>
      <c r="W10" s="133">
        <f>IF(SER_hh_fec!W10=0,0,11630*1000*SER_hh_fec!W10/SER_hh_num!W10)</f>
        <v>17965.484694680901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8475.9368728313439</v>
      </c>
      <c r="C11" s="133">
        <f>IF(SER_hh_fec!C11=0,0,11630*1000*SER_hh_fec!C11/SER_hh_num!C11)</f>
        <v>10613.654913516039</v>
      </c>
      <c r="D11" s="133">
        <f>IF(SER_hh_fec!D11=0,0,11630*1000*SER_hh_fec!D11/SER_hh_num!D11)</f>
        <v>2738.9575287921502</v>
      </c>
      <c r="E11" s="133">
        <f>IF(SER_hh_fec!E11=0,0,11630*1000*SER_hh_fec!E11/SER_hh_num!E11)</f>
        <v>3680.3281623497651</v>
      </c>
      <c r="F11" s="133">
        <f>IF(SER_hh_fec!F11=0,0,11630*1000*SER_hh_fec!F11/SER_hh_num!F11)</f>
        <v>7415.4030373764508</v>
      </c>
      <c r="G11" s="133">
        <f>IF(SER_hh_fec!G11=0,0,11630*1000*SER_hh_fec!G11/SER_hh_num!G11)</f>
        <v>8797.7285481427607</v>
      </c>
      <c r="H11" s="133">
        <f>IF(SER_hh_fec!H11=0,0,11630*1000*SER_hh_fec!H11/SER_hh_num!H11)</f>
        <v>10770.207050356947</v>
      </c>
      <c r="I11" s="133">
        <f>IF(SER_hh_fec!I11=0,0,11630*1000*SER_hh_fec!I11/SER_hh_num!I11)</f>
        <v>10790.453139491756</v>
      </c>
      <c r="J11" s="133">
        <f>IF(SER_hh_fec!J11=0,0,11630*1000*SER_hh_fec!J11/SER_hh_num!J11)</f>
        <v>11044.25854735071</v>
      </c>
      <c r="K11" s="133">
        <f>IF(SER_hh_fec!K11=0,0,11630*1000*SER_hh_fec!K11/SER_hh_num!K11)</f>
        <v>11393.138680014234</v>
      </c>
      <c r="L11" s="133">
        <f>IF(SER_hh_fec!L11=0,0,11630*1000*SER_hh_fec!L11/SER_hh_num!L11)</f>
        <v>12295.583449946043</v>
      </c>
      <c r="M11" s="133">
        <f>IF(SER_hh_fec!M11=0,0,11630*1000*SER_hh_fec!M11/SER_hh_num!M11)</f>
        <v>12108.974846768586</v>
      </c>
      <c r="N11" s="133">
        <f>IF(SER_hh_fec!N11=0,0,11630*1000*SER_hh_fec!N11/SER_hh_num!N11)</f>
        <v>10233.000124718274</v>
      </c>
      <c r="O11" s="133">
        <f>IF(SER_hh_fec!O11=0,0,11630*1000*SER_hh_fec!O11/SER_hh_num!O11)</f>
        <v>8277.4570502242696</v>
      </c>
      <c r="P11" s="133">
        <f>IF(SER_hh_fec!P11=0,0,11630*1000*SER_hh_fec!P11/SER_hh_num!P11)</f>
        <v>6767.5282979685353</v>
      </c>
      <c r="Q11" s="133">
        <f>IF(SER_hh_fec!Q11=0,0,11630*1000*SER_hh_fec!Q11/SER_hh_num!Q11)</f>
        <v>6512.1518784811487</v>
      </c>
      <c r="R11" s="133">
        <f>IF(SER_hh_fec!R11=0,0,11630*1000*SER_hh_fec!R11/SER_hh_num!R11)</f>
        <v>6967.3984309720072</v>
      </c>
      <c r="S11" s="133">
        <f>IF(SER_hh_fec!S11=0,0,11630*1000*SER_hh_fec!S11/SER_hh_num!S11)</f>
        <v>7957.4724104974894</v>
      </c>
      <c r="T11" s="133">
        <f>IF(SER_hh_fec!T11=0,0,11630*1000*SER_hh_fec!T11/SER_hh_num!T11)</f>
        <v>9110.099514465046</v>
      </c>
      <c r="U11" s="133">
        <f>IF(SER_hh_fec!U11=0,0,11630*1000*SER_hh_fec!U11/SER_hh_num!U11)</f>
        <v>10005.580010203445</v>
      </c>
      <c r="V11" s="133">
        <f>IF(SER_hh_fec!V11=0,0,11630*1000*SER_hh_fec!V11/SER_hh_num!V11)</f>
        <v>10594.228217886512</v>
      </c>
      <c r="W11" s="133">
        <f>IF(SER_hh_fec!W11=0,0,11630*1000*SER_hh_fec!W11/SER_hh_num!W11)</f>
        <v>11246.167556629251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4185.0902353205674</v>
      </c>
      <c r="C13" s="133">
        <f>IF(SER_hh_fec!C13=0,0,11630*1000*SER_hh_fec!C13/SER_hh_num!C13)</f>
        <v>4542.3555375134092</v>
      </c>
      <c r="D13" s="133">
        <f>IF(SER_hh_fec!D13=0,0,11630*1000*SER_hh_fec!D13/SER_hh_num!D13)</f>
        <v>3407.9248787753404</v>
      </c>
      <c r="E13" s="133">
        <f>IF(SER_hh_fec!E13=0,0,11630*1000*SER_hh_fec!E13/SER_hh_num!E13)</f>
        <v>3342.4400083909932</v>
      </c>
      <c r="F13" s="133">
        <f>IF(SER_hh_fec!F13=0,0,11630*1000*SER_hh_fec!F13/SER_hh_num!F13)</f>
        <v>3097.6085912863105</v>
      </c>
      <c r="G13" s="133">
        <f>IF(SER_hh_fec!G13=0,0,11630*1000*SER_hh_fec!G13/SER_hh_num!G13)</f>
        <v>3738.1740850299284</v>
      </c>
      <c r="H13" s="133">
        <f>IF(SER_hh_fec!H13=0,0,11630*1000*SER_hh_fec!H13/SER_hh_num!H13)</f>
        <v>3626.8177087562817</v>
      </c>
      <c r="I13" s="133">
        <f>IF(SER_hh_fec!I13=0,0,11630*1000*SER_hh_fec!I13/SER_hh_num!I13)</f>
        <v>3621.4603064234939</v>
      </c>
      <c r="J13" s="133">
        <f>IF(SER_hh_fec!J13=0,0,11630*1000*SER_hh_fec!J13/SER_hh_num!J13)</f>
        <v>3991.8275613451819</v>
      </c>
      <c r="K13" s="133">
        <f>IF(SER_hh_fec!K13=0,0,11630*1000*SER_hh_fec!K13/SER_hh_num!K13)</f>
        <v>3900.323935242468</v>
      </c>
      <c r="L13" s="133">
        <f>IF(SER_hh_fec!L13=0,0,11630*1000*SER_hh_fec!L13/SER_hh_num!L13)</f>
        <v>3760.9599059261532</v>
      </c>
      <c r="M13" s="133">
        <f>IF(SER_hh_fec!M13=0,0,11630*1000*SER_hh_fec!M13/SER_hh_num!M13)</f>
        <v>3285.805407342873</v>
      </c>
      <c r="N13" s="133">
        <f>IF(SER_hh_fec!N13=0,0,11630*1000*SER_hh_fec!N13/SER_hh_num!N13)</f>
        <v>2799.3545117636982</v>
      </c>
      <c r="O13" s="133">
        <f>IF(SER_hh_fec!O13=0,0,11630*1000*SER_hh_fec!O13/SER_hh_num!O13)</f>
        <v>2103.6230509765678</v>
      </c>
      <c r="P13" s="133">
        <f>IF(SER_hh_fec!P13=0,0,11630*1000*SER_hh_fec!P13/SER_hh_num!P13)</f>
        <v>1572.7361613496862</v>
      </c>
      <c r="Q13" s="133">
        <f>IF(SER_hh_fec!Q13=0,0,11630*1000*SER_hh_fec!Q13/SER_hh_num!Q13)</f>
        <v>1639.3282950606867</v>
      </c>
      <c r="R13" s="133">
        <f>IF(SER_hh_fec!R13=0,0,11630*1000*SER_hh_fec!R13/SER_hh_num!R13)</f>
        <v>1775.4754317147049</v>
      </c>
      <c r="S13" s="133">
        <f>IF(SER_hh_fec!S13=0,0,11630*1000*SER_hh_fec!S13/SER_hh_num!S13)</f>
        <v>1997.096952412769</v>
      </c>
      <c r="T13" s="133">
        <f>IF(SER_hh_fec!T13=0,0,11630*1000*SER_hh_fec!T13/SER_hh_num!T13)</f>
        <v>2227.943464965771</v>
      </c>
      <c r="U13" s="133">
        <f>IF(SER_hh_fec!U13=0,0,11630*1000*SER_hh_fec!U13/SER_hh_num!U13)</f>
        <v>2400.9509898526285</v>
      </c>
      <c r="V13" s="133">
        <f>IF(SER_hh_fec!V13=0,0,11630*1000*SER_hh_fec!V13/SER_hh_num!V13)</f>
        <v>2467.3731772706051</v>
      </c>
      <c r="W13" s="133">
        <f>IF(SER_hh_fec!W13=0,0,11630*1000*SER_hh_fec!W13/SER_hh_num!W13)</f>
        <v>2676.7497849887336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13363.309855250802</v>
      </c>
      <c r="C14" s="65">
        <f>IF(SER_hh_fec!C14=0,0,11630*1000*SER_hh_fec!C14/SER_hh_num!C14)</f>
        <v>7993.3536198897327</v>
      </c>
      <c r="D14" s="65">
        <f>IF(SER_hh_fec!D14=0,0,11630*1000*SER_hh_fec!D14/SER_hh_num!D14)</f>
        <v>6020.6288000310578</v>
      </c>
      <c r="E14" s="65">
        <f>IF(SER_hh_fec!E14=0,0,11630*1000*SER_hh_fec!E14/SER_hh_num!E14)</f>
        <v>4812.5732415402972</v>
      </c>
      <c r="F14" s="65">
        <f>IF(SER_hh_fec!F14=0,0,11630*1000*SER_hh_fec!F14/SER_hh_num!F14)</f>
        <v>8599.4756346995873</v>
      </c>
      <c r="G14" s="65">
        <f>IF(SER_hh_fec!G14=0,0,11630*1000*SER_hh_fec!G14/SER_hh_num!G14)</f>
        <v>4808.9379824173075</v>
      </c>
      <c r="H14" s="65">
        <f>IF(SER_hh_fec!H14=0,0,11630*1000*SER_hh_fec!H14/SER_hh_num!H14)</f>
        <v>17855.70312601074</v>
      </c>
      <c r="I14" s="65">
        <f>IF(SER_hh_fec!I14=0,0,11630*1000*SER_hh_fec!I14/SER_hh_num!I14)</f>
        <v>10099.035339795137</v>
      </c>
      <c r="J14" s="65">
        <f>IF(SER_hh_fec!J14=0,0,11630*1000*SER_hh_fec!J14/SER_hh_num!J14)</f>
        <v>13691.461213005741</v>
      </c>
      <c r="K14" s="65">
        <f>IF(SER_hh_fec!K14=0,0,11630*1000*SER_hh_fec!K14/SER_hh_num!K14)</f>
        <v>11010.265804844194</v>
      </c>
      <c r="L14" s="65">
        <f>IF(SER_hh_fec!L14=0,0,11630*1000*SER_hh_fec!L14/SER_hh_num!L14)</f>
        <v>14888.179464386456</v>
      </c>
      <c r="M14" s="65">
        <f>IF(SER_hh_fec!M14=0,0,11630*1000*SER_hh_fec!M14/SER_hh_num!M14)</f>
        <v>14085.43688642171</v>
      </c>
      <c r="N14" s="65">
        <f>IF(SER_hh_fec!N14=0,0,11630*1000*SER_hh_fec!N14/SER_hh_num!N14)</f>
        <v>11199.308578410462</v>
      </c>
      <c r="O14" s="65">
        <f>IF(SER_hh_fec!O14=0,0,11630*1000*SER_hh_fec!O14/SER_hh_num!O14)</f>
        <v>8406.1430657747242</v>
      </c>
      <c r="P14" s="65">
        <f>IF(SER_hh_fec!P14=0,0,11630*1000*SER_hh_fec!P14/SER_hh_num!P14)</f>
        <v>4528.8510062867417</v>
      </c>
      <c r="Q14" s="65">
        <f>IF(SER_hh_fec!Q14=0,0,11630*1000*SER_hh_fec!Q14/SER_hh_num!Q14)</f>
        <v>4498.1158187095944</v>
      </c>
      <c r="R14" s="65">
        <f>IF(SER_hh_fec!R14=0,0,11630*1000*SER_hh_fec!R14/SER_hh_num!R14)</f>
        <v>4310.2358131072333</v>
      </c>
      <c r="S14" s="65">
        <f>IF(SER_hh_fec!S14=0,0,11630*1000*SER_hh_fec!S14/SER_hh_num!S14)</f>
        <v>10650.463610120865</v>
      </c>
      <c r="T14" s="65">
        <f>IF(SER_hh_fec!T14=0,0,11630*1000*SER_hh_fec!T14/SER_hh_num!T14)</f>
        <v>12121.592134724973</v>
      </c>
      <c r="U14" s="65">
        <f>IF(SER_hh_fec!U14=0,0,11630*1000*SER_hh_fec!U14/SER_hh_num!U14)</f>
        <v>12503.331384906334</v>
      </c>
      <c r="V14" s="65">
        <f>IF(SER_hh_fec!V14=0,0,11630*1000*SER_hh_fec!V14/SER_hh_num!V14)</f>
        <v>9392.3482118379216</v>
      </c>
      <c r="W14" s="65">
        <f>IF(SER_hh_fec!W14=0,0,11630*1000*SER_hh_fec!W14/SER_hh_num!W14)</f>
        <v>13826.831889482299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104.04438022930603</v>
      </c>
      <c r="C15" s="135">
        <f>IF(SER_hh_fec!C15=0,0,11630*1000*SER_hh_fec!C15/SER_hh_num!C15)</f>
        <v>107.92669910392334</v>
      </c>
      <c r="D15" s="135">
        <f>IF(SER_hh_fec!D15=0,0,11630*1000*SER_hh_fec!D15/SER_hh_num!D15)</f>
        <v>101.7901918294466</v>
      </c>
      <c r="E15" s="135">
        <f>IF(SER_hh_fec!E15=0,0,11630*1000*SER_hh_fec!E15/SER_hh_num!E15)</f>
        <v>81.307871038398304</v>
      </c>
      <c r="F15" s="135">
        <f>IF(SER_hh_fec!F15=0,0,11630*1000*SER_hh_fec!F15/SER_hh_num!F15)</f>
        <v>88.119364088362431</v>
      </c>
      <c r="G15" s="135">
        <f>IF(SER_hh_fec!G15=0,0,11630*1000*SER_hh_fec!G15/SER_hh_num!G15)</f>
        <v>107.12070074804318</v>
      </c>
      <c r="H15" s="135">
        <f>IF(SER_hh_fec!H15=0,0,11630*1000*SER_hh_fec!H15/SER_hh_num!H15)</f>
        <v>181.34388969001608</v>
      </c>
      <c r="I15" s="135">
        <f>IF(SER_hh_fec!I15=0,0,11630*1000*SER_hh_fec!I15/SER_hh_num!I15)</f>
        <v>119.86726538152786</v>
      </c>
      <c r="J15" s="135">
        <f>IF(SER_hh_fec!J15=0,0,11630*1000*SER_hh_fec!J15/SER_hh_num!J15)</f>
        <v>105.74154080916649</v>
      </c>
      <c r="K15" s="135">
        <f>IF(SER_hh_fec!K15=0,0,11630*1000*SER_hh_fec!K15/SER_hh_num!K15)</f>
        <v>125.76848858710703</v>
      </c>
      <c r="L15" s="135">
        <f>IF(SER_hh_fec!L15=0,0,11630*1000*SER_hh_fec!L15/SER_hh_num!L15)</f>
        <v>149.46895002261229</v>
      </c>
      <c r="M15" s="135">
        <f>IF(SER_hh_fec!M15=0,0,11630*1000*SER_hh_fec!M15/SER_hh_num!M15)</f>
        <v>152.85691180265962</v>
      </c>
      <c r="N15" s="135">
        <f>IF(SER_hh_fec!N15=0,0,11630*1000*SER_hh_fec!N15/SER_hh_num!N15)</f>
        <v>125.30858974579627</v>
      </c>
      <c r="O15" s="135">
        <f>IF(SER_hh_fec!O15=0,0,11630*1000*SER_hh_fec!O15/SER_hh_num!O15)</f>
        <v>117.50911422209985</v>
      </c>
      <c r="P15" s="135">
        <f>IF(SER_hh_fec!P15=0,0,11630*1000*SER_hh_fec!P15/SER_hh_num!P15)</f>
        <v>71.4520326828751</v>
      </c>
      <c r="Q15" s="135">
        <f>IF(SER_hh_fec!Q15=0,0,11630*1000*SER_hh_fec!Q15/SER_hh_num!Q15)</f>
        <v>70.296436958044922</v>
      </c>
      <c r="R15" s="135">
        <f>IF(SER_hh_fec!R15=0,0,11630*1000*SER_hh_fec!R15/SER_hh_num!R15)</f>
        <v>81.320670179620677</v>
      </c>
      <c r="S15" s="135">
        <f>IF(SER_hh_fec!S15=0,0,11630*1000*SER_hh_fec!S15/SER_hh_num!S15)</f>
        <v>92.219780195080787</v>
      </c>
      <c r="T15" s="135">
        <f>IF(SER_hh_fec!T15=0,0,11630*1000*SER_hh_fec!T15/SER_hh_num!T15)</f>
        <v>115.64358775800824</v>
      </c>
      <c r="U15" s="135">
        <f>IF(SER_hh_fec!U15=0,0,11630*1000*SER_hh_fec!U15/SER_hh_num!U15)</f>
        <v>119.73965587560994</v>
      </c>
      <c r="V15" s="135">
        <f>IF(SER_hh_fec!V15=0,0,11630*1000*SER_hh_fec!V15/SER_hh_num!V15)</f>
        <v>113.90521180487727</v>
      </c>
      <c r="W15" s="135">
        <f>IF(SER_hh_fec!W15=0,0,11630*1000*SER_hh_fec!W15/SER_hh_num!W15)</f>
        <v>137.61449338195504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9079.8250050591287</v>
      </c>
      <c r="C16" s="131">
        <f>IF(SER_hh_fec!C16=0,0,11630*1000*SER_hh_fec!C16/SER_hh_num!C16)</f>
        <v>9106.203685946688</v>
      </c>
      <c r="D16" s="131">
        <f>IF(SER_hh_fec!D16=0,0,11630*1000*SER_hh_fec!D16/SER_hh_num!D16)</f>
        <v>7665.5442960335104</v>
      </c>
      <c r="E16" s="131">
        <f>IF(SER_hh_fec!E16=0,0,11630*1000*SER_hh_fec!E16/SER_hh_num!E16)</f>
        <v>11445.028593138451</v>
      </c>
      <c r="F16" s="131">
        <f>IF(SER_hh_fec!F16=0,0,11630*1000*SER_hh_fec!F16/SER_hh_num!F16)</f>
        <v>8079.9550978937668</v>
      </c>
      <c r="G16" s="131">
        <f>IF(SER_hh_fec!G16=0,0,11630*1000*SER_hh_fec!G16/SER_hh_num!G16)</f>
        <v>8088.1656165676304</v>
      </c>
      <c r="H16" s="131">
        <f>IF(SER_hh_fec!H16=0,0,11630*1000*SER_hh_fec!H16/SER_hh_num!H16)</f>
        <v>8689.1831018638259</v>
      </c>
      <c r="I16" s="131">
        <f>IF(SER_hh_fec!I16=0,0,11630*1000*SER_hh_fec!I16/SER_hh_num!I16)</f>
        <v>6227.7013841333428</v>
      </c>
      <c r="J16" s="131">
        <f>IF(SER_hh_fec!J16=0,0,11630*1000*SER_hh_fec!J16/SER_hh_num!J16)</f>
        <v>6334.7215172253946</v>
      </c>
      <c r="K16" s="131">
        <f>IF(SER_hh_fec!K16=0,0,11630*1000*SER_hh_fec!K16/SER_hh_num!K16)</f>
        <v>8005.1890773060486</v>
      </c>
      <c r="L16" s="131">
        <f>IF(SER_hh_fec!L16=0,0,11630*1000*SER_hh_fec!L16/SER_hh_num!L16)</f>
        <v>7428.4607424850183</v>
      </c>
      <c r="M16" s="131">
        <f>IF(SER_hh_fec!M16=0,0,11630*1000*SER_hh_fec!M16/SER_hh_num!M16)</f>
        <v>6536.7747366393824</v>
      </c>
      <c r="N16" s="131">
        <f>IF(SER_hh_fec!N16=0,0,11630*1000*SER_hh_fec!N16/SER_hh_num!N16)</f>
        <v>7717.2814395245905</v>
      </c>
      <c r="O16" s="131">
        <f>IF(SER_hh_fec!O16=0,0,11630*1000*SER_hh_fec!O16/SER_hh_num!O16)</f>
        <v>6156.1521779293298</v>
      </c>
      <c r="P16" s="131">
        <f>IF(SER_hh_fec!P16=0,0,11630*1000*SER_hh_fec!P16/SER_hh_num!P16)</f>
        <v>5549.8158983113717</v>
      </c>
      <c r="Q16" s="131">
        <f>IF(SER_hh_fec!Q16=0,0,11630*1000*SER_hh_fec!Q16/SER_hh_num!Q16)</f>
        <v>7930.7451161502586</v>
      </c>
      <c r="R16" s="131">
        <f>IF(SER_hh_fec!R16=0,0,11630*1000*SER_hh_fec!R16/SER_hh_num!R16)</f>
        <v>7558.9191977198398</v>
      </c>
      <c r="S16" s="131">
        <f>IF(SER_hh_fec!S16=0,0,11630*1000*SER_hh_fec!S16/SER_hh_num!S16)</f>
        <v>8556.6965065151253</v>
      </c>
      <c r="T16" s="131">
        <f>IF(SER_hh_fec!T16=0,0,11630*1000*SER_hh_fec!T16/SER_hh_num!T16)</f>
        <v>5970.5744215642708</v>
      </c>
      <c r="U16" s="131">
        <f>IF(SER_hh_fec!U16=0,0,11630*1000*SER_hh_fec!U16/SER_hh_num!U16)</f>
        <v>6070.3995958298474</v>
      </c>
      <c r="V16" s="131">
        <f>IF(SER_hh_fec!V16=0,0,11630*1000*SER_hh_fec!V16/SER_hh_num!V16)</f>
        <v>6891.6498396240931</v>
      </c>
      <c r="W16" s="131">
        <f>IF(SER_hh_fec!W16=0,0,11630*1000*SER_hh_fec!W16/SER_hh_num!W16)</f>
        <v>5626.0082419497494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12688.359298442172</v>
      </c>
      <c r="C17" s="133">
        <f>IF(SER_hh_fec!C17=0,0,11630*1000*SER_hh_fec!C17/SER_hh_num!C17)</f>
        <v>13368.549601517936</v>
      </c>
      <c r="D17" s="133">
        <f>IF(SER_hh_fec!D17=0,0,11630*1000*SER_hh_fec!D17/SER_hh_num!D17)</f>
        <v>11847.257581933814</v>
      </c>
      <c r="E17" s="133">
        <f>IF(SER_hh_fec!E17=0,0,11630*1000*SER_hh_fec!E17/SER_hh_num!E17)</f>
        <v>17998.234050395837</v>
      </c>
      <c r="F17" s="133">
        <f>IF(SER_hh_fec!F17=0,0,11630*1000*SER_hh_fec!F17/SER_hh_num!F17)</f>
        <v>13595.201337090592</v>
      </c>
      <c r="G17" s="133">
        <f>IF(SER_hh_fec!G17=0,0,11630*1000*SER_hh_fec!G17/SER_hh_num!G17)</f>
        <v>14194.112643362594</v>
      </c>
      <c r="H17" s="133">
        <f>IF(SER_hh_fec!H17=0,0,11630*1000*SER_hh_fec!H17/SER_hh_num!H17)</f>
        <v>15895.657182971185</v>
      </c>
      <c r="I17" s="133">
        <f>IF(SER_hh_fec!I17=0,0,11630*1000*SER_hh_fec!I17/SER_hh_num!I17)</f>
        <v>11880.884900533079</v>
      </c>
      <c r="J17" s="133">
        <f>IF(SER_hh_fec!J17=0,0,11630*1000*SER_hh_fec!J17/SER_hh_num!J17)</f>
        <v>12527.771319413619</v>
      </c>
      <c r="K17" s="133">
        <f>IF(SER_hh_fec!K17=0,0,11630*1000*SER_hh_fec!K17/SER_hh_num!K17)</f>
        <v>16104.54311948768</v>
      </c>
      <c r="L17" s="133">
        <f>IF(SER_hh_fec!L17=0,0,11630*1000*SER_hh_fec!L17/SER_hh_num!L17)</f>
        <v>15231.172802304292</v>
      </c>
      <c r="M17" s="133">
        <f>IF(SER_hh_fec!M17=0,0,11630*1000*SER_hh_fec!M17/SER_hh_num!M17)</f>
        <v>13711.647183379449</v>
      </c>
      <c r="N17" s="133">
        <f>IF(SER_hh_fec!N17=0,0,11630*1000*SER_hh_fec!N17/SER_hh_num!N17)</f>
        <v>16529.882384957062</v>
      </c>
      <c r="O17" s="133">
        <f>IF(SER_hh_fec!O17=0,0,11630*1000*SER_hh_fec!O17/SER_hh_num!O17)</f>
        <v>13396.256302318459</v>
      </c>
      <c r="P17" s="133">
        <f>IF(SER_hh_fec!P17=0,0,11630*1000*SER_hh_fec!P17/SER_hh_num!P17)</f>
        <v>12394.959323648878</v>
      </c>
      <c r="Q17" s="133">
        <f>IF(SER_hh_fec!Q17=0,0,11630*1000*SER_hh_fec!Q17/SER_hh_num!Q17)</f>
        <v>18054.572548566404</v>
      </c>
      <c r="R17" s="133">
        <f>IF(SER_hh_fec!R17=0,0,11630*1000*SER_hh_fec!R17/SER_hh_num!R17)</f>
        <v>17524.329615424256</v>
      </c>
      <c r="S17" s="133">
        <f>IF(SER_hh_fec!S17=0,0,11630*1000*SER_hh_fec!S17/SER_hh_num!S17)</f>
        <v>20254.367209540374</v>
      </c>
      <c r="T17" s="133">
        <f>IF(SER_hh_fec!T17=0,0,11630*1000*SER_hh_fec!T17/SER_hh_num!T17)</f>
        <v>14263.688214003867</v>
      </c>
      <c r="U17" s="133">
        <f>IF(SER_hh_fec!U17=0,0,11630*1000*SER_hh_fec!U17/SER_hh_num!U17)</f>
        <v>14689.376289231377</v>
      </c>
      <c r="V17" s="133">
        <f>IF(SER_hh_fec!V17=0,0,11630*1000*SER_hh_fec!V17/SER_hh_num!V17)</f>
        <v>14847.16424478642</v>
      </c>
      <c r="W17" s="133">
        <f>IF(SER_hh_fec!W17=0,0,11630*1000*SER_hh_fec!W17/SER_hh_num!W17)</f>
        <v>13889.853955302839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9076.7131514658049</v>
      </c>
      <c r="C18" s="133">
        <f>IF(SER_hh_fec!C18=0,0,11630*1000*SER_hh_fec!C18/SER_hh_num!C18)</f>
        <v>9102.6017992952839</v>
      </c>
      <c r="D18" s="133">
        <f>IF(SER_hh_fec!D18=0,0,11630*1000*SER_hh_fec!D18/SER_hh_num!D18)</f>
        <v>7662.3915978996301</v>
      </c>
      <c r="E18" s="133">
        <f>IF(SER_hh_fec!E18=0,0,11630*1000*SER_hh_fec!E18/SER_hh_num!E18)</f>
        <v>11438.037012772902</v>
      </c>
      <c r="F18" s="133">
        <f>IF(SER_hh_fec!F18=0,0,11630*1000*SER_hh_fec!F18/SER_hh_num!F18)</f>
        <v>8074.1468362608421</v>
      </c>
      <c r="G18" s="133">
        <f>IF(SER_hh_fec!G18=0,0,11630*1000*SER_hh_fec!G18/SER_hh_num!G18)</f>
        <v>8081.4168917301931</v>
      </c>
      <c r="H18" s="133">
        <f>IF(SER_hh_fec!H18=0,0,11630*1000*SER_hh_fec!H18/SER_hh_num!H18)</f>
        <v>8681.2642651683109</v>
      </c>
      <c r="I18" s="133">
        <f>IF(SER_hh_fec!I18=0,0,11630*1000*SER_hh_fec!I18/SER_hh_num!I18)</f>
        <v>6220.5384412328376</v>
      </c>
      <c r="J18" s="133">
        <f>IF(SER_hh_fec!J18=0,0,11630*1000*SER_hh_fec!J18/SER_hh_num!J18)</f>
        <v>6325.8203746887702</v>
      </c>
      <c r="K18" s="133">
        <f>IF(SER_hh_fec!K18=0,0,11630*1000*SER_hh_fec!K18/SER_hh_num!K18)</f>
        <v>7992.7646403855797</v>
      </c>
      <c r="L18" s="133">
        <f>IF(SER_hh_fec!L18=0,0,11630*1000*SER_hh_fec!L18/SER_hh_num!L18)</f>
        <v>7415.0411968717272</v>
      </c>
      <c r="M18" s="133">
        <f>IF(SER_hh_fec!M18=0,0,11630*1000*SER_hh_fec!M18/SER_hh_num!M18)</f>
        <v>6522.6635970613424</v>
      </c>
      <c r="N18" s="133">
        <f>IF(SER_hh_fec!N18=0,0,11630*1000*SER_hh_fec!N18/SER_hh_num!N18)</f>
        <v>7698.187988394815</v>
      </c>
      <c r="O18" s="133">
        <f>IF(SER_hh_fec!O18=0,0,11630*1000*SER_hh_fec!O18/SER_hh_num!O18)</f>
        <v>6136.6416761403589</v>
      </c>
      <c r="P18" s="133">
        <f>IF(SER_hh_fec!P18=0,0,11630*1000*SER_hh_fec!P18/SER_hh_num!P18)</f>
        <v>5529.1386624725264</v>
      </c>
      <c r="Q18" s="133">
        <f>IF(SER_hh_fec!Q18=0,0,11630*1000*SER_hh_fec!Q18/SER_hh_num!Q18)</f>
        <v>7894.8643333054524</v>
      </c>
      <c r="R18" s="133">
        <f>IF(SER_hh_fec!R18=0,0,11630*1000*SER_hh_fec!R18/SER_hh_num!R18)</f>
        <v>7517.4023178442485</v>
      </c>
      <c r="S18" s="133">
        <f>IF(SER_hh_fec!S18=0,0,11630*1000*SER_hh_fec!S18/SER_hh_num!S18)</f>
        <v>8503.5991169409317</v>
      </c>
      <c r="T18" s="133">
        <f>IF(SER_hh_fec!T18=0,0,11630*1000*SER_hh_fec!T18/SER_hh_num!T18)</f>
        <v>5925.7875116793102</v>
      </c>
      <c r="U18" s="133">
        <f>IF(SER_hh_fec!U18=0,0,11630*1000*SER_hh_fec!U18/SER_hh_num!U18)</f>
        <v>6021.144638368889</v>
      </c>
      <c r="V18" s="133">
        <f>IF(SER_hh_fec!V18=0,0,11630*1000*SER_hh_fec!V18/SER_hh_num!V18)</f>
        <v>6841.6786742036929</v>
      </c>
      <c r="W18" s="133">
        <f>IF(SER_hh_fec!W18=0,0,11630*1000*SER_hh_fec!W18/SER_hh_num!W18)</f>
        <v>5578.1967236412574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6058.1959162614112</v>
      </c>
      <c r="C19" s="131">
        <f>IF(SER_hh_fec!C19=0,0,11630*1000*SER_hh_fec!C19/SER_hh_num!C19)</f>
        <v>6227.8005116789163</v>
      </c>
      <c r="D19" s="131">
        <f>IF(SER_hh_fec!D19=0,0,11630*1000*SER_hh_fec!D19/SER_hh_num!D19)</f>
        <v>6441.5282460080234</v>
      </c>
      <c r="E19" s="131">
        <f>IF(SER_hh_fec!E19=0,0,11630*1000*SER_hh_fec!E19/SER_hh_num!E19)</f>
        <v>6318.574793415336</v>
      </c>
      <c r="F19" s="131">
        <f>IF(SER_hh_fec!F19=0,0,11630*1000*SER_hh_fec!F19/SER_hh_num!F19)</f>
        <v>6628.5905840573814</v>
      </c>
      <c r="G19" s="131">
        <f>IF(SER_hh_fec!G19=0,0,11630*1000*SER_hh_fec!G19/SER_hh_num!G19)</f>
        <v>6583.0724316506003</v>
      </c>
      <c r="H19" s="131">
        <f>IF(SER_hh_fec!H19=0,0,11630*1000*SER_hh_fec!H19/SER_hh_num!H19)</f>
        <v>6729.0713872851275</v>
      </c>
      <c r="I19" s="131">
        <f>IF(SER_hh_fec!I19=0,0,11630*1000*SER_hh_fec!I19/SER_hh_num!I19)</f>
        <v>6593.6312933020308</v>
      </c>
      <c r="J19" s="131">
        <f>IF(SER_hh_fec!J19=0,0,11630*1000*SER_hh_fec!J19/SER_hh_num!J19)</f>
        <v>6582.2136498998625</v>
      </c>
      <c r="K19" s="131">
        <f>IF(SER_hh_fec!K19=0,0,11630*1000*SER_hh_fec!K19/SER_hh_num!K19)</f>
        <v>6578.8309619378706</v>
      </c>
      <c r="L19" s="131">
        <f>IF(SER_hh_fec!L19=0,0,11630*1000*SER_hh_fec!L19/SER_hh_num!L19)</f>
        <v>6580.7485391960481</v>
      </c>
      <c r="M19" s="131">
        <f>IF(SER_hh_fec!M19=0,0,11630*1000*SER_hh_fec!M19/SER_hh_num!M19)</f>
        <v>6590.4069096519279</v>
      </c>
      <c r="N19" s="131">
        <f>IF(SER_hh_fec!N19=0,0,11630*1000*SER_hh_fec!N19/SER_hh_num!N19)</f>
        <v>6403.5863015220639</v>
      </c>
      <c r="O19" s="131">
        <f>IF(SER_hh_fec!O19=0,0,11630*1000*SER_hh_fec!O19/SER_hh_num!O19)</f>
        <v>6527.0808320363349</v>
      </c>
      <c r="P19" s="131">
        <f>IF(SER_hh_fec!P19=0,0,11630*1000*SER_hh_fec!P19/SER_hh_num!P19)</f>
        <v>6360.6301623992249</v>
      </c>
      <c r="Q19" s="131">
        <f>IF(SER_hh_fec!Q19=0,0,11630*1000*SER_hh_fec!Q19/SER_hh_num!Q19)</f>
        <v>5977.9306296627501</v>
      </c>
      <c r="R19" s="131">
        <f>IF(SER_hh_fec!R19=0,0,11630*1000*SER_hh_fec!R19/SER_hh_num!R19)</f>
        <v>5766.7752758011238</v>
      </c>
      <c r="S19" s="131">
        <f>IF(SER_hh_fec!S19=0,0,11630*1000*SER_hh_fec!S19/SER_hh_num!S19)</f>
        <v>5500.7032602709141</v>
      </c>
      <c r="T19" s="131">
        <f>IF(SER_hh_fec!T19=0,0,11630*1000*SER_hh_fec!T19/SER_hh_num!T19)</f>
        <v>5743.2845032015211</v>
      </c>
      <c r="U19" s="131">
        <f>IF(SER_hh_fec!U19=0,0,11630*1000*SER_hh_fec!U19/SER_hh_num!U19)</f>
        <v>5551.9198025695341</v>
      </c>
      <c r="V19" s="131">
        <f>IF(SER_hh_fec!V19=0,0,11630*1000*SER_hh_fec!V19/SER_hh_num!V19)</f>
        <v>4885.7891486437875</v>
      </c>
      <c r="W19" s="131">
        <f>IF(SER_hh_fec!W19=0,0,11630*1000*SER_hh_fec!W19/SER_hh_num!W19)</f>
        <v>5231.5481292834229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6604.8582775054219</v>
      </c>
      <c r="C21" s="133">
        <f>IF(SER_hh_fec!C21=0,0,11630*1000*SER_hh_fec!C21/SER_hh_num!C21)</f>
        <v>6686.6934287097729</v>
      </c>
      <c r="D21" s="133">
        <f>IF(SER_hh_fec!D21=0,0,11630*1000*SER_hh_fec!D21/SER_hh_num!D21)</f>
        <v>6992.1703373134596</v>
      </c>
      <c r="E21" s="133">
        <f>IF(SER_hh_fec!E21=0,0,11630*1000*SER_hh_fec!E21/SER_hh_num!E21)</f>
        <v>7288.5216695003855</v>
      </c>
      <c r="F21" s="133">
        <f>IF(SER_hh_fec!F21=0,0,11630*1000*SER_hh_fec!F21/SER_hh_num!F21)</f>
        <v>7067.2970964866281</v>
      </c>
      <c r="G21" s="133">
        <f>IF(SER_hh_fec!G21=0,0,11630*1000*SER_hh_fec!G21/SER_hh_num!G21)</f>
        <v>7227.7476630387418</v>
      </c>
      <c r="H21" s="133">
        <f>IF(SER_hh_fec!H21=0,0,11630*1000*SER_hh_fec!H21/SER_hh_num!H21)</f>
        <v>7442.7668137610208</v>
      </c>
      <c r="I21" s="133">
        <f>IF(SER_hh_fec!I21=0,0,11630*1000*SER_hh_fec!I21/SER_hh_num!I21)</f>
        <v>7389.8832763971077</v>
      </c>
      <c r="J21" s="133">
        <f>IF(SER_hh_fec!J21=0,0,11630*1000*SER_hh_fec!J21/SER_hh_num!J21)</f>
        <v>7346.059967721475</v>
      </c>
      <c r="K21" s="133">
        <f>IF(SER_hh_fec!K21=0,0,11630*1000*SER_hh_fec!K21/SER_hh_num!K21)</f>
        <v>7318.0661439261194</v>
      </c>
      <c r="L21" s="133">
        <f>IF(SER_hh_fec!L21=0,0,11630*1000*SER_hh_fec!L21/SER_hh_num!L21)</f>
        <v>7341.9244859182563</v>
      </c>
      <c r="M21" s="133">
        <f>IF(SER_hh_fec!M21=0,0,11630*1000*SER_hh_fec!M21/SER_hh_num!M21)</f>
        <v>7282.0114170601291</v>
      </c>
      <c r="N21" s="133">
        <f>IF(SER_hh_fec!N21=0,0,11630*1000*SER_hh_fec!N21/SER_hh_num!N21)</f>
        <v>7165.0667853149707</v>
      </c>
      <c r="O21" s="133">
        <f>IF(SER_hh_fec!O21=0,0,11630*1000*SER_hh_fec!O21/SER_hh_num!O21)</f>
        <v>7067.1531754866473</v>
      </c>
      <c r="P21" s="133">
        <f>IF(SER_hh_fec!P21=0,0,11630*1000*SER_hh_fec!P21/SER_hh_num!P21)</f>
        <v>6749.0682794371587</v>
      </c>
      <c r="Q21" s="133">
        <f>IF(SER_hh_fec!Q21=0,0,11630*1000*SER_hh_fec!Q21/SER_hh_num!Q21)</f>
        <v>6504.7484141473169</v>
      </c>
      <c r="R21" s="133">
        <f>IF(SER_hh_fec!R21=0,0,11630*1000*SER_hh_fec!R21/SER_hh_num!R21)</f>
        <v>6346.2393642079041</v>
      </c>
      <c r="S21" s="133">
        <f>IF(SER_hh_fec!S21=0,0,11630*1000*SER_hh_fec!S21/SER_hh_num!S21)</f>
        <v>6206.9839830001092</v>
      </c>
      <c r="T21" s="133">
        <f>IF(SER_hh_fec!T21=0,0,11630*1000*SER_hh_fec!T21/SER_hh_num!T21)</f>
        <v>6733.7495898029192</v>
      </c>
      <c r="U21" s="133">
        <f>IF(SER_hh_fec!U21=0,0,11630*1000*SER_hh_fec!U21/SER_hh_num!U21)</f>
        <v>6266.5032055190331</v>
      </c>
      <c r="V21" s="133">
        <f>IF(SER_hh_fec!V21=0,0,11630*1000*SER_hh_fec!V21/SER_hh_num!V21)</f>
        <v>5017.0602637219563</v>
      </c>
      <c r="W21" s="133">
        <f>IF(SER_hh_fec!W21=0,0,11630*1000*SER_hh_fec!W21/SER_hh_num!W21)</f>
        <v>6165.7845216613314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6856.8087900299161</v>
      </c>
      <c r="C22" s="133">
        <f>IF(SER_hh_fec!C22=0,0,11630*1000*SER_hh_fec!C22/SER_hh_num!C22)</f>
        <v>7175.7275196846958</v>
      </c>
      <c r="D22" s="133">
        <f>IF(SER_hh_fec!D22=0,0,11630*1000*SER_hh_fec!D22/SER_hh_num!D22)</f>
        <v>7385.3338316019399</v>
      </c>
      <c r="E22" s="133">
        <f>IF(SER_hh_fec!E22=0,0,11630*1000*SER_hh_fec!E22/SER_hh_num!E22)</f>
        <v>7488.9064910101952</v>
      </c>
      <c r="F22" s="133">
        <f>IF(SER_hh_fec!F22=0,0,11630*1000*SER_hh_fec!F22/SER_hh_num!F22)</f>
        <v>7749.3782475850394</v>
      </c>
      <c r="G22" s="133">
        <f>IF(SER_hh_fec!G22=0,0,11630*1000*SER_hh_fec!G22/SER_hh_num!G22)</f>
        <v>7886.1473021254378</v>
      </c>
      <c r="H22" s="133">
        <f>IF(SER_hh_fec!H22=0,0,11630*1000*SER_hh_fec!H22/SER_hh_num!H22)</f>
        <v>7950.3035836333665</v>
      </c>
      <c r="I22" s="133">
        <f>IF(SER_hh_fec!I22=0,0,11630*1000*SER_hh_fec!I22/SER_hh_num!I22)</f>
        <v>7717.9980944458521</v>
      </c>
      <c r="J22" s="133">
        <f>IF(SER_hh_fec!J22=0,0,11630*1000*SER_hh_fec!J22/SER_hh_num!J22)</f>
        <v>7718.103044364364</v>
      </c>
      <c r="K22" s="133">
        <f>IF(SER_hh_fec!K22=0,0,11630*1000*SER_hh_fec!K22/SER_hh_num!K22)</f>
        <v>7718.5058894396934</v>
      </c>
      <c r="L22" s="133">
        <f>IF(SER_hh_fec!L22=0,0,11630*1000*SER_hh_fec!L22/SER_hh_num!L22)</f>
        <v>7681.5671264985695</v>
      </c>
      <c r="M22" s="133">
        <f>IF(SER_hh_fec!M22=0,0,11630*1000*SER_hh_fec!M22/SER_hh_num!M22)</f>
        <v>7622.4943718313143</v>
      </c>
      <c r="N22" s="133">
        <f>IF(SER_hh_fec!N22=0,0,11630*1000*SER_hh_fec!N22/SER_hh_num!N22)</f>
        <v>7570.7199993374779</v>
      </c>
      <c r="O22" s="133">
        <f>IF(SER_hh_fec!O22=0,0,11630*1000*SER_hh_fec!O22/SER_hh_num!O22)</f>
        <v>7316.3479211153726</v>
      </c>
      <c r="P22" s="133">
        <f>IF(SER_hh_fec!P22=0,0,11630*1000*SER_hh_fec!P22/SER_hh_num!P22)</f>
        <v>6892.5760387980772</v>
      </c>
      <c r="Q22" s="133">
        <f>IF(SER_hh_fec!Q22=0,0,11630*1000*SER_hh_fec!Q22/SER_hh_num!Q22)</f>
        <v>6731.8949652688698</v>
      </c>
      <c r="R22" s="133">
        <f>IF(SER_hh_fec!R22=0,0,11630*1000*SER_hh_fec!R22/SER_hh_num!R22)</f>
        <v>6517.0497295562373</v>
      </c>
      <c r="S22" s="133">
        <f>IF(SER_hh_fec!S22=0,0,11630*1000*SER_hh_fec!S22/SER_hh_num!S22)</f>
        <v>6161.3887096821254</v>
      </c>
      <c r="T22" s="133">
        <f>IF(SER_hh_fec!T22=0,0,11630*1000*SER_hh_fec!T22/SER_hh_num!T22)</f>
        <v>6107.6255983366373</v>
      </c>
      <c r="U22" s="133">
        <f>IF(SER_hh_fec!U22=0,0,11630*1000*SER_hh_fec!U22/SER_hh_num!U22)</f>
        <v>5874.0380852013395</v>
      </c>
      <c r="V22" s="133">
        <f>IF(SER_hh_fec!V22=0,0,11630*1000*SER_hh_fec!V22/SER_hh_num!V22)</f>
        <v>5438.0026395469104</v>
      </c>
      <c r="W22" s="133">
        <f>IF(SER_hh_fec!W22=0,0,11630*1000*SER_hh_fec!W22/SER_hh_num!W22)</f>
        <v>5652.1563057564699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7034.5546906247364</v>
      </c>
      <c r="C23" s="133">
        <f>IF(SER_hh_fec!C23=0,0,11630*1000*SER_hh_fec!C23/SER_hh_num!C23)</f>
        <v>7119.2477178158415</v>
      </c>
      <c r="D23" s="133">
        <f>IF(SER_hh_fec!D23=0,0,11630*1000*SER_hh_fec!D23/SER_hh_num!D23)</f>
        <v>7686.684168537754</v>
      </c>
      <c r="E23" s="133">
        <f>IF(SER_hh_fec!E23=0,0,11630*1000*SER_hh_fec!E23/SER_hh_num!E23)</f>
        <v>3975.8156575529019</v>
      </c>
      <c r="F23" s="133">
        <f>IF(SER_hh_fec!F23=0,0,11630*1000*SER_hh_fec!F23/SER_hh_num!F23)</f>
        <v>6002.4199969588926</v>
      </c>
      <c r="G23" s="133">
        <f>IF(SER_hh_fec!G23=0,0,11630*1000*SER_hh_fec!G23/SER_hh_num!G23)</f>
        <v>5222.8147350435165</v>
      </c>
      <c r="H23" s="133">
        <f>IF(SER_hh_fec!H23=0,0,11630*1000*SER_hh_fec!H23/SER_hh_num!H23)</f>
        <v>8558.6392469958319</v>
      </c>
      <c r="I23" s="133">
        <f>IF(SER_hh_fec!I23=0,0,11630*1000*SER_hh_fec!I23/SER_hh_num!I23)</f>
        <v>7470.6010827213286</v>
      </c>
      <c r="J23" s="133">
        <f>IF(SER_hh_fec!J23=0,0,11630*1000*SER_hh_fec!J23/SER_hh_num!J23)</f>
        <v>6870.3990093314324</v>
      </c>
      <c r="K23" s="133">
        <f>IF(SER_hh_fec!K23=0,0,11630*1000*SER_hh_fec!K23/SER_hh_num!K23)</f>
        <v>6920.3330144623733</v>
      </c>
      <c r="L23" s="133">
        <f>IF(SER_hh_fec!L23=0,0,11630*1000*SER_hh_fec!L23/SER_hh_num!L23)</f>
        <v>6790.214317307853</v>
      </c>
      <c r="M23" s="133">
        <f>IF(SER_hh_fec!M23=0,0,11630*1000*SER_hh_fec!M23/SER_hh_num!M23)</f>
        <v>6460.060568990415</v>
      </c>
      <c r="N23" s="133">
        <f>IF(SER_hh_fec!N23=0,0,11630*1000*SER_hh_fec!N23/SER_hh_num!N23)</f>
        <v>6396.0121191759272</v>
      </c>
      <c r="O23" s="133">
        <f>IF(SER_hh_fec!O23=0,0,11630*1000*SER_hh_fec!O23/SER_hh_num!O23)</f>
        <v>6507.2083058064991</v>
      </c>
      <c r="P23" s="133">
        <f>IF(SER_hh_fec!P23=0,0,11630*1000*SER_hh_fec!P23/SER_hh_num!P23)</f>
        <v>7194.9260015916025</v>
      </c>
      <c r="Q23" s="133">
        <f>IF(SER_hh_fec!Q23=0,0,11630*1000*SER_hh_fec!Q23/SER_hh_num!Q23)</f>
        <v>5682.9457336476999</v>
      </c>
      <c r="R23" s="133">
        <f>IF(SER_hh_fec!R23=0,0,11630*1000*SER_hh_fec!R23/SER_hh_num!R23)</f>
        <v>5677.0275779901704</v>
      </c>
      <c r="S23" s="133">
        <f>IF(SER_hh_fec!S23=0,0,11630*1000*SER_hh_fec!S23/SER_hh_num!S23)</f>
        <v>5623.6462926492204</v>
      </c>
      <c r="T23" s="133">
        <f>IF(SER_hh_fec!T23=0,0,11630*1000*SER_hh_fec!T23/SER_hh_num!T23)</f>
        <v>5552.9097964544198</v>
      </c>
      <c r="U23" s="133">
        <f>IF(SER_hh_fec!U23=0,0,11630*1000*SER_hh_fec!U23/SER_hh_num!U23)</f>
        <v>5493.6500046877727</v>
      </c>
      <c r="V23" s="133">
        <f>IF(SER_hh_fec!V23=0,0,11630*1000*SER_hh_fec!V23/SER_hh_num!V23)</f>
        <v>4868.9352816776181</v>
      </c>
      <c r="W23" s="133">
        <f>IF(SER_hh_fec!W23=0,0,11630*1000*SER_hh_fec!W23/SER_hh_num!W23)</f>
        <v>5204.9282613763316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5292.2584805640709</v>
      </c>
      <c r="C26" s="65">
        <f>IF(SER_hh_fec!C26=0,0,11630*1000*SER_hh_fec!C26/SER_hh_num!C26)</f>
        <v>5476.9294547433965</v>
      </c>
      <c r="D26" s="65">
        <f>IF(SER_hh_fec!D26=0,0,11630*1000*SER_hh_fec!D26/SER_hh_num!D26)</f>
        <v>5729.1942510749823</v>
      </c>
      <c r="E26" s="65">
        <f>IF(SER_hh_fec!E26=0,0,11630*1000*SER_hh_fec!E26/SER_hh_num!E26)</f>
        <v>5868.2268115328852</v>
      </c>
      <c r="F26" s="65">
        <f>IF(SER_hh_fec!F26=0,0,11630*1000*SER_hh_fec!F26/SER_hh_num!F26)</f>
        <v>6107.1818149139908</v>
      </c>
      <c r="G26" s="65">
        <f>IF(SER_hh_fec!G26=0,0,11630*1000*SER_hh_fec!G26/SER_hh_num!G26)</f>
        <v>6111.3199782685915</v>
      </c>
      <c r="H26" s="65">
        <f>IF(SER_hh_fec!H26=0,0,11630*1000*SER_hh_fec!H26/SER_hh_num!H26)</f>
        <v>5601.327655670304</v>
      </c>
      <c r="I26" s="65">
        <f>IF(SER_hh_fec!I26=0,0,11630*1000*SER_hh_fec!I26/SER_hh_num!I26)</f>
        <v>5705.0510699876495</v>
      </c>
      <c r="J26" s="65">
        <f>IF(SER_hh_fec!J26=0,0,11630*1000*SER_hh_fec!J26/SER_hh_num!J26)</f>
        <v>5857.0277027189195</v>
      </c>
      <c r="K26" s="65">
        <f>IF(SER_hh_fec!K26=0,0,11630*1000*SER_hh_fec!K26/SER_hh_num!K26)</f>
        <v>5791.768601026155</v>
      </c>
      <c r="L26" s="65">
        <f>IF(SER_hh_fec!L26=0,0,11630*1000*SER_hh_fec!L26/SER_hh_num!L26)</f>
        <v>5825.441647694458</v>
      </c>
      <c r="M26" s="65">
        <f>IF(SER_hh_fec!M26=0,0,11630*1000*SER_hh_fec!M26/SER_hh_num!M26)</f>
        <v>5927.1022123267685</v>
      </c>
      <c r="N26" s="65">
        <f>IF(SER_hh_fec!N26=0,0,11630*1000*SER_hh_fec!N26/SER_hh_num!N26)</f>
        <v>5573.3193899055123</v>
      </c>
      <c r="O26" s="65">
        <f>IF(SER_hh_fec!O26=0,0,11630*1000*SER_hh_fec!O26/SER_hh_num!O26)</f>
        <v>5774.8987408493667</v>
      </c>
      <c r="P26" s="65">
        <f>IF(SER_hh_fec!P26=0,0,11630*1000*SER_hh_fec!P26/SER_hh_num!P26)</f>
        <v>5131.9517116612597</v>
      </c>
      <c r="Q26" s="65">
        <f>IF(SER_hh_fec!Q26=0,0,11630*1000*SER_hh_fec!Q26/SER_hh_num!Q26)</f>
        <v>5181.2904724419041</v>
      </c>
      <c r="R26" s="65">
        <f>IF(SER_hh_fec!R26=0,0,11630*1000*SER_hh_fec!R26/SER_hh_num!R26)</f>
        <v>4781.7710953298283</v>
      </c>
      <c r="S26" s="65">
        <f>IF(SER_hh_fec!S26=0,0,11630*1000*SER_hh_fec!S26/SER_hh_num!S26)</f>
        <v>4381.848592406378</v>
      </c>
      <c r="T26" s="65">
        <f>IF(SER_hh_fec!T26=0,0,11630*1000*SER_hh_fec!T26/SER_hh_num!T26)</f>
        <v>4982.9454889442231</v>
      </c>
      <c r="U26" s="65">
        <f>IF(SER_hh_fec!U26=0,0,11630*1000*SER_hh_fec!U26/SER_hh_num!U26)</f>
        <v>4728.3335106958166</v>
      </c>
      <c r="V26" s="65">
        <f>IF(SER_hh_fec!V26=0,0,11630*1000*SER_hh_fec!V26/SER_hh_num!V26)</f>
        <v>3842.4858156206201</v>
      </c>
      <c r="W26" s="65">
        <f>IF(SER_hh_fec!W26=0,0,11630*1000*SER_hh_fec!W26/SER_hh_num!W26)</f>
        <v>4224.9551385289833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41.858026943717874</v>
      </c>
      <c r="C27" s="146">
        <f>IF(SER_hh_fec!C27=0,0,11630*1000*SER_hh_fec!C27/SER_hh_num!C19)</f>
        <v>51.611442901277286</v>
      </c>
      <c r="D27" s="146">
        <f>IF(SER_hh_fec!D27=0,0,11630*1000*SER_hh_fec!D27/SER_hh_num!D19)</f>
        <v>61.605402628325997</v>
      </c>
      <c r="E27" s="146">
        <f>IF(SER_hh_fec!E27=0,0,11630*1000*SER_hh_fec!E27/SER_hh_num!E19)</f>
        <v>75.924424546598814</v>
      </c>
      <c r="F27" s="146">
        <f>IF(SER_hh_fec!F27=0,0,11630*1000*SER_hh_fec!F27/SER_hh_num!F19)</f>
        <v>87.39334146173212</v>
      </c>
      <c r="G27" s="146">
        <f>IF(SER_hh_fec!G27=0,0,11630*1000*SER_hh_fec!G27/SER_hh_num!G19)</f>
        <v>102.6100391504019</v>
      </c>
      <c r="H27" s="146">
        <f>IF(SER_hh_fec!H27=0,0,11630*1000*SER_hh_fec!H27/SER_hh_num!H19)</f>
        <v>114.89127068883226</v>
      </c>
      <c r="I27" s="146">
        <f>IF(SER_hh_fec!I27=0,0,11630*1000*SER_hh_fec!I27/SER_hh_num!I19)</f>
        <v>120.06129370862379</v>
      </c>
      <c r="J27" s="146">
        <f>IF(SER_hh_fec!J27=0,0,11630*1000*SER_hh_fec!J27/SER_hh_num!J19)</f>
        <v>137.84650456701209</v>
      </c>
      <c r="K27" s="146">
        <f>IF(SER_hh_fec!K27=0,0,11630*1000*SER_hh_fec!K27/SER_hh_num!K19)</f>
        <v>164.87658702212292</v>
      </c>
      <c r="L27" s="146">
        <f>IF(SER_hh_fec!L27=0,0,11630*1000*SER_hh_fec!L27/SER_hh_num!L19)</f>
        <v>180.10137965419054</v>
      </c>
      <c r="M27" s="146">
        <f>IF(SER_hh_fec!M27=0,0,11630*1000*SER_hh_fec!M27/SER_hh_num!M19)</f>
        <v>193.77770161321038</v>
      </c>
      <c r="N27" s="146">
        <f>IF(SER_hh_fec!N27=0,0,11630*1000*SER_hh_fec!N27/SER_hh_num!N19)</f>
        <v>206.41684218095344</v>
      </c>
      <c r="O27" s="146">
        <f>IF(SER_hh_fec!O27=0,0,11630*1000*SER_hh_fec!O27/SER_hh_num!O19)</f>
        <v>210.63548366082949</v>
      </c>
      <c r="P27" s="146">
        <f>IF(SER_hh_fec!P27=0,0,11630*1000*SER_hh_fec!P27/SER_hh_num!P19)</f>
        <v>224.41088518471801</v>
      </c>
      <c r="Q27" s="146">
        <f>IF(SER_hh_fec!Q27=0,0,11630*1000*SER_hh_fec!Q27/SER_hh_num!Q19)</f>
        <v>236.17774100391179</v>
      </c>
      <c r="R27" s="146">
        <f>IF(SER_hh_fec!R27=0,0,11630*1000*SER_hh_fec!R27/SER_hh_num!R19)</f>
        <v>233.21213761545926</v>
      </c>
      <c r="S27" s="146">
        <f>IF(SER_hh_fec!S27=0,0,11630*1000*SER_hh_fec!S27/SER_hh_num!S19)</f>
        <v>235.19032114981573</v>
      </c>
      <c r="T27" s="146">
        <f>IF(SER_hh_fec!T27=0,0,11630*1000*SER_hh_fec!T27/SER_hh_num!T19)</f>
        <v>236.71964879718132</v>
      </c>
      <c r="U27" s="146">
        <f>IF(SER_hh_fec!U27=0,0,11630*1000*SER_hh_fec!U27/SER_hh_num!U19)</f>
        <v>236.6669277741517</v>
      </c>
      <c r="V27" s="146">
        <f>IF(SER_hh_fec!V27=0,0,11630*1000*SER_hh_fec!V27/SER_hh_num!V19)</f>
        <v>233.17621718325046</v>
      </c>
      <c r="W27" s="146">
        <f>IF(SER_hh_fec!W27=0,0,11630*1000*SER_hh_fec!W27/SER_hh_num!W19)</f>
        <v>226.8093413305273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2847.2438178551847</v>
      </c>
      <c r="C28" s="147">
        <f>IF(SER_hh_fec!C27=0,0,11630*1000*SER_hh_fec!C27/SER_hh_num!C27)</f>
        <v>2602.1287271878859</v>
      </c>
      <c r="D28" s="147">
        <f>IF(SER_hh_fec!D27=0,0,11630*1000*SER_hh_fec!D27/SER_hh_num!D27)</f>
        <v>3168.5634141605569</v>
      </c>
      <c r="E28" s="147">
        <f>IF(SER_hh_fec!E27=0,0,11630*1000*SER_hh_fec!E27/SER_hh_num!E27)</f>
        <v>3282.8939794660801</v>
      </c>
      <c r="F28" s="147">
        <f>IF(SER_hh_fec!F27=0,0,11630*1000*SER_hh_fec!F27/SER_hh_num!F27)</f>
        <v>3390.5810904118798</v>
      </c>
      <c r="G28" s="147">
        <f>IF(SER_hh_fec!G27=0,0,11630*1000*SER_hh_fec!G27/SER_hh_num!G27)</f>
        <v>3389.5666726298791</v>
      </c>
      <c r="H28" s="147">
        <f>IF(SER_hh_fec!H27=0,0,11630*1000*SER_hh_fec!H27/SER_hh_num!H27)</f>
        <v>3350.85587727957</v>
      </c>
      <c r="I28" s="147">
        <f>IF(SER_hh_fec!I27=0,0,11630*1000*SER_hh_fec!I27/SER_hh_num!I27)</f>
        <v>3380.1154678692874</v>
      </c>
      <c r="J28" s="147">
        <f>IF(SER_hh_fec!J27=0,0,11630*1000*SER_hh_fec!J27/SER_hh_num!J27)</f>
        <v>3435.5288160375339</v>
      </c>
      <c r="K28" s="147">
        <f>IF(SER_hh_fec!K27=0,0,11630*1000*SER_hh_fec!K27/SER_hh_num!K27)</f>
        <v>3479.8489491756036</v>
      </c>
      <c r="L28" s="147">
        <f>IF(SER_hh_fec!L27=0,0,11630*1000*SER_hh_fec!L27/SER_hh_num!L27)</f>
        <v>3526.6949988007436</v>
      </c>
      <c r="M28" s="147">
        <f>IF(SER_hh_fec!M27=0,0,11630*1000*SER_hh_fec!M27/SER_hh_num!M27)</f>
        <v>3441.6589038066381</v>
      </c>
      <c r="N28" s="147">
        <f>IF(SER_hh_fec!N27=0,0,11630*1000*SER_hh_fec!N27/SER_hh_num!N27)</f>
        <v>3493.9327145817424</v>
      </c>
      <c r="O28" s="147">
        <f>IF(SER_hh_fec!O27=0,0,11630*1000*SER_hh_fec!O27/SER_hh_num!O27)</f>
        <v>3711.1456810681484</v>
      </c>
      <c r="P28" s="147">
        <f>IF(SER_hh_fec!P27=0,0,11630*1000*SER_hh_fec!P27/SER_hh_num!P27)</f>
        <v>3462.9443809527816</v>
      </c>
      <c r="Q28" s="147">
        <f>IF(SER_hh_fec!Q27=0,0,11630*1000*SER_hh_fec!Q27/SER_hh_num!Q27)</f>
        <v>3548.0674714238144</v>
      </c>
      <c r="R28" s="147">
        <f>IF(SER_hh_fec!R27=0,0,11630*1000*SER_hh_fec!R27/SER_hh_num!R27)</f>
        <v>3430.0910468927746</v>
      </c>
      <c r="S28" s="147">
        <f>IF(SER_hh_fec!S27=0,0,11630*1000*SER_hh_fec!S27/SER_hh_num!S27)</f>
        <v>3246.2430001247399</v>
      </c>
      <c r="T28" s="147">
        <f>IF(SER_hh_fec!T27=0,0,11630*1000*SER_hh_fec!T27/SER_hh_num!T27)</f>
        <v>3447.4069524580582</v>
      </c>
      <c r="U28" s="147">
        <f>IF(SER_hh_fec!U27=0,0,11630*1000*SER_hh_fec!U27/SER_hh_num!U27)</f>
        <v>3342.5438988689134</v>
      </c>
      <c r="V28" s="147">
        <f>IF(SER_hh_fec!V27=0,0,11630*1000*SER_hh_fec!V27/SER_hh_num!V27)</f>
        <v>3063.4109524973128</v>
      </c>
      <c r="W28" s="147">
        <f>IF(SER_hh_fec!W27=0,0,11630*1000*SER_hh_fec!W27/SER_hh_num!W27)</f>
        <v>3409.6502771978739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6401.1127242257362</v>
      </c>
      <c r="C29" s="131">
        <f>IF(SER_hh_fec!C29=0,0,11630*1000*SER_hh_fec!C29/SER_hh_num!C29)</f>
        <v>6599.2593921923835</v>
      </c>
      <c r="D29" s="131">
        <f>IF(SER_hh_fec!D29=0,0,11630*1000*SER_hh_fec!D29/SER_hh_num!D29)</f>
        <v>6331.7478015613569</v>
      </c>
      <c r="E29" s="131">
        <f>IF(SER_hh_fec!E29=0,0,11630*1000*SER_hh_fec!E29/SER_hh_num!E29)</f>
        <v>6084.1152214995782</v>
      </c>
      <c r="F29" s="131">
        <f>IF(SER_hh_fec!F29=0,0,11630*1000*SER_hh_fec!F29/SER_hh_num!F29)</f>
        <v>6532.3419601657979</v>
      </c>
      <c r="G29" s="131">
        <f>IF(SER_hh_fec!G29=0,0,11630*1000*SER_hh_fec!G29/SER_hh_num!G29)</f>
        <v>6541.3143836514464</v>
      </c>
      <c r="H29" s="131">
        <f>IF(SER_hh_fec!H29=0,0,11630*1000*SER_hh_fec!H29/SER_hh_num!H29)</f>
        <v>6869.8510212922674</v>
      </c>
      <c r="I29" s="131">
        <f>IF(SER_hh_fec!I29=0,0,11630*1000*SER_hh_fec!I29/SER_hh_num!I29)</f>
        <v>6952.9828395877548</v>
      </c>
      <c r="J29" s="131">
        <f>IF(SER_hh_fec!J29=0,0,11630*1000*SER_hh_fec!J29/SER_hh_num!J29)</f>
        <v>7092.3853477883531</v>
      </c>
      <c r="K29" s="131">
        <f>IF(SER_hh_fec!K29=0,0,11630*1000*SER_hh_fec!K29/SER_hh_num!K29)</f>
        <v>7079.9321658783983</v>
      </c>
      <c r="L29" s="131">
        <f>IF(SER_hh_fec!L29=0,0,11630*1000*SER_hh_fec!L29/SER_hh_num!L29)</f>
        <v>7219.1462851659317</v>
      </c>
      <c r="M29" s="131">
        <f>IF(SER_hh_fec!M29=0,0,11630*1000*SER_hh_fec!M29/SER_hh_num!M29)</f>
        <v>7293.5384630870258</v>
      </c>
      <c r="N29" s="131">
        <f>IF(SER_hh_fec!N29=0,0,11630*1000*SER_hh_fec!N29/SER_hh_num!N29)</f>
        <v>7179.3630797913356</v>
      </c>
      <c r="O29" s="131">
        <f>IF(SER_hh_fec!O29=0,0,11630*1000*SER_hh_fec!O29/SER_hh_num!O29)</f>
        <v>7276.085120762129</v>
      </c>
      <c r="P29" s="131">
        <f>IF(SER_hh_fec!P29=0,0,11630*1000*SER_hh_fec!P29/SER_hh_num!P29)</f>
        <v>7653.4094573392649</v>
      </c>
      <c r="Q29" s="131">
        <f>IF(SER_hh_fec!Q29=0,0,11630*1000*SER_hh_fec!Q29/SER_hh_num!Q29)</f>
        <v>7713.8052410803666</v>
      </c>
      <c r="R29" s="131">
        <f>IF(SER_hh_fec!R29=0,0,11630*1000*SER_hh_fec!R29/SER_hh_num!R29)</f>
        <v>7622.0706082421075</v>
      </c>
      <c r="S29" s="131">
        <f>IF(SER_hh_fec!S29=0,0,11630*1000*SER_hh_fec!S29/SER_hh_num!S29)</f>
        <v>7792.6718041588429</v>
      </c>
      <c r="T29" s="131">
        <f>IF(SER_hh_fec!T29=0,0,11630*1000*SER_hh_fec!T29/SER_hh_num!T29)</f>
        <v>7805.6208643570026</v>
      </c>
      <c r="U29" s="131">
        <f>IF(SER_hh_fec!U29=0,0,11630*1000*SER_hh_fec!U29/SER_hh_num!U29)</f>
        <v>7920.9371109597787</v>
      </c>
      <c r="V29" s="131">
        <f>IF(SER_hh_fec!V29=0,0,11630*1000*SER_hh_fec!V29/SER_hh_num!V29)</f>
        <v>6690.8229690772641</v>
      </c>
      <c r="W29" s="131">
        <f>IF(SER_hh_fec!W29=0,0,11630*1000*SER_hh_fec!W29/SER_hh_num!W29)</f>
        <v>7641.4195713705058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7503.5296687968294</v>
      </c>
      <c r="C30" s="133">
        <f>IF(SER_hh_fec!C30=0,0,11630*1000*SER_hh_fec!C30/SER_hh_num!C30)</f>
        <v>7946.2438546487056</v>
      </c>
      <c r="D30" s="133">
        <f>IF(SER_hh_fec!D30=0,0,11630*1000*SER_hh_fec!D30/SER_hh_num!D30)</f>
        <v>7691.5344815910066</v>
      </c>
      <c r="E30" s="133">
        <f>IF(SER_hh_fec!E30=0,0,11630*1000*SER_hh_fec!E30/SER_hh_num!E30)</f>
        <v>7476.0538590340921</v>
      </c>
      <c r="F30" s="133">
        <f>IF(SER_hh_fec!F30=0,0,11630*1000*SER_hh_fec!F30/SER_hh_num!F30)</f>
        <v>8101.2747474732414</v>
      </c>
      <c r="G30" s="133">
        <f>IF(SER_hh_fec!G30=0,0,11630*1000*SER_hh_fec!G30/SER_hh_num!G30)</f>
        <v>7901.2246724655552</v>
      </c>
      <c r="H30" s="133">
        <f>IF(SER_hh_fec!H30=0,0,11630*1000*SER_hh_fec!H30/SER_hh_num!H30)</f>
        <v>7687.0567791902185</v>
      </c>
      <c r="I30" s="133">
        <f>IF(SER_hh_fec!I30=0,0,11630*1000*SER_hh_fec!I30/SER_hh_num!I30)</f>
        <v>8285.7193595203353</v>
      </c>
      <c r="J30" s="133">
        <f>IF(SER_hh_fec!J30=0,0,11630*1000*SER_hh_fec!J30/SER_hh_num!J30)</f>
        <v>8920.1106204546741</v>
      </c>
      <c r="K30" s="133">
        <f>IF(SER_hh_fec!K30=0,0,11630*1000*SER_hh_fec!K30/SER_hh_num!K30)</f>
        <v>8379.3821678560798</v>
      </c>
      <c r="L30" s="133">
        <f>IF(SER_hh_fec!L30=0,0,11630*1000*SER_hh_fec!L30/SER_hh_num!L30)</f>
        <v>8740.4870040628884</v>
      </c>
      <c r="M30" s="133">
        <f>IF(SER_hh_fec!M30=0,0,11630*1000*SER_hh_fec!M30/SER_hh_num!M30)</f>
        <v>8644.0933120688223</v>
      </c>
      <c r="N30" s="133">
        <f>IF(SER_hh_fec!N30=0,0,11630*1000*SER_hh_fec!N30/SER_hh_num!N30)</f>
        <v>8787.2461994124715</v>
      </c>
      <c r="O30" s="133">
        <f>IF(SER_hh_fec!O30=0,0,11630*1000*SER_hh_fec!O30/SER_hh_num!O30)</f>
        <v>8793.1728247459141</v>
      </c>
      <c r="P30" s="133">
        <f>IF(SER_hh_fec!P30=0,0,11630*1000*SER_hh_fec!P30/SER_hh_num!P30)</f>
        <v>6069.851863850181</v>
      </c>
      <c r="Q30" s="133">
        <f>IF(SER_hh_fec!Q30=0,0,11630*1000*SER_hh_fec!Q30/SER_hh_num!Q30)</f>
        <v>8344.0984237476623</v>
      </c>
      <c r="R30" s="133">
        <f>IF(SER_hh_fec!R30=0,0,11630*1000*SER_hh_fec!R30/SER_hh_num!R30)</f>
        <v>10385.405106614744</v>
      </c>
      <c r="S30" s="133">
        <f>IF(SER_hh_fec!S30=0,0,11630*1000*SER_hh_fec!S30/SER_hh_num!S30)</f>
        <v>8080.8545398711649</v>
      </c>
      <c r="T30" s="133">
        <f>IF(SER_hh_fec!T30=0,0,11630*1000*SER_hh_fec!T30/SER_hh_num!T30)</f>
        <v>9525.3070831179375</v>
      </c>
      <c r="U30" s="133">
        <f>IF(SER_hh_fec!U30=0,0,11630*1000*SER_hh_fec!U30/SER_hh_num!U30)</f>
        <v>9189.1119422940847</v>
      </c>
      <c r="V30" s="133">
        <f>IF(SER_hh_fec!V30=0,0,11630*1000*SER_hh_fec!V30/SER_hh_num!V30)</f>
        <v>6911.3800406688488</v>
      </c>
      <c r="W30" s="133">
        <f>IF(SER_hh_fec!W30=0,0,11630*1000*SER_hh_fec!W30/SER_hh_num!W30)</f>
        <v>8835.831944276506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7191.0058303664891</v>
      </c>
      <c r="C31" s="133">
        <f>IF(SER_hh_fec!C31=0,0,11630*1000*SER_hh_fec!C31/SER_hh_num!C31)</f>
        <v>8344.8251377148899</v>
      </c>
      <c r="D31" s="133">
        <f>IF(SER_hh_fec!D31=0,0,11630*1000*SER_hh_fec!D31/SER_hh_num!D31)</f>
        <v>7235.8030506562291</v>
      </c>
      <c r="E31" s="133">
        <f>IF(SER_hh_fec!E31=0,0,11630*1000*SER_hh_fec!E31/SER_hh_num!E31)</f>
        <v>6114.9398297652388</v>
      </c>
      <c r="F31" s="133">
        <f>IF(SER_hh_fec!F31=0,0,11630*1000*SER_hh_fec!F31/SER_hh_num!F31)</f>
        <v>8166.6255911848966</v>
      </c>
      <c r="G31" s="133">
        <f>IF(SER_hh_fec!G31=0,0,11630*1000*SER_hh_fec!G31/SER_hh_num!G31)</f>
        <v>7928.5246103642367</v>
      </c>
      <c r="H31" s="133">
        <f>IF(SER_hh_fec!H31=0,0,11630*1000*SER_hh_fec!H31/SER_hh_num!H31)</f>
        <v>8360.4132924165806</v>
      </c>
      <c r="I31" s="133">
        <f>IF(SER_hh_fec!I31=0,0,11630*1000*SER_hh_fec!I31/SER_hh_num!I31)</f>
        <v>8307.5045146428438</v>
      </c>
      <c r="J31" s="133">
        <f>IF(SER_hh_fec!J31=0,0,11630*1000*SER_hh_fec!J31/SER_hh_num!J31)</f>
        <v>8454.252158635918</v>
      </c>
      <c r="K31" s="133">
        <f>IF(SER_hh_fec!K31=0,0,11630*1000*SER_hh_fec!K31/SER_hh_num!K31)</f>
        <v>8361.8675854496632</v>
      </c>
      <c r="L31" s="133">
        <f>IF(SER_hh_fec!L31=0,0,11630*1000*SER_hh_fec!L31/SER_hh_num!L31)</f>
        <v>8542.7395853004818</v>
      </c>
      <c r="M31" s="133">
        <f>IF(SER_hh_fec!M31=0,0,11630*1000*SER_hh_fec!M31/SER_hh_num!M31)</f>
        <v>8371.1231562689554</v>
      </c>
      <c r="N31" s="133">
        <f>IF(SER_hh_fec!N31=0,0,11630*1000*SER_hh_fec!N31/SER_hh_num!N31)</f>
        <v>7651.5488805047999</v>
      </c>
      <c r="O31" s="133">
        <f>IF(SER_hh_fec!O31=0,0,11630*1000*SER_hh_fec!O31/SER_hh_num!O31)</f>
        <v>7161.6425451686091</v>
      </c>
      <c r="P31" s="133">
        <f>IF(SER_hh_fec!P31=0,0,11630*1000*SER_hh_fec!P31/SER_hh_num!P31)</f>
        <v>9547.1359466709582</v>
      </c>
      <c r="Q31" s="133">
        <f>IF(SER_hh_fec!Q31=0,0,11630*1000*SER_hh_fec!Q31/SER_hh_num!Q31)</f>
        <v>8923.1425619924357</v>
      </c>
      <c r="R31" s="133">
        <f>IF(SER_hh_fec!R31=0,0,11630*1000*SER_hh_fec!R31/SER_hh_num!R31)</f>
        <v>8842.4836039445272</v>
      </c>
      <c r="S31" s="133">
        <f>IF(SER_hh_fec!S31=0,0,11630*1000*SER_hh_fec!S31/SER_hh_num!S31)</f>
        <v>8863.685997609291</v>
      </c>
      <c r="T31" s="133">
        <f>IF(SER_hh_fec!T31=0,0,11630*1000*SER_hh_fec!T31/SER_hh_num!T31)</f>
        <v>8010.868997747335</v>
      </c>
      <c r="U31" s="133">
        <f>IF(SER_hh_fec!U31=0,0,11630*1000*SER_hh_fec!U31/SER_hh_num!U31)</f>
        <v>8297.5030788148142</v>
      </c>
      <c r="V31" s="133">
        <f>IF(SER_hh_fec!V31=0,0,11630*1000*SER_hh_fec!V31/SER_hh_num!V31)</f>
        <v>8506.7274243084357</v>
      </c>
      <c r="W31" s="133">
        <f>IF(SER_hh_fec!W31=0,0,11630*1000*SER_hh_fec!W31/SER_hh_num!W31)</f>
        <v>8215.3142088426066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5977.9843714671688</v>
      </c>
      <c r="C33" s="68">
        <f>IF(SER_hh_fec!C33=0,0,11630*1000*SER_hh_fec!C33/SER_hh_num!C33)</f>
        <v>5898.2400754648943</v>
      </c>
      <c r="D33" s="68">
        <f>IF(SER_hh_fec!D33=0,0,11630*1000*SER_hh_fec!D33/SER_hh_num!D33)</f>
        <v>5817.8882856242371</v>
      </c>
      <c r="E33" s="68">
        <f>IF(SER_hh_fec!E33=0,0,11630*1000*SER_hh_fec!E33/SER_hh_num!E33)</f>
        <v>5760.4007076478129</v>
      </c>
      <c r="F33" s="68">
        <f>IF(SER_hh_fec!F33=0,0,11630*1000*SER_hh_fec!F33/SER_hh_num!F33)</f>
        <v>5742.8988267421055</v>
      </c>
      <c r="G33" s="68">
        <f>IF(SER_hh_fec!G33=0,0,11630*1000*SER_hh_fec!G33/SER_hh_num!G33)</f>
        <v>5853.1755822383266</v>
      </c>
      <c r="H33" s="68">
        <f>IF(SER_hh_fec!H33=0,0,11630*1000*SER_hh_fec!H33/SER_hh_num!H33)</f>
        <v>6249.7004329727461</v>
      </c>
      <c r="I33" s="68">
        <f>IF(SER_hh_fec!I33=0,0,11630*1000*SER_hh_fec!I33/SER_hh_num!I33)</f>
        <v>6304.5604829914464</v>
      </c>
      <c r="J33" s="68">
        <f>IF(SER_hh_fec!J33=0,0,11630*1000*SER_hh_fec!J33/SER_hh_num!J33)</f>
        <v>6380.2608908262655</v>
      </c>
      <c r="K33" s="68">
        <f>IF(SER_hh_fec!K33=0,0,11630*1000*SER_hh_fec!K33/SER_hh_num!K33)</f>
        <v>6466.2154059091908</v>
      </c>
      <c r="L33" s="68">
        <f>IF(SER_hh_fec!L33=0,0,11630*1000*SER_hh_fec!L33/SER_hh_num!L33)</f>
        <v>6561.646047135132</v>
      </c>
      <c r="M33" s="68">
        <f>IF(SER_hh_fec!M33=0,0,11630*1000*SER_hh_fec!M33/SER_hh_num!M33)</f>
        <v>6722.5763013400747</v>
      </c>
      <c r="N33" s="68">
        <f>IF(SER_hh_fec!N33=0,0,11630*1000*SER_hh_fec!N33/SER_hh_num!N33)</f>
        <v>6762.8221946917311</v>
      </c>
      <c r="O33" s="68">
        <f>IF(SER_hh_fec!O33=0,0,11630*1000*SER_hh_fec!O33/SER_hh_num!O33)</f>
        <v>7157.7621382622328</v>
      </c>
      <c r="P33" s="68">
        <f>IF(SER_hh_fec!P33=0,0,11630*1000*SER_hh_fec!P33/SER_hh_num!P33)</f>
        <v>5768.280269949496</v>
      </c>
      <c r="Q33" s="68">
        <f>IF(SER_hh_fec!Q33=0,0,11630*1000*SER_hh_fec!Q33/SER_hh_num!Q33)</f>
        <v>5706.7312391548612</v>
      </c>
      <c r="R33" s="68">
        <f>IF(SER_hh_fec!R33=0,0,11630*1000*SER_hh_fec!R33/SER_hh_num!R33)</f>
        <v>4819.2614412231887</v>
      </c>
      <c r="S33" s="68">
        <f>IF(SER_hh_fec!S33=0,0,11630*1000*SER_hh_fec!S33/SER_hh_num!S33)</f>
        <v>5880.0942804952165</v>
      </c>
      <c r="T33" s="68">
        <f>IF(SER_hh_fec!T33=0,0,11630*1000*SER_hh_fec!T33/SER_hh_num!T33)</f>
        <v>7084.3800259090012</v>
      </c>
      <c r="U33" s="68">
        <f>IF(SER_hh_fec!U33=0,0,11630*1000*SER_hh_fec!U33/SER_hh_num!U33)</f>
        <v>7140.7337223569994</v>
      </c>
      <c r="V33" s="68">
        <f>IF(SER_hh_fec!V33=0,0,11630*1000*SER_hh_fec!V33/SER_hh_num!V33)</f>
        <v>3978.5975250156507</v>
      </c>
      <c r="W33" s="68">
        <f>IF(SER_hh_fec!W33=0,0,11630*1000*SER_hh_fec!W33/SER_hh_num!W33)</f>
        <v>6638.0233147176014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15965.473786791192</v>
      </c>
      <c r="C3" s="126">
        <f>IF(SER_hh_tes!C3=0,0,11630*1000*SER_hh_tes!C3/SER_hh_num!C3)</f>
        <v>16368.621045684937</v>
      </c>
      <c r="D3" s="126">
        <f>IF(SER_hh_tes!D3=0,0,11630*1000*SER_hh_tes!D3/SER_hh_num!D3)</f>
        <v>16128.514110246217</v>
      </c>
      <c r="E3" s="126">
        <f>IF(SER_hh_tes!E3=0,0,11630*1000*SER_hh_tes!E3/SER_hh_num!E3)</f>
        <v>16591.757019416145</v>
      </c>
      <c r="F3" s="126">
        <f>IF(SER_hh_tes!F3=0,0,11630*1000*SER_hh_tes!F3/SER_hh_num!F3)</f>
        <v>17520.274909777188</v>
      </c>
      <c r="G3" s="126">
        <f>IF(SER_hh_tes!G3=0,0,11630*1000*SER_hh_tes!G3/SER_hh_num!G3)</f>
        <v>19105.078251620449</v>
      </c>
      <c r="H3" s="126">
        <f>IF(SER_hh_tes!H3=0,0,11630*1000*SER_hh_tes!H3/SER_hh_num!H3)</f>
        <v>25656.770574823342</v>
      </c>
      <c r="I3" s="126">
        <f>IF(SER_hh_tes!I3=0,0,11630*1000*SER_hh_tes!I3/SER_hh_num!I3)</f>
        <v>21208.978648953074</v>
      </c>
      <c r="J3" s="126">
        <f>IF(SER_hh_tes!J3=0,0,11630*1000*SER_hh_tes!J3/SER_hh_num!J3)</f>
        <v>22407.226828130104</v>
      </c>
      <c r="K3" s="126">
        <f>IF(SER_hh_tes!K3=0,0,11630*1000*SER_hh_tes!K3/SER_hh_num!K3)</f>
        <v>25982.453092353171</v>
      </c>
      <c r="L3" s="126">
        <f>IF(SER_hh_tes!L3=0,0,11630*1000*SER_hh_tes!L3/SER_hh_num!L3)</f>
        <v>27891.748273776633</v>
      </c>
      <c r="M3" s="126">
        <f>IF(SER_hh_tes!M3=0,0,11630*1000*SER_hh_tes!M3/SER_hh_num!M3)</f>
        <v>27543.445842992409</v>
      </c>
      <c r="N3" s="126">
        <f>IF(SER_hh_tes!N3=0,0,11630*1000*SER_hh_tes!N3/SER_hh_num!N3)</f>
        <v>28022.060204523234</v>
      </c>
      <c r="O3" s="126">
        <f>IF(SER_hh_tes!O3=0,0,11630*1000*SER_hh_tes!O3/SER_hh_num!O3)</f>
        <v>25488.595771531745</v>
      </c>
      <c r="P3" s="126">
        <f>IF(SER_hh_tes!P3=0,0,11630*1000*SER_hh_tes!P3/SER_hh_num!P3)</f>
        <v>22286.766751375566</v>
      </c>
      <c r="Q3" s="126">
        <f>IF(SER_hh_tes!Q3=0,0,11630*1000*SER_hh_tes!Q3/SER_hh_num!Q3)</f>
        <v>26631.877458703584</v>
      </c>
      <c r="R3" s="126">
        <f>IF(SER_hh_tes!R3=0,0,11630*1000*SER_hh_tes!R3/SER_hh_num!R3)</f>
        <v>26920.62656064154</v>
      </c>
      <c r="S3" s="126">
        <f>IF(SER_hh_tes!S3=0,0,11630*1000*SER_hh_tes!S3/SER_hh_num!S3)</f>
        <v>30111.315097546303</v>
      </c>
      <c r="T3" s="126">
        <f>IF(SER_hh_tes!T3=0,0,11630*1000*SER_hh_tes!T3/SER_hh_num!T3)</f>
        <v>27415.30510746238</v>
      </c>
      <c r="U3" s="126">
        <f>IF(SER_hh_tes!U3=0,0,11630*1000*SER_hh_tes!U3/SER_hh_num!U3)</f>
        <v>28587.810323518301</v>
      </c>
      <c r="V3" s="126">
        <f>IF(SER_hh_tes!V3=0,0,11630*1000*SER_hh_tes!V3/SER_hh_num!V3)</f>
        <v>28648.323234299321</v>
      </c>
      <c r="W3" s="126">
        <f>IF(SER_hh_tes!W3=0,0,11630*1000*SER_hh_tes!W3/SER_hh_num!W3)</f>
        <v>29432.863120143913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5908.3137763879395</v>
      </c>
      <c r="C4" s="131">
        <f>IF(SER_hh_tes!C4=0,0,11630*1000*SER_hh_tes!C4/SER_hh_num!C4)</f>
        <v>5571.1134182803944</v>
      </c>
      <c r="D4" s="131">
        <f>IF(SER_hh_tes!D4=0,0,11630*1000*SER_hh_tes!D4/SER_hh_num!D4)</f>
        <v>5265.9939775865614</v>
      </c>
      <c r="E4" s="131">
        <f>IF(SER_hh_tes!E4=0,0,11630*1000*SER_hh_tes!E4/SER_hh_num!E4)</f>
        <v>4353.8815310538903</v>
      </c>
      <c r="F4" s="131">
        <f>IF(SER_hh_tes!F4=0,0,11630*1000*SER_hh_tes!F4/SER_hh_num!F4)</f>
        <v>4956.0505215455069</v>
      </c>
      <c r="G4" s="131">
        <f>IF(SER_hh_tes!G4=0,0,11630*1000*SER_hh_tes!G4/SER_hh_num!G4)</f>
        <v>5707.1686204799253</v>
      </c>
      <c r="H4" s="131">
        <f>IF(SER_hh_tes!H4=0,0,11630*1000*SER_hh_tes!H4/SER_hh_num!H4)</f>
        <v>10506.039340631141</v>
      </c>
      <c r="I4" s="131">
        <f>IF(SER_hh_tes!I4=0,0,11630*1000*SER_hh_tes!I4/SER_hh_num!I4)</f>
        <v>6941.4867639213944</v>
      </c>
      <c r="J4" s="131">
        <f>IF(SER_hh_tes!J4=0,0,11630*1000*SER_hh_tes!J4/SER_hh_num!J4)</f>
        <v>7046.7203414699234</v>
      </c>
      <c r="K4" s="131">
        <f>IF(SER_hh_tes!K4=0,0,11630*1000*SER_hh_tes!K4/SER_hh_num!K4)</f>
        <v>7542.5289204300434</v>
      </c>
      <c r="L4" s="131">
        <f>IF(SER_hh_tes!L4=0,0,11630*1000*SER_hh_tes!L4/SER_hh_num!L4)</f>
        <v>9241.4205631181831</v>
      </c>
      <c r="M4" s="131">
        <f>IF(SER_hh_tes!M4=0,0,11630*1000*SER_hh_tes!M4/SER_hh_num!M4)</f>
        <v>9318.6094819152349</v>
      </c>
      <c r="N4" s="131">
        <f>IF(SER_hh_tes!N4=0,0,11630*1000*SER_hh_tes!N4/SER_hh_num!N4)</f>
        <v>7716.2695720693346</v>
      </c>
      <c r="O4" s="131">
        <f>IF(SER_hh_tes!O4=0,0,11630*1000*SER_hh_tes!O4/SER_hh_num!O4)</f>
        <v>7085.1323959148649</v>
      </c>
      <c r="P4" s="131">
        <f>IF(SER_hh_tes!P4=0,0,11630*1000*SER_hh_tes!P4/SER_hh_num!P4)</f>
        <v>4544.1613861214109</v>
      </c>
      <c r="Q4" s="131">
        <f>IF(SER_hh_tes!Q4=0,0,11630*1000*SER_hh_tes!Q4/SER_hh_num!Q4)</f>
        <v>4683.2887796314017</v>
      </c>
      <c r="R4" s="131">
        <f>IF(SER_hh_tes!R4=0,0,11630*1000*SER_hh_tes!R4/SER_hh_num!R4)</f>
        <v>5422.4043745776835</v>
      </c>
      <c r="S4" s="131">
        <f>IF(SER_hh_tes!S4=0,0,11630*1000*SER_hh_tes!S4/SER_hh_num!S4)</f>
        <v>6286.2507093669037</v>
      </c>
      <c r="T4" s="131">
        <f>IF(SER_hh_tes!T4=0,0,11630*1000*SER_hh_tes!T4/SER_hh_num!T4)</f>
        <v>7583.1617072966674</v>
      </c>
      <c r="U4" s="131">
        <f>IF(SER_hh_tes!U4=0,0,11630*1000*SER_hh_tes!U4/SER_hh_num!U4)</f>
        <v>8039.2517420085869</v>
      </c>
      <c r="V4" s="131">
        <f>IF(SER_hh_tes!V4=0,0,11630*1000*SER_hh_tes!V4/SER_hh_num!V4)</f>
        <v>7966.3228635352325</v>
      </c>
      <c r="W4" s="131">
        <f>IF(SER_hh_tes!W4=0,0,11630*1000*SER_hh_tes!W4/SER_hh_num!W4)</f>
        <v>9265.041310882134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5653.6050247252706</v>
      </c>
      <c r="C7" s="133">
        <f>IF(SER_hh_tes!C7=0,0,11630*1000*SER_hh_tes!C7/SER_hh_num!C7)</f>
        <v>5660.6078764021495</v>
      </c>
      <c r="D7" s="133">
        <f>IF(SER_hh_tes!D7=0,0,11630*1000*SER_hh_tes!D7/SER_hh_num!D7)</f>
        <v>4815.9552878274135</v>
      </c>
      <c r="E7" s="133">
        <f>IF(SER_hh_tes!E7=0,0,11630*1000*SER_hh_tes!E7/SER_hh_num!E7)</f>
        <v>4947.08853535248</v>
      </c>
      <c r="F7" s="133">
        <f>IF(SER_hh_tes!F7=0,0,11630*1000*SER_hh_tes!F7/SER_hh_num!F7)</f>
        <v>5577.9670251911057</v>
      </c>
      <c r="G7" s="133">
        <f>IF(SER_hh_tes!G7=0,0,11630*1000*SER_hh_tes!G7/SER_hh_num!G7)</f>
        <v>6476.6756200845784</v>
      </c>
      <c r="H7" s="133">
        <f>IF(SER_hh_tes!H7=0,0,11630*1000*SER_hh_tes!H7/SER_hh_num!H7)</f>
        <v>6353.5876025233301</v>
      </c>
      <c r="I7" s="133">
        <f>IF(SER_hh_tes!I7=0,0,11630*1000*SER_hh_tes!I7/SER_hh_num!I7)</f>
        <v>6816.7440446756073</v>
      </c>
      <c r="J7" s="133">
        <f>IF(SER_hh_tes!J7=0,0,11630*1000*SER_hh_tes!J7/SER_hh_num!J7)</f>
        <v>7271.2822103606122</v>
      </c>
      <c r="K7" s="133">
        <f>IF(SER_hh_tes!K7=0,0,11630*1000*SER_hh_tes!K7/SER_hh_num!K7)</f>
        <v>8224.6086777813471</v>
      </c>
      <c r="L7" s="133">
        <f>IF(SER_hh_tes!L7=0,0,11630*1000*SER_hh_tes!L7/SER_hh_num!L7)</f>
        <v>8270.0827245850633</v>
      </c>
      <c r="M7" s="133">
        <f>IF(SER_hh_tes!M7=0,0,11630*1000*SER_hh_tes!M7/SER_hh_num!M7)</f>
        <v>7291.0389167316243</v>
      </c>
      <c r="N7" s="133">
        <f>IF(SER_hh_tes!N7=0,0,11630*1000*SER_hh_tes!N7/SER_hh_num!N7)</f>
        <v>7425.5630185627942</v>
      </c>
      <c r="O7" s="133">
        <f>IF(SER_hh_tes!O7=0,0,11630*1000*SER_hh_tes!O7/SER_hh_num!O7)</f>
        <v>7439.7920656118167</v>
      </c>
      <c r="P7" s="133">
        <f>IF(SER_hh_tes!P7=0,0,11630*1000*SER_hh_tes!P7/SER_hh_num!P7)</f>
        <v>5591.9354959999991</v>
      </c>
      <c r="Q7" s="133">
        <f>IF(SER_hh_tes!Q7=0,0,11630*1000*SER_hh_tes!Q7/SER_hh_num!Q7)</f>
        <v>4007.1553125514197</v>
      </c>
      <c r="R7" s="133">
        <f>IF(SER_hh_tes!R7=0,0,11630*1000*SER_hh_tes!R7/SER_hh_num!R7)</f>
        <v>5357.9597044714747</v>
      </c>
      <c r="S7" s="133">
        <f>IF(SER_hh_tes!S7=0,0,11630*1000*SER_hh_tes!S7/SER_hh_num!S7)</f>
        <v>6461.2654671383534</v>
      </c>
      <c r="T7" s="133">
        <f>IF(SER_hh_tes!T7=0,0,11630*1000*SER_hh_tes!T7/SER_hh_num!T7)</f>
        <v>7428.9078925614467</v>
      </c>
      <c r="U7" s="133">
        <f>IF(SER_hh_tes!U7=0,0,11630*1000*SER_hh_tes!U7/SER_hh_num!U7)</f>
        <v>7640.8651409996692</v>
      </c>
      <c r="V7" s="133">
        <f>IF(SER_hh_tes!V7=0,0,11630*1000*SER_hh_tes!V7/SER_hh_num!V7)</f>
        <v>7787.0283427170407</v>
      </c>
      <c r="W7" s="133">
        <f>IF(SER_hh_tes!W7=0,0,11630*1000*SER_hh_tes!W7/SER_hh_num!W7)</f>
        <v>8993.5959999409752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4901.4986993572602</v>
      </c>
      <c r="C8" s="133">
        <f>IF(SER_hh_tes!C8=0,0,11630*1000*SER_hh_tes!C8/SER_hh_num!C8)</f>
        <v>5391.1071790428041</v>
      </c>
      <c r="D8" s="133">
        <f>IF(SER_hh_tes!D8=0,0,11630*1000*SER_hh_tes!D8/SER_hh_num!D8)</f>
        <v>5014.0914160787215</v>
      </c>
      <c r="E8" s="133">
        <f>IF(SER_hh_tes!E8=0,0,11630*1000*SER_hh_tes!E8/SER_hh_num!E8)</f>
        <v>3532.5869149645459</v>
      </c>
      <c r="F8" s="133">
        <f>IF(SER_hh_tes!F8=0,0,11630*1000*SER_hh_tes!F8/SER_hh_num!F8)</f>
        <v>3824.9725988561067</v>
      </c>
      <c r="G8" s="133">
        <f>IF(SER_hh_tes!G8=0,0,11630*1000*SER_hh_tes!G8/SER_hh_num!G8)</f>
        <v>5808.2291705689886</v>
      </c>
      <c r="H8" s="133">
        <f>IF(SER_hh_tes!H8=0,0,11630*1000*SER_hh_tes!H8/SER_hh_num!H8)</f>
        <v>9005.9108386088938</v>
      </c>
      <c r="I8" s="133">
        <f>IF(SER_hh_tes!I8=0,0,11630*1000*SER_hh_tes!I8/SER_hh_num!I8)</f>
        <v>7794.1147344625078</v>
      </c>
      <c r="J8" s="133">
        <f>IF(SER_hh_tes!J8=0,0,11630*1000*SER_hh_tes!J8/SER_hh_num!J8)</f>
        <v>7436.6622618388292</v>
      </c>
      <c r="K8" s="133">
        <f>IF(SER_hh_tes!K8=0,0,11630*1000*SER_hh_tes!K8/SER_hh_num!K8)</f>
        <v>6896.2874625558406</v>
      </c>
      <c r="L8" s="133">
        <f>IF(SER_hh_tes!L8=0,0,11630*1000*SER_hh_tes!L8/SER_hh_num!L8)</f>
        <v>6054.3391785671074</v>
      </c>
      <c r="M8" s="133">
        <f>IF(SER_hh_tes!M8=0,0,11630*1000*SER_hh_tes!M8/SER_hh_num!M8)</f>
        <v>6227.1460495763276</v>
      </c>
      <c r="N8" s="133">
        <f>IF(SER_hh_tes!N8=0,0,11630*1000*SER_hh_tes!N8/SER_hh_num!N8)</f>
        <v>4943.944005473244</v>
      </c>
      <c r="O8" s="133">
        <f>IF(SER_hh_tes!O8=0,0,11630*1000*SER_hh_tes!O8/SER_hh_num!O8)</f>
        <v>4764.5904119588304</v>
      </c>
      <c r="P8" s="133">
        <f>IF(SER_hh_tes!P8=0,0,11630*1000*SER_hh_tes!P8/SER_hh_num!P8)</f>
        <v>5040.5759456909427</v>
      </c>
      <c r="Q8" s="133">
        <f>IF(SER_hh_tes!Q8=0,0,11630*1000*SER_hh_tes!Q8/SER_hh_num!Q8)</f>
        <v>4950.287276297282</v>
      </c>
      <c r="R8" s="133">
        <f>IF(SER_hh_tes!R8=0,0,11630*1000*SER_hh_tes!R8/SER_hh_num!R8)</f>
        <v>5618.6615938858931</v>
      </c>
      <c r="S8" s="133">
        <f>IF(SER_hh_tes!S8=0,0,11630*1000*SER_hh_tes!S8/SER_hh_num!S8)</f>
        <v>6352.4806359500062</v>
      </c>
      <c r="T8" s="133">
        <f>IF(SER_hh_tes!T8=0,0,11630*1000*SER_hh_tes!T8/SER_hh_num!T8)</f>
        <v>7253.8180943381167</v>
      </c>
      <c r="U8" s="133">
        <f>IF(SER_hh_tes!U8=0,0,11630*1000*SER_hh_tes!U8/SER_hh_num!U8)</f>
        <v>7957.4042861226399</v>
      </c>
      <c r="V8" s="133">
        <f>IF(SER_hh_tes!V8=0,0,11630*1000*SER_hh_tes!V8/SER_hh_num!V8)</f>
        <v>8283.0408680572527</v>
      </c>
      <c r="W8" s="133">
        <f>IF(SER_hh_tes!W8=0,0,11630*1000*SER_hh_tes!W8/SER_hh_num!W8)</f>
        <v>9194.4884692393352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4239.7034674813221</v>
      </c>
      <c r="C9" s="133">
        <f>IF(SER_hh_tes!C9=0,0,11630*1000*SER_hh_tes!C9/SER_hh_num!C9)</f>
        <v>5194.5365081591126</v>
      </c>
      <c r="D9" s="133">
        <f>IF(SER_hh_tes!D9=0,0,11630*1000*SER_hh_tes!D9/SER_hh_num!D9)</f>
        <v>7742.1213256324982</v>
      </c>
      <c r="E9" s="133">
        <f>IF(SER_hh_tes!E9=0,0,11630*1000*SER_hh_tes!E9/SER_hh_num!E9)</f>
        <v>675.23249631248359</v>
      </c>
      <c r="F9" s="133">
        <f>IF(SER_hh_tes!F9=0,0,11630*1000*SER_hh_tes!F9/SER_hh_num!F9)</f>
        <v>818.98636640252198</v>
      </c>
      <c r="G9" s="133">
        <f>IF(SER_hh_tes!G9=0,0,11630*1000*SER_hh_tes!G9/SER_hh_num!G9)</f>
        <v>4435.0049520421881</v>
      </c>
      <c r="H9" s="133">
        <f>IF(SER_hh_tes!H9=0,0,11630*1000*SER_hh_tes!H9/SER_hh_num!H9)</f>
        <v>14814.041195068141</v>
      </c>
      <c r="I9" s="133">
        <f>IF(SER_hh_tes!I9=0,0,11630*1000*SER_hh_tes!I9/SER_hh_num!I9)</f>
        <v>6923.0550671256915</v>
      </c>
      <c r="J9" s="133">
        <f>IF(SER_hh_tes!J9=0,0,11630*1000*SER_hh_tes!J9/SER_hh_num!J9)</f>
        <v>5253.6381123094998</v>
      </c>
      <c r="K9" s="133">
        <f>IF(SER_hh_tes!K9=0,0,11630*1000*SER_hh_tes!K9/SER_hh_num!K9)</f>
        <v>6963.6516849246937</v>
      </c>
      <c r="L9" s="133">
        <f>IF(SER_hh_tes!L9=0,0,11630*1000*SER_hh_tes!L9/SER_hh_num!L9)</f>
        <v>9365.6184581843663</v>
      </c>
      <c r="M9" s="133">
        <f>IF(SER_hh_tes!M9=0,0,11630*1000*SER_hh_tes!M9/SER_hh_num!M9)</f>
        <v>10567.334411004278</v>
      </c>
      <c r="N9" s="133">
        <f>IF(SER_hh_tes!N9=0,0,11630*1000*SER_hh_tes!N9/SER_hh_num!N9)</f>
        <v>7901.8474180340409</v>
      </c>
      <c r="O9" s="133">
        <f>IF(SER_hh_tes!O9=0,0,11630*1000*SER_hh_tes!O9/SER_hh_num!O9)</f>
        <v>7279.9729420025724</v>
      </c>
      <c r="P9" s="133">
        <f>IF(SER_hh_tes!P9=0,0,11630*1000*SER_hh_tes!P9/SER_hh_num!P9)</f>
        <v>3333.9379370528982</v>
      </c>
      <c r="Q9" s="133">
        <f>IF(SER_hh_tes!Q9=0,0,11630*1000*SER_hh_tes!Q9/SER_hh_num!Q9)</f>
        <v>5121.0119408212158</v>
      </c>
      <c r="R9" s="133">
        <f>IF(SER_hh_tes!R9=0,0,11630*1000*SER_hh_tes!R9/SER_hh_num!R9)</f>
        <v>5186.6433047315259</v>
      </c>
      <c r="S9" s="133">
        <f>IF(SER_hh_tes!S9=0,0,11630*1000*SER_hh_tes!S9/SER_hh_num!S9)</f>
        <v>5528.2479998303279</v>
      </c>
      <c r="T9" s="133">
        <f>IF(SER_hh_tes!T9=0,0,11630*1000*SER_hh_tes!T9/SER_hh_num!T9)</f>
        <v>7899.114054271462</v>
      </c>
      <c r="U9" s="133">
        <f>IF(SER_hh_tes!U9=0,0,11630*1000*SER_hh_tes!U9/SER_hh_num!U9)</f>
        <v>8234.7940184618601</v>
      </c>
      <c r="V9" s="133">
        <f>IF(SER_hh_tes!V9=0,0,11630*1000*SER_hh_tes!V9/SER_hh_num!V9)</f>
        <v>7347.6076495172329</v>
      </c>
      <c r="W9" s="133">
        <f>IF(SER_hh_tes!W9=0,0,11630*1000*SER_hh_tes!W9/SER_hh_num!W9)</f>
        <v>9422.8392507549197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5663.1512533353889</v>
      </c>
      <c r="C10" s="133">
        <f>IF(SER_hh_tes!C10=0,0,11630*1000*SER_hh_tes!C10/SER_hh_num!C10)</f>
        <v>5549.135987809811</v>
      </c>
      <c r="D10" s="133">
        <f>IF(SER_hh_tes!D10=0,0,11630*1000*SER_hh_tes!D10/SER_hh_num!D10)</f>
        <v>5116.345442981803</v>
      </c>
      <c r="E10" s="133">
        <f>IF(SER_hh_tes!E10=0,0,11630*1000*SER_hh_tes!E10/SER_hh_num!E10)</f>
        <v>5040.7960902364484</v>
      </c>
      <c r="F10" s="133">
        <f>IF(SER_hh_tes!F10=0,0,11630*1000*SER_hh_tes!F10/SER_hh_num!F10)</f>
        <v>5086.1483007353136</v>
      </c>
      <c r="G10" s="133">
        <f>IF(SER_hh_tes!G10=0,0,11630*1000*SER_hh_tes!G10/SER_hh_num!G10)</f>
        <v>5377.5335600722119</v>
      </c>
      <c r="H10" s="133">
        <f>IF(SER_hh_tes!H10=0,0,11630*1000*SER_hh_tes!H10/SER_hh_num!H10)</f>
        <v>8264.5507492252054</v>
      </c>
      <c r="I10" s="133">
        <f>IF(SER_hh_tes!I10=0,0,11630*1000*SER_hh_tes!I10/SER_hh_num!I10)</f>
        <v>7594.3568180715047</v>
      </c>
      <c r="J10" s="133">
        <f>IF(SER_hh_tes!J10=0,0,11630*1000*SER_hh_tes!J10/SER_hh_num!J10)</f>
        <v>8788.4771275679432</v>
      </c>
      <c r="K10" s="133">
        <f>IF(SER_hh_tes!K10=0,0,11630*1000*SER_hh_tes!K10/SER_hh_num!K10)</f>
        <v>6899.7865486677965</v>
      </c>
      <c r="L10" s="133">
        <f>IF(SER_hh_tes!L10=0,0,11630*1000*SER_hh_tes!L10/SER_hh_num!L10)</f>
        <v>7862.7267064221915</v>
      </c>
      <c r="M10" s="133">
        <f>IF(SER_hh_tes!M10=0,0,11630*1000*SER_hh_tes!M10/SER_hh_num!M10)</f>
        <v>8302.6217295741735</v>
      </c>
      <c r="N10" s="133">
        <f>IF(SER_hh_tes!N10=0,0,11630*1000*SER_hh_tes!N10/SER_hh_num!N10)</f>
        <v>7348.5149908290668</v>
      </c>
      <c r="O10" s="133">
        <f>IF(SER_hh_tes!O10=0,0,11630*1000*SER_hh_tes!O10/SER_hh_num!O10)</f>
        <v>6193.5529559110018</v>
      </c>
      <c r="P10" s="133">
        <f>IF(SER_hh_tes!P10=0,0,11630*1000*SER_hh_tes!P10/SER_hh_num!P10)</f>
        <v>4880.750224962545</v>
      </c>
      <c r="Q10" s="133">
        <f>IF(SER_hh_tes!Q10=0,0,11630*1000*SER_hh_tes!Q10/SER_hh_num!Q10)</f>
        <v>4854.2175862103468</v>
      </c>
      <c r="R10" s="133">
        <f>IF(SER_hh_tes!R10=0,0,11630*1000*SER_hh_tes!R10/SER_hh_num!R10)</f>
        <v>5914.9822274816524</v>
      </c>
      <c r="S10" s="133">
        <f>IF(SER_hh_tes!S10=0,0,11630*1000*SER_hh_tes!S10/SER_hh_num!S10)</f>
        <v>6524.475845884399</v>
      </c>
      <c r="T10" s="133">
        <f>IF(SER_hh_tes!T10=0,0,11630*1000*SER_hh_tes!T10/SER_hh_num!T10)</f>
        <v>7032.4271596203998</v>
      </c>
      <c r="U10" s="133">
        <f>IF(SER_hh_tes!U10=0,0,11630*1000*SER_hh_tes!U10/SER_hh_num!U10)</f>
        <v>7753.8600565086645</v>
      </c>
      <c r="V10" s="133">
        <f>IF(SER_hh_tes!V10=0,0,11630*1000*SER_hh_tes!V10/SER_hh_num!V10)</f>
        <v>8104.8439828607852</v>
      </c>
      <c r="W10" s="133">
        <f>IF(SER_hh_tes!W10=0,0,11630*1000*SER_hh_tes!W10/SER_hh_num!W10)</f>
        <v>8997.1131498999148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5772.6595230933153</v>
      </c>
      <c r="C11" s="133">
        <f>IF(SER_hh_tes!C11=0,0,11630*1000*SER_hh_tes!C11/SER_hh_num!C11)</f>
        <v>7228.5833448955264</v>
      </c>
      <c r="D11" s="133">
        <f>IF(SER_hh_tes!D11=0,0,11630*1000*SER_hh_tes!D11/SER_hh_num!D11)</f>
        <v>1865.4066800108824</v>
      </c>
      <c r="E11" s="133">
        <f>IF(SER_hh_tes!E11=0,0,11630*1000*SER_hh_tes!E11/SER_hh_num!E11)</f>
        <v>2506.540779296769</v>
      </c>
      <c r="F11" s="133">
        <f>IF(SER_hh_tes!F11=0,0,11630*1000*SER_hh_tes!F11/SER_hh_num!F11)</f>
        <v>5050.3675998930539</v>
      </c>
      <c r="G11" s="133">
        <f>IF(SER_hh_tes!G11=0,0,11630*1000*SER_hh_tes!G11/SER_hh_num!G11)</f>
        <v>5991.8204025110126</v>
      </c>
      <c r="H11" s="133">
        <f>IF(SER_hh_tes!H11=0,0,11630*1000*SER_hh_tes!H11/SER_hh_num!H11)</f>
        <v>7335.2054442757199</v>
      </c>
      <c r="I11" s="133">
        <f>IF(SER_hh_tes!I11=0,0,11630*1000*SER_hh_tes!I11/SER_hh_num!I11)</f>
        <v>7348.9943364068158</v>
      </c>
      <c r="J11" s="133">
        <f>IF(SER_hh_tes!J11=0,0,11630*1000*SER_hh_tes!J11/SER_hh_num!J11)</f>
        <v>7521.8521840609073</v>
      </c>
      <c r="K11" s="133">
        <f>IF(SER_hh_tes!K11=0,0,11630*1000*SER_hh_tes!K11/SER_hh_num!K11)</f>
        <v>7759.462049548898</v>
      </c>
      <c r="L11" s="133">
        <f>IF(SER_hh_tes!L11=0,0,11630*1000*SER_hh_tes!L11/SER_hh_num!L11)</f>
        <v>8374.0851258380917</v>
      </c>
      <c r="M11" s="133">
        <f>IF(SER_hh_tes!M11=0,0,11630*1000*SER_hh_tes!M11/SER_hh_num!M11)</f>
        <v>8261.2516791741782</v>
      </c>
      <c r="N11" s="133">
        <f>IF(SER_hh_tes!N11=0,0,11630*1000*SER_hh_tes!N11/SER_hh_num!N11)</f>
        <v>7117.1736990018408</v>
      </c>
      <c r="O11" s="133">
        <f>IF(SER_hh_tes!O11=0,0,11630*1000*SER_hh_tes!O11/SER_hh_num!O11)</f>
        <v>6442.9794875848538</v>
      </c>
      <c r="P11" s="133">
        <f>IF(SER_hh_tes!P11=0,0,11630*1000*SER_hh_tes!P11/SER_hh_num!P11)</f>
        <v>5273.7180779942519</v>
      </c>
      <c r="Q11" s="133">
        <f>IF(SER_hh_tes!Q11=0,0,11630*1000*SER_hh_tes!Q11/SER_hh_num!Q11)</f>
        <v>5076.7361502343956</v>
      </c>
      <c r="R11" s="133">
        <f>IF(SER_hh_tes!R11=0,0,11630*1000*SER_hh_tes!R11/SER_hh_num!R11)</f>
        <v>5431.6806762573033</v>
      </c>
      <c r="S11" s="133">
        <f>IF(SER_hh_tes!S11=0,0,11630*1000*SER_hh_tes!S11/SER_hh_num!S11)</f>
        <v>6203.5276943276476</v>
      </c>
      <c r="T11" s="133">
        <f>IF(SER_hh_tes!T11=0,0,11630*1000*SER_hh_tes!T11/SER_hh_num!T11)</f>
        <v>7102.0987218894488</v>
      </c>
      <c r="U11" s="133">
        <f>IF(SER_hh_tes!U11=0,0,11630*1000*SER_hh_tes!U11/SER_hh_num!U11)</f>
        <v>7800.2020602956327</v>
      </c>
      <c r="V11" s="133">
        <f>IF(SER_hh_tes!V11=0,0,11630*1000*SER_hh_tes!V11/SER_hh_num!V11)</f>
        <v>8259.1034890660176</v>
      </c>
      <c r="W11" s="133">
        <f>IF(SER_hh_tes!W11=0,0,11630*1000*SER_hh_tes!W11/SER_hh_num!W11)</f>
        <v>8767.345746692572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5149.4550069535762</v>
      </c>
      <c r="C13" s="133">
        <f>IF(SER_hh_tes!C13=0,0,11630*1000*SER_hh_tes!C13/SER_hh_num!C13)</f>
        <v>5786.2045663580584</v>
      </c>
      <c r="D13" s="133">
        <f>IF(SER_hh_tes!D13=0,0,11630*1000*SER_hh_tes!D13/SER_hh_num!D13)</f>
        <v>4620.7771324302685</v>
      </c>
      <c r="E13" s="133">
        <f>IF(SER_hh_tes!E13=0,0,11630*1000*SER_hh_tes!E13/SER_hh_num!E13)</f>
        <v>4826.2545649677877</v>
      </c>
      <c r="F13" s="133">
        <f>IF(SER_hh_tes!F13=0,0,11630*1000*SER_hh_tes!F13/SER_hh_num!F13)</f>
        <v>4647.4204443415192</v>
      </c>
      <c r="G13" s="133">
        <f>IF(SER_hh_tes!G13=0,0,11630*1000*SER_hh_tes!G13/SER_hh_num!G13)</f>
        <v>5987.4502454122248</v>
      </c>
      <c r="H13" s="133">
        <f>IF(SER_hh_tes!H13=0,0,11630*1000*SER_hh_tes!H13/SER_hh_num!H13)</f>
        <v>6224.4232516679904</v>
      </c>
      <c r="I13" s="133">
        <f>IF(SER_hh_tes!I13=0,0,11630*1000*SER_hh_tes!I13/SER_hh_num!I13)</f>
        <v>6809.8286834712881</v>
      </c>
      <c r="J13" s="133">
        <f>IF(SER_hh_tes!J13=0,0,11630*1000*SER_hh_tes!J13/SER_hh_num!J13)</f>
        <v>7975.0329286548722</v>
      </c>
      <c r="K13" s="133">
        <f>IF(SER_hh_tes!K13=0,0,11630*1000*SER_hh_tes!K13/SER_hh_num!K13)</f>
        <v>8108.3630927094155</v>
      </c>
      <c r="L13" s="133">
        <f>IF(SER_hh_tes!L13=0,0,11630*1000*SER_hh_tes!L13/SER_hh_num!L13)</f>
        <v>8101.3101846754198</v>
      </c>
      <c r="M13" s="133">
        <f>IF(SER_hh_tes!M13=0,0,11630*1000*SER_hh_tes!M13/SER_hh_num!M13)</f>
        <v>7500.349678724504</v>
      </c>
      <c r="N13" s="133">
        <f>IF(SER_hh_tes!N13=0,0,11630*1000*SER_hh_tes!N13/SER_hh_num!N13)</f>
        <v>6988.5506736913339</v>
      </c>
      <c r="O13" s="133">
        <f>IF(SER_hh_tes!O13=0,0,11630*1000*SER_hh_tes!O13/SER_hh_num!O13)</f>
        <v>5709.515141861556</v>
      </c>
      <c r="P13" s="133">
        <f>IF(SER_hh_tes!P13=0,0,11630*1000*SER_hh_tes!P13/SER_hh_num!P13)</f>
        <v>4584.6432861319954</v>
      </c>
      <c r="Q13" s="133">
        <f>IF(SER_hh_tes!Q13=0,0,11630*1000*SER_hh_tes!Q13/SER_hh_num!Q13)</f>
        <v>5017.1955860096868</v>
      </c>
      <c r="R13" s="133">
        <f>IF(SER_hh_tes!R13=0,0,11630*1000*SER_hh_tes!R13/SER_hh_num!R13)</f>
        <v>5592.4505881287687</v>
      </c>
      <c r="S13" s="133">
        <f>IF(SER_hh_tes!S13=0,0,11630*1000*SER_hh_tes!S13/SER_hh_num!S13)</f>
        <v>6418.6991476647199</v>
      </c>
      <c r="T13" s="133">
        <f>IF(SER_hh_tes!T13=0,0,11630*1000*SER_hh_tes!T13/SER_hh_num!T13)</f>
        <v>7280.13047230141</v>
      </c>
      <c r="U13" s="133">
        <f>IF(SER_hh_tes!U13=0,0,11630*1000*SER_hh_tes!U13/SER_hh_num!U13)</f>
        <v>7975.4066778367251</v>
      </c>
      <c r="V13" s="133">
        <f>IF(SER_hh_tes!V13=0,0,11630*1000*SER_hh_tes!V13/SER_hh_num!V13)</f>
        <v>8330.8157864739806</v>
      </c>
      <c r="W13" s="133">
        <f>IF(SER_hh_tes!W13=0,0,11630*1000*SER_hh_tes!W13/SER_hh_num!W13)</f>
        <v>9137.4455378714247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8402.7147546197757</v>
      </c>
      <c r="C14" s="65">
        <f>IF(SER_hh_tes!C14=0,0,11630*1000*SER_hh_tes!C14/SER_hh_num!C14)</f>
        <v>5026.1403146578687</v>
      </c>
      <c r="D14" s="65">
        <f>IF(SER_hh_tes!D14=0,0,11630*1000*SER_hh_tes!D14/SER_hh_num!D14)</f>
        <v>3785.7108005492905</v>
      </c>
      <c r="E14" s="65">
        <f>IF(SER_hh_tes!E14=0,0,11630*1000*SER_hh_tes!E14/SER_hh_num!E14)</f>
        <v>3026.0976227000783</v>
      </c>
      <c r="F14" s="65">
        <f>IF(SER_hh_tes!F14=0,0,11630*1000*SER_hh_tes!F14/SER_hh_num!F14)</f>
        <v>5479.7070222050097</v>
      </c>
      <c r="G14" s="65">
        <f>IF(SER_hh_tes!G14=0,0,11630*1000*SER_hh_tes!G14/SER_hh_num!G14)</f>
        <v>3102.8354578338372</v>
      </c>
      <c r="H14" s="65">
        <f>IF(SER_hh_tes!H14=0,0,11630*1000*SER_hh_tes!H14/SER_hh_num!H14)</f>
        <v>11748.289966038319</v>
      </c>
      <c r="I14" s="65">
        <f>IF(SER_hh_tes!I14=0,0,11630*1000*SER_hh_tes!I14/SER_hh_num!I14)</f>
        <v>6695.6091953780942</v>
      </c>
      <c r="J14" s="65">
        <f>IF(SER_hh_tes!J14=0,0,11630*1000*SER_hh_tes!J14/SER_hh_num!J14)</f>
        <v>9150.4830591712962</v>
      </c>
      <c r="K14" s="65">
        <f>IF(SER_hh_tes!K14=0,0,11630*1000*SER_hh_tes!K14/SER_hh_num!K14)</f>
        <v>7391.7209801801109</v>
      </c>
      <c r="L14" s="65">
        <f>IF(SER_hh_tes!L14=0,0,11630*1000*SER_hh_tes!L14/SER_hh_num!L14)</f>
        <v>10026.523499675293</v>
      </c>
      <c r="M14" s="65">
        <f>IF(SER_hh_tes!M14=0,0,11630*1000*SER_hh_tes!M14/SER_hh_num!M14)</f>
        <v>9516.6968286591782</v>
      </c>
      <c r="N14" s="65">
        <f>IF(SER_hh_tes!N14=0,0,11630*1000*SER_hh_tes!N14/SER_hh_num!N14)</f>
        <v>7591.1537953742582</v>
      </c>
      <c r="O14" s="65">
        <f>IF(SER_hh_tes!O14=0,0,11630*1000*SER_hh_tes!O14/SER_hh_num!O14)</f>
        <v>5722.9080805608646</v>
      </c>
      <c r="P14" s="65">
        <f>IF(SER_hh_tes!P14=0,0,11630*1000*SER_hh_tes!P14/SER_hh_num!P14)</f>
        <v>3083.2449337032476</v>
      </c>
      <c r="Q14" s="65">
        <f>IF(SER_hh_tes!Q14=0,0,11630*1000*SER_hh_tes!Q14/SER_hh_num!Q14)</f>
        <v>3062.3203964967674</v>
      </c>
      <c r="R14" s="65">
        <f>IF(SER_hh_tes!R14=0,0,11630*1000*SER_hh_tes!R14/SER_hh_num!R14)</f>
        <v>2934.4115572319092</v>
      </c>
      <c r="S14" s="65">
        <f>IF(SER_hh_tes!S14=0,0,11630*1000*SER_hh_tes!S14/SER_hh_num!S14)</f>
        <v>7462.0079615531304</v>
      </c>
      <c r="T14" s="65">
        <f>IF(SER_hh_tes!T14=0,0,11630*1000*SER_hh_tes!T14/SER_hh_num!T14)</f>
        <v>8601.2593277265496</v>
      </c>
      <c r="U14" s="65">
        <f>IF(SER_hh_tes!U14=0,0,11630*1000*SER_hh_tes!U14/SER_hh_num!U14)</f>
        <v>8907.7217602707788</v>
      </c>
      <c r="V14" s="65">
        <f>IF(SER_hh_tes!V14=0,0,11630*1000*SER_hh_tes!V14/SER_hh_num!V14)</f>
        <v>6710.6396944669323</v>
      </c>
      <c r="W14" s="65">
        <f>IF(SER_hh_tes!W14=0,0,11630*1000*SER_hh_tes!W14/SER_hh_num!W14)</f>
        <v>9984.8341174830603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104.04438022930603</v>
      </c>
      <c r="C15" s="135">
        <f>IF(SER_hh_tes!C15=0,0,11630*1000*SER_hh_tes!C15/SER_hh_num!C15)</f>
        <v>107.92669910392334</v>
      </c>
      <c r="D15" s="135">
        <f>IF(SER_hh_tes!D15=0,0,11630*1000*SER_hh_tes!D15/SER_hh_num!D15)</f>
        <v>101.7901918294466</v>
      </c>
      <c r="E15" s="135">
        <f>IF(SER_hh_tes!E15=0,0,11630*1000*SER_hh_tes!E15/SER_hh_num!E15)</f>
        <v>81.307871038398304</v>
      </c>
      <c r="F15" s="135">
        <f>IF(SER_hh_tes!F15=0,0,11630*1000*SER_hh_tes!F15/SER_hh_num!F15)</f>
        <v>88.119364088362431</v>
      </c>
      <c r="G15" s="135">
        <f>IF(SER_hh_tes!G15=0,0,11630*1000*SER_hh_tes!G15/SER_hh_num!G15)</f>
        <v>107.12070074804318</v>
      </c>
      <c r="H15" s="135">
        <f>IF(SER_hh_tes!H15=0,0,11630*1000*SER_hh_tes!H15/SER_hh_num!H15)</f>
        <v>181.34388969001608</v>
      </c>
      <c r="I15" s="135">
        <f>IF(SER_hh_tes!I15=0,0,11630*1000*SER_hh_tes!I15/SER_hh_num!I15)</f>
        <v>119.86726538152786</v>
      </c>
      <c r="J15" s="135">
        <f>IF(SER_hh_tes!J15=0,0,11630*1000*SER_hh_tes!J15/SER_hh_num!J15)</f>
        <v>105.74154080916649</v>
      </c>
      <c r="K15" s="135">
        <f>IF(SER_hh_tes!K15=0,0,11630*1000*SER_hh_tes!K15/SER_hh_num!K15)</f>
        <v>125.76848858710703</v>
      </c>
      <c r="L15" s="135">
        <f>IF(SER_hh_tes!L15=0,0,11630*1000*SER_hh_tes!L15/SER_hh_num!L15)</f>
        <v>149.46895002261229</v>
      </c>
      <c r="M15" s="135">
        <f>IF(SER_hh_tes!M15=0,0,11630*1000*SER_hh_tes!M15/SER_hh_num!M15)</f>
        <v>152.85691180265962</v>
      </c>
      <c r="N15" s="135">
        <f>IF(SER_hh_tes!N15=0,0,11630*1000*SER_hh_tes!N15/SER_hh_num!N15)</f>
        <v>125.30858974579627</v>
      </c>
      <c r="O15" s="135">
        <f>IF(SER_hh_tes!O15=0,0,11630*1000*SER_hh_tes!O15/SER_hh_num!O15)</f>
        <v>117.50911422209985</v>
      </c>
      <c r="P15" s="135">
        <f>IF(SER_hh_tes!P15=0,0,11630*1000*SER_hh_tes!P15/SER_hh_num!P15)</f>
        <v>71.4520326828751</v>
      </c>
      <c r="Q15" s="135">
        <f>IF(SER_hh_tes!Q15=0,0,11630*1000*SER_hh_tes!Q15/SER_hh_num!Q15)</f>
        <v>70.296436958044922</v>
      </c>
      <c r="R15" s="135">
        <f>IF(SER_hh_tes!R15=0,0,11630*1000*SER_hh_tes!R15/SER_hh_num!R15)</f>
        <v>81.320670179620677</v>
      </c>
      <c r="S15" s="135">
        <f>IF(SER_hh_tes!S15=0,0,11630*1000*SER_hh_tes!S15/SER_hh_num!S15)</f>
        <v>92.219780195080787</v>
      </c>
      <c r="T15" s="135">
        <f>IF(SER_hh_tes!T15=0,0,11630*1000*SER_hh_tes!T15/SER_hh_num!T15)</f>
        <v>115.64358775800824</v>
      </c>
      <c r="U15" s="135">
        <f>IF(SER_hh_tes!U15=0,0,11630*1000*SER_hh_tes!U15/SER_hh_num!U15)</f>
        <v>119.73965587560994</v>
      </c>
      <c r="V15" s="135">
        <f>IF(SER_hh_tes!V15=0,0,11630*1000*SER_hh_tes!V15/SER_hh_num!V15)</f>
        <v>113.90521180487727</v>
      </c>
      <c r="W15" s="135">
        <f>IF(SER_hh_tes!W15=0,0,11630*1000*SER_hh_tes!W15/SER_hh_num!W15)</f>
        <v>137.61449338195504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15319.611617916549</v>
      </c>
      <c r="C16" s="131">
        <f>IF(SER_hh_tes!C16=0,0,11630*1000*SER_hh_tes!C16/SER_hh_num!C16)</f>
        <v>16227.252872155837</v>
      </c>
      <c r="D16" s="131">
        <f>IF(SER_hh_tes!D16=0,0,11630*1000*SER_hh_tes!D16/SER_hh_num!D16)</f>
        <v>14434.008399692375</v>
      </c>
      <c r="E16" s="131">
        <f>IF(SER_hh_tes!E16=0,0,11630*1000*SER_hh_tes!E16/SER_hh_num!E16)</f>
        <v>22093.510239024763</v>
      </c>
      <c r="F16" s="131">
        <f>IF(SER_hh_tes!F16=0,0,11630*1000*SER_hh_tes!F16/SER_hh_num!F16)</f>
        <v>16772.005754903555</v>
      </c>
      <c r="G16" s="131">
        <f>IF(SER_hh_tes!G16=0,0,11630*1000*SER_hh_tes!G16/SER_hh_num!G16)</f>
        <v>17567.210647696898</v>
      </c>
      <c r="H16" s="131">
        <f>IF(SER_hh_tes!H16=0,0,11630*1000*SER_hh_tes!H16/SER_hh_num!H16)</f>
        <v>19719.876795168177</v>
      </c>
      <c r="I16" s="131">
        <f>IF(SER_hh_tes!I16=0,0,11630*1000*SER_hh_tes!I16/SER_hh_num!I16)</f>
        <v>14777.337709867195</v>
      </c>
      <c r="J16" s="131">
        <f>IF(SER_hh_tes!J16=0,0,11630*1000*SER_hh_tes!J16/SER_hh_num!J16)</f>
        <v>15608.021837297467</v>
      </c>
      <c r="K16" s="131">
        <f>IF(SER_hh_tes!K16=0,0,11630*1000*SER_hh_tes!K16/SER_hh_num!K16)</f>
        <v>20076.270303574151</v>
      </c>
      <c r="L16" s="131">
        <f>IF(SER_hh_tes!L16=0,0,11630*1000*SER_hh_tes!L16/SER_hh_num!L16)</f>
        <v>19003.658106636121</v>
      </c>
      <c r="M16" s="131">
        <f>IF(SER_hh_tes!M16=0,0,11630*1000*SER_hh_tes!M16/SER_hh_num!M16)</f>
        <v>17135.807055467376</v>
      </c>
      <c r="N16" s="131">
        <f>IF(SER_hh_tes!N16=0,0,11630*1000*SER_hh_tes!N16/SER_hh_num!N16)</f>
        <v>20715.197921865616</v>
      </c>
      <c r="O16" s="131">
        <f>IF(SER_hh_tes!O16=0,0,11630*1000*SER_hh_tes!O16/SER_hh_num!O16)</f>
        <v>16921.032706760729</v>
      </c>
      <c r="P16" s="131">
        <f>IF(SER_hh_tes!P16=0,0,11630*1000*SER_hh_tes!P16/SER_hh_num!P16)</f>
        <v>15790.676290570522</v>
      </c>
      <c r="Q16" s="131">
        <f>IF(SER_hh_tes!Q16=0,0,11630*1000*SER_hh_tes!Q16/SER_hh_num!Q16)</f>
        <v>23312.094438372169</v>
      </c>
      <c r="R16" s="131">
        <f>IF(SER_hh_tes!R16=0,0,11630*1000*SER_hh_tes!R16/SER_hh_num!R16)</f>
        <v>22976.262919257479</v>
      </c>
      <c r="S16" s="131">
        <f>IF(SER_hh_tes!S16=0,0,11630*1000*SER_hh_tes!S16/SER_hh_num!S16)</f>
        <v>26912.453850949427</v>
      </c>
      <c r="T16" s="131">
        <f>IF(SER_hh_tes!T16=0,0,11630*1000*SER_hh_tes!T16/SER_hh_num!T16)</f>
        <v>19342.757412711551</v>
      </c>
      <c r="U16" s="131">
        <f>IF(SER_hh_tes!U16=0,0,11630*1000*SER_hh_tes!U16/SER_hh_num!U16)</f>
        <v>20216.914024642971</v>
      </c>
      <c r="V16" s="131">
        <f>IF(SER_hh_tes!V16=0,0,11630*1000*SER_hh_tes!V16/SER_hh_num!V16)</f>
        <v>23472.717783066248</v>
      </c>
      <c r="W16" s="131">
        <f>IF(SER_hh_tes!W16=0,0,11630*1000*SER_hh_tes!W16/SER_hh_num!W16)</f>
        <v>19654.050788608594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15319.611617916551</v>
      </c>
      <c r="C17" s="133">
        <f>IF(SER_hh_tes!C17=0,0,11630*1000*SER_hh_tes!C17/SER_hh_num!C17)</f>
        <v>16227.293578359653</v>
      </c>
      <c r="D17" s="133">
        <f>IF(SER_hh_tes!D17=0,0,11630*1000*SER_hh_tes!D17/SER_hh_num!D17)</f>
        <v>14434.00888134346</v>
      </c>
      <c r="E17" s="133">
        <f>IF(SER_hh_tes!E17=0,0,11630*1000*SER_hh_tes!E17/SER_hh_num!E17)</f>
        <v>22093.494878739468</v>
      </c>
      <c r="F17" s="133">
        <f>IF(SER_hh_tes!F17=0,0,11630*1000*SER_hh_tes!F17/SER_hh_num!F17)</f>
        <v>16771.991251373929</v>
      </c>
      <c r="G17" s="133">
        <f>IF(SER_hh_tes!G17=0,0,11630*1000*SER_hh_tes!G17/SER_hh_num!G17)</f>
        <v>17567.200785651905</v>
      </c>
      <c r="H17" s="133">
        <f>IF(SER_hh_tes!H17=0,0,11630*1000*SER_hh_tes!H17/SER_hh_num!H17)</f>
        <v>19719.872771485418</v>
      </c>
      <c r="I17" s="133">
        <f>IF(SER_hh_tes!I17=0,0,11630*1000*SER_hh_tes!I17/SER_hh_num!I17)</f>
        <v>14777.338814052295</v>
      </c>
      <c r="J17" s="133">
        <f>IF(SER_hh_tes!J17=0,0,11630*1000*SER_hh_tes!J17/SER_hh_num!J17)</f>
        <v>15608.025412353176</v>
      </c>
      <c r="K17" s="133">
        <f>IF(SER_hh_tes!K17=0,0,11630*1000*SER_hh_tes!K17/SER_hh_num!K17)</f>
        <v>20076.277302770923</v>
      </c>
      <c r="L17" s="133">
        <f>IF(SER_hh_tes!L17=0,0,11630*1000*SER_hh_tes!L17/SER_hh_num!L17)</f>
        <v>19003.666993189359</v>
      </c>
      <c r="M17" s="133">
        <f>IF(SER_hh_tes!M17=0,0,11630*1000*SER_hh_tes!M17/SER_hh_num!M17)</f>
        <v>17135.816882692852</v>
      </c>
      <c r="N17" s="133">
        <f>IF(SER_hh_tes!N17=0,0,11630*1000*SER_hh_tes!N17/SER_hh_num!N17)</f>
        <v>20715.190048583558</v>
      </c>
      <c r="O17" s="133">
        <f>IF(SER_hh_tes!O17=0,0,11630*1000*SER_hh_tes!O17/SER_hh_num!O17)</f>
        <v>16921.016937469274</v>
      </c>
      <c r="P17" s="133">
        <f>IF(SER_hh_tes!P17=0,0,11630*1000*SER_hh_tes!P17/SER_hh_num!P17)</f>
        <v>15790.658144569006</v>
      </c>
      <c r="Q17" s="133">
        <f>IF(SER_hh_tes!Q17=0,0,11630*1000*SER_hh_tes!Q17/SER_hh_num!Q17)</f>
        <v>23312.075645964367</v>
      </c>
      <c r="R17" s="133">
        <f>IF(SER_hh_tes!R17=0,0,11630*1000*SER_hh_tes!R17/SER_hh_num!R17)</f>
        <v>22976.259369091316</v>
      </c>
      <c r="S17" s="133">
        <f>IF(SER_hh_tes!S17=0,0,11630*1000*SER_hh_tes!S17/SER_hh_num!S17)</f>
        <v>26912.468213984605</v>
      </c>
      <c r="T17" s="133">
        <f>IF(SER_hh_tes!T17=0,0,11630*1000*SER_hh_tes!T17/SER_hh_num!T17)</f>
        <v>19342.77639878968</v>
      </c>
      <c r="U17" s="133">
        <f>IF(SER_hh_tes!U17=0,0,11630*1000*SER_hh_tes!U17/SER_hh_num!U17)</f>
        <v>20216.936866641594</v>
      </c>
      <c r="V17" s="133">
        <f>IF(SER_hh_tes!V17=0,0,11630*1000*SER_hh_tes!V17/SER_hh_num!V17)</f>
        <v>20769.666312730777</v>
      </c>
      <c r="W17" s="133">
        <f>IF(SER_hh_tes!W17=0,0,11630*1000*SER_hh_tes!W17/SER_hh_num!W17)</f>
        <v>19654.060545663033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15319.611617916549</v>
      </c>
      <c r="C18" s="133">
        <f>IF(SER_hh_tes!C18=0,0,11630*1000*SER_hh_tes!C18/SER_hh_num!C18)</f>
        <v>16227.252837757142</v>
      </c>
      <c r="D18" s="133">
        <f>IF(SER_hh_tes!D18=0,0,11630*1000*SER_hh_tes!D18/SER_hh_num!D18)</f>
        <v>14434.008399329246</v>
      </c>
      <c r="E18" s="133">
        <f>IF(SER_hh_tes!E18=0,0,11630*1000*SER_hh_tes!E18/SER_hh_num!E18)</f>
        <v>22093.510255412566</v>
      </c>
      <c r="F18" s="133">
        <f>IF(SER_hh_tes!F18=0,0,11630*1000*SER_hh_tes!F18/SER_hh_num!F18)</f>
        <v>16772.005770177635</v>
      </c>
      <c r="G18" s="133">
        <f>IF(SER_hh_tes!G18=0,0,11630*1000*SER_hh_tes!G18/SER_hh_num!G18)</f>
        <v>17567.210658597123</v>
      </c>
      <c r="H18" s="133">
        <f>IF(SER_hh_tes!H18=0,0,11630*1000*SER_hh_tes!H18/SER_hh_num!H18)</f>
        <v>19719.876799589601</v>
      </c>
      <c r="I18" s="133">
        <f>IF(SER_hh_tes!I18=0,0,11630*1000*SER_hh_tes!I18/SER_hh_num!I18)</f>
        <v>14777.337708468123</v>
      </c>
      <c r="J18" s="133">
        <f>IF(SER_hh_tes!J18=0,0,11630*1000*SER_hh_tes!J18/SER_hh_num!J18)</f>
        <v>15608.021832159113</v>
      </c>
      <c r="K18" s="133">
        <f>IF(SER_hh_tes!K18=0,0,11630*1000*SER_hh_tes!K18/SER_hh_num!K18)</f>
        <v>20076.270292837362</v>
      </c>
      <c r="L18" s="133">
        <f>IF(SER_hh_tes!L18=0,0,11630*1000*SER_hh_tes!L18/SER_hh_num!L18)</f>
        <v>19003.658091352525</v>
      </c>
      <c r="M18" s="133">
        <f>IF(SER_hh_tes!M18=0,0,11630*1000*SER_hh_tes!M18/SER_hh_num!M18)</f>
        <v>17135.80703613974</v>
      </c>
      <c r="N18" s="133">
        <f>IF(SER_hh_tes!N18=0,0,11630*1000*SER_hh_tes!N18/SER_hh_num!N18)</f>
        <v>20715.197938923931</v>
      </c>
      <c r="O18" s="133">
        <f>IF(SER_hh_tes!O18=0,0,11630*1000*SER_hh_tes!O18/SER_hh_num!O18)</f>
        <v>16921.032749255533</v>
      </c>
      <c r="P18" s="133">
        <f>IF(SER_hh_tes!P18=0,0,11630*1000*SER_hh_tes!P18/SER_hh_num!P18)</f>
        <v>15790.676345384443</v>
      </c>
      <c r="Q18" s="133">
        <f>IF(SER_hh_tes!Q18=0,0,11630*1000*SER_hh_tes!Q18/SER_hh_num!Q18)</f>
        <v>23312.094504976063</v>
      </c>
      <c r="R18" s="133">
        <f>IF(SER_hh_tes!R18=0,0,11630*1000*SER_hh_tes!R18/SER_hh_num!R18)</f>
        <v>22976.262934047823</v>
      </c>
      <c r="S18" s="133">
        <f>IF(SER_hh_tes!S18=0,0,11630*1000*SER_hh_tes!S18/SER_hh_num!S18)</f>
        <v>26912.453785753569</v>
      </c>
      <c r="T18" s="133">
        <f>IF(SER_hh_tes!T18=0,0,11630*1000*SER_hh_tes!T18/SER_hh_num!T18)</f>
        <v>19342.757310177356</v>
      </c>
      <c r="U18" s="133">
        <f>IF(SER_hh_tes!U18=0,0,11630*1000*SER_hh_tes!U18/SER_hh_num!U18)</f>
        <v>20216.913894107558</v>
      </c>
      <c r="V18" s="133">
        <f>IF(SER_hh_tes!V18=0,0,11630*1000*SER_hh_tes!V18/SER_hh_num!V18)</f>
        <v>23489.696525770349</v>
      </c>
      <c r="W18" s="133">
        <f>IF(SER_hh_tes!W18=0,0,11630*1000*SER_hh_tes!W18/SER_hh_num!W18)</f>
        <v>19654.050732157928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3197.4345156666768</v>
      </c>
      <c r="C19" s="131">
        <f>IF(SER_hh_tes!C19=0,0,11630*1000*SER_hh_tes!C19/SER_hh_num!C19)</f>
        <v>3323.0598063776065</v>
      </c>
      <c r="D19" s="131">
        <f>IF(SER_hh_tes!D19=0,0,11630*1000*SER_hh_tes!D19/SER_hh_num!D19)</f>
        <v>3487.390512772442</v>
      </c>
      <c r="E19" s="131">
        <f>IF(SER_hh_tes!E19=0,0,11630*1000*SER_hh_tes!E19/SER_hh_num!E19)</f>
        <v>3484.1843096129551</v>
      </c>
      <c r="F19" s="131">
        <f>IF(SER_hh_tes!F19=0,0,11630*1000*SER_hh_tes!F19/SER_hh_num!F19)</f>
        <v>3677.087776982683</v>
      </c>
      <c r="G19" s="131">
        <f>IF(SER_hh_tes!G19=0,0,11630*1000*SER_hh_tes!G19/SER_hh_num!G19)</f>
        <v>3675.5385128912289</v>
      </c>
      <c r="H19" s="131">
        <f>IF(SER_hh_tes!H19=0,0,11630*1000*SER_hh_tes!H19/SER_hh_num!H19)</f>
        <v>3744.2984535718851</v>
      </c>
      <c r="I19" s="131">
        <f>IF(SER_hh_tes!I19=0,0,11630*1000*SER_hh_tes!I19/SER_hh_num!I19)</f>
        <v>3712.7375261811208</v>
      </c>
      <c r="J19" s="131">
        <f>IF(SER_hh_tes!J19=0,0,11630*1000*SER_hh_tes!J19/SER_hh_num!J19)</f>
        <v>3754.4003781684855</v>
      </c>
      <c r="K19" s="131">
        <f>IF(SER_hh_tes!K19=0,0,11630*1000*SER_hh_tes!K19/SER_hh_num!K19)</f>
        <v>3785.4491023166806</v>
      </c>
      <c r="L19" s="131">
        <f>IF(SER_hh_tes!L19=0,0,11630*1000*SER_hh_tes!L19/SER_hh_num!L19)</f>
        <v>3826.8134040169653</v>
      </c>
      <c r="M19" s="131">
        <f>IF(SER_hh_tes!M19=0,0,11630*1000*SER_hh_tes!M19/SER_hh_num!M19)</f>
        <v>3871.6612842625996</v>
      </c>
      <c r="N19" s="131">
        <f>IF(SER_hh_tes!N19=0,0,11630*1000*SER_hh_tes!N19/SER_hh_num!N19)</f>
        <v>3798.4661758988304</v>
      </c>
      <c r="O19" s="131">
        <f>IF(SER_hh_tes!O19=0,0,11630*1000*SER_hh_tes!O19/SER_hh_num!O19)</f>
        <v>3921.2967150198383</v>
      </c>
      <c r="P19" s="131">
        <f>IF(SER_hh_tes!P19=0,0,11630*1000*SER_hh_tes!P19/SER_hh_num!P19)</f>
        <v>3843.3667429728148</v>
      </c>
      <c r="Q19" s="131">
        <f>IF(SER_hh_tes!Q19=0,0,11630*1000*SER_hh_tes!Q19/SER_hh_num!Q19)</f>
        <v>3654.2439338092649</v>
      </c>
      <c r="R19" s="131">
        <f>IF(SER_hh_tes!R19=0,0,11630*1000*SER_hh_tes!R19/SER_hh_num!R19)</f>
        <v>3575.4985046475022</v>
      </c>
      <c r="S19" s="131">
        <f>IF(SER_hh_tes!S19=0,0,11630*1000*SER_hh_tes!S19/SER_hh_num!S19)</f>
        <v>3483.5486222545342</v>
      </c>
      <c r="T19" s="131">
        <f>IF(SER_hh_tes!T19=0,0,11630*1000*SER_hh_tes!T19/SER_hh_num!T19)</f>
        <v>3734.4668752931657</v>
      </c>
      <c r="U19" s="131">
        <f>IF(SER_hh_tes!U19=0,0,11630*1000*SER_hh_tes!U19/SER_hh_num!U19)</f>
        <v>3697.7885293676768</v>
      </c>
      <c r="V19" s="131">
        <f>IF(SER_hh_tes!V19=0,0,11630*1000*SER_hh_tes!V19/SER_hh_num!V19)</f>
        <v>3327.6157128275781</v>
      </c>
      <c r="W19" s="131">
        <f>IF(SER_hh_tes!W19=0,0,11630*1000*SER_hh_tes!W19/SER_hh_num!W19)</f>
        <v>3644.7781232693865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3251.0609317453577</v>
      </c>
      <c r="C21" s="133">
        <f>IF(SER_hh_tes!C21=0,0,11630*1000*SER_hh_tes!C21/SER_hh_num!C21)</f>
        <v>3296.5325855525798</v>
      </c>
      <c r="D21" s="133">
        <f>IF(SER_hh_tes!D21=0,0,11630*1000*SER_hh_tes!D21/SER_hh_num!D21)</f>
        <v>3453.3898027216687</v>
      </c>
      <c r="E21" s="133">
        <f>IF(SER_hh_tes!E21=0,0,11630*1000*SER_hh_tes!E21/SER_hh_num!E21)</f>
        <v>3607.7251261348788</v>
      </c>
      <c r="F21" s="133">
        <f>IF(SER_hh_tes!F21=0,0,11630*1000*SER_hh_tes!F21/SER_hh_num!F21)</f>
        <v>3504.4746376062944</v>
      </c>
      <c r="G21" s="133">
        <f>IF(SER_hh_tes!G21=0,0,11630*1000*SER_hh_tes!G21/SER_hh_num!G21)</f>
        <v>3597.3420121870363</v>
      </c>
      <c r="H21" s="133">
        <f>IF(SER_hh_tes!H21=0,0,11630*1000*SER_hh_tes!H21/SER_hh_num!H21)</f>
        <v>3722.6802521037603</v>
      </c>
      <c r="I21" s="133">
        <f>IF(SER_hh_tes!I21=0,0,11630*1000*SER_hh_tes!I21/SER_hh_num!I21)</f>
        <v>3719.6669941769078</v>
      </c>
      <c r="J21" s="133">
        <f>IF(SER_hh_tes!J21=0,0,11630*1000*SER_hh_tes!J21/SER_hh_num!J21)</f>
        <v>3723.2458541610185</v>
      </c>
      <c r="K21" s="133">
        <f>IF(SER_hh_tes!K21=0,0,11630*1000*SER_hh_tes!K21/SER_hh_num!K21)</f>
        <v>3737.909158451082</v>
      </c>
      <c r="L21" s="133">
        <f>IF(SER_hh_tes!L21=0,0,11630*1000*SER_hh_tes!L21/SER_hh_num!L21)</f>
        <v>3786.4359387315703</v>
      </c>
      <c r="M21" s="133">
        <f>IF(SER_hh_tes!M21=0,0,11630*1000*SER_hh_tes!M21/SER_hh_num!M21)</f>
        <v>3801.8005718487507</v>
      </c>
      <c r="N21" s="133">
        <f>IF(SER_hh_tes!N21=0,0,11630*1000*SER_hh_tes!N21/SER_hh_num!N21)</f>
        <v>3805.9238635831312</v>
      </c>
      <c r="O21" s="133">
        <f>IF(SER_hh_tes!O21=0,0,11630*1000*SER_hh_tes!O21/SER_hh_num!O21)</f>
        <v>3830.7483556319098</v>
      </c>
      <c r="P21" s="133">
        <f>IF(SER_hh_tes!P21=0,0,11630*1000*SER_hh_tes!P21/SER_hh_num!P21)</f>
        <v>3695.3354249439758</v>
      </c>
      <c r="Q21" s="133">
        <f>IF(SER_hh_tes!Q21=0,0,11630*1000*SER_hh_tes!Q21/SER_hh_num!Q21)</f>
        <v>3625.3256969145277</v>
      </c>
      <c r="R21" s="133">
        <f>IF(SER_hh_tes!R21=0,0,11630*1000*SER_hh_tes!R21/SER_hh_num!R21)</f>
        <v>3606.9423711280665</v>
      </c>
      <c r="S21" s="133">
        <f>IF(SER_hh_tes!S21=0,0,11630*1000*SER_hh_tes!S21/SER_hh_num!S21)</f>
        <v>3585.3130612091554</v>
      </c>
      <c r="T21" s="133">
        <f>IF(SER_hh_tes!T21=0,0,11630*1000*SER_hh_tes!T21/SER_hh_num!T21)</f>
        <v>3913.2973909979096</v>
      </c>
      <c r="U21" s="133">
        <f>IF(SER_hh_tes!U21=0,0,11630*1000*SER_hh_tes!U21/SER_hh_num!U21)</f>
        <v>3665.7441433999911</v>
      </c>
      <c r="V21" s="133">
        <f>IF(SER_hh_tes!V21=0,0,11630*1000*SER_hh_tes!V21/SER_hh_num!V21)</f>
        <v>2949.3472799175838</v>
      </c>
      <c r="W21" s="133">
        <f>IF(SER_hh_tes!W21=0,0,11630*1000*SER_hh_tes!W21/SER_hh_num!W21)</f>
        <v>3642.0219579818145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3180.6344861107659</v>
      </c>
      <c r="C22" s="133">
        <f>IF(SER_hh_tes!C22=0,0,11630*1000*SER_hh_tes!C22/SER_hh_num!C22)</f>
        <v>3337.429978739809</v>
      </c>
      <c r="D22" s="133">
        <f>IF(SER_hh_tes!D22=0,0,11630*1000*SER_hh_tes!D22/SER_hh_num!D22)</f>
        <v>3445.1590456500003</v>
      </c>
      <c r="E22" s="133">
        <f>IF(SER_hh_tes!E22=0,0,11630*1000*SER_hh_tes!E22/SER_hh_num!E22)</f>
        <v>3506.5415599283524</v>
      </c>
      <c r="F22" s="133">
        <f>IF(SER_hh_tes!F22=0,0,11630*1000*SER_hh_tes!F22/SER_hh_num!F22)</f>
        <v>3639.9991631839061</v>
      </c>
      <c r="G22" s="133">
        <f>IF(SER_hh_tes!G22=0,0,11630*1000*SER_hh_tes!G22/SER_hh_num!G22)</f>
        <v>3718.4759401731621</v>
      </c>
      <c r="H22" s="133">
        <f>IF(SER_hh_tes!H22=0,0,11630*1000*SER_hh_tes!H22/SER_hh_num!H22)</f>
        <v>3762.3758621602642</v>
      </c>
      <c r="I22" s="133">
        <f>IF(SER_hh_tes!I22=0,0,11630*1000*SER_hh_tes!I22/SER_hh_num!I22)</f>
        <v>3667.3281890893622</v>
      </c>
      <c r="J22" s="133">
        <f>IF(SER_hh_tes!J22=0,0,11630*1000*SER_hh_tes!J22/SER_hh_num!J22)</f>
        <v>3686.1857040905916</v>
      </c>
      <c r="K22" s="133">
        <f>IF(SER_hh_tes!K22=0,0,11630*1000*SER_hh_tes!K22/SER_hh_num!K22)</f>
        <v>3711.9658673724739</v>
      </c>
      <c r="L22" s="133">
        <f>IF(SER_hh_tes!L22=0,0,11630*1000*SER_hh_tes!L22/SER_hh_num!L22)</f>
        <v>3731.7707070711544</v>
      </c>
      <c r="M22" s="133">
        <f>IF(SER_hh_tes!M22=0,0,11630*1000*SER_hh_tes!M22/SER_hh_num!M22)</f>
        <v>3756.2079820618023</v>
      </c>
      <c r="N22" s="133">
        <f>IF(SER_hh_tes!N22=0,0,11630*1000*SER_hh_tes!N22/SER_hh_num!N22)</f>
        <v>3811.3508242572411</v>
      </c>
      <c r="O22" s="133">
        <f>IF(SER_hh_tes!O22=0,0,11630*1000*SER_hh_tes!O22/SER_hh_num!O22)</f>
        <v>3782.4309632596464</v>
      </c>
      <c r="P22" s="133">
        <f>IF(SER_hh_tes!P22=0,0,11630*1000*SER_hh_tes!P22/SER_hh_num!P22)</f>
        <v>3632.1954555631764</v>
      </c>
      <c r="Q22" s="133">
        <f>IF(SER_hh_tes!Q22=0,0,11630*1000*SER_hh_tes!Q22/SER_hh_num!Q22)</f>
        <v>3655.2923794792218</v>
      </c>
      <c r="R22" s="133">
        <f>IF(SER_hh_tes!R22=0,0,11630*1000*SER_hh_tes!R22/SER_hh_num!R22)</f>
        <v>3644.3505875612209</v>
      </c>
      <c r="S22" s="133">
        <f>IF(SER_hh_tes!S22=0,0,11630*1000*SER_hh_tes!S22/SER_hh_num!S22)</f>
        <v>3539.2699822468244</v>
      </c>
      <c r="T22" s="133">
        <f>IF(SER_hh_tes!T22=0,0,11630*1000*SER_hh_tes!T22/SER_hh_num!T22)</f>
        <v>3587.3296700437118</v>
      </c>
      <c r="U22" s="133">
        <f>IF(SER_hh_tes!U22=0,0,11630*1000*SER_hh_tes!U22/SER_hh_num!U22)</f>
        <v>3533.4093275360624</v>
      </c>
      <c r="V22" s="133">
        <f>IF(SER_hh_tes!V22=0,0,11630*1000*SER_hh_tes!V22/SER_hh_num!V22)</f>
        <v>3357.4342246791475</v>
      </c>
      <c r="W22" s="133">
        <f>IF(SER_hh_tes!W22=0,0,11630*1000*SER_hh_tes!W22/SER_hh_num!W22)</f>
        <v>3569.2393187002476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3333.6458030598774</v>
      </c>
      <c r="C23" s="133">
        <f>IF(SER_hh_tes!C23=0,0,11630*1000*SER_hh_tes!C23/SER_hh_num!C23)</f>
        <v>3373.7814714939213</v>
      </c>
      <c r="D23" s="133">
        <f>IF(SER_hh_tes!D23=0,0,11630*1000*SER_hh_tes!D23/SER_hh_num!D23)</f>
        <v>3642.6872126026446</v>
      </c>
      <c r="E23" s="133">
        <f>IF(SER_hh_tes!E23=0,0,11630*1000*SER_hh_tes!E23/SER_hh_num!E23)</f>
        <v>1884.122274037491</v>
      </c>
      <c r="F23" s="133">
        <f>IF(SER_hh_tes!F23=0,0,11630*1000*SER_hh_tes!F23/SER_hh_num!F23)</f>
        <v>2925.3102883159672</v>
      </c>
      <c r="G23" s="133">
        <f>IF(SER_hh_tes!G23=0,0,11630*1000*SER_hh_tes!G23/SER_hh_num!G23)</f>
        <v>2643.9780978690969</v>
      </c>
      <c r="H23" s="133">
        <f>IF(SER_hh_tes!H23=0,0,11630*1000*SER_hh_tes!H23/SER_hh_num!H23)</f>
        <v>4481.3423679363623</v>
      </c>
      <c r="I23" s="133">
        <f>IF(SER_hh_tes!I23=0,0,11630*1000*SER_hh_tes!I23/SER_hh_num!I23)</f>
        <v>3987.3645157645997</v>
      </c>
      <c r="J23" s="133">
        <f>IF(SER_hh_tes!J23=0,0,11630*1000*SER_hh_tes!J23/SER_hh_num!J23)</f>
        <v>3718.291742942281</v>
      </c>
      <c r="K23" s="133">
        <f>IF(SER_hh_tes!K23=0,0,11630*1000*SER_hh_tes!K23/SER_hh_num!K23)</f>
        <v>3783.7753966205319</v>
      </c>
      <c r="L23" s="133">
        <f>IF(SER_hh_tes!L23=0,0,11630*1000*SER_hh_tes!L23/SER_hh_num!L23)</f>
        <v>3756.1077439369378</v>
      </c>
      <c r="M23" s="133">
        <f>IF(SER_hh_tes!M23=0,0,11630*1000*SER_hh_tes!M23/SER_hh_num!M23)</f>
        <v>3626.2145335061623</v>
      </c>
      <c r="N23" s="133">
        <f>IF(SER_hh_tes!N23=0,0,11630*1000*SER_hh_tes!N23/SER_hh_num!N23)</f>
        <v>3672.0453549788695</v>
      </c>
      <c r="O23" s="133">
        <f>IF(SER_hh_tes!O23=0,0,11630*1000*SER_hh_tes!O23/SER_hh_num!O23)</f>
        <v>3823.0050405005136</v>
      </c>
      <c r="P23" s="133">
        <f>IF(SER_hh_tes!P23=0,0,11630*1000*SER_hh_tes!P23/SER_hh_num!P23)</f>
        <v>4295.1547936807783</v>
      </c>
      <c r="Q23" s="133">
        <f>IF(SER_hh_tes!Q23=0,0,11630*1000*SER_hh_tes!Q23/SER_hh_num!Q23)</f>
        <v>3415.1591403244825</v>
      </c>
      <c r="R23" s="133">
        <f>IF(SER_hh_tes!R23=0,0,11630*1000*SER_hh_tes!R23/SER_hh_num!R23)</f>
        <v>3454.4319550953878</v>
      </c>
      <c r="S23" s="133">
        <f>IF(SER_hh_tes!S23=0,0,11630*1000*SER_hh_tes!S23/SER_hh_num!S23)</f>
        <v>3479.9251729063826</v>
      </c>
      <c r="T23" s="133">
        <f>IF(SER_hh_tes!T23=0,0,11630*1000*SER_hh_tes!T23/SER_hh_num!T23)</f>
        <v>3520.8993405515494</v>
      </c>
      <c r="U23" s="133">
        <f>IF(SER_hh_tes!U23=0,0,11630*1000*SER_hh_tes!U23/SER_hh_num!U23)</f>
        <v>3597.8709689046605</v>
      </c>
      <c r="V23" s="133">
        <f>IF(SER_hh_tes!V23=0,0,11630*1000*SER_hh_tes!V23/SER_hh_num!V23)</f>
        <v>3304.0575522901158</v>
      </c>
      <c r="W23" s="133">
        <f>IF(SER_hh_tes!W23=0,0,11630*1000*SER_hh_tes!W23/SER_hh_num!W23)</f>
        <v>3645.4812928864344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3093.4028386708219</v>
      </c>
      <c r="C26" s="65">
        <f>IF(SER_hh_tes!C26=0,0,11630*1000*SER_hh_tes!C26/SER_hh_num!C26)</f>
        <v>3218.6839068533918</v>
      </c>
      <c r="D26" s="65">
        <f>IF(SER_hh_tes!D26=0,0,11630*1000*SER_hh_tes!D26/SER_hh_num!D26)</f>
        <v>3387.7613291733314</v>
      </c>
      <c r="E26" s="65">
        <f>IF(SER_hh_tes!E26=0,0,11630*1000*SER_hh_tes!E26/SER_hh_num!E26)</f>
        <v>3489.3424058608221</v>
      </c>
      <c r="F26" s="65">
        <f>IF(SER_hh_tes!F26=0,0,11630*1000*SER_hh_tes!F26/SER_hh_num!F26)</f>
        <v>3647.0975909207441</v>
      </c>
      <c r="G26" s="65">
        <f>IF(SER_hh_tes!G26=0,0,11630*1000*SER_hh_tes!G26/SER_hh_num!G26)</f>
        <v>3662.4087615499125</v>
      </c>
      <c r="H26" s="65">
        <f>IF(SER_hh_tes!H26=0,0,11630*1000*SER_hh_tes!H26/SER_hh_num!H26)</f>
        <v>3366.5518166362922</v>
      </c>
      <c r="I26" s="65">
        <f>IF(SER_hh_tes!I26=0,0,11630*1000*SER_hh_tes!I26/SER_hh_num!I26)</f>
        <v>3445.5506034550626</v>
      </c>
      <c r="J26" s="65">
        <f>IF(SER_hh_tes!J26=0,0,11630*1000*SER_hh_tes!J26/SER_hh_num!J26)</f>
        <v>3557.3258864463655</v>
      </c>
      <c r="K26" s="65">
        <f>IF(SER_hh_tes!K26=0,0,11630*1000*SER_hh_tes!K26/SER_hh_num!K26)</f>
        <v>3533.6195460055201</v>
      </c>
      <c r="L26" s="65">
        <f>IF(SER_hh_tes!L26=0,0,11630*1000*SER_hh_tes!L26/SER_hh_num!L26)</f>
        <v>3577.4642223853284</v>
      </c>
      <c r="M26" s="65">
        <f>IF(SER_hh_tes!M26=0,0,11630*1000*SER_hh_tes!M26/SER_hh_num!M26)</f>
        <v>3663.1151533141115</v>
      </c>
      <c r="N26" s="65">
        <f>IF(SER_hh_tes!N26=0,0,11630*1000*SER_hh_tes!N26/SER_hh_num!N26)</f>
        <v>3469.4382960124799</v>
      </c>
      <c r="O26" s="65">
        <f>IF(SER_hh_tes!O26=0,0,11630*1000*SER_hh_tes!O26/SER_hh_num!O26)</f>
        <v>3620.2021234408103</v>
      </c>
      <c r="P26" s="65">
        <f>IF(SER_hh_tes!P26=0,0,11630*1000*SER_hh_tes!P26/SER_hh_num!P26)</f>
        <v>3221.6984808626416</v>
      </c>
      <c r="Q26" s="65">
        <f>IF(SER_hh_tes!Q26=0,0,11630*1000*SER_hh_tes!Q26/SER_hh_num!Q26)</f>
        <v>3275.2098029637241</v>
      </c>
      <c r="R26" s="65">
        <f>IF(SER_hh_tes!R26=0,0,11630*1000*SER_hh_tes!R26/SER_hh_num!R26)</f>
        <v>3068.0036497526926</v>
      </c>
      <c r="S26" s="65">
        <f>IF(SER_hh_tes!S26=0,0,11630*1000*SER_hh_tes!S26/SER_hh_num!S26)</f>
        <v>2884.8451339875382</v>
      </c>
      <c r="T26" s="65">
        <f>IF(SER_hh_tes!T26=0,0,11630*1000*SER_hh_tes!T26/SER_hh_num!T26)</f>
        <v>3389.4752677876413</v>
      </c>
      <c r="U26" s="65">
        <f>IF(SER_hh_tes!U26=0,0,11630*1000*SER_hh_tes!U26/SER_hh_num!U26)</f>
        <v>3294.5963493958193</v>
      </c>
      <c r="V26" s="65">
        <f>IF(SER_hh_tes!V26=0,0,11630*1000*SER_hh_tes!V26/SER_hh_num!V26)</f>
        <v>2722.3751345013661</v>
      </c>
      <c r="W26" s="65">
        <f>IF(SER_hh_tes!W26=0,0,11630*1000*SER_hh_tes!W26/SER_hh_num!W26)</f>
        <v>3070.5076556023764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41.858026943717874</v>
      </c>
      <c r="C27" s="146">
        <f>IF(SER_hh_tes!C27=0,0,11630*1000*SER_hh_tes!C27/SER_hh_num!C19)</f>
        <v>51.611442901277286</v>
      </c>
      <c r="D27" s="146">
        <f>IF(SER_hh_tes!D27=0,0,11630*1000*SER_hh_tes!D27/SER_hh_num!D19)</f>
        <v>61.605402628325997</v>
      </c>
      <c r="E27" s="146">
        <f>IF(SER_hh_tes!E27=0,0,11630*1000*SER_hh_tes!E27/SER_hh_num!E19)</f>
        <v>75.924424546598814</v>
      </c>
      <c r="F27" s="146">
        <f>IF(SER_hh_tes!F27=0,0,11630*1000*SER_hh_tes!F27/SER_hh_num!F19)</f>
        <v>87.39334146173212</v>
      </c>
      <c r="G27" s="146">
        <f>IF(SER_hh_tes!G27=0,0,11630*1000*SER_hh_tes!G27/SER_hh_num!G19)</f>
        <v>102.6100391504019</v>
      </c>
      <c r="H27" s="146">
        <f>IF(SER_hh_tes!H27=0,0,11630*1000*SER_hh_tes!H27/SER_hh_num!H19)</f>
        <v>114.89127068883226</v>
      </c>
      <c r="I27" s="146">
        <f>IF(SER_hh_tes!I27=0,0,11630*1000*SER_hh_tes!I27/SER_hh_num!I19)</f>
        <v>120.06129370862379</v>
      </c>
      <c r="J27" s="146">
        <f>IF(SER_hh_tes!J27=0,0,11630*1000*SER_hh_tes!J27/SER_hh_num!J19)</f>
        <v>137.84650456701209</v>
      </c>
      <c r="K27" s="146">
        <f>IF(SER_hh_tes!K27=0,0,11630*1000*SER_hh_tes!K27/SER_hh_num!K19)</f>
        <v>164.87658702212292</v>
      </c>
      <c r="L27" s="146">
        <f>IF(SER_hh_tes!L27=0,0,11630*1000*SER_hh_tes!L27/SER_hh_num!L19)</f>
        <v>180.10137965419054</v>
      </c>
      <c r="M27" s="146">
        <f>IF(SER_hh_tes!M27=0,0,11630*1000*SER_hh_tes!M27/SER_hh_num!M19)</f>
        <v>193.77770161321038</v>
      </c>
      <c r="N27" s="146">
        <f>IF(SER_hh_tes!N27=0,0,11630*1000*SER_hh_tes!N27/SER_hh_num!N19)</f>
        <v>206.41684218095344</v>
      </c>
      <c r="O27" s="146">
        <f>IF(SER_hh_tes!O27=0,0,11630*1000*SER_hh_tes!O27/SER_hh_num!O19)</f>
        <v>210.63548366082949</v>
      </c>
      <c r="P27" s="146">
        <f>IF(SER_hh_tes!P27=0,0,11630*1000*SER_hh_tes!P27/SER_hh_num!P19)</f>
        <v>224.41088518471801</v>
      </c>
      <c r="Q27" s="146">
        <f>IF(SER_hh_tes!Q27=0,0,11630*1000*SER_hh_tes!Q27/SER_hh_num!Q19)</f>
        <v>236.17774100391179</v>
      </c>
      <c r="R27" s="146">
        <f>IF(SER_hh_tes!R27=0,0,11630*1000*SER_hh_tes!R27/SER_hh_num!R19)</f>
        <v>233.21213761545926</v>
      </c>
      <c r="S27" s="146">
        <f>IF(SER_hh_tes!S27=0,0,11630*1000*SER_hh_tes!S27/SER_hh_num!S19)</f>
        <v>235.19032114981573</v>
      </c>
      <c r="T27" s="146">
        <f>IF(SER_hh_tes!T27=0,0,11630*1000*SER_hh_tes!T27/SER_hh_num!T19)</f>
        <v>236.71964879718132</v>
      </c>
      <c r="U27" s="146">
        <f>IF(SER_hh_tes!U27=0,0,11630*1000*SER_hh_tes!U27/SER_hh_num!U19)</f>
        <v>236.6669277741517</v>
      </c>
      <c r="V27" s="146">
        <f>IF(SER_hh_tes!V27=0,0,11630*1000*SER_hh_tes!V27/SER_hh_num!V19)</f>
        <v>233.17621718325046</v>
      </c>
      <c r="W27" s="146">
        <f>IF(SER_hh_tes!W27=0,0,11630*1000*SER_hh_tes!W27/SER_hh_num!W19)</f>
        <v>226.8093413305273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2847.2438178551847</v>
      </c>
      <c r="C28" s="147">
        <f>IF(SER_hh_tes!C27=0,0,11630*1000*SER_hh_tes!C27/SER_hh_num!C27)</f>
        <v>2602.1287271878859</v>
      </c>
      <c r="D28" s="147">
        <f>IF(SER_hh_tes!D27=0,0,11630*1000*SER_hh_tes!D27/SER_hh_num!D27)</f>
        <v>3168.5634141605569</v>
      </c>
      <c r="E28" s="147">
        <f>IF(SER_hh_tes!E27=0,0,11630*1000*SER_hh_tes!E27/SER_hh_num!E27)</f>
        <v>3282.8939794660801</v>
      </c>
      <c r="F28" s="147">
        <f>IF(SER_hh_tes!F27=0,0,11630*1000*SER_hh_tes!F27/SER_hh_num!F27)</f>
        <v>3390.5810904118798</v>
      </c>
      <c r="G28" s="147">
        <f>IF(SER_hh_tes!G27=0,0,11630*1000*SER_hh_tes!G27/SER_hh_num!G27)</f>
        <v>3389.5666726298791</v>
      </c>
      <c r="H28" s="147">
        <f>IF(SER_hh_tes!H27=0,0,11630*1000*SER_hh_tes!H27/SER_hh_num!H27)</f>
        <v>3350.85587727957</v>
      </c>
      <c r="I28" s="147">
        <f>IF(SER_hh_tes!I27=0,0,11630*1000*SER_hh_tes!I27/SER_hh_num!I27)</f>
        <v>3380.1154678692874</v>
      </c>
      <c r="J28" s="147">
        <f>IF(SER_hh_tes!J27=0,0,11630*1000*SER_hh_tes!J27/SER_hh_num!J27)</f>
        <v>3435.5288160375339</v>
      </c>
      <c r="K28" s="147">
        <f>IF(SER_hh_tes!K27=0,0,11630*1000*SER_hh_tes!K27/SER_hh_num!K27)</f>
        <v>3479.8489491756036</v>
      </c>
      <c r="L28" s="147">
        <f>IF(SER_hh_tes!L27=0,0,11630*1000*SER_hh_tes!L27/SER_hh_num!L27)</f>
        <v>3526.6949988007436</v>
      </c>
      <c r="M28" s="147">
        <f>IF(SER_hh_tes!M27=0,0,11630*1000*SER_hh_tes!M27/SER_hh_num!M27)</f>
        <v>3441.6589038066381</v>
      </c>
      <c r="N28" s="147">
        <f>IF(SER_hh_tes!N27=0,0,11630*1000*SER_hh_tes!N27/SER_hh_num!N27)</f>
        <v>3493.9327145817424</v>
      </c>
      <c r="O28" s="147">
        <f>IF(SER_hh_tes!O27=0,0,11630*1000*SER_hh_tes!O27/SER_hh_num!O27)</f>
        <v>3711.1456810681484</v>
      </c>
      <c r="P28" s="147">
        <f>IF(SER_hh_tes!P27=0,0,11630*1000*SER_hh_tes!P27/SER_hh_num!P27)</f>
        <v>3462.9443809527816</v>
      </c>
      <c r="Q28" s="147">
        <f>IF(SER_hh_tes!Q27=0,0,11630*1000*SER_hh_tes!Q27/SER_hh_num!Q27)</f>
        <v>3548.0674714238144</v>
      </c>
      <c r="R28" s="147">
        <f>IF(SER_hh_tes!R27=0,0,11630*1000*SER_hh_tes!R27/SER_hh_num!R27)</f>
        <v>3430.0910468927746</v>
      </c>
      <c r="S28" s="147">
        <f>IF(SER_hh_tes!S27=0,0,11630*1000*SER_hh_tes!S27/SER_hh_num!S27)</f>
        <v>3246.2430001247399</v>
      </c>
      <c r="T28" s="147">
        <f>IF(SER_hh_tes!T27=0,0,11630*1000*SER_hh_tes!T27/SER_hh_num!T27)</f>
        <v>3447.4069524580582</v>
      </c>
      <c r="U28" s="147">
        <f>IF(SER_hh_tes!U27=0,0,11630*1000*SER_hh_tes!U27/SER_hh_num!U27)</f>
        <v>3342.5438988689134</v>
      </c>
      <c r="V28" s="147">
        <f>IF(SER_hh_tes!V27=0,0,11630*1000*SER_hh_tes!V27/SER_hh_num!V27)</f>
        <v>3063.4109524973128</v>
      </c>
      <c r="W28" s="147">
        <f>IF(SER_hh_tes!W27=0,0,11630*1000*SER_hh_tes!W27/SER_hh_num!W27)</f>
        <v>3409.6502771978739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4077.460148869452</v>
      </c>
      <c r="C29" s="131">
        <f>IF(SER_hh_tes!C29=0,0,11630*1000*SER_hh_tes!C29/SER_hh_num!C29)</f>
        <v>4178.7938751626925</v>
      </c>
      <c r="D29" s="131">
        <f>IF(SER_hh_tes!D29=0,0,11630*1000*SER_hh_tes!D29/SER_hh_num!D29)</f>
        <v>4038.5068730228991</v>
      </c>
      <c r="E29" s="131">
        <f>IF(SER_hh_tes!E29=0,0,11630*1000*SER_hh_tes!E29/SER_hh_num!E29)</f>
        <v>3906.8209014027711</v>
      </c>
      <c r="F29" s="131">
        <f>IF(SER_hh_tes!F29=0,0,11630*1000*SER_hh_tes!F29/SER_hh_num!F29)</f>
        <v>4142.2145823407191</v>
      </c>
      <c r="G29" s="131">
        <f>IF(SER_hh_tes!G29=0,0,11630*1000*SER_hh_tes!G29/SER_hh_num!G29)</f>
        <v>4168.5806949187036</v>
      </c>
      <c r="H29" s="131">
        <f>IF(SER_hh_tes!H29=0,0,11630*1000*SER_hh_tes!H29/SER_hh_num!H29)</f>
        <v>4406.1854247618303</v>
      </c>
      <c r="I29" s="131">
        <f>IF(SER_hh_tes!I29=0,0,11630*1000*SER_hh_tes!I29/SER_hh_num!I29)</f>
        <v>4478.991599667127</v>
      </c>
      <c r="J29" s="131">
        <f>IF(SER_hh_tes!J29=0,0,11630*1000*SER_hh_tes!J29/SER_hh_num!J29)</f>
        <v>4584.0789494577393</v>
      </c>
      <c r="K29" s="131">
        <f>IF(SER_hh_tes!K29=0,0,11630*1000*SER_hh_tes!K29/SER_hh_num!K29)</f>
        <v>4601.0525173122269</v>
      </c>
      <c r="L29" s="131">
        <f>IF(SER_hh_tes!L29=0,0,11630*1000*SER_hh_tes!L29/SER_hh_num!L29)</f>
        <v>4702.0869352370246</v>
      </c>
      <c r="M29" s="131">
        <f>IF(SER_hh_tes!M29=0,0,11630*1000*SER_hh_tes!M29/SER_hh_num!M29)</f>
        <v>4756.7436579614223</v>
      </c>
      <c r="N29" s="131">
        <f>IF(SER_hh_tes!N29=0,0,11630*1000*SER_hh_tes!N29/SER_hh_num!N29)</f>
        <v>4661.379248361327</v>
      </c>
      <c r="O29" s="131">
        <f>IF(SER_hh_tes!O29=0,0,11630*1000*SER_hh_tes!O29/SER_hh_num!O29)</f>
        <v>4670.8232955776712</v>
      </c>
      <c r="P29" s="131">
        <f>IF(SER_hh_tes!P29=0,0,11630*1000*SER_hh_tes!P29/SER_hh_num!P29)</f>
        <v>4636.1937043891412</v>
      </c>
      <c r="Q29" s="131">
        <f>IF(SER_hh_tes!Q29=0,0,11630*1000*SER_hh_tes!Q29/SER_hh_num!Q29)</f>
        <v>4594.2566244315158</v>
      </c>
      <c r="R29" s="131">
        <f>IF(SER_hh_tes!R29=0,0,11630*1000*SER_hh_tes!R29/SER_hh_num!R29)</f>
        <v>4478.4525806370184</v>
      </c>
      <c r="S29" s="131">
        <f>IF(SER_hh_tes!S29=0,0,11630*1000*SER_hh_tes!S29/SER_hh_num!S29)</f>
        <v>4660.9569778277419</v>
      </c>
      <c r="T29" s="131">
        <f>IF(SER_hh_tes!T29=0,0,11630*1000*SER_hh_tes!T29/SER_hh_num!T29)</f>
        <v>4842.46936653599</v>
      </c>
      <c r="U29" s="131">
        <f>IF(SER_hh_tes!U29=0,0,11630*1000*SER_hh_tes!U29/SER_hh_num!U29)</f>
        <v>4995.8104727404816</v>
      </c>
      <c r="V29" s="131">
        <f>IF(SER_hh_tes!V29=0,0,11630*1000*SER_hh_tes!V29/SER_hh_num!V29)</f>
        <v>4076.7998901445194</v>
      </c>
      <c r="W29" s="131">
        <f>IF(SER_hh_tes!W29=0,0,11630*1000*SER_hh_tes!W29/SER_hh_num!W29)</f>
        <v>4904.5076476317172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3975.7699983151383</v>
      </c>
      <c r="C30" s="133">
        <f>IF(SER_hh_tes!C30=0,0,11630*1000*SER_hh_tes!C30/SER_hh_num!C30)</f>
        <v>4217.5452190123278</v>
      </c>
      <c r="D30" s="133">
        <f>IF(SER_hh_tes!D30=0,0,11630*1000*SER_hh_tes!D30/SER_hh_num!D30)</f>
        <v>4089.7503897096976</v>
      </c>
      <c r="E30" s="133">
        <f>IF(SER_hh_tes!E30=0,0,11630*1000*SER_hh_tes!E30/SER_hh_num!E30)</f>
        <v>3982.1716912505381</v>
      </c>
      <c r="F30" s="133">
        <f>IF(SER_hh_tes!F30=0,0,11630*1000*SER_hh_tes!F30/SER_hh_num!F30)</f>
        <v>4321.7187892040529</v>
      </c>
      <c r="G30" s="133">
        <f>IF(SER_hh_tes!G30=0,0,11630*1000*SER_hh_tes!G30/SER_hh_num!G30)</f>
        <v>4220.4299554918107</v>
      </c>
      <c r="H30" s="133">
        <f>IF(SER_hh_tes!H30=0,0,11630*1000*SER_hh_tes!H30/SER_hh_num!H30)</f>
        <v>4112.2410296819235</v>
      </c>
      <c r="I30" s="133">
        <f>IF(SER_hh_tes!I30=0,0,11630*1000*SER_hh_tes!I30/SER_hh_num!I30)</f>
        <v>4443.797042203938</v>
      </c>
      <c r="J30" s="133">
        <f>IF(SER_hh_tes!J30=0,0,11630*1000*SER_hh_tes!J30/SER_hh_num!J30)</f>
        <v>4800.0351986115666</v>
      </c>
      <c r="K30" s="133">
        <f>IF(SER_hh_tes!K30=0,0,11630*1000*SER_hh_tes!K30/SER_hh_num!K30)</f>
        <v>4526.0122359990464</v>
      </c>
      <c r="L30" s="133">
        <f>IF(SER_hh_tes!L30=0,0,11630*1000*SER_hh_tes!L30/SER_hh_num!L30)</f>
        <v>4735.105060398666</v>
      </c>
      <c r="M30" s="133">
        <f>IF(SER_hh_tes!M30=0,0,11630*1000*SER_hh_tes!M30/SER_hh_num!M30)</f>
        <v>4686.4284325564404</v>
      </c>
      <c r="N30" s="133">
        <f>IF(SER_hh_tes!N30=0,0,11630*1000*SER_hh_tes!N30/SER_hh_num!N30)</f>
        <v>4770.2389988675941</v>
      </c>
      <c r="O30" s="133">
        <f>IF(SER_hh_tes!O30=0,0,11630*1000*SER_hh_tes!O30/SER_hh_num!O30)</f>
        <v>4784.3580339362707</v>
      </c>
      <c r="P30" s="133">
        <f>IF(SER_hh_tes!P30=0,0,11630*1000*SER_hh_tes!P30/SER_hh_num!P30)</f>
        <v>3309.517351207407</v>
      </c>
      <c r="Q30" s="133">
        <f>IF(SER_hh_tes!Q30=0,0,11630*1000*SER_hh_tes!Q30/SER_hh_num!Q30)</f>
        <v>4557.9915104755491</v>
      </c>
      <c r="R30" s="133">
        <f>IF(SER_hh_tes!R30=0,0,11630*1000*SER_hh_tes!R30/SER_hh_num!R30)</f>
        <v>5685.1707989070001</v>
      </c>
      <c r="S30" s="133">
        <f>IF(SER_hh_tes!S30=0,0,11630*1000*SER_hh_tes!S30/SER_hh_num!S30)</f>
        <v>4434.2585152698512</v>
      </c>
      <c r="T30" s="133">
        <f>IF(SER_hh_tes!T30=0,0,11630*1000*SER_hh_tes!T30/SER_hh_num!T30)</f>
        <v>5235.5393956872895</v>
      </c>
      <c r="U30" s="133">
        <f>IF(SER_hh_tes!U30=0,0,11630*1000*SER_hh_tes!U30/SER_hh_num!U30)</f>
        <v>5054.6305127615633</v>
      </c>
      <c r="V30" s="133">
        <f>IF(SER_hh_tes!V30=0,0,11630*1000*SER_hh_tes!V30/SER_hh_num!V30)</f>
        <v>3804.1959050900068</v>
      </c>
      <c r="W30" s="133">
        <f>IF(SER_hh_tes!W30=0,0,11630*1000*SER_hh_tes!W30/SER_hh_num!W30)</f>
        <v>4865.6000150175778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3830.2736032526709</v>
      </c>
      <c r="C31" s="133">
        <f>IF(SER_hh_tes!C31=0,0,11630*1000*SER_hh_tes!C31/SER_hh_num!C31)</f>
        <v>4452.9743574023933</v>
      </c>
      <c r="D31" s="133">
        <f>IF(SER_hh_tes!D31=0,0,11630*1000*SER_hh_tes!D31/SER_hh_num!D31)</f>
        <v>3867.5727691450234</v>
      </c>
      <c r="E31" s="133">
        <f>IF(SER_hh_tes!E31=0,0,11630*1000*SER_hh_tes!E31/SER_hh_num!E31)</f>
        <v>3276.923992952296</v>
      </c>
      <c r="F31" s="133">
        <f>IF(SER_hh_tes!F31=0,0,11630*1000*SER_hh_tes!F31/SER_hh_num!F31)</f>
        <v>4391.9651178055874</v>
      </c>
      <c r="G31" s="133">
        <f>IF(SER_hh_tes!G31=0,0,11630*1000*SER_hh_tes!G31/SER_hh_num!G31)</f>
        <v>4276.0423958739439</v>
      </c>
      <c r="H31" s="133">
        <f>IF(SER_hh_tes!H31=0,0,11630*1000*SER_hh_tes!H31/SER_hh_num!H31)</f>
        <v>4520.1494918503595</v>
      </c>
      <c r="I31" s="133">
        <f>IF(SER_hh_tes!I31=0,0,11630*1000*SER_hh_tes!I31/SER_hh_num!I31)</f>
        <v>4500.8117296773298</v>
      </c>
      <c r="J31" s="133">
        <f>IF(SER_hh_tes!J31=0,0,11630*1000*SER_hh_tes!J31/SER_hh_num!J31)</f>
        <v>4590.0702792846596</v>
      </c>
      <c r="K31" s="133">
        <f>IF(SER_hh_tes!K31=0,0,11630*1000*SER_hh_tes!K31/SER_hh_num!K31)</f>
        <v>4550.3205465265564</v>
      </c>
      <c r="L31" s="133">
        <f>IF(SER_hh_tes!L31=0,0,11630*1000*SER_hh_tes!L31/SER_hh_num!L31)</f>
        <v>4658.1849231677343</v>
      </c>
      <c r="M31" s="133">
        <f>IF(SER_hh_tes!M31=0,0,11630*1000*SER_hh_tes!M31/SER_hh_num!M31)</f>
        <v>4571.1281507186013</v>
      </c>
      <c r="N31" s="133">
        <f>IF(SER_hh_tes!N31=0,0,11630*1000*SER_hh_tes!N31/SER_hh_num!N31)</f>
        <v>4187.2056653584841</v>
      </c>
      <c r="O31" s="133">
        <f>IF(SER_hh_tes!O31=0,0,11630*1000*SER_hh_tes!O31/SER_hh_num!O31)</f>
        <v>3927.2259205995424</v>
      </c>
      <c r="P31" s="133">
        <f>IF(SER_hh_tes!P31=0,0,11630*1000*SER_hh_tes!P31/SER_hh_num!P31)</f>
        <v>5243.136717848889</v>
      </c>
      <c r="Q31" s="133">
        <f>IF(SER_hh_tes!Q31=0,0,11630*1000*SER_hh_tes!Q31/SER_hh_num!Q31)</f>
        <v>4904.3711240572775</v>
      </c>
      <c r="R31" s="133">
        <f>IF(SER_hh_tes!R31=0,0,11630*1000*SER_hh_tes!R31/SER_hh_num!R31)</f>
        <v>4865.4221108536822</v>
      </c>
      <c r="S31" s="133">
        <f>IF(SER_hh_tes!S31=0,0,11630*1000*SER_hh_tes!S31/SER_hh_num!S31)</f>
        <v>4884.1901361049913</v>
      </c>
      <c r="T31" s="133">
        <f>IF(SER_hh_tes!T31=0,0,11630*1000*SER_hh_tes!T31/SER_hh_num!T31)</f>
        <v>4418.2648966252445</v>
      </c>
      <c r="U31" s="133">
        <f>IF(SER_hh_tes!U31=0,0,11630*1000*SER_hh_tes!U31/SER_hh_num!U31)</f>
        <v>4589.4303010434951</v>
      </c>
      <c r="V31" s="133">
        <f>IF(SER_hh_tes!V31=0,0,11630*1000*SER_hh_tes!V31/SER_hh_num!V31)</f>
        <v>4732.8552158293642</v>
      </c>
      <c r="W31" s="133">
        <f>IF(SER_hh_tes!W31=0,0,11630*1000*SER_hh_tes!W31/SER_hh_num!W31)</f>
        <v>4596.9722349165395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4154.2188384971914</v>
      </c>
      <c r="C33" s="68">
        <f>IF(SER_hh_tes!C33=0,0,11630*1000*SER_hh_tes!C33/SER_hh_num!C33)</f>
        <v>4108.8325897272107</v>
      </c>
      <c r="D33" s="68">
        <f>IF(SER_hh_tes!D33=0,0,11630*1000*SER_hh_tes!D33/SER_hh_num!D33)</f>
        <v>4064.1320416110243</v>
      </c>
      <c r="E33" s="68">
        <f>IF(SER_hh_tes!E33=0,0,11630*1000*SER_hh_tes!E33/SER_hh_num!E33)</f>
        <v>4035.7044423974285</v>
      </c>
      <c r="F33" s="68">
        <f>IF(SER_hh_tes!F33=0,0,11630*1000*SER_hh_tes!F33/SER_hh_num!F33)</f>
        <v>4034.7319676208949</v>
      </c>
      <c r="G33" s="68">
        <f>IF(SER_hh_tes!G33=0,0,11630*1000*SER_hh_tes!G33/SER_hh_num!G33)</f>
        <v>4125.8745104399841</v>
      </c>
      <c r="H33" s="68">
        <f>IF(SER_hh_tes!H33=0,0,11630*1000*SER_hh_tes!H33/SER_hh_num!H33)</f>
        <v>4421.4734671772985</v>
      </c>
      <c r="I33" s="68">
        <f>IF(SER_hh_tes!I33=0,0,11630*1000*SER_hh_tes!I33/SER_hh_num!I33)</f>
        <v>4477.6674595430723</v>
      </c>
      <c r="J33" s="68">
        <f>IF(SER_hh_tes!J33=0,0,11630*1000*SER_hh_tes!J33/SER_hh_num!J33)</f>
        <v>4549.6095989136056</v>
      </c>
      <c r="K33" s="68">
        <f>IF(SER_hh_tes!K33=0,0,11630*1000*SER_hh_tes!K33/SER_hh_num!K33)</f>
        <v>4628.7302594951752</v>
      </c>
      <c r="L33" s="68">
        <f>IF(SER_hh_tes!L33=0,0,11630*1000*SER_hh_tes!L33/SER_hh_num!L33)</f>
        <v>4712.7768326384175</v>
      </c>
      <c r="M33" s="68">
        <f>IF(SER_hh_tes!M33=0,0,11630*1000*SER_hh_tes!M33/SER_hh_num!M33)</f>
        <v>4834.7890383010617</v>
      </c>
      <c r="N33" s="68">
        <f>IF(SER_hh_tes!N33=0,0,11630*1000*SER_hh_tes!N33/SER_hh_num!N33)</f>
        <v>4871.056758012719</v>
      </c>
      <c r="O33" s="68">
        <f>IF(SER_hh_tes!O33=0,0,11630*1000*SER_hh_tes!O33/SER_hh_num!O33)</f>
        <v>5161.7630265074977</v>
      </c>
      <c r="P33" s="68">
        <f>IF(SER_hh_tes!P33=0,0,11630*1000*SER_hh_tes!P33/SER_hh_num!P33)</f>
        <v>4164.8388566399281</v>
      </c>
      <c r="Q33" s="68">
        <f>IF(SER_hh_tes!Q33=0,0,11630*1000*SER_hh_tes!Q33/SER_hh_num!Q33)</f>
        <v>4124.5820258875992</v>
      </c>
      <c r="R33" s="68">
        <f>IF(SER_hh_tes!R33=0,0,11630*1000*SER_hh_tes!R33/SER_hh_num!R33)</f>
        <v>3501.1487632038265</v>
      </c>
      <c r="S33" s="68">
        <f>IF(SER_hh_tes!S33=0,0,11630*1000*SER_hh_tes!S33/SER_hh_num!S33)</f>
        <v>4342.4961375653293</v>
      </c>
      <c r="T33" s="68">
        <f>IF(SER_hh_tes!T33=0,0,11630*1000*SER_hh_tes!T33/SER_hh_num!T33)</f>
        <v>5378.6889934062183</v>
      </c>
      <c r="U33" s="68">
        <f>IF(SER_hh_tes!U33=0,0,11630*1000*SER_hh_tes!U33/SER_hh_num!U33)</f>
        <v>5555.9614609062346</v>
      </c>
      <c r="V33" s="68">
        <f>IF(SER_hh_tes!V33=0,0,11630*1000*SER_hh_tes!V33/SER_hh_num!V33)</f>
        <v>3154.7425575354832</v>
      </c>
      <c r="W33" s="68">
        <f>IF(SER_hh_tes!W33=0,0,11630*1000*SER_hh_tes!W33/SER_hh_num!W33)</f>
        <v>5353.9228987247061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3790.0003642849128</v>
      </c>
      <c r="C3" s="126">
        <f>IF(SER_hh_emi!C3=0,0,1000000*SER_hh_emi!C3/SER_hh_num!C3)</f>
        <v>4027.2783986141953</v>
      </c>
      <c r="D3" s="126">
        <f>IF(SER_hh_emi!D3=0,0,1000000*SER_hh_emi!D3/SER_hh_num!D3)</f>
        <v>3882.961645305877</v>
      </c>
      <c r="E3" s="126">
        <f>IF(SER_hh_emi!E3=0,0,1000000*SER_hh_emi!E3/SER_hh_num!E3)</f>
        <v>3443.2488321364585</v>
      </c>
      <c r="F3" s="126">
        <f>IF(SER_hh_emi!F3=0,0,1000000*SER_hh_emi!F3/SER_hh_num!F3)</f>
        <v>3748.1262841668863</v>
      </c>
      <c r="G3" s="126">
        <f>IF(SER_hh_emi!G3=0,0,1000000*SER_hh_emi!G3/SER_hh_num!G3)</f>
        <v>4044.5904020095531</v>
      </c>
      <c r="H3" s="126">
        <f>IF(SER_hh_emi!H3=0,0,1000000*SER_hh_emi!H3/SER_hh_num!H3)</f>
        <v>4950.5205637708523</v>
      </c>
      <c r="I3" s="126">
        <f>IF(SER_hh_emi!I3=0,0,1000000*SER_hh_emi!I3/SER_hh_num!I3)</f>
        <v>3697.987056986718</v>
      </c>
      <c r="J3" s="126">
        <f>IF(SER_hh_emi!J3=0,0,1000000*SER_hh_emi!J3/SER_hh_num!J3)</f>
        <v>3371.3329323663966</v>
      </c>
      <c r="K3" s="126">
        <f>IF(SER_hh_emi!K3=0,0,1000000*SER_hh_emi!K3/SER_hh_num!K3)</f>
        <v>3672.1085887579338</v>
      </c>
      <c r="L3" s="126">
        <f>IF(SER_hh_emi!L3=0,0,1000000*SER_hh_emi!L3/SER_hh_num!L3)</f>
        <v>4075.4157438309867</v>
      </c>
      <c r="M3" s="126">
        <f>IF(SER_hh_emi!M3=0,0,1000000*SER_hh_emi!M3/SER_hh_num!M3)</f>
        <v>4186.8620604237894</v>
      </c>
      <c r="N3" s="126">
        <f>IF(SER_hh_emi!N3=0,0,1000000*SER_hh_emi!N3/SER_hh_num!N3)</f>
        <v>3836.5473225557967</v>
      </c>
      <c r="O3" s="126">
        <f>IF(SER_hh_emi!O3=0,0,1000000*SER_hh_emi!O3/SER_hh_num!O3)</f>
        <v>3819.0711769068889</v>
      </c>
      <c r="P3" s="126">
        <f>IF(SER_hh_emi!P3=0,0,1000000*SER_hh_emi!P3/SER_hh_num!P3)</f>
        <v>3328.9615950568768</v>
      </c>
      <c r="Q3" s="126">
        <f>IF(SER_hh_emi!Q3=0,0,1000000*SER_hh_emi!Q3/SER_hh_num!Q3)</f>
        <v>3228.9805217681433</v>
      </c>
      <c r="R3" s="126">
        <f>IF(SER_hh_emi!R3=0,0,1000000*SER_hh_emi!R3/SER_hh_num!R3)</f>
        <v>3427.9221279791823</v>
      </c>
      <c r="S3" s="126">
        <f>IF(SER_hh_emi!S3=0,0,1000000*SER_hh_emi!S3/SER_hh_num!S3)</f>
        <v>3465.2118221067258</v>
      </c>
      <c r="T3" s="126">
        <f>IF(SER_hh_emi!T3=0,0,1000000*SER_hh_emi!T3/SER_hh_num!T3)</f>
        <v>3572.9588426135001</v>
      </c>
      <c r="U3" s="126">
        <f>IF(SER_hh_emi!U3=0,0,1000000*SER_hh_emi!U3/SER_hh_num!U3)</f>
        <v>3484.7204940904767</v>
      </c>
      <c r="V3" s="126">
        <f>IF(SER_hh_emi!V3=0,0,1000000*SER_hh_emi!V3/SER_hh_num!V3)</f>
        <v>3256.9809812335002</v>
      </c>
      <c r="W3" s="126">
        <f>IF(SER_hh_emi!W3=0,0,1000000*SER_hh_emi!W3/SER_hh_num!W3)</f>
        <v>3531.5466299397294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2538.3460391529056</v>
      </c>
      <c r="C4" s="131">
        <f>IF(SER_hh_emi!C4=0,0,1000000*SER_hh_emi!C4/SER_hh_num!C4)</f>
        <v>2731.2467783626876</v>
      </c>
      <c r="D4" s="131">
        <f>IF(SER_hh_emi!D4=0,0,1000000*SER_hh_emi!D4/SER_hh_num!D4)</f>
        <v>2667.3560315881236</v>
      </c>
      <c r="E4" s="131">
        <f>IF(SER_hh_emi!E4=0,0,1000000*SER_hh_emi!E4/SER_hh_num!E4)</f>
        <v>2359.5129929620316</v>
      </c>
      <c r="F4" s="131">
        <f>IF(SER_hh_emi!F4=0,0,1000000*SER_hh_emi!F4/SER_hh_num!F4)</f>
        <v>2533.6477552227552</v>
      </c>
      <c r="G4" s="131">
        <f>IF(SER_hh_emi!G4=0,0,1000000*SER_hh_emi!G4/SER_hh_num!G4)</f>
        <v>2834.7579861470754</v>
      </c>
      <c r="H4" s="131">
        <f>IF(SER_hh_emi!H4=0,0,1000000*SER_hh_emi!H4/SER_hh_num!H4)</f>
        <v>3615.37953869577</v>
      </c>
      <c r="I4" s="131">
        <f>IF(SER_hh_emi!I4=0,0,1000000*SER_hh_emi!I4/SER_hh_num!I4)</f>
        <v>2413.0055245478597</v>
      </c>
      <c r="J4" s="131">
        <f>IF(SER_hh_emi!J4=0,0,1000000*SER_hh_emi!J4/SER_hh_num!J4)</f>
        <v>2096.0345690221684</v>
      </c>
      <c r="K4" s="131">
        <f>IF(SER_hh_emi!K4=0,0,1000000*SER_hh_emi!K4/SER_hh_num!K4)</f>
        <v>2401.8290574485582</v>
      </c>
      <c r="L4" s="131">
        <f>IF(SER_hh_emi!L4=0,0,1000000*SER_hh_emi!L4/SER_hh_num!L4)</f>
        <v>2799.927820897778</v>
      </c>
      <c r="M4" s="131">
        <f>IF(SER_hh_emi!M4=0,0,1000000*SER_hh_emi!M4/SER_hh_num!M4)</f>
        <v>2906.3261839465845</v>
      </c>
      <c r="N4" s="131">
        <f>IF(SER_hh_emi!N4=0,0,1000000*SER_hh_emi!N4/SER_hh_num!N4)</f>
        <v>2499.7221449568792</v>
      </c>
      <c r="O4" s="131">
        <f>IF(SER_hh_emi!O4=0,0,1000000*SER_hh_emi!O4/SER_hh_num!O4)</f>
        <v>2374.1670613438037</v>
      </c>
      <c r="P4" s="131">
        <f>IF(SER_hh_emi!P4=0,0,1000000*SER_hh_emi!P4/SER_hh_num!P4)</f>
        <v>1455.838514227318</v>
      </c>
      <c r="Q4" s="131">
        <f>IF(SER_hh_emi!Q4=0,0,1000000*SER_hh_emi!Q4/SER_hh_num!Q4)</f>
        <v>1274.4449961293637</v>
      </c>
      <c r="R4" s="131">
        <f>IF(SER_hh_emi!R4=0,0,1000000*SER_hh_emi!R4/SER_hh_num!R4)</f>
        <v>1409.1441068791783</v>
      </c>
      <c r="S4" s="131">
        <f>IF(SER_hh_emi!S4=0,0,1000000*SER_hh_emi!S4/SER_hh_num!S4)</f>
        <v>1494.8371569994179</v>
      </c>
      <c r="T4" s="131">
        <f>IF(SER_hh_emi!T4=0,0,1000000*SER_hh_emi!T4/SER_hh_num!T4)</f>
        <v>1718.3642932518578</v>
      </c>
      <c r="U4" s="131">
        <f>IF(SER_hh_emi!U4=0,0,1000000*SER_hh_emi!U4/SER_hh_num!U4)</f>
        <v>1644.7776645323115</v>
      </c>
      <c r="V4" s="131">
        <f>IF(SER_hh_emi!V4=0,0,1000000*SER_hh_emi!V4/SER_hh_num!V4)</f>
        <v>1468.776850359737</v>
      </c>
      <c r="W4" s="131">
        <f>IF(SER_hh_emi!W4=0,0,1000000*SER_hh_emi!W4/SER_hh_num!W4)</f>
        <v>1704.0554413391581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3679.0689614274065</v>
      </c>
      <c r="C7" s="133">
        <f>IF(SER_hh_emi!C7=0,0,1000000*SER_hh_emi!C7/SER_hh_num!C7)</f>
        <v>3595.6414539466114</v>
      </c>
      <c r="D7" s="133">
        <f>IF(SER_hh_emi!D7=0,0,1000000*SER_hh_emi!D7/SER_hh_num!D7)</f>
        <v>2983.2157918586518</v>
      </c>
      <c r="E7" s="133">
        <f>IF(SER_hh_emi!E7=0,0,1000000*SER_hh_emi!E7/SER_hh_num!E7)</f>
        <v>3006.5300009984244</v>
      </c>
      <c r="F7" s="133">
        <f>IF(SER_hh_emi!F7=0,0,1000000*SER_hh_emi!F7/SER_hh_num!F7)</f>
        <v>3356.483999009843</v>
      </c>
      <c r="G7" s="133">
        <f>IF(SER_hh_emi!G7=0,0,1000000*SER_hh_emi!G7/SER_hh_num!G7)</f>
        <v>3875.7404225891319</v>
      </c>
      <c r="H7" s="133">
        <f>IF(SER_hh_emi!H7=0,0,1000000*SER_hh_emi!H7/SER_hh_num!H7)</f>
        <v>3788.0229328500841</v>
      </c>
      <c r="I7" s="133">
        <f>IF(SER_hh_emi!I7=0,0,1000000*SER_hh_emi!I7/SER_hh_num!I7)</f>
        <v>4063.2218471447381</v>
      </c>
      <c r="J7" s="133">
        <f>IF(SER_hh_emi!J7=0,0,1000000*SER_hh_emi!J7/SER_hh_num!J7)</f>
        <v>4334.7850488211789</v>
      </c>
      <c r="K7" s="133">
        <f>IF(SER_hh_emi!K7=0,0,1000000*SER_hh_emi!K7/SER_hh_num!K7)</f>
        <v>4901.883364727134</v>
      </c>
      <c r="L7" s="133">
        <f>IF(SER_hh_emi!L7=0,0,1000000*SER_hh_emi!L7/SER_hh_num!L7)</f>
        <v>4848.8469420272149</v>
      </c>
      <c r="M7" s="133">
        <f>IF(SER_hh_emi!M7=0,0,1000000*SER_hh_emi!M7/SER_hh_num!M7)</f>
        <v>4062.7884219350881</v>
      </c>
      <c r="N7" s="133">
        <f>IF(SER_hh_emi!N7=0,0,1000000*SER_hh_emi!N7/SER_hh_num!N7)</f>
        <v>3915.3292766749028</v>
      </c>
      <c r="O7" s="133">
        <f>IF(SER_hh_emi!O7=0,0,1000000*SER_hh_emi!O7/SER_hh_num!O7)</f>
        <v>3755.8949757282167</v>
      </c>
      <c r="P7" s="133">
        <f>IF(SER_hh_emi!P7=0,0,1000000*SER_hh_emi!P7/SER_hh_num!P7)</f>
        <v>2817.7541285640009</v>
      </c>
      <c r="Q7" s="133">
        <f>IF(SER_hh_emi!Q7=0,0,1000000*SER_hh_emi!Q7/SER_hh_num!Q7)</f>
        <v>2003.177451550989</v>
      </c>
      <c r="R7" s="133">
        <f>IF(SER_hh_emi!R7=0,0,1000000*SER_hh_emi!R7/SER_hh_num!R7)</f>
        <v>2629.7558096284174</v>
      </c>
      <c r="S7" s="133">
        <f>IF(SER_hh_emi!S7=0,0,1000000*SER_hh_emi!S7/SER_hh_num!S7)</f>
        <v>3066.3818659978274</v>
      </c>
      <c r="T7" s="133">
        <f>IF(SER_hh_emi!T7=0,0,1000000*SER_hh_emi!T7/SER_hh_num!T7)</f>
        <v>3404.4797569230655</v>
      </c>
      <c r="U7" s="133">
        <f>IF(SER_hh_emi!U7=0,0,1000000*SER_hh_emi!U7/SER_hh_num!U7)</f>
        <v>3437.2069276268107</v>
      </c>
      <c r="V7" s="133">
        <f>IF(SER_hh_emi!V7=0,0,1000000*SER_hh_emi!V7/SER_hh_num!V7)</f>
        <v>3502.7771970957028</v>
      </c>
      <c r="W7" s="133">
        <f>IF(SER_hh_emi!W7=0,0,1000000*SER_hh_emi!W7/SER_hh_num!W7)</f>
        <v>4031.9252190437287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934.386313960233</v>
      </c>
      <c r="C8" s="133">
        <f>IF(SER_hh_emi!C8=0,0,1000000*SER_hh_emi!C8/SER_hh_num!C8)</f>
        <v>971.95865643191007</v>
      </c>
      <c r="D8" s="133">
        <f>IF(SER_hh_emi!D8=0,0,1000000*SER_hh_emi!D8/SER_hh_num!D8)</f>
        <v>827.41957384472232</v>
      </c>
      <c r="E8" s="133">
        <f>IF(SER_hh_emi!E8=0,0,1000000*SER_hh_emi!E8/SER_hh_num!E8)</f>
        <v>511.07259531842681</v>
      </c>
      <c r="F8" s="133">
        <f>IF(SER_hh_emi!F8=0,0,1000000*SER_hh_emi!F8/SER_hh_num!F8)</f>
        <v>528.61488518536351</v>
      </c>
      <c r="G8" s="133">
        <f>IF(SER_hh_emi!G8=0,0,1000000*SER_hh_emi!G8/SER_hh_num!G8)</f>
        <v>759.1289931486416</v>
      </c>
      <c r="H8" s="133">
        <f>IF(SER_hh_emi!H8=0,0,1000000*SER_hh_emi!H8/SER_hh_num!H8)</f>
        <v>1120.9874901902012</v>
      </c>
      <c r="I8" s="133">
        <f>IF(SER_hh_emi!I8=0,0,1000000*SER_hh_emi!I8/SER_hh_num!I8)</f>
        <v>911.98311022952294</v>
      </c>
      <c r="J8" s="133">
        <f>IF(SER_hh_emi!J8=0,0,1000000*SER_hh_emi!J8/SER_hh_num!J8)</f>
        <v>863.27998819548532</v>
      </c>
      <c r="K8" s="133">
        <f>IF(SER_hh_emi!K8=0,0,1000000*SER_hh_emi!K8/SER_hh_num!K8)</f>
        <v>778.51942060605654</v>
      </c>
      <c r="L8" s="133">
        <f>IF(SER_hh_emi!L8=0,0,1000000*SER_hh_emi!L8/SER_hh_num!L8)</f>
        <v>638.39438499166715</v>
      </c>
      <c r="M8" s="133">
        <f>IF(SER_hh_emi!M8=0,0,1000000*SER_hh_emi!M8/SER_hh_num!M8)</f>
        <v>591.70348666424775</v>
      </c>
      <c r="N8" s="133">
        <f>IF(SER_hh_emi!N8=0,0,1000000*SER_hh_emi!N8/SER_hh_num!N8)</f>
        <v>425.23066496853073</v>
      </c>
      <c r="O8" s="133">
        <f>IF(SER_hh_emi!O8=0,0,1000000*SER_hh_emi!O8/SER_hh_num!O8)</f>
        <v>375.48212927606437</v>
      </c>
      <c r="P8" s="133">
        <f>IF(SER_hh_emi!P8=0,0,1000000*SER_hh_emi!P8/SER_hh_num!P8)</f>
        <v>378.35042348902169</v>
      </c>
      <c r="Q8" s="133">
        <f>IF(SER_hh_emi!Q8=0,0,1000000*SER_hh_emi!Q8/SER_hh_num!Q8)</f>
        <v>367.29127161750341</v>
      </c>
      <c r="R8" s="133">
        <f>IF(SER_hh_emi!R8=0,0,1000000*SER_hh_emi!R8/SER_hh_num!R8)</f>
        <v>400.66824582128663</v>
      </c>
      <c r="S8" s="133">
        <f>IF(SER_hh_emi!S8=0,0,1000000*SER_hh_emi!S8/SER_hh_num!S8)</f>
        <v>448.25080289093722</v>
      </c>
      <c r="T8" s="133">
        <f>IF(SER_hh_emi!T8=0,0,1000000*SER_hh_emi!T8/SER_hh_num!T8)</f>
        <v>507.58323608284417</v>
      </c>
      <c r="U8" s="133">
        <f>IF(SER_hh_emi!U8=0,0,1000000*SER_hh_emi!U8/SER_hh_num!U8)</f>
        <v>551.61627983918004</v>
      </c>
      <c r="V8" s="133">
        <f>IF(SER_hh_emi!V8=0,0,1000000*SER_hh_emi!V8/SER_hh_num!V8)</f>
        <v>567.4443843549285</v>
      </c>
      <c r="W8" s="133">
        <f>IF(SER_hh_emi!W8=0,0,1000000*SER_hh_emi!W8/SER_hh_num!W8)</f>
        <v>625.83350674307394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1826.1755445453284</v>
      </c>
      <c r="C9" s="133">
        <f>IF(SER_hh_emi!C9=0,0,1000000*SER_hh_emi!C9/SER_hh_num!C9)</f>
        <v>2262.2202420704803</v>
      </c>
      <c r="D9" s="133">
        <f>IF(SER_hh_emi!D9=0,0,1000000*SER_hh_emi!D9/SER_hh_num!D9)</f>
        <v>3356.0238673233239</v>
      </c>
      <c r="E9" s="133">
        <f>IF(SER_hh_emi!E9=0,0,1000000*SER_hh_emi!E9/SER_hh_num!E9)</f>
        <v>278.64635951310913</v>
      </c>
      <c r="F9" s="133">
        <f>IF(SER_hh_emi!F9=0,0,1000000*SER_hh_emi!F9/SER_hh_num!F9)</f>
        <v>338.14832165202824</v>
      </c>
      <c r="G9" s="133">
        <f>IF(SER_hh_emi!G9=0,0,1000000*SER_hh_emi!G9/SER_hh_num!G9)</f>
        <v>1728.1319439039157</v>
      </c>
      <c r="H9" s="133">
        <f>IF(SER_hh_emi!H9=0,0,1000000*SER_hh_emi!H9/SER_hh_num!H9)</f>
        <v>5479.7697655940747</v>
      </c>
      <c r="I9" s="133">
        <f>IF(SER_hh_emi!I9=0,0,1000000*SER_hh_emi!I9/SER_hh_num!I9)</f>
        <v>2487.7010562794885</v>
      </c>
      <c r="J9" s="133">
        <f>IF(SER_hh_emi!J9=0,0,1000000*SER_hh_emi!J9/SER_hh_num!J9)</f>
        <v>1900.1209448575157</v>
      </c>
      <c r="K9" s="133">
        <f>IF(SER_hh_emi!K9=0,0,1000000*SER_hh_emi!K9/SER_hh_num!K9)</f>
        <v>2502.4991382871594</v>
      </c>
      <c r="L9" s="133">
        <f>IF(SER_hh_emi!L9=0,0,1000000*SER_hh_emi!L9/SER_hh_num!L9)</f>
        <v>3314.1859974975091</v>
      </c>
      <c r="M9" s="133">
        <f>IF(SER_hh_emi!M9=0,0,1000000*SER_hh_emi!M9/SER_hh_num!M9)</f>
        <v>3680.7165020163875</v>
      </c>
      <c r="N9" s="133">
        <f>IF(SER_hh_emi!N9=0,0,1000000*SER_hh_emi!N9/SER_hh_num!N9)</f>
        <v>2717.6217475543276</v>
      </c>
      <c r="O9" s="133">
        <f>IF(SER_hh_emi!O9=0,0,1000000*SER_hh_emi!O9/SER_hh_num!O9)</f>
        <v>2435.9470141847573</v>
      </c>
      <c r="P9" s="133">
        <f>IF(SER_hh_emi!P9=0,0,1000000*SER_hh_emi!P9/SER_hh_num!P9)</f>
        <v>1119.8740219350477</v>
      </c>
      <c r="Q9" s="133">
        <f>IF(SER_hh_emi!Q9=0,0,1000000*SER_hh_emi!Q9/SER_hh_num!Q9)</f>
        <v>1753.0066492569024</v>
      </c>
      <c r="R9" s="133">
        <f>IF(SER_hh_emi!R9=0,0,1000000*SER_hh_emi!R9/SER_hh_num!R9)</f>
        <v>1736.9022389953029</v>
      </c>
      <c r="S9" s="133">
        <f>IF(SER_hh_emi!S9=0,0,1000000*SER_hh_emi!S9/SER_hh_num!S9)</f>
        <v>1851.4563049757328</v>
      </c>
      <c r="T9" s="133">
        <f>IF(SER_hh_emi!T9=0,0,1000000*SER_hh_emi!T9/SER_hh_num!T9)</f>
        <v>2627.495606388562</v>
      </c>
      <c r="U9" s="133">
        <f>IF(SER_hh_emi!U9=0,0,1000000*SER_hh_emi!U9/SER_hh_num!U9)</f>
        <v>2684.656877776652</v>
      </c>
      <c r="V9" s="133">
        <f>IF(SER_hh_emi!V9=0,0,1000000*SER_hh_emi!V9/SER_hh_num!V9)</f>
        <v>2332.9292072244466</v>
      </c>
      <c r="W9" s="133">
        <f>IF(SER_hh_emi!W9=0,0,1000000*SER_hh_emi!W9/SER_hh_num!W9)</f>
        <v>2879.3035900604063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90.919155196022317</v>
      </c>
      <c r="R10" s="133">
        <f>IF(SER_hh_emi!R10=0,0,1000000*SER_hh_emi!R10/SER_hh_num!R10)</f>
        <v>203.92872851903485</v>
      </c>
      <c r="S10" s="133">
        <f>IF(SER_hh_emi!S10=0,0,1000000*SER_hh_emi!S10/SER_hh_num!S10)</f>
        <v>257.26142701574099</v>
      </c>
      <c r="T10" s="133">
        <f>IF(SER_hh_emi!T10=0,0,1000000*SER_hh_emi!T10/SER_hh_num!T10)</f>
        <v>170.37509305499174</v>
      </c>
      <c r="U10" s="133">
        <f>IF(SER_hh_emi!U10=0,0,1000000*SER_hh_emi!U10/SER_hh_num!U10)</f>
        <v>205.69870410736536</v>
      </c>
      <c r="V10" s="133">
        <f>IF(SER_hh_emi!V10=0,0,1000000*SER_hh_emi!V10/SER_hh_num!V10)</f>
        <v>205.51549417874662</v>
      </c>
      <c r="W10" s="133">
        <f>IF(SER_hh_emi!W10=0,0,1000000*SER_hh_emi!W10/SER_hh_num!W10)</f>
        <v>260.67567175894777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2.1430414616755065</v>
      </c>
      <c r="C16" s="131">
        <f>IF(SER_hh_emi!C16=0,0,1000000*SER_hh_emi!C16/SER_hh_num!C16)</f>
        <v>2.2383659650313281</v>
      </c>
      <c r="D16" s="131">
        <f>IF(SER_hh_emi!D16=0,0,1000000*SER_hh_emi!D16/SER_hh_num!D16)</f>
        <v>1.7617733672174751</v>
      </c>
      <c r="E16" s="131">
        <f>IF(SER_hh_emi!E16=0,0,1000000*SER_hh_emi!E16/SER_hh_num!E16)</f>
        <v>3.6045803460894761</v>
      </c>
      <c r="F16" s="131">
        <f>IF(SER_hh_emi!F16=0,0,1000000*SER_hh_emi!F16/SER_hh_num!F16)</f>
        <v>2.7649196479114964</v>
      </c>
      <c r="G16" s="131">
        <f>IF(SER_hh_emi!G16=0,0,1000000*SER_hh_emi!G16/SER_hh_num!G16)</f>
        <v>3.092027042686039</v>
      </c>
      <c r="H16" s="131">
        <f>IF(SER_hh_emi!H16=0,0,1000000*SER_hh_emi!H16/SER_hh_num!H16)</f>
        <v>3.4586161699789786</v>
      </c>
      <c r="I16" s="131">
        <f>IF(SER_hh_emi!I16=0,0,1000000*SER_hh_emi!I16/SER_hh_num!I16)</f>
        <v>2.9441620576372447</v>
      </c>
      <c r="J16" s="131">
        <f>IF(SER_hh_emi!J16=0,0,1000000*SER_hh_emi!J16/SER_hh_num!J16)</f>
        <v>3.5947125002893134</v>
      </c>
      <c r="K16" s="131">
        <f>IF(SER_hh_emi!K16=0,0,1000000*SER_hh_emi!K16/SER_hh_num!K16)</f>
        <v>4.9701198213919948</v>
      </c>
      <c r="L16" s="131">
        <f>IF(SER_hh_emi!L16=0,0,1000000*SER_hh_emi!L16/SER_hh_num!L16)</f>
        <v>5.2651197305762318</v>
      </c>
      <c r="M16" s="131">
        <f>IF(SER_hh_emi!M16=0,0,1000000*SER_hh_emi!M16/SER_hh_num!M16)</f>
        <v>5.3970090564185336</v>
      </c>
      <c r="N16" s="131">
        <f>IF(SER_hh_emi!N16=0,0,1000000*SER_hh_emi!N16/SER_hh_num!N16)</f>
        <v>7.152922207257661</v>
      </c>
      <c r="O16" s="131">
        <f>IF(SER_hh_emi!O16=0,0,1000000*SER_hh_emi!O16/SER_hh_num!O16)</f>
        <v>7.06140796748684</v>
      </c>
      <c r="P16" s="131">
        <f>IF(SER_hh_emi!P16=0,0,1000000*SER_hh_emi!P16/SER_hh_num!P16)</f>
        <v>7.3498113203065323</v>
      </c>
      <c r="Q16" s="131">
        <f>IF(SER_hh_emi!Q16=0,0,1000000*SER_hh_emi!Q16/SER_hh_num!Q16)</f>
        <v>12.794393979924706</v>
      </c>
      <c r="R16" s="131">
        <f>IF(SER_hh_emi!R16=0,0,1000000*SER_hh_emi!R16/SER_hh_num!R16)</f>
        <v>14.272478526906049</v>
      </c>
      <c r="S16" s="131">
        <f>IF(SER_hh_emi!S16=0,0,1000000*SER_hh_emi!S16/SER_hh_num!S16)</f>
        <v>17.97150184711214</v>
      </c>
      <c r="T16" s="131">
        <f>IF(SER_hh_emi!T16=0,0,1000000*SER_hh_emi!T16/SER_hh_num!T16)</f>
        <v>15.062966258192141</v>
      </c>
      <c r="U16" s="131">
        <f>IF(SER_hh_emi!U16=0,0,1000000*SER_hh_emi!U16/SER_hh_num!U16)</f>
        <v>16.42548272069121</v>
      </c>
      <c r="V16" s="131">
        <f>IF(SER_hh_emi!V16=0,0,1000000*SER_hh_emi!V16/SER_hh_num!V16)</f>
        <v>18.224512470447618</v>
      </c>
      <c r="W16" s="131">
        <f>IF(SER_hh_emi!W16=0,0,1000000*SER_hh_emi!W16/SER_hh_num!W16)</f>
        <v>15.709214133403719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2487.2337999695992</v>
      </c>
      <c r="C17" s="133">
        <f>IF(SER_hh_emi!C17=0,0,1000000*SER_hh_emi!C17/SER_hh_num!C17)</f>
        <v>2651.0418825562529</v>
      </c>
      <c r="D17" s="133">
        <f>IF(SER_hh_emi!D17=0,0,1000000*SER_hh_emi!D17/SER_hh_num!D17)</f>
        <v>2338.5637073254611</v>
      </c>
      <c r="E17" s="133">
        <f>IF(SER_hh_emi!E17=0,0,1000000*SER_hh_emi!E17/SER_hh_num!E17)</f>
        <v>3382.1762851794838</v>
      </c>
      <c r="F17" s="133">
        <f>IF(SER_hh_emi!F17=0,0,1000000*SER_hh_emi!F17/SER_hh_num!F17)</f>
        <v>2628.1998007808434</v>
      </c>
      <c r="G17" s="133">
        <f>IF(SER_hh_emi!G17=0,0,1000000*SER_hh_emi!G17/SER_hh_num!G17)</f>
        <v>2800.6210096033387</v>
      </c>
      <c r="H17" s="133">
        <f>IF(SER_hh_emi!H17=0,0,1000000*SER_hh_emi!H17/SER_hh_num!H17)</f>
        <v>3150.9446351165793</v>
      </c>
      <c r="I17" s="133">
        <f>IF(SER_hh_emi!I17=0,0,1000000*SER_hh_emi!I17/SER_hh_num!I17)</f>
        <v>2326.5545335252559</v>
      </c>
      <c r="J17" s="133">
        <f>IF(SER_hh_emi!J17=0,0,1000000*SER_hh_emi!J17/SER_hh_num!J17)</f>
        <v>2504.6481949314798</v>
      </c>
      <c r="K17" s="133">
        <f>IF(SER_hh_emi!K17=0,0,1000000*SER_hh_emi!K17/SER_hh_num!K17)</f>
        <v>3244.9366730901161</v>
      </c>
      <c r="L17" s="133">
        <f>IF(SER_hh_emi!L17=0,0,1000000*SER_hh_emi!L17/SER_hh_num!L17)</f>
        <v>3066.6365254412626</v>
      </c>
      <c r="M17" s="133">
        <f>IF(SER_hh_emi!M17=0,0,1000000*SER_hh_emi!M17/SER_hh_num!M17)</f>
        <v>2749.530561102541</v>
      </c>
      <c r="N17" s="133">
        <f>IF(SER_hh_emi!N17=0,0,1000000*SER_hh_emi!N17/SER_hh_num!N17)</f>
        <v>3308.5911262195632</v>
      </c>
      <c r="O17" s="133">
        <f>IF(SER_hh_emi!O17=0,0,1000000*SER_hh_emi!O17/SER_hh_num!O17)</f>
        <v>2627.4619236679005</v>
      </c>
      <c r="P17" s="133">
        <f>IF(SER_hh_emi!P17=0,0,1000000*SER_hh_emi!P17/SER_hh_num!P17)</f>
        <v>2440.485121512645</v>
      </c>
      <c r="Q17" s="133">
        <f>IF(SER_hh_emi!Q17=0,0,1000000*SER_hh_emi!Q17/SER_hh_num!Q17)</f>
        <v>3622.7556736806087</v>
      </c>
      <c r="R17" s="133">
        <f>IF(SER_hh_emi!R17=0,0,1000000*SER_hh_emi!R17/SER_hh_num!R17)</f>
        <v>3440.1346007455782</v>
      </c>
      <c r="S17" s="133">
        <f>IF(SER_hh_emi!S17=0,0,1000000*SER_hh_emi!S17/SER_hh_num!S17)</f>
        <v>3977.2002385552969</v>
      </c>
      <c r="T17" s="133">
        <f>IF(SER_hh_emi!T17=0,0,1000000*SER_hh_emi!T17/SER_hh_num!T17)</f>
        <v>2804.2460903391066</v>
      </c>
      <c r="U17" s="133">
        <f>IF(SER_hh_emi!U17=0,0,1000000*SER_hh_emi!U17/SER_hh_num!U17)</f>
        <v>2890.6712448802145</v>
      </c>
      <c r="V17" s="133">
        <f>IF(SER_hh_emi!V17=0,0,1000000*SER_hh_emi!V17/SER_hh_num!V17)</f>
        <v>2919.6051439999524</v>
      </c>
      <c r="W17" s="133">
        <f>IF(SER_hh_emi!W17=0,0,1000000*SER_hh_emi!W17/SER_hh_num!W17)</f>
        <v>2730.9235906953472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770.36937494253141</v>
      </c>
      <c r="C19" s="131">
        <f>IF(SER_hh_emi!C19=0,0,1000000*SER_hh_emi!C19/SER_hh_num!C19)</f>
        <v>754.37134503699463</v>
      </c>
      <c r="D19" s="131">
        <f>IF(SER_hh_emi!D19=0,0,1000000*SER_hh_emi!D19/SER_hh_num!D19)</f>
        <v>719.97807835821038</v>
      </c>
      <c r="E19" s="131">
        <f>IF(SER_hh_emi!E19=0,0,1000000*SER_hh_emi!E19/SER_hh_num!E19)</f>
        <v>635.71667810738279</v>
      </c>
      <c r="F19" s="131">
        <f>IF(SER_hh_emi!F19=0,0,1000000*SER_hh_emi!F19/SER_hh_num!F19)</f>
        <v>654.95486119004863</v>
      </c>
      <c r="G19" s="131">
        <f>IF(SER_hh_emi!G19=0,0,1000000*SER_hh_emi!G19/SER_hh_num!G19)</f>
        <v>656.97916807492993</v>
      </c>
      <c r="H19" s="131">
        <f>IF(SER_hh_emi!H19=0,0,1000000*SER_hh_emi!H19/SER_hh_num!H19)</f>
        <v>774.33966024145798</v>
      </c>
      <c r="I19" s="131">
        <f>IF(SER_hh_emi!I19=0,0,1000000*SER_hh_emi!I19/SER_hh_num!I19)</f>
        <v>727.44328045495615</v>
      </c>
      <c r="J19" s="131">
        <f>IF(SER_hh_emi!J19=0,0,1000000*SER_hh_emi!J19/SER_hh_num!J19)</f>
        <v>697.78849246429024</v>
      </c>
      <c r="K19" s="131">
        <f>IF(SER_hh_emi!K19=0,0,1000000*SER_hh_emi!K19/SER_hh_num!K19)</f>
        <v>702.58300115287386</v>
      </c>
      <c r="L19" s="131">
        <f>IF(SER_hh_emi!L19=0,0,1000000*SER_hh_emi!L19/SER_hh_num!L19)</f>
        <v>693.37964493422191</v>
      </c>
      <c r="M19" s="131">
        <f>IF(SER_hh_emi!M19=0,0,1000000*SER_hh_emi!M19/SER_hh_num!M19)</f>
        <v>695.54908652997449</v>
      </c>
      <c r="N19" s="131">
        <f>IF(SER_hh_emi!N19=0,0,1000000*SER_hh_emi!N19/SER_hh_num!N19)</f>
        <v>728.4687152895043</v>
      </c>
      <c r="O19" s="131">
        <f>IF(SER_hh_emi!O19=0,0,1000000*SER_hh_emi!O19/SER_hh_num!O19)</f>
        <v>770.17307678461623</v>
      </c>
      <c r="P19" s="131">
        <f>IF(SER_hh_emi!P19=0,0,1000000*SER_hh_emi!P19/SER_hh_num!P19)</f>
        <v>844.17305817407043</v>
      </c>
      <c r="Q19" s="131">
        <f>IF(SER_hh_emi!Q19=0,0,1000000*SER_hh_emi!Q19/SER_hh_num!Q19)</f>
        <v>794.63650953586864</v>
      </c>
      <c r="R19" s="131">
        <f>IF(SER_hh_emi!R19=0,0,1000000*SER_hh_emi!R19/SER_hh_num!R19)</f>
        <v>804.98490075705672</v>
      </c>
      <c r="S19" s="131">
        <f>IF(SER_hh_emi!S19=0,0,1000000*SER_hh_emi!S19/SER_hh_num!S19)</f>
        <v>792.58965962722652</v>
      </c>
      <c r="T19" s="131">
        <f>IF(SER_hh_emi!T19=0,0,1000000*SER_hh_emi!T19/SER_hh_num!T19)</f>
        <v>795.65794821018085</v>
      </c>
      <c r="U19" s="131">
        <f>IF(SER_hh_emi!U19=0,0,1000000*SER_hh_emi!U19/SER_hh_num!U19)</f>
        <v>789.96556866744731</v>
      </c>
      <c r="V19" s="131">
        <f>IF(SER_hh_emi!V19=0,0,1000000*SER_hh_emi!V19/SER_hh_num!V19)</f>
        <v>745.66035764247636</v>
      </c>
      <c r="W19" s="131">
        <f>IF(SER_hh_emi!W19=0,0,1000000*SER_hh_emi!W19/SER_hh_num!W19)</f>
        <v>804.47965260609885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1500.3596063181321</v>
      </c>
      <c r="C21" s="133">
        <f>IF(SER_hh_emi!C21=0,0,1000000*SER_hh_emi!C21/SER_hh_num!C21)</f>
        <v>1518.949279265712</v>
      </c>
      <c r="D21" s="133">
        <f>IF(SER_hh_emi!D21=0,0,1000000*SER_hh_emi!D21/SER_hh_num!D21)</f>
        <v>1588.3414138241255</v>
      </c>
      <c r="E21" s="133">
        <f>IF(SER_hh_emi!E21=0,0,1000000*SER_hh_emi!E21/SER_hh_num!E21)</f>
        <v>1655.6605824437081</v>
      </c>
      <c r="F21" s="133">
        <f>IF(SER_hh_emi!F21=0,0,1000000*SER_hh_emi!F21/SER_hh_num!F21)</f>
        <v>1605.4072084379027</v>
      </c>
      <c r="G21" s="133">
        <f>IF(SER_hh_emi!G21=0,0,1000000*SER_hh_emi!G21/SER_hh_num!G21)</f>
        <v>1641.855159135881</v>
      </c>
      <c r="H21" s="133">
        <f>IF(SER_hh_emi!H21=0,0,1000000*SER_hh_emi!H21/SER_hh_num!H21)</f>
        <v>1690.6989094139537</v>
      </c>
      <c r="I21" s="133">
        <f>IF(SER_hh_emi!I21=0,0,1000000*SER_hh_emi!I21/SER_hh_num!I21)</f>
        <v>1678.6858850663675</v>
      </c>
      <c r="J21" s="133">
        <f>IF(SER_hh_emi!J21=0,0,1000000*SER_hh_emi!J21/SER_hh_num!J21)</f>
        <v>1668.7309822676104</v>
      </c>
      <c r="K21" s="133">
        <f>IF(SER_hh_emi!K21=0,0,1000000*SER_hh_emi!K21/SER_hh_num!K21)</f>
        <v>1662.3719052542572</v>
      </c>
      <c r="L21" s="133">
        <f>IF(SER_hh_emi!L21=0,0,1000000*SER_hh_emi!L21/SER_hh_num!L21)</f>
        <v>1667.791566221191</v>
      </c>
      <c r="M21" s="133">
        <f>IF(SER_hh_emi!M21=0,0,1000000*SER_hh_emi!M21/SER_hh_num!M21)</f>
        <v>1654.1817134993789</v>
      </c>
      <c r="N21" s="133">
        <f>IF(SER_hh_emi!N21=0,0,1000000*SER_hh_emi!N21/SER_hh_num!N21)</f>
        <v>1627.6165709521492</v>
      </c>
      <c r="O21" s="133">
        <f>IF(SER_hh_emi!O21=0,0,1000000*SER_hh_emi!O21/SER_hh_num!O21)</f>
        <v>1605.374515343547</v>
      </c>
      <c r="P21" s="133">
        <f>IF(SER_hh_emi!P21=0,0,1000000*SER_hh_emi!P21/SER_hh_num!P21)</f>
        <v>1533.1183503569453</v>
      </c>
      <c r="Q21" s="133">
        <f>IF(SER_hh_emi!Q21=0,0,1000000*SER_hh_emi!Q21/SER_hh_num!Q21)</f>
        <v>1477.6186497577048</v>
      </c>
      <c r="R21" s="133">
        <f>IF(SER_hh_emi!R21=0,0,1000000*SER_hh_emi!R21/SER_hh_num!R21)</f>
        <v>1441.6117339734674</v>
      </c>
      <c r="S21" s="133">
        <f>IF(SER_hh_emi!S21=0,0,1000000*SER_hh_emi!S21/SER_hh_num!S21)</f>
        <v>1409.978481578305</v>
      </c>
      <c r="T21" s="133">
        <f>IF(SER_hh_emi!T21=0,0,1000000*SER_hh_emi!T21/SER_hh_num!T21)</f>
        <v>1529.6385568196315</v>
      </c>
      <c r="U21" s="133">
        <f>IF(SER_hh_emi!U21=0,0,1000000*SER_hh_emi!U21/SER_hh_num!U21)</f>
        <v>1423.4988681657039</v>
      </c>
      <c r="V21" s="133">
        <f>IF(SER_hh_emi!V21=0,0,1000000*SER_hh_emi!V21/SER_hh_num!V21)</f>
        <v>1139.6754095070798</v>
      </c>
      <c r="W21" s="133">
        <f>IF(SER_hh_emi!W21=0,0,1000000*SER_hh_emi!W21/SER_hh_num!W21)</f>
        <v>1400.6196119405879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1847.3832765322309</v>
      </c>
      <c r="C22" s="133">
        <f>IF(SER_hh_emi!C22=0,0,1000000*SER_hh_emi!C22/SER_hh_num!C22)</f>
        <v>1931.0152224042199</v>
      </c>
      <c r="D22" s="133">
        <f>IF(SER_hh_emi!D22=0,0,1000000*SER_hh_emi!D22/SER_hh_num!D22)</f>
        <v>1987.0613247774565</v>
      </c>
      <c r="E22" s="133">
        <f>IF(SER_hh_emi!E22=0,0,1000000*SER_hh_emi!E22/SER_hh_num!E22)</f>
        <v>2014.4187710068893</v>
      </c>
      <c r="F22" s="133">
        <f>IF(SER_hh_emi!F22=0,0,1000000*SER_hh_emi!F22/SER_hh_num!F22)</f>
        <v>2080.8403405003169</v>
      </c>
      <c r="G22" s="133">
        <f>IF(SER_hh_emi!G22=0,0,1000000*SER_hh_emi!G22/SER_hh_num!G22)</f>
        <v>2114.9589679297142</v>
      </c>
      <c r="H22" s="133">
        <f>IF(SER_hh_emi!H22=0,0,1000000*SER_hh_emi!H22/SER_hh_num!H22)</f>
        <v>2129.3595537835263</v>
      </c>
      <c r="I22" s="133">
        <f>IF(SER_hh_emi!I22=0,0,1000000*SER_hh_emi!I22/SER_hh_num!I22)</f>
        <v>2066.6642421302381</v>
      </c>
      <c r="J22" s="133">
        <f>IF(SER_hh_emi!J22=0,0,1000000*SER_hh_emi!J22/SER_hh_num!J22)</f>
        <v>2066.9922552384073</v>
      </c>
      <c r="K22" s="133">
        <f>IF(SER_hh_emi!K22=0,0,1000000*SER_hh_emi!K22/SER_hh_num!K22)</f>
        <v>2066.582181169611</v>
      </c>
      <c r="L22" s="133">
        <f>IF(SER_hh_emi!L22=0,0,1000000*SER_hh_emi!L22/SER_hh_num!L22)</f>
        <v>2056.22820451095</v>
      </c>
      <c r="M22" s="133">
        <f>IF(SER_hh_emi!M22=0,0,1000000*SER_hh_emi!M22/SER_hh_num!M22)</f>
        <v>2037.7556792542307</v>
      </c>
      <c r="N22" s="133">
        <f>IF(SER_hh_emi!N22=0,0,1000000*SER_hh_emi!N22/SER_hh_num!N22)</f>
        <v>2009.1321531803731</v>
      </c>
      <c r="O22" s="133">
        <f>IF(SER_hh_emi!O22=0,0,1000000*SER_hh_emi!O22/SER_hh_num!O22)</f>
        <v>1950.7076165771578</v>
      </c>
      <c r="P22" s="133">
        <f>IF(SER_hh_emi!P22=0,0,1000000*SER_hh_emi!P22/SER_hh_num!P22)</f>
        <v>1837.5965413114752</v>
      </c>
      <c r="Q22" s="133">
        <f>IF(SER_hh_emi!Q22=0,0,1000000*SER_hh_emi!Q22/SER_hh_num!Q22)</f>
        <v>1789.8683960442897</v>
      </c>
      <c r="R22" s="133">
        <f>IF(SER_hh_emi!R22=0,0,1000000*SER_hh_emi!R22/SER_hh_num!R22)</f>
        <v>1732.146459217337</v>
      </c>
      <c r="S22" s="133">
        <f>IF(SER_hh_emi!S22=0,0,1000000*SER_hh_emi!S22/SER_hh_num!S22)</f>
        <v>1637.405726272928</v>
      </c>
      <c r="T22" s="133">
        <f>IF(SER_hh_emi!T22=0,0,1000000*SER_hh_emi!T22/SER_hh_num!T22)</f>
        <v>1620.6095594527885</v>
      </c>
      <c r="U22" s="133">
        <f>IF(SER_hh_emi!U22=0,0,1000000*SER_hh_emi!U22/SER_hh_num!U22)</f>
        <v>1557.1782802595358</v>
      </c>
      <c r="V22" s="133">
        <f>IF(SER_hh_emi!V22=0,0,1000000*SER_hh_emi!V22/SER_hh_num!V22)</f>
        <v>1449.3550144136161</v>
      </c>
      <c r="W22" s="133">
        <f>IF(SER_hh_emi!W22=0,0,1000000*SER_hh_emi!W22/SER_hh_num!W22)</f>
        <v>1504.5920348938932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1378.9475678234219</v>
      </c>
      <c r="C23" s="133">
        <f>IF(SER_hh_emi!C23=0,0,1000000*SER_hh_emi!C23/SER_hh_num!C23)</f>
        <v>1411.7779740354054</v>
      </c>
      <c r="D23" s="133">
        <f>IF(SER_hh_emi!D23=0,0,1000000*SER_hh_emi!D23/SER_hh_num!D23)</f>
        <v>1517.2963449049455</v>
      </c>
      <c r="E23" s="133">
        <f>IF(SER_hh_emi!E23=0,0,1000000*SER_hh_emi!E23/SER_hh_num!E23)</f>
        <v>747.12382301334515</v>
      </c>
      <c r="F23" s="133">
        <f>IF(SER_hh_emi!F23=0,0,1000000*SER_hh_emi!F23/SER_hh_num!F23)</f>
        <v>1160.3770072291054</v>
      </c>
      <c r="G23" s="133">
        <f>IF(SER_hh_emi!G23=0,0,1000000*SER_hh_emi!G23/SER_hh_num!G23)</f>
        <v>1030.506453185621</v>
      </c>
      <c r="H23" s="133">
        <f>IF(SER_hh_emi!H23=0,0,1000000*SER_hh_emi!H23/SER_hh_num!H23)</f>
        <v>1696.5513352986736</v>
      </c>
      <c r="I23" s="133">
        <f>IF(SER_hh_emi!I23=0,0,1000000*SER_hh_emi!I23/SER_hh_num!I23)</f>
        <v>1462.9180370549791</v>
      </c>
      <c r="J23" s="133">
        <f>IF(SER_hh_emi!J23=0,0,1000000*SER_hh_emi!J23/SER_hh_num!J23)</f>
        <v>1373.5829014147782</v>
      </c>
      <c r="K23" s="133">
        <f>IF(SER_hh_emi!K23=0,0,1000000*SER_hh_emi!K23/SER_hh_num!K23)</f>
        <v>1394.3917701987934</v>
      </c>
      <c r="L23" s="133">
        <f>IF(SER_hh_emi!L23=0,0,1000000*SER_hh_emi!L23/SER_hh_num!L23)</f>
        <v>1367.1382703950535</v>
      </c>
      <c r="M23" s="133">
        <f>IF(SER_hh_emi!M23=0,0,1000000*SER_hh_emi!M23/SER_hh_num!M23)</f>
        <v>1295.4048279876222</v>
      </c>
      <c r="N23" s="133">
        <f>IF(SER_hh_emi!N23=0,0,1000000*SER_hh_emi!N23/SER_hh_num!N23)</f>
        <v>1280.2141266266019</v>
      </c>
      <c r="O23" s="133">
        <f>IF(SER_hh_emi!O23=0,0,1000000*SER_hh_emi!O23/SER_hh_num!O23)</f>
        <v>1276.285080476033</v>
      </c>
      <c r="P23" s="133">
        <f>IF(SER_hh_emi!P23=0,0,1000000*SER_hh_emi!P23/SER_hh_num!P23)</f>
        <v>1416.6331166385505</v>
      </c>
      <c r="Q23" s="133">
        <f>IF(SER_hh_emi!Q23=0,0,1000000*SER_hh_emi!Q23/SER_hh_num!Q23)</f>
        <v>1140.3163295287193</v>
      </c>
      <c r="R23" s="133">
        <f>IF(SER_hh_emi!R23=0,0,1000000*SER_hh_emi!R23/SER_hh_num!R23)</f>
        <v>1114.4357261599048</v>
      </c>
      <c r="S23" s="133">
        <f>IF(SER_hh_emi!S23=0,0,1000000*SER_hh_emi!S23/SER_hh_num!S23)</f>
        <v>1104.2738163718043</v>
      </c>
      <c r="T23" s="133">
        <f>IF(SER_hh_emi!T23=0,0,1000000*SER_hh_emi!T23/SER_hh_num!T23)</f>
        <v>1091.7040076230041</v>
      </c>
      <c r="U23" s="133">
        <f>IF(SER_hh_emi!U23=0,0,1000000*SER_hh_emi!U23/SER_hh_num!U23)</f>
        <v>1081.0762679984382</v>
      </c>
      <c r="V23" s="133">
        <f>IF(SER_hh_emi!V23=0,0,1000000*SER_hh_emi!V23/SER_hh_num!V23)</f>
        <v>957.44670563475131</v>
      </c>
      <c r="W23" s="133">
        <f>IF(SER_hh_emi!W23=0,0,1000000*SER_hh_emi!W23/SER_hh_num!W23)</f>
        <v>1023.3557114862862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480.89574254229188</v>
      </c>
      <c r="C29" s="131">
        <f>IF(SER_hh_emi!C29=0,0,1000000*SER_hh_emi!C29/SER_hh_num!C29)</f>
        <v>541.20567703433642</v>
      </c>
      <c r="D29" s="131">
        <f>IF(SER_hh_emi!D29=0,0,1000000*SER_hh_emi!D29/SER_hh_num!D29)</f>
        <v>495.22027682614834</v>
      </c>
      <c r="E29" s="131">
        <f>IF(SER_hh_emi!E29=0,0,1000000*SER_hh_emi!E29/SER_hh_num!E29)</f>
        <v>447.22838888314209</v>
      </c>
      <c r="F29" s="131">
        <f>IF(SER_hh_emi!F29=0,0,1000000*SER_hh_emi!F29/SER_hh_num!F29)</f>
        <v>558.74145193939319</v>
      </c>
      <c r="G29" s="131">
        <f>IF(SER_hh_emi!G29=0,0,1000000*SER_hh_emi!G29/SER_hh_num!G29)</f>
        <v>551.8757180861769</v>
      </c>
      <c r="H29" s="131">
        <f>IF(SER_hh_emi!H29=0,0,1000000*SER_hh_emi!H29/SER_hh_num!H29)</f>
        <v>559.57361027155036</v>
      </c>
      <c r="I29" s="131">
        <f>IF(SER_hh_emi!I29=0,0,1000000*SER_hh_emi!I29/SER_hh_num!I29)</f>
        <v>556.32774772812866</v>
      </c>
      <c r="J29" s="131">
        <f>IF(SER_hh_emi!J29=0,0,1000000*SER_hh_emi!J29/SER_hh_num!J29)</f>
        <v>575.89261476195668</v>
      </c>
      <c r="K29" s="131">
        <f>IF(SER_hh_emi!K29=0,0,1000000*SER_hh_emi!K29/SER_hh_num!K29)</f>
        <v>565.20768566773722</v>
      </c>
      <c r="L29" s="131">
        <f>IF(SER_hh_emi!L29=0,0,1000000*SER_hh_emi!L29/SER_hh_num!L29)</f>
        <v>579.30405332520286</v>
      </c>
      <c r="M29" s="131">
        <f>IF(SER_hh_emi!M29=0,0,1000000*SER_hh_emi!M29/SER_hh_num!M29)</f>
        <v>581.96434536033757</v>
      </c>
      <c r="N29" s="131">
        <f>IF(SER_hh_emi!N29=0,0,1000000*SER_hh_emi!N29/SER_hh_num!N29)</f>
        <v>604.26607780692132</v>
      </c>
      <c r="O29" s="131">
        <f>IF(SER_hh_emi!O29=0,0,1000000*SER_hh_emi!O29/SER_hh_num!O29)</f>
        <v>670.63661384530246</v>
      </c>
      <c r="P29" s="131">
        <f>IF(SER_hh_emi!P29=0,0,1000000*SER_hh_emi!P29/SER_hh_num!P29)</f>
        <v>1024.6385143232797</v>
      </c>
      <c r="Q29" s="131">
        <f>IF(SER_hh_emi!Q29=0,0,1000000*SER_hh_emi!Q29/SER_hh_num!Q29)</f>
        <v>1152.3799866377124</v>
      </c>
      <c r="R29" s="131">
        <f>IF(SER_hh_emi!R29=0,0,1000000*SER_hh_emi!R29/SER_hh_num!R29)</f>
        <v>1205.4417591459551</v>
      </c>
      <c r="S29" s="131">
        <f>IF(SER_hh_emi!S29=0,0,1000000*SER_hh_emi!S29/SER_hh_num!S29)</f>
        <v>1167.3138982081555</v>
      </c>
      <c r="T29" s="131">
        <f>IF(SER_hh_emi!T29=0,0,1000000*SER_hh_emi!T29/SER_hh_num!T29)</f>
        <v>1050.1717284894305</v>
      </c>
      <c r="U29" s="131">
        <f>IF(SER_hh_emi!U29=0,0,1000000*SER_hh_emi!U29/SER_hh_num!U29)</f>
        <v>1040.3455518431051</v>
      </c>
      <c r="V29" s="131">
        <f>IF(SER_hh_emi!V29=0,0,1000000*SER_hh_emi!V29/SER_hh_num!V29)</f>
        <v>1032.2348898964121</v>
      </c>
      <c r="W29" s="131">
        <f>IF(SER_hh_emi!W29=0,0,1000000*SER_hh_emi!W29/SER_hh_num!W29)</f>
        <v>1013.7249989591128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1704.501799563888</v>
      </c>
      <c r="C30" s="133">
        <f>IF(SER_hh_emi!C30=0,0,1000000*SER_hh_emi!C30/SER_hh_num!C30)</f>
        <v>1805.0687540220006</v>
      </c>
      <c r="D30" s="133">
        <f>IF(SER_hh_emi!D30=0,0,1000000*SER_hh_emi!D30/SER_hh_num!D30)</f>
        <v>1747.2089728382136</v>
      </c>
      <c r="E30" s="133">
        <f>IF(SER_hh_emi!E30=0,0,1000000*SER_hh_emi!E30/SER_hh_num!E30)</f>
        <v>1698.2603946181848</v>
      </c>
      <c r="F30" s="133">
        <f>IF(SER_hh_emi!F30=0,0,1000000*SER_hh_emi!F30/SER_hh_num!F30)</f>
        <v>1840.2855716360218</v>
      </c>
      <c r="G30" s="133">
        <f>IF(SER_hh_emi!G30=0,0,1000000*SER_hh_emi!G30/SER_hh_num!G30)</f>
        <v>1794.8421965972757</v>
      </c>
      <c r="H30" s="133">
        <f>IF(SER_hh_emi!H30=0,0,1000000*SER_hh_emi!H30/SER_hh_num!H30)</f>
        <v>1746.1918179608504</v>
      </c>
      <c r="I30" s="133">
        <f>IF(SER_hh_emi!I30=0,0,1000000*SER_hh_emi!I30/SER_hh_num!I30)</f>
        <v>1882.1840097086399</v>
      </c>
      <c r="J30" s="133">
        <f>IF(SER_hh_emi!J30=0,0,1000000*SER_hh_emi!J30/SER_hh_num!J30)</f>
        <v>2026.2923285424843</v>
      </c>
      <c r="K30" s="133">
        <f>IF(SER_hh_emi!K30=0,0,1000000*SER_hh_emi!K30/SER_hh_num!K30)</f>
        <v>1903.4604532501876</v>
      </c>
      <c r="L30" s="133">
        <f>IF(SER_hh_emi!L30=0,0,1000000*SER_hh_emi!L30/SER_hh_num!L30)</f>
        <v>1985.4890278429259</v>
      </c>
      <c r="M30" s="133">
        <f>IF(SER_hh_emi!M30=0,0,1000000*SER_hh_emi!M30/SER_hh_num!M30)</f>
        <v>1963.5922367695541</v>
      </c>
      <c r="N30" s="133">
        <f>IF(SER_hh_emi!N30=0,0,1000000*SER_hh_emi!N30/SER_hh_num!N30)</f>
        <v>1996.1108466585376</v>
      </c>
      <c r="O30" s="133">
        <f>IF(SER_hh_emi!O30=0,0,1000000*SER_hh_emi!O30/SER_hh_num!O30)</f>
        <v>1997.4571388692821</v>
      </c>
      <c r="P30" s="133">
        <f>IF(SER_hh_emi!P30=0,0,1000000*SER_hh_emi!P30/SER_hh_num!P30)</f>
        <v>1378.8275493922074</v>
      </c>
      <c r="Q30" s="133">
        <f>IF(SER_hh_emi!Q30=0,0,1000000*SER_hh_emi!Q30/SER_hh_num!Q30)</f>
        <v>1895.4453979385194</v>
      </c>
      <c r="R30" s="133">
        <f>IF(SER_hh_emi!R30=0,0,1000000*SER_hh_emi!R30/SER_hh_num!R30)</f>
        <v>2359.1486240186055</v>
      </c>
      <c r="S30" s="133">
        <f>IF(SER_hh_emi!S30=0,0,1000000*SER_hh_emi!S30/SER_hh_num!S30)</f>
        <v>1835.646917277134</v>
      </c>
      <c r="T30" s="133">
        <f>IF(SER_hh_emi!T30=0,0,1000000*SER_hh_emi!T30/SER_hh_num!T30)</f>
        <v>2163.7687570010708</v>
      </c>
      <c r="U30" s="133">
        <f>IF(SER_hh_emi!U30=0,0,1000000*SER_hh_emi!U30/SER_hh_num!U30)</f>
        <v>2087.3986688115247</v>
      </c>
      <c r="V30" s="133">
        <f>IF(SER_hh_emi!V30=0,0,1000000*SER_hh_emi!V30/SER_hh_num!V30)</f>
        <v>1569.9890900383357</v>
      </c>
      <c r="W30" s="133">
        <f>IF(SER_hh_emi!W30=0,0,1000000*SER_hh_emi!W30/SER_hh_num!W30)</f>
        <v>2007.1475844618515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1409.6158799082814</v>
      </c>
      <c r="C31" s="133">
        <f>IF(SER_hh_emi!C31=0,0,1000000*SER_hh_emi!C31/SER_hh_num!C31)</f>
        <v>1654.815339143337</v>
      </c>
      <c r="D31" s="133">
        <f>IF(SER_hh_emi!D31=0,0,1000000*SER_hh_emi!D31/SER_hh_num!D31)</f>
        <v>1428.295644843864</v>
      </c>
      <c r="E31" s="133">
        <f>IF(SER_hh_emi!E31=0,0,1000000*SER_hh_emi!E31/SER_hh_num!E31)</f>
        <v>1149.1018740850636</v>
      </c>
      <c r="F31" s="133">
        <f>IF(SER_hh_emi!F31=0,0,1000000*SER_hh_emi!F31/SER_hh_num!F31)</f>
        <v>1578.757329120742</v>
      </c>
      <c r="G31" s="133">
        <f>IF(SER_hh_emi!G31=0,0,1000000*SER_hh_emi!G31/SER_hh_num!G31)</f>
        <v>1564.3663789949235</v>
      </c>
      <c r="H31" s="133">
        <f>IF(SER_hh_emi!H31=0,0,1000000*SER_hh_emi!H31/SER_hh_num!H31)</f>
        <v>1657.2576464041067</v>
      </c>
      <c r="I31" s="133">
        <f>IF(SER_hh_emi!I31=0,0,1000000*SER_hh_emi!I31/SER_hh_num!I31)</f>
        <v>1626.8032602484536</v>
      </c>
      <c r="J31" s="133">
        <f>IF(SER_hh_emi!J31=0,0,1000000*SER_hh_emi!J31/SER_hh_num!J31)</f>
        <v>1690.2389793633415</v>
      </c>
      <c r="K31" s="133">
        <f>IF(SER_hh_emi!K31=0,0,1000000*SER_hh_emi!K31/SER_hh_num!K31)</f>
        <v>1684.8494603187658</v>
      </c>
      <c r="L31" s="133">
        <f>IF(SER_hh_emi!L31=0,0,1000000*SER_hh_emi!L31/SER_hh_num!L31)</f>
        <v>1719.990809614611</v>
      </c>
      <c r="M31" s="133">
        <f>IF(SER_hh_emi!M31=0,0,1000000*SER_hh_emi!M31/SER_hh_num!M31)</f>
        <v>1678.6210030851917</v>
      </c>
      <c r="N31" s="133">
        <f>IF(SER_hh_emi!N31=0,0,1000000*SER_hh_emi!N31/SER_hh_num!N31)</f>
        <v>1531.5200760842665</v>
      </c>
      <c r="O31" s="133">
        <f>IF(SER_hh_emi!O31=0,0,1000000*SER_hh_emi!O31/SER_hh_num!O31)</f>
        <v>1404.6419144051451</v>
      </c>
      <c r="P31" s="133">
        <f>IF(SER_hh_emi!P31=0,0,1000000*SER_hh_emi!P31/SER_hh_num!P31)</f>
        <v>1879.7676234769579</v>
      </c>
      <c r="Q31" s="133">
        <f>IF(SER_hh_emi!Q31=0,0,1000000*SER_hh_emi!Q31/SER_hh_num!Q31)</f>
        <v>1790.4807913098914</v>
      </c>
      <c r="R31" s="133">
        <f>IF(SER_hh_emi!R31=0,0,1000000*SER_hh_emi!R31/SER_hh_num!R31)</f>
        <v>1735.8343782623831</v>
      </c>
      <c r="S31" s="133">
        <f>IF(SER_hh_emi!S31=0,0,1000000*SER_hh_emi!S31/SER_hh_num!S31)</f>
        <v>1740.4964420495901</v>
      </c>
      <c r="T31" s="133">
        <f>IF(SER_hh_emi!T31=0,0,1000000*SER_hh_emi!T31/SER_hh_num!T31)</f>
        <v>1574.9396460514663</v>
      </c>
      <c r="U31" s="133">
        <f>IF(SER_hh_emi!U31=0,0,1000000*SER_hh_emi!U31/SER_hh_num!U31)</f>
        <v>1632.8367578015163</v>
      </c>
      <c r="V31" s="133">
        <f>IF(SER_hh_emi!V31=0,0,1000000*SER_hh_emi!V31/SER_hh_num!V31)</f>
        <v>1672.7965513911277</v>
      </c>
      <c r="W31" s="133">
        <f>IF(SER_hh_emi!W31=0,0,1000000*SER_hh_emi!W31/SER_hh_num!W31)</f>
        <v>1615.2362328718098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29.790978468546985</v>
      </c>
      <c r="C3" s="126">
        <f>IF(SER_hh_fech!C3=0,0,SER_hh_fech!C3/SER_summary!C$26)</f>
        <v>29.937900659342745</v>
      </c>
      <c r="D3" s="126">
        <f>IF(SER_hh_fech!D3=0,0,SER_hh_fech!D3/SER_summary!D$26)</f>
        <v>29.023416088974994</v>
      </c>
      <c r="E3" s="126">
        <f>IF(SER_hh_fech!E3=0,0,SER_hh_fech!E3/SER_summary!E$26)</f>
        <v>27.163469646606966</v>
      </c>
      <c r="F3" s="126">
        <f>IF(SER_hh_fech!F3=0,0,SER_hh_fech!F3/SER_summary!F$26)</f>
        <v>28.95258311418749</v>
      </c>
      <c r="G3" s="126">
        <f>IF(SER_hh_fech!G3=0,0,SER_hh_fech!G3/SER_summary!G$26)</f>
        <v>30.770382624725205</v>
      </c>
      <c r="H3" s="126">
        <f>IF(SER_hh_fech!H3=0,0,SER_hh_fech!H3/SER_summary!H$26)</f>
        <v>40.43176678907659</v>
      </c>
      <c r="I3" s="126">
        <f>IF(SER_hh_fech!I3=0,0,SER_hh_fech!I3/SER_summary!I$26)</f>
        <v>32.337155843962378</v>
      </c>
      <c r="J3" s="126">
        <f>IF(SER_hh_fech!J3=0,0,SER_hh_fech!J3/SER_summary!J$26)</f>
        <v>32.433272926859622</v>
      </c>
      <c r="K3" s="126">
        <f>IF(SER_hh_fech!K3=0,0,SER_hh_fech!K3/SER_summary!K$26)</f>
        <v>34.61391807226164</v>
      </c>
      <c r="L3" s="126">
        <f>IF(SER_hh_fech!L3=0,0,SER_hh_fech!L3/SER_summary!L$26)</f>
        <v>37.635930703361403</v>
      </c>
      <c r="M3" s="126">
        <f>IF(SER_hh_fech!M3=0,0,SER_hh_fech!M3/SER_summary!M$26)</f>
        <v>37.224493201036758</v>
      </c>
      <c r="N3" s="126">
        <f>IF(SER_hh_fech!N3=0,0,SER_hh_fech!N3/SER_summary!N$26)</f>
        <v>34.330776784498532</v>
      </c>
      <c r="O3" s="126">
        <f>IF(SER_hh_fech!O3=0,0,SER_hh_fech!O3/SER_summary!O$26)</f>
        <v>32.088218129346814</v>
      </c>
      <c r="P3" s="126">
        <f>IF(SER_hh_fech!P3=0,0,SER_hh_fech!P3/SER_summary!P$26)</f>
        <v>26.826794927464604</v>
      </c>
      <c r="Q3" s="126">
        <f>IF(SER_hh_fech!Q3=0,0,SER_hh_fech!Q3/SER_summary!Q$26)</f>
        <v>27.523090502684472</v>
      </c>
      <c r="R3" s="126">
        <f>IF(SER_hh_fech!R3=0,0,SER_hh_fech!R3/SER_summary!R$26)</f>
        <v>27.685956357487207</v>
      </c>
      <c r="S3" s="126">
        <f>IF(SER_hh_fech!S3=0,0,SER_hh_fech!S3/SER_summary!S$26)</f>
        <v>28.956178821910715</v>
      </c>
      <c r="T3" s="126">
        <f>IF(SER_hh_fech!T3=0,0,SER_hh_fech!T3/SER_summary!T$26)</f>
        <v>29.042666679553612</v>
      </c>
      <c r="U3" s="126">
        <f>IF(SER_hh_fech!U3=0,0,SER_hh_fech!U3/SER_summary!U$26)</f>
        <v>28.942562623782631</v>
      </c>
      <c r="V3" s="126">
        <f>IF(SER_hh_fech!V3=0,0,SER_hh_fech!V3/SER_summary!V$26)</f>
        <v>26.282946234033687</v>
      </c>
      <c r="W3" s="126">
        <f>IF(SER_hh_fech!W3=0,0,SER_hh_fech!W3/SER_summary!W$26)</f>
        <v>28.574453726150196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14.115047856154986</v>
      </c>
      <c r="C4" s="131">
        <f>IF(SER_hh_fech!C4=0,0,SER_hh_fech!C4/SER_summary!C$26)</f>
        <v>13.630708291037289</v>
      </c>
      <c r="D4" s="131">
        <f>IF(SER_hh_fech!D4=0,0,SER_hh_fech!D4/SER_summary!D$26)</f>
        <v>12.862000830894354</v>
      </c>
      <c r="E4" s="131">
        <f>IF(SER_hh_fech!E4=0,0,SER_hh_fech!E4/SER_summary!E$26)</f>
        <v>10.592915962000971</v>
      </c>
      <c r="F4" s="131">
        <f>IF(SER_hh_fech!F4=0,0,SER_hh_fech!F4/SER_summary!F$26)</f>
        <v>11.789460422049117</v>
      </c>
      <c r="G4" s="131">
        <f>IF(SER_hh_fech!G4=0,0,SER_hh_fech!G4/SER_summary!G$26)</f>
        <v>13.346580337960802</v>
      </c>
      <c r="H4" s="131">
        <f>IF(SER_hh_fech!H4=0,0,SER_hh_fech!H4/SER_summary!H$26)</f>
        <v>21.894604237871643</v>
      </c>
      <c r="I4" s="131">
        <f>IF(SER_hh_fech!I4=0,0,SER_hh_fech!I4/SER_summary!I$26)</f>
        <v>14.440312516457944</v>
      </c>
      <c r="J4" s="131">
        <f>IF(SER_hh_fech!J4=0,0,SER_hh_fech!J4/SER_summary!J$26)</f>
        <v>14.072627000349064</v>
      </c>
      <c r="K4" s="131">
        <f>IF(SER_hh_fech!K4=0,0,SER_hh_fech!K4/SER_summary!K$26)</f>
        <v>14.983414353287442</v>
      </c>
      <c r="L4" s="131">
        <f>IF(SER_hh_fech!L4=0,0,SER_hh_fech!L4/SER_summary!L$26)</f>
        <v>17.906681901622626</v>
      </c>
      <c r="M4" s="131">
        <f>IF(SER_hh_fech!M4=0,0,SER_hh_fech!M4/SER_summary!M$26)</f>
        <v>17.730399889528432</v>
      </c>
      <c r="N4" s="131">
        <f>IF(SER_hh_fech!N4=0,0,SER_hh_fech!N4/SER_summary!N$26)</f>
        <v>14.335152783033033</v>
      </c>
      <c r="O4" s="131">
        <f>IF(SER_hh_fech!O4=0,0,SER_hh_fech!O4/SER_summary!O$26)</f>
        <v>12.785223352013128</v>
      </c>
      <c r="P4" s="131">
        <f>IF(SER_hh_fech!P4=0,0,SER_hh_fech!P4/SER_summary!P$26)</f>
        <v>7.6383016607516474</v>
      </c>
      <c r="Q4" s="131">
        <f>IF(SER_hh_fech!Q4=0,0,SER_hh_fech!Q4/SER_summary!Q$26)</f>
        <v>7.1314365419214072</v>
      </c>
      <c r="R4" s="131">
        <f>IF(SER_hh_fech!R4=0,0,SER_hh_fech!R4/SER_summary!R$26)</f>
        <v>7.895009327676469</v>
      </c>
      <c r="S4" s="131">
        <f>IF(SER_hh_fech!S4=0,0,SER_hh_fech!S4/SER_summary!S$26)</f>
        <v>8.6462456391532712</v>
      </c>
      <c r="T4" s="131">
        <f>IF(SER_hh_fech!T4=0,0,SER_hh_fech!T4/SER_summary!T$26)</f>
        <v>10.128137088978653</v>
      </c>
      <c r="U4" s="131">
        <f>IF(SER_hh_fech!U4=0,0,SER_hh_fech!U4/SER_summary!U$26)</f>
        <v>10.017598699088095</v>
      </c>
      <c r="V4" s="131">
        <f>IF(SER_hh_fech!V4=0,0,SER_hh_fech!V4/SER_summary!V$26)</f>
        <v>9.0885630254140271</v>
      </c>
      <c r="W4" s="131">
        <f>IF(SER_hh_fech!W4=0,0,SER_hh_fech!W4/SER_summary!W$26)</f>
        <v>10.57579256666237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15.172615422703482</v>
      </c>
      <c r="C7" s="133">
        <f>IF(SER_hh_fech!C7=0,0,SER_hh_fech!C7/SER_summary!C$26)</f>
        <v>14.84615912146387</v>
      </c>
      <c r="D7" s="133">
        <f>IF(SER_hh_fech!D7=0,0,SER_hh_fech!D7/SER_summary!D$26)</f>
        <v>12.3197251918681</v>
      </c>
      <c r="E7" s="133">
        <f>IF(SER_hh_fech!E7=0,0,SER_hh_fech!E7/SER_summary!E$26)</f>
        <v>12.41914451065194</v>
      </c>
      <c r="F7" s="133">
        <f>IF(SER_hh_fech!F7=0,0,SER_hh_fech!F7/SER_summary!F$26)</f>
        <v>13.888974235839587</v>
      </c>
      <c r="G7" s="133">
        <f>IF(SER_hh_fech!G7=0,0,SER_hh_fech!G7/SER_summary!G$26)</f>
        <v>16.057395775525425</v>
      </c>
      <c r="H7" s="133">
        <f>IF(SER_hh_fech!H7=0,0,SER_hh_fech!H7/SER_summary!H$26)</f>
        <v>15.714653233755596</v>
      </c>
      <c r="I7" s="133">
        <f>IF(SER_hh_fech!I7=0,0,SER_hh_fech!I7/SER_summary!I$26)</f>
        <v>16.860201754801</v>
      </c>
      <c r="J7" s="133">
        <f>IF(SER_hh_fech!J7=0,0,SER_hh_fech!J7/SER_summary!J$26)</f>
        <v>17.984434251793779</v>
      </c>
      <c r="K7" s="133">
        <f>IF(SER_hh_fech!K7=0,0,SER_hh_fech!K7/SER_summary!K$26)</f>
        <v>20.342345370879997</v>
      </c>
      <c r="L7" s="133">
        <f>IF(SER_hh_fech!L7=0,0,SER_hh_fech!L7/SER_summary!L$26)</f>
        <v>20.126788559097093</v>
      </c>
      <c r="M7" s="133">
        <f>IF(SER_hh_fech!M7=0,0,SER_hh_fech!M7/SER_summary!M$26)</f>
        <v>16.885996575886207</v>
      </c>
      <c r="N7" s="133">
        <f>IF(SER_hh_fech!N7=0,0,SER_hh_fech!N7/SER_summary!N$26)</f>
        <v>16.392849913383078</v>
      </c>
      <c r="O7" s="133">
        <f>IF(SER_hh_fech!O7=0,0,SER_hh_fech!O7/SER_summary!O$26)</f>
        <v>15.652117532505159</v>
      </c>
      <c r="P7" s="133">
        <f>IF(SER_hh_fech!P7=0,0,SER_hh_fech!P7/SER_summary!P$26)</f>
        <v>11.743349504603797</v>
      </c>
      <c r="Q7" s="133">
        <f>IF(SER_hh_fech!Q7=0,0,SER_hh_fech!Q7/SER_summary!Q$26)</f>
        <v>8.371304610650105</v>
      </c>
      <c r="R7" s="133">
        <f>IF(SER_hh_fech!R7=0,0,SER_hh_fech!R7/SER_summary!R$26)</f>
        <v>10.993584993116103</v>
      </c>
      <c r="S7" s="133">
        <f>IF(SER_hh_fech!S7=0,0,SER_hh_fech!S7/SER_summary!S$26)</f>
        <v>12.820531558335382</v>
      </c>
      <c r="T7" s="133">
        <f>IF(SER_hh_fech!T7=0,0,SER_hh_fech!T7/SER_summary!T$26)</f>
        <v>14.256150026402016</v>
      </c>
      <c r="U7" s="133">
        <f>IF(SER_hh_fech!U7=0,0,SER_hh_fech!U7/SER_summary!U$26)</f>
        <v>14.406603031444405</v>
      </c>
      <c r="V7" s="133">
        <f>IF(SER_hh_fech!V7=0,0,SER_hh_fech!V7/SER_summary!V$26)</f>
        <v>14.602749693730102</v>
      </c>
      <c r="W7" s="133">
        <f>IF(SER_hh_fech!W7=0,0,SER_hh_fech!W7/SER_summary!W$26)</f>
        <v>16.829273334669658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5.2963029205909793</v>
      </c>
      <c r="C8" s="133">
        <f>IF(SER_hh_fech!C8=0,0,SER_hh_fech!C8/SER_summary!C$26)</f>
        <v>5.4459416690440685</v>
      </c>
      <c r="D8" s="133">
        <f>IF(SER_hh_fech!D8=0,0,SER_hh_fech!D8/SER_summary!D$26)</f>
        <v>4.6574897370485706</v>
      </c>
      <c r="E8" s="133">
        <f>IF(SER_hh_fech!E8=0,0,SER_hh_fech!E8/SER_summary!E$26)</f>
        <v>3.0218558215809153</v>
      </c>
      <c r="F8" s="133">
        <f>IF(SER_hh_fech!F8=0,0,SER_hh_fech!F8/SER_summary!F$26)</f>
        <v>3.0382544617053857</v>
      </c>
      <c r="G8" s="133">
        <f>IF(SER_hh_fech!G8=0,0,SER_hh_fech!G8/SER_summary!G$26)</f>
        <v>4.2749099823242309</v>
      </c>
      <c r="H8" s="133">
        <f>IF(SER_hh_fech!H8=0,0,SER_hh_fech!H8/SER_summary!H$26)</f>
        <v>6.283418295113357</v>
      </c>
      <c r="I8" s="133">
        <f>IF(SER_hh_fech!I8=0,0,SER_hh_fech!I8/SER_summary!I$26)</f>
        <v>5.1746363836089566</v>
      </c>
      <c r="J8" s="133">
        <f>IF(SER_hh_fech!J8=0,0,SER_hh_fech!J8/SER_summary!J$26)</f>
        <v>4.7977349112674244</v>
      </c>
      <c r="K8" s="133">
        <f>IF(SER_hh_fech!K8=0,0,SER_hh_fech!K8/SER_summary!K$26)</f>
        <v>4.2930814104880834</v>
      </c>
      <c r="L8" s="133">
        <f>IF(SER_hh_fech!L8=0,0,SER_hh_fech!L8/SER_summary!L$26)</f>
        <v>3.5230401317756908</v>
      </c>
      <c r="M8" s="133">
        <f>IF(SER_hh_fech!M8=0,0,SER_hh_fech!M8/SER_summary!M$26)</f>
        <v>3.2786321826444151</v>
      </c>
      <c r="N8" s="133">
        <f>IF(SER_hh_fech!N8=0,0,SER_hh_fech!N8/SER_summary!N$26)</f>
        <v>2.360525677364314</v>
      </c>
      <c r="O8" s="133">
        <f>IF(SER_hh_fech!O8=0,0,SER_hh_fech!O8/SER_summary!O$26)</f>
        <v>2.1271287597663182</v>
      </c>
      <c r="P8" s="133">
        <f>IF(SER_hh_fech!P8=0,0,SER_hh_fech!P8/SER_summary!P$26)</f>
        <v>2.1351119760270589</v>
      </c>
      <c r="Q8" s="133">
        <f>IF(SER_hh_fech!Q8=0,0,SER_hh_fech!Q8/SER_summary!Q$26)</f>
        <v>2.0338375618470192</v>
      </c>
      <c r="R8" s="133">
        <f>IF(SER_hh_fech!R8=0,0,SER_hh_fech!R8/SER_summary!R$26)</f>
        <v>2.2678190184394094</v>
      </c>
      <c r="S8" s="133">
        <f>IF(SER_hh_fech!S8=0,0,SER_hh_fech!S8/SER_summary!S$26)</f>
        <v>2.5364119422813625</v>
      </c>
      <c r="T8" s="133">
        <f>IF(SER_hh_fech!T8=0,0,SER_hh_fech!T8/SER_summary!T$26)</f>
        <v>2.8686692286954592</v>
      </c>
      <c r="U8" s="133">
        <f>IF(SER_hh_fech!U8=0,0,SER_hh_fech!U8/SER_summary!U$26)</f>
        <v>3.1145780552508331</v>
      </c>
      <c r="V8" s="133">
        <f>IF(SER_hh_fech!V8=0,0,SER_hh_fech!V8/SER_summary!V$26)</f>
        <v>3.2062706955856437</v>
      </c>
      <c r="W8" s="133">
        <f>IF(SER_hh_fech!W8=0,0,SER_hh_fech!W8/SER_summary!W$26)</f>
        <v>3.5367505698290915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10.35115639600312</v>
      </c>
      <c r="C9" s="133">
        <f>IF(SER_hh_fech!C9=0,0,SER_hh_fech!C9/SER_summary!C$26)</f>
        <v>12.675353420971001</v>
      </c>
      <c r="D9" s="133">
        <f>IF(SER_hh_fech!D9=0,0,SER_hh_fech!D9/SER_summary!D$26)</f>
        <v>18.890835089528299</v>
      </c>
      <c r="E9" s="133">
        <f>IF(SER_hh_fech!E9=0,0,SER_hh_fech!E9/SER_summary!E$26)</f>
        <v>1.6475724415087962</v>
      </c>
      <c r="F9" s="133">
        <f>IF(SER_hh_fech!F9=0,0,SER_hh_fech!F9/SER_summary!F$26)</f>
        <v>1.9435333278918216</v>
      </c>
      <c r="G9" s="133">
        <f>IF(SER_hh_fech!G9=0,0,SER_hh_fech!G9/SER_summary!G$26)</f>
        <v>9.7316906144324964</v>
      </c>
      <c r="H9" s="133">
        <f>IF(SER_hh_fech!H9=0,0,SER_hh_fech!H9/SER_summary!H$26)</f>
        <v>30.715494953740041</v>
      </c>
      <c r="I9" s="133">
        <f>IF(SER_hh_fech!I9=0,0,SER_hh_fech!I9/SER_summary!I$26)</f>
        <v>14.115336405875407</v>
      </c>
      <c r="J9" s="133">
        <f>IF(SER_hh_fech!J9=0,0,SER_hh_fech!J9/SER_summary!J$26)</f>
        <v>10.560046239261387</v>
      </c>
      <c r="K9" s="133">
        <f>IF(SER_hh_fech!K9=0,0,SER_hh_fech!K9/SER_summary!K$26)</f>
        <v>13.799825985046819</v>
      </c>
      <c r="L9" s="133">
        <f>IF(SER_hh_fech!L9=0,0,SER_hh_fech!L9/SER_summary!L$26)</f>
        <v>18.289650642063805</v>
      </c>
      <c r="M9" s="133">
        <f>IF(SER_hh_fech!M9=0,0,SER_hh_fech!M9/SER_summary!M$26)</f>
        <v>20.394869813482998</v>
      </c>
      <c r="N9" s="133">
        <f>IF(SER_hh_fech!N9=0,0,SER_hh_fech!N9/SER_summary!N$26)</f>
        <v>15.085967323030228</v>
      </c>
      <c r="O9" s="133">
        <f>IF(SER_hh_fech!O9=0,0,SER_hh_fech!O9/SER_summary!O$26)</f>
        <v>13.799785787753589</v>
      </c>
      <c r="P9" s="133">
        <f>IF(SER_hh_fech!P9=0,0,SER_hh_fech!P9/SER_summary!P$26)</f>
        <v>6.3196874839615163</v>
      </c>
      <c r="Q9" s="133">
        <f>IF(SER_hh_fech!Q9=0,0,SER_hh_fech!Q9/SER_summary!Q$26)</f>
        <v>9.7070936472980005</v>
      </c>
      <c r="R9" s="133">
        <f>IF(SER_hh_fech!R9=0,0,SER_hh_fech!R9/SER_summary!R$26)</f>
        <v>9.8310259718472324</v>
      </c>
      <c r="S9" s="133">
        <f>IF(SER_hh_fech!S9=0,0,SER_hh_fech!S9/SER_summary!S$26)</f>
        <v>10.476402612702422</v>
      </c>
      <c r="T9" s="133">
        <f>IF(SER_hh_fech!T9=0,0,SER_hh_fech!T9/SER_summary!T$26)</f>
        <v>14.84961531186026</v>
      </c>
      <c r="U9" s="133">
        <f>IF(SER_hh_fech!U9=0,0,SER_hh_fech!U9/SER_summary!U$26)</f>
        <v>15.158315124127844</v>
      </c>
      <c r="V9" s="133">
        <f>IF(SER_hh_fech!V9=0,0,SER_hh_fech!V9/SER_summary!V$26)</f>
        <v>13.181913079469219</v>
      </c>
      <c r="W9" s="133">
        <f>IF(SER_hh_fech!W9=0,0,SER_hh_fech!W9/SER_summary!W$26)</f>
        <v>16.271705658351266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15.39558866187445</v>
      </c>
      <c r="C10" s="133">
        <f>IF(SER_hh_fech!C10=0,0,SER_hh_fech!C10/SER_summary!C$26)</f>
        <v>14.728401901816994</v>
      </c>
      <c r="D10" s="133">
        <f>IF(SER_hh_fech!D10=0,0,SER_hh_fech!D10/SER_summary!D$26)</f>
        <v>13.190630689882148</v>
      </c>
      <c r="E10" s="133">
        <f>IF(SER_hh_fech!E10=0,0,SER_hh_fech!E10/SER_summary!E$26)</f>
        <v>12.78600467515853</v>
      </c>
      <c r="F10" s="133">
        <f>IF(SER_hh_fech!F10=0,0,SER_hh_fech!F10/SER_summary!F$26)</f>
        <v>12.730936044511449</v>
      </c>
      <c r="G10" s="133">
        <f>IF(SER_hh_fech!G10=0,0,SER_hh_fech!G10/SER_summary!G$26)</f>
        <v>13.338556031921792</v>
      </c>
      <c r="H10" s="133">
        <f>IF(SER_hh_fech!H10=0,0,SER_hh_fech!H10/SER_summary!H$26)</f>
        <v>20.201601503662733</v>
      </c>
      <c r="I10" s="133">
        <f>IF(SER_hh_fech!I10=0,0,SER_hh_fech!I10/SER_summary!I$26)</f>
        <v>18.155675786296374</v>
      </c>
      <c r="J10" s="133">
        <f>IF(SER_hh_fech!J10=0,0,SER_hh_fech!J10/SER_summary!J$26)</f>
        <v>20.762654936357642</v>
      </c>
      <c r="K10" s="133">
        <f>IF(SER_hh_fech!K10=0,0,SER_hh_fech!K10/SER_summary!K$26)</f>
        <v>16.158560960687502</v>
      </c>
      <c r="L10" s="133">
        <f>IF(SER_hh_fech!L10=0,0,SER_hh_fech!L10/SER_summary!L$26)</f>
        <v>18.235044907623308</v>
      </c>
      <c r="M10" s="133">
        <f>IF(SER_hh_fech!M10=0,0,SER_hh_fech!M10/SER_summary!M$26)</f>
        <v>18.967159993975326</v>
      </c>
      <c r="N10" s="133">
        <f>IF(SER_hh_fech!N10=0,0,SER_hh_fech!N10/SER_summary!N$26)</f>
        <v>16.503861477379161</v>
      </c>
      <c r="O10" s="133">
        <f>IF(SER_hh_fech!O10=0,0,SER_hh_fech!O10/SER_summary!O$26)</f>
        <v>13.769586348948851</v>
      </c>
      <c r="P10" s="133">
        <f>IF(SER_hh_fech!P10=0,0,SER_hh_fech!P10/SER_summary!P$26)</f>
        <v>10.844168310562422</v>
      </c>
      <c r="Q10" s="133">
        <f>IF(SER_hh_fech!Q10=0,0,SER_hh_fech!Q10/SER_summary!Q$26)</f>
        <v>10.780893336746535</v>
      </c>
      <c r="R10" s="133">
        <f>IF(SER_hh_fech!R10=0,0,SER_hh_fech!R10/SER_summary!R$26)</f>
        <v>13.133151506252382</v>
      </c>
      <c r="S10" s="133">
        <f>IF(SER_hh_fech!S10=0,0,SER_hh_fech!S10/SER_summary!S$26)</f>
        <v>14.483252343433316</v>
      </c>
      <c r="T10" s="133">
        <f>IF(SER_hh_fech!T10=0,0,SER_hh_fech!T10/SER_summary!T$26)</f>
        <v>15.608457866775673</v>
      </c>
      <c r="U10" s="133">
        <f>IF(SER_hh_fech!U10=0,0,SER_hh_fech!U10/SER_summary!U$26)</f>
        <v>17.207988620539776</v>
      </c>
      <c r="V10" s="133">
        <f>IF(SER_hh_fech!V10=0,0,SER_hh_fech!V10/SER_summary!V$26)</f>
        <v>17.985266164213421</v>
      </c>
      <c r="W10" s="133">
        <f>IF(SER_hh_fech!W10=0,0,SER_hh_fech!W10/SER_summary!W$26)</f>
        <v>19.961649660756557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9.4177076364792693</v>
      </c>
      <c r="C11" s="133">
        <f>IF(SER_hh_fech!C11=0,0,SER_hh_fech!C11/SER_summary!C$26)</f>
        <v>11.792949903906708</v>
      </c>
      <c r="D11" s="133">
        <f>IF(SER_hh_fech!D11=0,0,SER_hh_fech!D11/SER_summary!D$26)</f>
        <v>3.0432861431023892</v>
      </c>
      <c r="E11" s="133">
        <f>IF(SER_hh_fech!E11=0,0,SER_hh_fech!E11/SER_summary!E$26)</f>
        <v>4.0892535137219612</v>
      </c>
      <c r="F11" s="133">
        <f>IF(SER_hh_fech!F11=0,0,SER_hh_fech!F11/SER_summary!F$26)</f>
        <v>8.2393367081960562</v>
      </c>
      <c r="G11" s="133">
        <f>IF(SER_hh_fech!G11=0,0,SER_hh_fech!G11/SER_summary!G$26)</f>
        <v>9.7752539423808447</v>
      </c>
      <c r="H11" s="133">
        <f>IF(SER_hh_fech!H11=0,0,SER_hh_fech!H11/SER_summary!H$26)</f>
        <v>11.966896722618829</v>
      </c>
      <c r="I11" s="133">
        <f>IF(SER_hh_fech!I11=0,0,SER_hh_fech!I11/SER_summary!I$26)</f>
        <v>11.989392377213063</v>
      </c>
      <c r="J11" s="133">
        <f>IF(SER_hh_fech!J11=0,0,SER_hh_fech!J11/SER_summary!J$26)</f>
        <v>12.271398385945234</v>
      </c>
      <c r="K11" s="133">
        <f>IF(SER_hh_fech!K11=0,0,SER_hh_fech!K11/SER_summary!K$26)</f>
        <v>12.659042977793593</v>
      </c>
      <c r="L11" s="133">
        <f>IF(SER_hh_fech!L11=0,0,SER_hh_fech!L11/SER_summary!L$26)</f>
        <v>13.661759388828939</v>
      </c>
      <c r="M11" s="133">
        <f>IF(SER_hh_fech!M11=0,0,SER_hh_fech!M11/SER_summary!M$26)</f>
        <v>13.454416496409541</v>
      </c>
      <c r="N11" s="133">
        <f>IF(SER_hh_fech!N11=0,0,SER_hh_fech!N11/SER_summary!N$26)</f>
        <v>11.370000138575859</v>
      </c>
      <c r="O11" s="133">
        <f>IF(SER_hh_fech!O11=0,0,SER_hh_fech!O11/SER_summary!O$26)</f>
        <v>9.19717450024919</v>
      </c>
      <c r="P11" s="133">
        <f>IF(SER_hh_fech!P11=0,0,SER_hh_fech!P11/SER_summary!P$26)</f>
        <v>7.5194758866317049</v>
      </c>
      <c r="Q11" s="133">
        <f>IF(SER_hh_fech!Q11=0,0,SER_hh_fech!Q11/SER_summary!Q$26)</f>
        <v>7.2357243094234969</v>
      </c>
      <c r="R11" s="133">
        <f>IF(SER_hh_fech!R11=0,0,SER_hh_fech!R11/SER_summary!R$26)</f>
        <v>7.7415538121911185</v>
      </c>
      <c r="S11" s="133">
        <f>IF(SER_hh_fech!S11=0,0,SER_hh_fech!S11/SER_summary!S$26)</f>
        <v>8.8416360116638764</v>
      </c>
      <c r="T11" s="133">
        <f>IF(SER_hh_fech!T11=0,0,SER_hh_fech!T11/SER_summary!T$26)</f>
        <v>10.122332793850052</v>
      </c>
      <c r="U11" s="133">
        <f>IF(SER_hh_fech!U11=0,0,SER_hh_fech!U11/SER_summary!U$26)</f>
        <v>11.117311122448273</v>
      </c>
      <c r="V11" s="133">
        <f>IF(SER_hh_fech!V11=0,0,SER_hh_fech!V11/SER_summary!V$26)</f>
        <v>11.771364686540567</v>
      </c>
      <c r="W11" s="133">
        <f>IF(SER_hh_fech!W11=0,0,SER_hh_fech!W11/SER_summary!W$26)</f>
        <v>12.495741729588056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4.6501002614672968</v>
      </c>
      <c r="C13" s="133">
        <f>IF(SER_hh_fech!C13=0,0,SER_hh_fech!C13/SER_summary!C$26)</f>
        <v>5.0470617083482319</v>
      </c>
      <c r="D13" s="133">
        <f>IF(SER_hh_fech!D13=0,0,SER_hh_fech!D13/SER_summary!D$26)</f>
        <v>3.7865831986392671</v>
      </c>
      <c r="E13" s="133">
        <f>IF(SER_hh_fech!E13=0,0,SER_hh_fech!E13/SER_summary!E$26)</f>
        <v>3.713822231545548</v>
      </c>
      <c r="F13" s="133">
        <f>IF(SER_hh_fech!F13=0,0,SER_hh_fech!F13/SER_summary!F$26)</f>
        <v>3.4417873236514556</v>
      </c>
      <c r="G13" s="133">
        <f>IF(SER_hh_fech!G13=0,0,SER_hh_fech!G13/SER_summary!G$26)</f>
        <v>4.1535267611443647</v>
      </c>
      <c r="H13" s="133">
        <f>IF(SER_hh_fech!H13=0,0,SER_hh_fech!H13/SER_summary!H$26)</f>
        <v>4.0297974541736465</v>
      </c>
      <c r="I13" s="133">
        <f>IF(SER_hh_fech!I13=0,0,SER_hh_fech!I13/SER_summary!I$26)</f>
        <v>4.0238447849149939</v>
      </c>
      <c r="J13" s="133">
        <f>IF(SER_hh_fech!J13=0,0,SER_hh_fech!J13/SER_summary!J$26)</f>
        <v>4.4353639570502024</v>
      </c>
      <c r="K13" s="133">
        <f>IF(SER_hh_fech!K13=0,0,SER_hh_fech!K13/SER_summary!K$26)</f>
        <v>4.3336932613805201</v>
      </c>
      <c r="L13" s="133">
        <f>IF(SER_hh_fech!L13=0,0,SER_hh_fech!L13/SER_summary!L$26)</f>
        <v>4.1788443399179487</v>
      </c>
      <c r="M13" s="133">
        <f>IF(SER_hh_fech!M13=0,0,SER_hh_fech!M13/SER_summary!M$26)</f>
        <v>3.6508948970476371</v>
      </c>
      <c r="N13" s="133">
        <f>IF(SER_hh_fech!N13=0,0,SER_hh_fech!N13/SER_summary!N$26)</f>
        <v>3.1103939019596645</v>
      </c>
      <c r="O13" s="133">
        <f>IF(SER_hh_fech!O13=0,0,SER_hh_fech!O13/SER_summary!O$26)</f>
        <v>2.3373589455295205</v>
      </c>
      <c r="P13" s="133">
        <f>IF(SER_hh_fech!P13=0,0,SER_hh_fech!P13/SER_summary!P$26)</f>
        <v>1.7474846237218733</v>
      </c>
      <c r="Q13" s="133">
        <f>IF(SER_hh_fech!Q13=0,0,SER_hh_fech!Q13/SER_summary!Q$26)</f>
        <v>1.8214758834007625</v>
      </c>
      <c r="R13" s="133">
        <f>IF(SER_hh_fech!R13=0,0,SER_hh_fech!R13/SER_summary!R$26)</f>
        <v>1.9727504796830051</v>
      </c>
      <c r="S13" s="133">
        <f>IF(SER_hh_fech!S13=0,0,SER_hh_fech!S13/SER_summary!S$26)</f>
        <v>2.2189966137919654</v>
      </c>
      <c r="T13" s="133">
        <f>IF(SER_hh_fech!T13=0,0,SER_hh_fech!T13/SER_summary!T$26)</f>
        <v>2.475492738850857</v>
      </c>
      <c r="U13" s="133">
        <f>IF(SER_hh_fech!U13=0,0,SER_hh_fech!U13/SER_summary!U$26)</f>
        <v>2.6677233220584764</v>
      </c>
      <c r="V13" s="133">
        <f>IF(SER_hh_fech!V13=0,0,SER_hh_fech!V13/SER_summary!V$26)</f>
        <v>2.741525752522894</v>
      </c>
      <c r="W13" s="133">
        <f>IF(SER_hh_fech!W13=0,0,SER_hh_fech!W13/SER_summary!W$26)</f>
        <v>2.9741664277652595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14.848122061389779</v>
      </c>
      <c r="C14" s="65">
        <f>IF(SER_hh_fech!C14=0,0,SER_hh_fech!C14/SER_summary!C$26)</f>
        <v>8.8815040220997012</v>
      </c>
      <c r="D14" s="65">
        <f>IF(SER_hh_fech!D14=0,0,SER_hh_fech!D14/SER_summary!D$26)</f>
        <v>6.6895875555900641</v>
      </c>
      <c r="E14" s="65">
        <f>IF(SER_hh_fech!E14=0,0,SER_hh_fech!E14/SER_summary!E$26)</f>
        <v>5.3473036017114417</v>
      </c>
      <c r="F14" s="65">
        <f>IF(SER_hh_fech!F14=0,0,SER_hh_fech!F14/SER_summary!F$26)</f>
        <v>9.5549729274439841</v>
      </c>
      <c r="G14" s="65">
        <f>IF(SER_hh_fech!G14=0,0,SER_hh_fech!G14/SER_summary!G$26)</f>
        <v>5.3432644249081189</v>
      </c>
      <c r="H14" s="65">
        <f>IF(SER_hh_fech!H14=0,0,SER_hh_fech!H14/SER_summary!H$26)</f>
        <v>19.839670140011933</v>
      </c>
      <c r="I14" s="65">
        <f>IF(SER_hh_fech!I14=0,0,SER_hh_fech!I14/SER_summary!I$26)</f>
        <v>11.221150377550153</v>
      </c>
      <c r="J14" s="65">
        <f>IF(SER_hh_fech!J14=0,0,SER_hh_fech!J14/SER_summary!J$26)</f>
        <v>15.212734681117492</v>
      </c>
      <c r="K14" s="65">
        <f>IF(SER_hh_fech!K14=0,0,SER_hh_fech!K14/SER_summary!K$26)</f>
        <v>12.233628672049104</v>
      </c>
      <c r="L14" s="65">
        <f>IF(SER_hh_fech!L14=0,0,SER_hh_fech!L14/SER_summary!L$26)</f>
        <v>16.542421627096065</v>
      </c>
      <c r="M14" s="65">
        <f>IF(SER_hh_fech!M14=0,0,SER_hh_fech!M14/SER_summary!M$26)</f>
        <v>15.650485429357458</v>
      </c>
      <c r="N14" s="65">
        <f>IF(SER_hh_fech!N14=0,0,SER_hh_fech!N14/SER_summary!N$26)</f>
        <v>12.443676198233847</v>
      </c>
      <c r="O14" s="65">
        <f>IF(SER_hh_fech!O14=0,0,SER_hh_fech!O14/SER_summary!O$26)</f>
        <v>9.3401589619719179</v>
      </c>
      <c r="P14" s="65">
        <f>IF(SER_hh_fech!P14=0,0,SER_hh_fech!P14/SER_summary!P$26)</f>
        <v>5.032056673651935</v>
      </c>
      <c r="Q14" s="65">
        <f>IF(SER_hh_fech!Q14=0,0,SER_hh_fech!Q14/SER_summary!Q$26)</f>
        <v>4.9979064652328811</v>
      </c>
      <c r="R14" s="65">
        <f>IF(SER_hh_fech!R14=0,0,SER_hh_fech!R14/SER_summary!R$26)</f>
        <v>4.7891509034524811</v>
      </c>
      <c r="S14" s="65">
        <f>IF(SER_hh_fech!S14=0,0,SER_hh_fech!S14/SER_summary!S$26)</f>
        <v>11.83384845568985</v>
      </c>
      <c r="T14" s="65">
        <f>IF(SER_hh_fech!T14=0,0,SER_hh_fech!T14/SER_summary!T$26)</f>
        <v>13.468435705249972</v>
      </c>
      <c r="U14" s="65">
        <f>IF(SER_hh_fech!U14=0,0,SER_hh_fech!U14/SER_summary!U$26)</f>
        <v>13.892590427673706</v>
      </c>
      <c r="V14" s="65">
        <f>IF(SER_hh_fech!V14=0,0,SER_hh_fech!V14/SER_summary!V$26)</f>
        <v>10.435942457597688</v>
      </c>
      <c r="W14" s="65">
        <f>IF(SER_hh_fech!W14=0,0,SER_hh_fech!W14/SER_summary!W$26)</f>
        <v>15.36314654386922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0.11560486692145112</v>
      </c>
      <c r="C15" s="135">
        <f>IF(SER_hh_fech!C15=0,0,SER_hh_fech!C15/SER_summary!C$26)</f>
        <v>0.11991855455991481</v>
      </c>
      <c r="D15" s="135">
        <f>IF(SER_hh_fech!D15=0,0,SER_hh_fech!D15/SER_summary!D$26)</f>
        <v>0.11310021314382955</v>
      </c>
      <c r="E15" s="135">
        <f>IF(SER_hh_fech!E15=0,0,SER_hh_fech!E15/SER_summary!E$26)</f>
        <v>9.0342078931553674E-2</v>
      </c>
      <c r="F15" s="135">
        <f>IF(SER_hh_fech!F15=0,0,SER_hh_fech!F15/SER_summary!F$26)</f>
        <v>9.791040454262491E-2</v>
      </c>
      <c r="G15" s="135">
        <f>IF(SER_hh_fech!G15=0,0,SER_hh_fech!G15/SER_summary!G$26)</f>
        <v>0.11902300083115908</v>
      </c>
      <c r="H15" s="135">
        <f>IF(SER_hh_fech!H15=0,0,SER_hh_fech!H15/SER_summary!H$26)</f>
        <v>0.20149321076668453</v>
      </c>
      <c r="I15" s="135">
        <f>IF(SER_hh_fech!I15=0,0,SER_hh_fech!I15/SER_summary!I$26)</f>
        <v>0.13318585042391987</v>
      </c>
      <c r="J15" s="135">
        <f>IF(SER_hh_fech!J15=0,0,SER_hh_fech!J15/SER_summary!J$26)</f>
        <v>0.1174906008990739</v>
      </c>
      <c r="K15" s="135">
        <f>IF(SER_hh_fech!K15=0,0,SER_hh_fech!K15/SER_summary!K$26)</f>
        <v>0.1397427650967856</v>
      </c>
      <c r="L15" s="135">
        <f>IF(SER_hh_fech!L15=0,0,SER_hh_fech!L15/SER_summary!L$26)</f>
        <v>0.1660766111362359</v>
      </c>
      <c r="M15" s="135">
        <f>IF(SER_hh_fech!M15=0,0,SER_hh_fech!M15/SER_summary!M$26)</f>
        <v>0.16984101311406627</v>
      </c>
      <c r="N15" s="135">
        <f>IF(SER_hh_fech!N15=0,0,SER_hh_fech!N15/SER_summary!N$26)</f>
        <v>0.13923176638421808</v>
      </c>
      <c r="O15" s="135">
        <f>IF(SER_hh_fech!O15=0,0,SER_hh_fech!O15/SER_summary!O$26)</f>
        <v>0.13056568246899988</v>
      </c>
      <c r="P15" s="135">
        <f>IF(SER_hh_fech!P15=0,0,SER_hh_fech!P15/SER_summary!P$26)</f>
        <v>7.9391147425416767E-2</v>
      </c>
      <c r="Q15" s="135">
        <f>IF(SER_hh_fech!Q15=0,0,SER_hh_fech!Q15/SER_summary!Q$26)</f>
        <v>7.8107152175605446E-2</v>
      </c>
      <c r="R15" s="135">
        <f>IF(SER_hh_fech!R15=0,0,SER_hh_fech!R15/SER_summary!R$26)</f>
        <v>9.0356300199578521E-2</v>
      </c>
      <c r="S15" s="135">
        <f>IF(SER_hh_fech!S15=0,0,SER_hh_fech!S15/SER_summary!S$26)</f>
        <v>0.10246642243897865</v>
      </c>
      <c r="T15" s="135">
        <f>IF(SER_hh_fech!T15=0,0,SER_hh_fech!T15/SER_summary!T$26)</f>
        <v>0.12849287528667583</v>
      </c>
      <c r="U15" s="135">
        <f>IF(SER_hh_fech!U15=0,0,SER_hh_fech!U15/SER_summary!U$26)</f>
        <v>0.13304406208401107</v>
      </c>
      <c r="V15" s="135">
        <f>IF(SER_hh_fech!V15=0,0,SER_hh_fech!V15/SER_summary!V$26)</f>
        <v>0.12656134644986361</v>
      </c>
      <c r="W15" s="135">
        <f>IF(SER_hh_fech!W15=0,0,SER_hh_fech!W15/SER_summary!W$26)</f>
        <v>0.15290499264661672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10.088694450065697</v>
      </c>
      <c r="C16" s="131">
        <f>IF(SER_hh_fech!C16=0,0,SER_hh_fech!C16/SER_summary!C$26)</f>
        <v>10.118004095496319</v>
      </c>
      <c r="D16" s="131">
        <f>IF(SER_hh_fech!D16=0,0,SER_hh_fech!D16/SER_summary!D$26)</f>
        <v>8.5172714400372342</v>
      </c>
      <c r="E16" s="131">
        <f>IF(SER_hh_fech!E16=0,0,SER_hh_fech!E16/SER_summary!E$26)</f>
        <v>12.716698436820502</v>
      </c>
      <c r="F16" s="131">
        <f>IF(SER_hh_fech!F16=0,0,SER_hh_fech!F16/SER_summary!F$26)</f>
        <v>8.9777278865486281</v>
      </c>
      <c r="G16" s="131">
        <f>IF(SER_hh_fech!G16=0,0,SER_hh_fech!G16/SER_summary!G$26)</f>
        <v>8.9868506850751437</v>
      </c>
      <c r="H16" s="131">
        <f>IF(SER_hh_fech!H16=0,0,SER_hh_fech!H16/SER_summary!H$26)</f>
        <v>9.6546478909598061</v>
      </c>
      <c r="I16" s="131">
        <f>IF(SER_hh_fech!I16=0,0,SER_hh_fech!I16/SER_summary!I$26)</f>
        <v>6.9196682045926039</v>
      </c>
      <c r="J16" s="131">
        <f>IF(SER_hh_fech!J16=0,0,SER_hh_fech!J16/SER_summary!J$26)</f>
        <v>7.0385794635837726</v>
      </c>
      <c r="K16" s="131">
        <f>IF(SER_hh_fech!K16=0,0,SER_hh_fech!K16/SER_summary!K$26)</f>
        <v>8.8946545303400537</v>
      </c>
      <c r="L16" s="131">
        <f>IF(SER_hh_fech!L16=0,0,SER_hh_fech!L16/SER_summary!L$26)</f>
        <v>8.2538452694277993</v>
      </c>
      <c r="M16" s="131">
        <f>IF(SER_hh_fech!M16=0,0,SER_hh_fech!M16/SER_summary!M$26)</f>
        <v>7.2630830407104261</v>
      </c>
      <c r="N16" s="131">
        <f>IF(SER_hh_fech!N16=0,0,SER_hh_fech!N16/SER_summary!N$26)</f>
        <v>8.5747571550273225</v>
      </c>
      <c r="O16" s="131">
        <f>IF(SER_hh_fech!O16=0,0,SER_hh_fech!O16/SER_summary!O$26)</f>
        <v>6.8401690865881459</v>
      </c>
      <c r="P16" s="131">
        <f>IF(SER_hh_fech!P16=0,0,SER_hh_fech!P16/SER_summary!P$26)</f>
        <v>6.1664621092348568</v>
      </c>
      <c r="Q16" s="131">
        <f>IF(SER_hh_fech!Q16=0,0,SER_hh_fech!Q16/SER_summary!Q$26)</f>
        <v>8.811939017944729</v>
      </c>
      <c r="R16" s="131">
        <f>IF(SER_hh_fech!R16=0,0,SER_hh_fech!R16/SER_summary!R$26)</f>
        <v>8.3987991085775988</v>
      </c>
      <c r="S16" s="131">
        <f>IF(SER_hh_fech!S16=0,0,SER_hh_fech!S16/SER_summary!S$26)</f>
        <v>9.5074405627945833</v>
      </c>
      <c r="T16" s="131">
        <f>IF(SER_hh_fech!T16=0,0,SER_hh_fech!T16/SER_summary!T$26)</f>
        <v>6.6339715795158574</v>
      </c>
      <c r="U16" s="131">
        <f>IF(SER_hh_fech!U16=0,0,SER_hh_fech!U16/SER_summary!U$26)</f>
        <v>6.7448884398109428</v>
      </c>
      <c r="V16" s="131">
        <f>IF(SER_hh_fech!V16=0,0,SER_hh_fech!V16/SER_summary!V$26)</f>
        <v>7.6573887106934357</v>
      </c>
      <c r="W16" s="131">
        <f>IF(SER_hh_fech!W16=0,0,SER_hh_fech!W16/SER_summary!W$26)</f>
        <v>6.2511202688330547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14.098176998269079</v>
      </c>
      <c r="C17" s="133">
        <f>IF(SER_hh_fech!C17=0,0,SER_hh_fech!C17/SER_summary!C$26)</f>
        <v>14.853944001686594</v>
      </c>
      <c r="D17" s="133">
        <f>IF(SER_hh_fech!D17=0,0,SER_hh_fech!D17/SER_summary!D$26)</f>
        <v>13.163619535482017</v>
      </c>
      <c r="E17" s="133">
        <f>IF(SER_hh_fech!E17=0,0,SER_hh_fech!E17/SER_summary!E$26)</f>
        <v>19.99803783377315</v>
      </c>
      <c r="F17" s="133">
        <f>IF(SER_hh_fech!F17=0,0,SER_hh_fech!F17/SER_summary!F$26)</f>
        <v>15.105779263433989</v>
      </c>
      <c r="G17" s="133">
        <f>IF(SER_hh_fech!G17=0,0,SER_hh_fech!G17/SER_summary!G$26)</f>
        <v>15.771236270402881</v>
      </c>
      <c r="H17" s="133">
        <f>IF(SER_hh_fech!H17=0,0,SER_hh_fech!H17/SER_summary!H$26)</f>
        <v>17.661841314412428</v>
      </c>
      <c r="I17" s="133">
        <f>IF(SER_hh_fech!I17=0,0,SER_hh_fech!I17/SER_summary!I$26)</f>
        <v>13.200983222814534</v>
      </c>
      <c r="J17" s="133">
        <f>IF(SER_hh_fech!J17=0,0,SER_hh_fech!J17/SER_summary!J$26)</f>
        <v>13.919745910459579</v>
      </c>
      <c r="K17" s="133">
        <f>IF(SER_hh_fech!K17=0,0,SER_hh_fech!K17/SER_summary!K$26)</f>
        <v>17.893936799430755</v>
      </c>
      <c r="L17" s="133">
        <f>IF(SER_hh_fech!L17=0,0,SER_hh_fech!L17/SER_summary!L$26)</f>
        <v>16.923525335893661</v>
      </c>
      <c r="M17" s="133">
        <f>IF(SER_hh_fech!M17=0,0,SER_hh_fech!M17/SER_summary!M$26)</f>
        <v>15.23516353708828</v>
      </c>
      <c r="N17" s="133">
        <f>IF(SER_hh_fech!N17=0,0,SER_hh_fech!N17/SER_summary!N$26)</f>
        <v>18.366535983285623</v>
      </c>
      <c r="O17" s="133">
        <f>IF(SER_hh_fech!O17=0,0,SER_hh_fech!O17/SER_summary!O$26)</f>
        <v>14.884729224798292</v>
      </c>
      <c r="P17" s="133">
        <f>IF(SER_hh_fech!P17=0,0,SER_hh_fech!P17/SER_summary!P$26)</f>
        <v>13.77217702627653</v>
      </c>
      <c r="Q17" s="133">
        <f>IF(SER_hh_fech!Q17=0,0,SER_hh_fech!Q17/SER_summary!Q$26)</f>
        <v>20.060636165073777</v>
      </c>
      <c r="R17" s="133">
        <f>IF(SER_hh_fech!R17=0,0,SER_hh_fech!R17/SER_summary!R$26)</f>
        <v>19.471477350471392</v>
      </c>
      <c r="S17" s="133">
        <f>IF(SER_hh_fech!S17=0,0,SER_hh_fech!S17/SER_summary!S$26)</f>
        <v>22.504852455044862</v>
      </c>
      <c r="T17" s="133">
        <f>IF(SER_hh_fech!T17=0,0,SER_hh_fech!T17/SER_summary!T$26)</f>
        <v>15.848542460004298</v>
      </c>
      <c r="U17" s="133">
        <f>IF(SER_hh_fech!U17=0,0,SER_hh_fech!U17/SER_summary!U$26)</f>
        <v>16.321529210257086</v>
      </c>
      <c r="V17" s="133">
        <f>IF(SER_hh_fech!V17=0,0,SER_hh_fech!V17/SER_summary!V$26)</f>
        <v>16.496849160873797</v>
      </c>
      <c r="W17" s="133">
        <f>IF(SER_hh_fech!W17=0,0,SER_hh_fech!W17/SER_summary!W$26)</f>
        <v>15.433171061447599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10.085236834962004</v>
      </c>
      <c r="C18" s="133">
        <f>IF(SER_hh_fech!C18=0,0,SER_hh_fech!C18/SER_summary!C$26)</f>
        <v>10.114001999216981</v>
      </c>
      <c r="D18" s="133">
        <f>IF(SER_hh_fech!D18=0,0,SER_hh_fech!D18/SER_summary!D$26)</f>
        <v>8.5137684421107007</v>
      </c>
      <c r="E18" s="133">
        <f>IF(SER_hh_fech!E18=0,0,SER_hh_fech!E18/SER_summary!E$26)</f>
        <v>12.708930014192113</v>
      </c>
      <c r="F18" s="133">
        <f>IF(SER_hh_fech!F18=0,0,SER_hh_fech!F18/SER_summary!F$26)</f>
        <v>8.9712742625120452</v>
      </c>
      <c r="G18" s="133">
        <f>IF(SER_hh_fech!G18=0,0,SER_hh_fech!G18/SER_summary!G$26)</f>
        <v>8.9793521019224354</v>
      </c>
      <c r="H18" s="133">
        <f>IF(SER_hh_fech!H18=0,0,SER_hh_fech!H18/SER_summary!H$26)</f>
        <v>9.6458491835203457</v>
      </c>
      <c r="I18" s="133">
        <f>IF(SER_hh_fech!I18=0,0,SER_hh_fech!I18/SER_summary!I$26)</f>
        <v>6.9117093791475979</v>
      </c>
      <c r="J18" s="133">
        <f>IF(SER_hh_fech!J18=0,0,SER_hh_fech!J18/SER_summary!J$26)</f>
        <v>7.0286893052097454</v>
      </c>
      <c r="K18" s="133">
        <f>IF(SER_hh_fech!K18=0,0,SER_hh_fech!K18/SER_summary!K$26)</f>
        <v>8.8808496004284212</v>
      </c>
      <c r="L18" s="133">
        <f>IF(SER_hh_fech!L18=0,0,SER_hh_fech!L18/SER_summary!L$26)</f>
        <v>8.2389346631908094</v>
      </c>
      <c r="M18" s="133">
        <f>IF(SER_hh_fech!M18=0,0,SER_hh_fech!M18/SER_summary!M$26)</f>
        <v>7.2474039967348256</v>
      </c>
      <c r="N18" s="133">
        <f>IF(SER_hh_fech!N18=0,0,SER_hh_fech!N18/SER_summary!N$26)</f>
        <v>8.5535422093275724</v>
      </c>
      <c r="O18" s="133">
        <f>IF(SER_hh_fech!O18=0,0,SER_hh_fech!O18/SER_summary!O$26)</f>
        <v>6.8184907512670669</v>
      </c>
      <c r="P18" s="133">
        <f>IF(SER_hh_fech!P18=0,0,SER_hh_fech!P18/SER_summary!P$26)</f>
        <v>6.143487402747251</v>
      </c>
      <c r="Q18" s="133">
        <f>IF(SER_hh_fech!Q18=0,0,SER_hh_fech!Q18/SER_summary!Q$26)</f>
        <v>8.7720714814505012</v>
      </c>
      <c r="R18" s="133">
        <f>IF(SER_hh_fech!R18=0,0,SER_hh_fech!R18/SER_summary!R$26)</f>
        <v>8.3526692420491635</v>
      </c>
      <c r="S18" s="133">
        <f>IF(SER_hh_fech!S18=0,0,SER_hh_fech!S18/SER_summary!S$26)</f>
        <v>9.4484434632677026</v>
      </c>
      <c r="T18" s="133">
        <f>IF(SER_hh_fech!T18=0,0,SER_hh_fech!T18/SER_summary!T$26)</f>
        <v>6.5842083463103451</v>
      </c>
      <c r="U18" s="133">
        <f>IF(SER_hh_fech!U18=0,0,SER_hh_fech!U18/SER_summary!U$26)</f>
        <v>6.6901607092987661</v>
      </c>
      <c r="V18" s="133">
        <f>IF(SER_hh_fech!V18=0,0,SER_hh_fech!V18/SER_summary!V$26)</f>
        <v>7.6018651935596582</v>
      </c>
      <c r="W18" s="133">
        <f>IF(SER_hh_fech!W18=0,0,SER_hh_fech!W18/SER_summary!W$26)</f>
        <v>6.1979963596013974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6.7313287958460117</v>
      </c>
      <c r="C19" s="131">
        <f>IF(SER_hh_fech!C19=0,0,SER_hh_fech!C19/SER_summary!C$26)</f>
        <v>6.9197783463099061</v>
      </c>
      <c r="D19" s="131">
        <f>IF(SER_hh_fech!D19=0,0,SER_hh_fech!D19/SER_summary!D$26)</f>
        <v>7.1572536066755816</v>
      </c>
      <c r="E19" s="131">
        <f>IF(SER_hh_fech!E19=0,0,SER_hh_fech!E19/SER_summary!E$26)</f>
        <v>7.0206386593503733</v>
      </c>
      <c r="F19" s="131">
        <f>IF(SER_hh_fech!F19=0,0,SER_hh_fech!F19/SER_summary!F$26)</f>
        <v>7.3651006489526454</v>
      </c>
      <c r="G19" s="131">
        <f>IF(SER_hh_fech!G19=0,0,SER_hh_fech!G19/SER_summary!G$26)</f>
        <v>7.3145249240562213</v>
      </c>
      <c r="H19" s="131">
        <f>IF(SER_hh_fech!H19=0,0,SER_hh_fech!H19/SER_summary!H$26)</f>
        <v>7.4767459858723635</v>
      </c>
      <c r="I19" s="131">
        <f>IF(SER_hh_fech!I19=0,0,SER_hh_fech!I19/SER_summary!I$26)</f>
        <v>7.3262569925578127</v>
      </c>
      <c r="J19" s="131">
        <f>IF(SER_hh_fech!J19=0,0,SER_hh_fech!J19/SER_summary!J$26)</f>
        <v>7.3135707221109589</v>
      </c>
      <c r="K19" s="131">
        <f>IF(SER_hh_fech!K19=0,0,SER_hh_fech!K19/SER_summary!K$26)</f>
        <v>7.309812179930967</v>
      </c>
      <c r="L19" s="131">
        <f>IF(SER_hh_fech!L19=0,0,SER_hh_fech!L19/SER_summary!L$26)</f>
        <v>7.3119428213289437</v>
      </c>
      <c r="M19" s="131">
        <f>IF(SER_hh_fech!M19=0,0,SER_hh_fech!M19/SER_summary!M$26)</f>
        <v>7.3226743440576989</v>
      </c>
      <c r="N19" s="131">
        <f>IF(SER_hh_fech!N19=0,0,SER_hh_fech!N19/SER_summary!N$26)</f>
        <v>7.1150958905800712</v>
      </c>
      <c r="O19" s="131">
        <f>IF(SER_hh_fech!O19=0,0,SER_hh_fech!O19/SER_summary!O$26)</f>
        <v>7.2523120355959296</v>
      </c>
      <c r="P19" s="131">
        <f>IF(SER_hh_fech!P19=0,0,SER_hh_fech!P19/SER_summary!P$26)</f>
        <v>7.0673668471102493</v>
      </c>
      <c r="Q19" s="131">
        <f>IF(SER_hh_fech!Q19=0,0,SER_hh_fech!Q19/SER_summary!Q$26)</f>
        <v>6.6421451440697208</v>
      </c>
      <c r="R19" s="131">
        <f>IF(SER_hh_fech!R19=0,0,SER_hh_fech!R19/SER_summary!R$26)</f>
        <v>6.4075280842234701</v>
      </c>
      <c r="S19" s="131">
        <f>IF(SER_hh_fech!S19=0,0,SER_hh_fech!S19/SER_summary!S$26)</f>
        <v>6.111892511412127</v>
      </c>
      <c r="T19" s="131">
        <f>IF(SER_hh_fech!T19=0,0,SER_hh_fech!T19/SER_summary!T$26)</f>
        <v>6.3814272257794684</v>
      </c>
      <c r="U19" s="131">
        <f>IF(SER_hh_fech!U19=0,0,SER_hh_fech!U19/SER_summary!U$26)</f>
        <v>6.1687997806328161</v>
      </c>
      <c r="V19" s="131">
        <f>IF(SER_hh_fech!V19=0,0,SER_hh_fech!V19/SER_summary!V$26)</f>
        <v>5.4286546096042079</v>
      </c>
      <c r="W19" s="131">
        <f>IF(SER_hh_fech!W19=0,0,SER_hh_fech!W19/SER_summary!W$26)</f>
        <v>5.8128312547593586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7.3387314194504683</v>
      </c>
      <c r="C21" s="133">
        <f>IF(SER_hh_fech!C21=0,0,SER_hh_fech!C21/SER_summary!C$26)</f>
        <v>7.4296593652330802</v>
      </c>
      <c r="D21" s="133">
        <f>IF(SER_hh_fech!D21=0,0,SER_hh_fech!D21/SER_summary!D$26)</f>
        <v>7.7690781525705104</v>
      </c>
      <c r="E21" s="133">
        <f>IF(SER_hh_fech!E21=0,0,SER_hh_fech!E21/SER_summary!E$26)</f>
        <v>8.0983574105559839</v>
      </c>
      <c r="F21" s="133">
        <f>IF(SER_hh_fech!F21=0,0,SER_hh_fech!F21/SER_summary!F$26)</f>
        <v>7.852552329429586</v>
      </c>
      <c r="G21" s="133">
        <f>IF(SER_hh_fech!G21=0,0,SER_hh_fech!G21/SER_summary!G$26)</f>
        <v>8.0308307367097118</v>
      </c>
      <c r="H21" s="133">
        <f>IF(SER_hh_fech!H21=0,0,SER_hh_fech!H21/SER_summary!H$26)</f>
        <v>8.2697409041789118</v>
      </c>
      <c r="I21" s="133">
        <f>IF(SER_hh_fech!I21=0,0,SER_hh_fech!I21/SER_summary!I$26)</f>
        <v>8.21098141821901</v>
      </c>
      <c r="J21" s="133">
        <f>IF(SER_hh_fech!J21=0,0,SER_hh_fech!J21/SER_summary!J$26)</f>
        <v>8.1622888530238615</v>
      </c>
      <c r="K21" s="133">
        <f>IF(SER_hh_fech!K21=0,0,SER_hh_fech!K21/SER_summary!K$26)</f>
        <v>8.131184604362355</v>
      </c>
      <c r="L21" s="133">
        <f>IF(SER_hh_fech!L21=0,0,SER_hh_fech!L21/SER_summary!L$26)</f>
        <v>8.1576938732425077</v>
      </c>
      <c r="M21" s="133">
        <f>IF(SER_hh_fech!M21=0,0,SER_hh_fech!M21/SER_summary!M$26)</f>
        <v>8.091123796733477</v>
      </c>
      <c r="N21" s="133">
        <f>IF(SER_hh_fech!N21=0,0,SER_hh_fech!N21/SER_summary!N$26)</f>
        <v>7.9611853170166338</v>
      </c>
      <c r="O21" s="133">
        <f>IF(SER_hh_fech!O21=0,0,SER_hh_fech!O21/SER_summary!O$26)</f>
        <v>7.8523924172073878</v>
      </c>
      <c r="P21" s="133">
        <f>IF(SER_hh_fech!P21=0,0,SER_hh_fech!P21/SER_summary!P$26)</f>
        <v>7.4989647549301752</v>
      </c>
      <c r="Q21" s="133">
        <f>IF(SER_hh_fech!Q21=0,0,SER_hh_fech!Q21/SER_summary!Q$26)</f>
        <v>7.2274982379414618</v>
      </c>
      <c r="R21" s="133">
        <f>IF(SER_hh_fech!R21=0,0,SER_hh_fech!R21/SER_summary!R$26)</f>
        <v>7.0513770713421149</v>
      </c>
      <c r="S21" s="133">
        <f>IF(SER_hh_fech!S21=0,0,SER_hh_fech!S21/SER_summary!S$26)</f>
        <v>6.8966488700001216</v>
      </c>
      <c r="T21" s="133">
        <f>IF(SER_hh_fech!T21=0,0,SER_hh_fech!T21/SER_summary!T$26)</f>
        <v>7.4819439886699115</v>
      </c>
      <c r="U21" s="133">
        <f>IF(SER_hh_fech!U21=0,0,SER_hh_fech!U21/SER_summary!U$26)</f>
        <v>6.9627813394655931</v>
      </c>
      <c r="V21" s="133">
        <f>IF(SER_hh_fech!V21=0,0,SER_hh_fech!V21/SER_summary!V$26)</f>
        <v>5.5745114041355066</v>
      </c>
      <c r="W21" s="133">
        <f>IF(SER_hh_fech!W21=0,0,SER_hh_fech!W21/SER_summary!W$26)</f>
        <v>6.8508716907348131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7.6186764333665726</v>
      </c>
      <c r="C22" s="133">
        <f>IF(SER_hh_fech!C22=0,0,SER_hh_fech!C22/SER_summary!C$26)</f>
        <v>7.9730305774274388</v>
      </c>
      <c r="D22" s="133">
        <f>IF(SER_hh_fech!D22=0,0,SER_hh_fech!D22/SER_summary!D$26)</f>
        <v>8.2059264795577107</v>
      </c>
      <c r="E22" s="133">
        <f>IF(SER_hh_fech!E22=0,0,SER_hh_fech!E22/SER_summary!E$26)</f>
        <v>8.3210072122335497</v>
      </c>
      <c r="F22" s="133">
        <f>IF(SER_hh_fech!F22=0,0,SER_hh_fech!F22/SER_summary!F$26)</f>
        <v>8.6104202750944872</v>
      </c>
      <c r="G22" s="133">
        <f>IF(SER_hh_fech!G22=0,0,SER_hh_fech!G22/SER_summary!G$26)</f>
        <v>8.7623858912504851</v>
      </c>
      <c r="H22" s="133">
        <f>IF(SER_hh_fech!H22=0,0,SER_hh_fech!H22/SER_summary!H$26)</f>
        <v>8.8336706484815188</v>
      </c>
      <c r="I22" s="133">
        <f>IF(SER_hh_fech!I22=0,0,SER_hh_fech!I22/SER_summary!I$26)</f>
        <v>8.57555343827317</v>
      </c>
      <c r="J22" s="133">
        <f>IF(SER_hh_fech!J22=0,0,SER_hh_fech!J22/SER_summary!J$26)</f>
        <v>8.5756700492937394</v>
      </c>
      <c r="K22" s="133">
        <f>IF(SER_hh_fech!K22=0,0,SER_hh_fech!K22/SER_summary!K$26)</f>
        <v>8.5761176549329932</v>
      </c>
      <c r="L22" s="133">
        <f>IF(SER_hh_fech!L22=0,0,SER_hh_fech!L22/SER_summary!L$26)</f>
        <v>8.5350745849984122</v>
      </c>
      <c r="M22" s="133">
        <f>IF(SER_hh_fech!M22=0,0,SER_hh_fech!M22/SER_summary!M$26)</f>
        <v>8.4694381909236842</v>
      </c>
      <c r="N22" s="133">
        <f>IF(SER_hh_fech!N22=0,0,SER_hh_fech!N22/SER_summary!N$26)</f>
        <v>8.4119111103749749</v>
      </c>
      <c r="O22" s="133">
        <f>IF(SER_hh_fech!O22=0,0,SER_hh_fech!O22/SER_summary!O$26)</f>
        <v>8.1292754679059716</v>
      </c>
      <c r="P22" s="133">
        <f>IF(SER_hh_fech!P22=0,0,SER_hh_fech!P22/SER_summary!P$26)</f>
        <v>7.6584178208867515</v>
      </c>
      <c r="Q22" s="133">
        <f>IF(SER_hh_fech!Q22=0,0,SER_hh_fech!Q22/SER_summary!Q$26)</f>
        <v>7.4798832947431864</v>
      </c>
      <c r="R22" s="133">
        <f>IF(SER_hh_fech!R22=0,0,SER_hh_fech!R22/SER_summary!R$26)</f>
        <v>7.2411663661735961</v>
      </c>
      <c r="S22" s="133">
        <f>IF(SER_hh_fech!S22=0,0,SER_hh_fech!S22/SER_summary!S$26)</f>
        <v>6.8459874552023612</v>
      </c>
      <c r="T22" s="133">
        <f>IF(SER_hh_fech!T22=0,0,SER_hh_fech!T22/SER_summary!T$26)</f>
        <v>6.7862506648184864</v>
      </c>
      <c r="U22" s="133">
        <f>IF(SER_hh_fech!U22=0,0,SER_hh_fech!U22/SER_summary!U$26)</f>
        <v>6.5267089835570449</v>
      </c>
      <c r="V22" s="133">
        <f>IF(SER_hh_fech!V22=0,0,SER_hh_fech!V22/SER_summary!V$26)</f>
        <v>6.0422251550521215</v>
      </c>
      <c r="W22" s="133">
        <f>IF(SER_hh_fech!W22=0,0,SER_hh_fech!W22/SER_summary!W$26)</f>
        <v>6.2801736730627447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7.8161718784719287</v>
      </c>
      <c r="C23" s="133">
        <f>IF(SER_hh_fech!C23=0,0,SER_hh_fech!C23/SER_summary!C$26)</f>
        <v>7.910275242017601</v>
      </c>
      <c r="D23" s="133">
        <f>IF(SER_hh_fech!D23=0,0,SER_hh_fech!D23/SER_summary!D$26)</f>
        <v>8.540760187264171</v>
      </c>
      <c r="E23" s="133">
        <f>IF(SER_hh_fech!E23=0,0,SER_hh_fech!E23/SER_summary!E$26)</f>
        <v>4.4175729528365579</v>
      </c>
      <c r="F23" s="133">
        <f>IF(SER_hh_fech!F23=0,0,SER_hh_fech!F23/SER_summary!F$26)</f>
        <v>6.6693555521765466</v>
      </c>
      <c r="G23" s="133">
        <f>IF(SER_hh_fech!G23=0,0,SER_hh_fech!G23/SER_summary!G$26)</f>
        <v>5.8031274833816839</v>
      </c>
      <c r="H23" s="133">
        <f>IF(SER_hh_fech!H23=0,0,SER_hh_fech!H23/SER_summary!H$26)</f>
        <v>9.5095991633287014</v>
      </c>
      <c r="I23" s="133">
        <f>IF(SER_hh_fech!I23=0,0,SER_hh_fech!I23/SER_summary!I$26)</f>
        <v>8.3006678696903666</v>
      </c>
      <c r="J23" s="133">
        <f>IF(SER_hh_fech!J23=0,0,SER_hh_fech!J23/SER_summary!J$26)</f>
        <v>7.633776677034926</v>
      </c>
      <c r="K23" s="133">
        <f>IF(SER_hh_fech!K23=0,0,SER_hh_fech!K23/SER_summary!K$26)</f>
        <v>7.6892589049581925</v>
      </c>
      <c r="L23" s="133">
        <f>IF(SER_hh_fech!L23=0,0,SER_hh_fech!L23/SER_summary!L$26)</f>
        <v>7.5446825747865045</v>
      </c>
      <c r="M23" s="133">
        <f>IF(SER_hh_fech!M23=0,0,SER_hh_fech!M23/SER_summary!M$26)</f>
        <v>7.177845076656018</v>
      </c>
      <c r="N23" s="133">
        <f>IF(SER_hh_fech!N23=0,0,SER_hh_fech!N23/SER_summary!N$26)</f>
        <v>7.1066801324176971</v>
      </c>
      <c r="O23" s="133">
        <f>IF(SER_hh_fech!O23=0,0,SER_hh_fech!O23/SER_summary!O$26)</f>
        <v>7.2302314508961123</v>
      </c>
      <c r="P23" s="133">
        <f>IF(SER_hh_fech!P23=0,0,SER_hh_fech!P23/SER_summary!P$26)</f>
        <v>7.9943622239906684</v>
      </c>
      <c r="Q23" s="133">
        <f>IF(SER_hh_fech!Q23=0,0,SER_hh_fech!Q23/SER_summary!Q$26)</f>
        <v>6.3143841484974423</v>
      </c>
      <c r="R23" s="133">
        <f>IF(SER_hh_fech!R23=0,0,SER_hh_fech!R23/SER_summary!R$26)</f>
        <v>6.3078084199890778</v>
      </c>
      <c r="S23" s="133">
        <f>IF(SER_hh_fech!S23=0,0,SER_hh_fech!S23/SER_summary!S$26)</f>
        <v>6.2484958807213564</v>
      </c>
      <c r="T23" s="133">
        <f>IF(SER_hh_fech!T23=0,0,SER_hh_fech!T23/SER_summary!T$26)</f>
        <v>6.1698997738382451</v>
      </c>
      <c r="U23" s="133">
        <f>IF(SER_hh_fech!U23=0,0,SER_hh_fech!U23/SER_summary!U$26)</f>
        <v>6.1040555607641931</v>
      </c>
      <c r="V23" s="133">
        <f>IF(SER_hh_fech!V23=0,0,SER_hh_fech!V23/SER_summary!V$26)</f>
        <v>5.4099280907529081</v>
      </c>
      <c r="W23" s="133">
        <f>IF(SER_hh_fech!W23=0,0,SER_hh_fech!W23/SER_summary!W$26)</f>
        <v>5.78325362375148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5.8802872006267446</v>
      </c>
      <c r="C26" s="65">
        <f>IF(SER_hh_fech!C26=0,0,SER_hh_fech!C26/SER_summary!C$26)</f>
        <v>6.0854771719371064</v>
      </c>
      <c r="D26" s="65">
        <f>IF(SER_hh_fech!D26=0,0,SER_hh_fech!D26/SER_summary!D$26)</f>
        <v>6.3657713900833137</v>
      </c>
      <c r="E26" s="65">
        <f>IF(SER_hh_fech!E26=0,0,SER_hh_fech!E26/SER_summary!E$26)</f>
        <v>6.5202520128143169</v>
      </c>
      <c r="F26" s="65">
        <f>IF(SER_hh_fech!F26=0,0,SER_hh_fech!F26/SER_summary!F$26)</f>
        <v>6.7857575721266556</v>
      </c>
      <c r="G26" s="65">
        <f>IF(SER_hh_fech!G26=0,0,SER_hh_fech!G26/SER_summary!G$26)</f>
        <v>6.7903555314095456</v>
      </c>
      <c r="H26" s="65">
        <f>IF(SER_hh_fech!H26=0,0,SER_hh_fech!H26/SER_summary!H$26)</f>
        <v>6.2236973951892267</v>
      </c>
      <c r="I26" s="65">
        <f>IF(SER_hh_fech!I26=0,0,SER_hh_fech!I26/SER_summary!I$26)</f>
        <v>6.3389456333196117</v>
      </c>
      <c r="J26" s="65">
        <f>IF(SER_hh_fech!J26=0,0,SER_hh_fech!J26/SER_summary!J$26)</f>
        <v>6.5078085585765777</v>
      </c>
      <c r="K26" s="65">
        <f>IF(SER_hh_fech!K26=0,0,SER_hh_fech!K26/SER_summary!K$26)</f>
        <v>6.4352984455846167</v>
      </c>
      <c r="L26" s="65">
        <f>IF(SER_hh_fech!L26=0,0,SER_hh_fech!L26/SER_summary!L$26)</f>
        <v>6.4727129418827323</v>
      </c>
      <c r="M26" s="65">
        <f>IF(SER_hh_fech!M26=0,0,SER_hh_fech!M26/SER_summary!M$26)</f>
        <v>6.585669124807521</v>
      </c>
      <c r="N26" s="65">
        <f>IF(SER_hh_fech!N26=0,0,SER_hh_fech!N26/SER_summary!N$26)</f>
        <v>6.192577099895014</v>
      </c>
      <c r="O26" s="65">
        <f>IF(SER_hh_fech!O26=0,0,SER_hh_fech!O26/SER_summary!O$26)</f>
        <v>6.4165541564992976</v>
      </c>
      <c r="P26" s="65">
        <f>IF(SER_hh_fech!P26=0,0,SER_hh_fech!P26/SER_summary!P$26)</f>
        <v>5.7021685685125103</v>
      </c>
      <c r="Q26" s="65">
        <f>IF(SER_hh_fech!Q26=0,0,SER_hh_fech!Q26/SER_summary!Q$26)</f>
        <v>5.7569894138243365</v>
      </c>
      <c r="R26" s="65">
        <f>IF(SER_hh_fech!R26=0,0,SER_hh_fech!R26/SER_summary!R$26)</f>
        <v>5.3130789948109198</v>
      </c>
      <c r="S26" s="65">
        <f>IF(SER_hh_fech!S26=0,0,SER_hh_fech!S26/SER_summary!S$26)</f>
        <v>4.868720658229309</v>
      </c>
      <c r="T26" s="65">
        <f>IF(SER_hh_fech!T26=0,0,SER_hh_fech!T26/SER_summary!T$26)</f>
        <v>5.5366060988269155</v>
      </c>
      <c r="U26" s="65">
        <f>IF(SER_hh_fech!U26=0,0,SER_hh_fech!U26/SER_summary!U$26)</f>
        <v>5.2537039007731305</v>
      </c>
      <c r="V26" s="65">
        <f>IF(SER_hh_fech!V26=0,0,SER_hh_fech!V26/SER_summary!V$26)</f>
        <v>4.2694286840229108</v>
      </c>
      <c r="W26" s="65">
        <f>IF(SER_hh_fech!W26=0,0,SER_hh_fech!W26/SER_summary!W$26)</f>
        <v>4.6943945983655366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4.6508918826353191E-2</v>
      </c>
      <c r="C27" s="146">
        <f>IF(SER_hh_fech!C27=0,0,SER_hh_fech!C27/SER_summary!C$26)</f>
        <v>5.7346047668085869E-2</v>
      </c>
      <c r="D27" s="146">
        <f>IF(SER_hh_fech!D27=0,0,SER_hh_fech!D27/SER_summary!D$26)</f>
        <v>6.8450447364806669E-2</v>
      </c>
      <c r="E27" s="146">
        <f>IF(SER_hh_fech!E27=0,0,SER_hh_fech!E27/SER_summary!E$26)</f>
        <v>8.4360471718443131E-2</v>
      </c>
      <c r="F27" s="146">
        <f>IF(SER_hh_fech!F27=0,0,SER_hh_fech!F27/SER_summary!F$26)</f>
        <v>9.7103712735257905E-2</v>
      </c>
      <c r="G27" s="146">
        <f>IF(SER_hh_fech!G27=0,0,SER_hh_fech!G27/SER_summary!G$26)</f>
        <v>0.11401115461155766</v>
      </c>
      <c r="H27" s="146">
        <f>IF(SER_hh_fech!H27=0,0,SER_hh_fech!H27/SER_summary!H$26)</f>
        <v>0.12765696743203586</v>
      </c>
      <c r="I27" s="146">
        <f>IF(SER_hh_fech!I27=0,0,SER_hh_fech!I27/SER_summary!I$26)</f>
        <v>0.13340143745402647</v>
      </c>
      <c r="J27" s="146">
        <f>IF(SER_hh_fech!J27=0,0,SER_hh_fech!J27/SER_summary!J$26)</f>
        <v>0.15316278285223567</v>
      </c>
      <c r="K27" s="146">
        <f>IF(SER_hh_fech!K27=0,0,SER_hh_fech!K27/SER_summary!K$26)</f>
        <v>0.18319620780235879</v>
      </c>
      <c r="L27" s="146">
        <f>IF(SER_hh_fech!L27=0,0,SER_hh_fech!L27/SER_summary!L$26)</f>
        <v>0.20011264406021173</v>
      </c>
      <c r="M27" s="146">
        <f>IF(SER_hh_fech!M27=0,0,SER_hh_fech!M27/SER_summary!M$26)</f>
        <v>0.21530855734801158</v>
      </c>
      <c r="N27" s="146">
        <f>IF(SER_hh_fech!N27=0,0,SER_hh_fech!N27/SER_summary!N$26)</f>
        <v>0.22935204686772603</v>
      </c>
      <c r="O27" s="146">
        <f>IF(SER_hh_fech!O27=0,0,SER_hh_fech!O27/SER_summary!O$26)</f>
        <v>0.23403942628981061</v>
      </c>
      <c r="P27" s="146">
        <f>IF(SER_hh_fech!P27=0,0,SER_hh_fech!P27/SER_summary!P$26)</f>
        <v>0.24934542798301998</v>
      </c>
      <c r="Q27" s="146">
        <f>IF(SER_hh_fech!Q27=0,0,SER_hh_fech!Q27/SER_summary!Q$26)</f>
        <v>0.26241971222656857</v>
      </c>
      <c r="R27" s="146">
        <f>IF(SER_hh_fech!R27=0,0,SER_hh_fech!R27/SER_summary!R$26)</f>
        <v>0.25912459735051024</v>
      </c>
      <c r="S27" s="146">
        <f>IF(SER_hh_fech!S27=0,0,SER_hh_fech!S27/SER_summary!S$26)</f>
        <v>0.26132257905535083</v>
      </c>
      <c r="T27" s="146">
        <f>IF(SER_hh_fech!T27=0,0,SER_hh_fech!T27/SER_summary!T$26)</f>
        <v>0.26302183199686818</v>
      </c>
      <c r="U27" s="146">
        <f>IF(SER_hh_fech!U27=0,0,SER_hh_fech!U27/SER_summary!U$26)</f>
        <v>0.26296325308239082</v>
      </c>
      <c r="V27" s="146">
        <f>IF(SER_hh_fech!V27=0,0,SER_hh_fech!V27/SER_summary!V$26)</f>
        <v>0.25908468575916715</v>
      </c>
      <c r="W27" s="146">
        <f>IF(SER_hh_fech!W27=0,0,SER_hh_fech!W27/SER_summary!W$26)</f>
        <v>0.25201037925614145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3.1636042420613157</v>
      </c>
      <c r="C28" s="147">
        <f>IF(SER_hh_fech!C28=0,0,SER_hh_fech!C28/SER_summary!C$26)</f>
        <v>2.8912541413198727</v>
      </c>
      <c r="D28" s="147">
        <f>IF(SER_hh_fech!D28=0,0,SER_hh_fech!D28/SER_summary!D$26)</f>
        <v>3.520626015733952</v>
      </c>
      <c r="E28" s="147">
        <f>IF(SER_hh_fech!E28=0,0,SER_hh_fech!E28/SER_summary!E$26)</f>
        <v>3.6476599771845333</v>
      </c>
      <c r="F28" s="147">
        <f>IF(SER_hh_fech!F28=0,0,SER_hh_fech!F28/SER_summary!F$26)</f>
        <v>3.7673123226798659</v>
      </c>
      <c r="G28" s="147">
        <f>IF(SER_hh_fech!G28=0,0,SER_hh_fech!G28/SER_summary!G$26)</f>
        <v>3.7661851918109761</v>
      </c>
      <c r="H28" s="147">
        <f>IF(SER_hh_fech!H28=0,0,SER_hh_fech!H28/SER_summary!H$26)</f>
        <v>3.7231731969772999</v>
      </c>
      <c r="I28" s="147">
        <f>IF(SER_hh_fech!I28=0,0,SER_hh_fech!I28/SER_summary!I$26)</f>
        <v>3.7556838531880974</v>
      </c>
      <c r="J28" s="147">
        <f>IF(SER_hh_fech!J28=0,0,SER_hh_fech!J28/SER_summary!J$26)</f>
        <v>3.8172542400417049</v>
      </c>
      <c r="K28" s="147">
        <f>IF(SER_hh_fech!K28=0,0,SER_hh_fech!K28/SER_summary!K$26)</f>
        <v>3.8664988324173373</v>
      </c>
      <c r="L28" s="147">
        <f>IF(SER_hh_fech!L28=0,0,SER_hh_fech!L28/SER_summary!L$26)</f>
        <v>3.9185499986674932</v>
      </c>
      <c r="M28" s="147">
        <f>IF(SER_hh_fech!M28=0,0,SER_hh_fech!M28/SER_summary!M$26)</f>
        <v>3.8240654486740429</v>
      </c>
      <c r="N28" s="147">
        <f>IF(SER_hh_fech!N28=0,0,SER_hh_fech!N28/SER_summary!N$26)</f>
        <v>3.8821474606463804</v>
      </c>
      <c r="O28" s="147">
        <f>IF(SER_hh_fech!O28=0,0,SER_hh_fech!O28/SER_summary!O$26)</f>
        <v>4.1234952011868327</v>
      </c>
      <c r="P28" s="147">
        <f>IF(SER_hh_fech!P28=0,0,SER_hh_fech!P28/SER_summary!P$26)</f>
        <v>3.8477159788364235</v>
      </c>
      <c r="Q28" s="147">
        <f>IF(SER_hh_fech!Q28=0,0,SER_hh_fech!Q28/SER_summary!Q$26)</f>
        <v>3.9422971904709039</v>
      </c>
      <c r="R28" s="147">
        <f>IF(SER_hh_fech!R28=0,0,SER_hh_fech!R28/SER_summary!R$26)</f>
        <v>3.8112122743253045</v>
      </c>
      <c r="S28" s="147">
        <f>IF(SER_hh_fech!S28=0,0,SER_hh_fech!S28/SER_summary!S$26)</f>
        <v>3.6069366668052667</v>
      </c>
      <c r="T28" s="147">
        <f>IF(SER_hh_fech!T28=0,0,SER_hh_fech!T28/SER_summary!T$26)</f>
        <v>3.8304521693978431</v>
      </c>
      <c r="U28" s="147">
        <f>IF(SER_hh_fech!U28=0,0,SER_hh_fech!U28/SER_summary!U$26)</f>
        <v>3.7139376654099041</v>
      </c>
      <c r="V28" s="147">
        <f>IF(SER_hh_fech!V28=0,0,SER_hh_fech!V28/SER_summary!V$26)</f>
        <v>3.4037899472192361</v>
      </c>
      <c r="W28" s="147">
        <f>IF(SER_hh_fech!W28=0,0,SER_hh_fech!W28/SER_summary!W$26)</f>
        <v>3.7885003079976376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7.1123474713619279</v>
      </c>
      <c r="C29" s="131">
        <f>IF(SER_hh_fech!C29=0,0,SER_hh_fech!C29/SER_summary!C$26)</f>
        <v>7.332510435769314</v>
      </c>
      <c r="D29" s="131">
        <f>IF(SER_hh_fech!D29=0,0,SER_hh_fech!D29/SER_summary!D$26)</f>
        <v>7.0352753350681745</v>
      </c>
      <c r="E29" s="131">
        <f>IF(SER_hh_fech!E29=0,0,SER_hh_fech!E29/SER_summary!E$26)</f>
        <v>6.76012802388842</v>
      </c>
      <c r="F29" s="131">
        <f>IF(SER_hh_fech!F29=0,0,SER_hh_fech!F29/SER_summary!F$26)</f>
        <v>7.2581577335175522</v>
      </c>
      <c r="G29" s="131">
        <f>IF(SER_hh_fech!G29=0,0,SER_hh_fech!G29/SER_summary!G$26)</f>
        <v>7.2681270929460506</v>
      </c>
      <c r="H29" s="131">
        <f>IF(SER_hh_fech!H29=0,0,SER_hh_fech!H29/SER_summary!H$26)</f>
        <v>7.6331678014358531</v>
      </c>
      <c r="I29" s="131">
        <f>IF(SER_hh_fech!I29=0,0,SER_hh_fech!I29/SER_summary!I$26)</f>
        <v>7.7255364884308397</v>
      </c>
      <c r="J29" s="131">
        <f>IF(SER_hh_fech!J29=0,0,SER_hh_fech!J29/SER_summary!J$26)</f>
        <v>7.8804281642092819</v>
      </c>
      <c r="K29" s="131">
        <f>IF(SER_hh_fech!K29=0,0,SER_hh_fech!K29/SER_summary!K$26)</f>
        <v>7.8665912954204424</v>
      </c>
      <c r="L29" s="131">
        <f>IF(SER_hh_fech!L29=0,0,SER_hh_fech!L29/SER_summary!L$26)</f>
        <v>8.0212736501843693</v>
      </c>
      <c r="M29" s="131">
        <f>IF(SER_hh_fech!M29=0,0,SER_hh_fech!M29/SER_summary!M$26)</f>
        <v>8.1039316256522511</v>
      </c>
      <c r="N29" s="131">
        <f>IF(SER_hh_fech!N29=0,0,SER_hh_fech!N29/SER_summary!N$26)</f>
        <v>7.9770700886570394</v>
      </c>
      <c r="O29" s="131">
        <f>IF(SER_hh_fech!O29=0,0,SER_hh_fech!O29/SER_summary!O$26)</f>
        <v>8.0845390230690342</v>
      </c>
      <c r="P29" s="131">
        <f>IF(SER_hh_fech!P29=0,0,SER_hh_fech!P29/SER_summary!P$26)</f>
        <v>8.5037882859325151</v>
      </c>
      <c r="Q29" s="131">
        <f>IF(SER_hh_fech!Q29=0,0,SER_hh_fech!Q29/SER_summary!Q$26)</f>
        <v>8.5708947123115156</v>
      </c>
      <c r="R29" s="131">
        <f>IF(SER_hh_fech!R29=0,0,SER_hh_fech!R29/SER_summary!R$26)</f>
        <v>8.4689673424912293</v>
      </c>
      <c r="S29" s="131">
        <f>IF(SER_hh_fech!S29=0,0,SER_hh_fech!S29/SER_summary!S$26)</f>
        <v>8.6585242268431593</v>
      </c>
      <c r="T29" s="131">
        <f>IF(SER_hh_fech!T29=0,0,SER_hh_fech!T29/SER_summary!T$26)</f>
        <v>8.6729120715077812</v>
      </c>
      <c r="U29" s="131">
        <f>IF(SER_hh_fech!U29=0,0,SER_hh_fech!U29/SER_summary!U$26)</f>
        <v>8.8010412343997544</v>
      </c>
      <c r="V29" s="131">
        <f>IF(SER_hh_fech!V29=0,0,SER_hh_fech!V29/SER_summary!V$26)</f>
        <v>7.4342477434191814</v>
      </c>
      <c r="W29" s="131">
        <f>IF(SER_hh_fech!W29=0,0,SER_hh_fech!W29/SER_summary!W$26)</f>
        <v>8.4904661904116736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8.3372551875520315</v>
      </c>
      <c r="C30" s="133">
        <f>IF(SER_hh_fech!C30=0,0,SER_hh_fech!C30/SER_summary!C$26)</f>
        <v>8.8291598384985601</v>
      </c>
      <c r="D30" s="133">
        <f>IF(SER_hh_fech!D30=0,0,SER_hh_fech!D30/SER_summary!D$26)</f>
        <v>8.5461494239900073</v>
      </c>
      <c r="E30" s="133">
        <f>IF(SER_hh_fech!E30=0,0,SER_hh_fech!E30/SER_summary!E$26)</f>
        <v>8.3067265100378798</v>
      </c>
      <c r="F30" s="133">
        <f>IF(SER_hh_fech!F30=0,0,SER_hh_fech!F30/SER_summary!F$26)</f>
        <v>9.0014163860813774</v>
      </c>
      <c r="G30" s="133">
        <f>IF(SER_hh_fech!G30=0,0,SER_hh_fech!G30/SER_summary!G$26)</f>
        <v>8.7791385249617271</v>
      </c>
      <c r="H30" s="133">
        <f>IF(SER_hh_fech!H30=0,0,SER_hh_fech!H30/SER_summary!H$26)</f>
        <v>8.5411741991002437</v>
      </c>
      <c r="I30" s="133">
        <f>IF(SER_hh_fech!I30=0,0,SER_hh_fech!I30/SER_summary!I$26)</f>
        <v>9.206354843911484</v>
      </c>
      <c r="J30" s="133">
        <f>IF(SER_hh_fech!J30=0,0,SER_hh_fech!J30/SER_summary!J$26)</f>
        <v>9.9112340227274167</v>
      </c>
      <c r="K30" s="133">
        <f>IF(SER_hh_fech!K30=0,0,SER_hh_fech!K30/SER_summary!K$26)</f>
        <v>9.3104246309512</v>
      </c>
      <c r="L30" s="133">
        <f>IF(SER_hh_fech!L30=0,0,SER_hh_fech!L30/SER_summary!L$26)</f>
        <v>9.7116522267365433</v>
      </c>
      <c r="M30" s="133">
        <f>IF(SER_hh_fech!M30=0,0,SER_hh_fech!M30/SER_summary!M$26)</f>
        <v>9.6045481245209157</v>
      </c>
      <c r="N30" s="133">
        <f>IF(SER_hh_fech!N30=0,0,SER_hh_fech!N30/SER_summary!N$26)</f>
        <v>9.7636068882360796</v>
      </c>
      <c r="O30" s="133">
        <f>IF(SER_hh_fech!O30=0,0,SER_hh_fech!O30/SER_summary!O$26)</f>
        <v>9.7701920274954634</v>
      </c>
      <c r="P30" s="133">
        <f>IF(SER_hh_fech!P30=0,0,SER_hh_fech!P30/SER_summary!P$26)</f>
        <v>6.7442798487224227</v>
      </c>
      <c r="Q30" s="133">
        <f>IF(SER_hh_fech!Q30=0,0,SER_hh_fech!Q30/SER_summary!Q$26)</f>
        <v>9.271220470830734</v>
      </c>
      <c r="R30" s="133">
        <f>IF(SER_hh_fech!R30=0,0,SER_hh_fech!R30/SER_summary!R$26)</f>
        <v>11.539339007349714</v>
      </c>
      <c r="S30" s="133">
        <f>IF(SER_hh_fech!S30=0,0,SER_hh_fech!S30/SER_summary!S$26)</f>
        <v>8.9787272665235172</v>
      </c>
      <c r="T30" s="133">
        <f>IF(SER_hh_fech!T30=0,0,SER_hh_fech!T30/SER_summary!T$26)</f>
        <v>10.583674536797711</v>
      </c>
      <c r="U30" s="133">
        <f>IF(SER_hh_fech!U30=0,0,SER_hh_fech!U30/SER_summary!U$26)</f>
        <v>10.210124380326763</v>
      </c>
      <c r="V30" s="133">
        <f>IF(SER_hh_fech!V30=0,0,SER_hh_fech!V30/SER_summary!V$26)</f>
        <v>7.67931115629872</v>
      </c>
      <c r="W30" s="133">
        <f>IF(SER_hh_fech!W30=0,0,SER_hh_fech!W30/SER_summary!W$26)</f>
        <v>9.8175910491961176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7.9900064781849869</v>
      </c>
      <c r="C31" s="133">
        <f>IF(SER_hh_fech!C31=0,0,SER_hh_fech!C31/SER_summary!C$26)</f>
        <v>9.2720279307943212</v>
      </c>
      <c r="D31" s="133">
        <f>IF(SER_hh_fech!D31=0,0,SER_hh_fech!D31/SER_summary!D$26)</f>
        <v>8.0397811673958106</v>
      </c>
      <c r="E31" s="133">
        <f>IF(SER_hh_fech!E31=0,0,SER_hh_fech!E31/SER_summary!E$26)</f>
        <v>6.7943775886280431</v>
      </c>
      <c r="F31" s="133">
        <f>IF(SER_hh_fech!F31=0,0,SER_hh_fech!F31/SER_summary!F$26)</f>
        <v>9.0740284346498843</v>
      </c>
      <c r="G31" s="133">
        <f>IF(SER_hh_fech!G31=0,0,SER_hh_fech!G31/SER_summary!G$26)</f>
        <v>8.8094717892935943</v>
      </c>
      <c r="H31" s="133">
        <f>IF(SER_hh_fech!H31=0,0,SER_hh_fech!H31/SER_summary!H$26)</f>
        <v>9.2893481026850893</v>
      </c>
      <c r="I31" s="133">
        <f>IF(SER_hh_fech!I31=0,0,SER_hh_fech!I31/SER_summary!I$26)</f>
        <v>9.230560571825384</v>
      </c>
      <c r="J31" s="133">
        <f>IF(SER_hh_fech!J31=0,0,SER_hh_fech!J31/SER_summary!J$26)</f>
        <v>9.3936135095954665</v>
      </c>
      <c r="K31" s="133">
        <f>IF(SER_hh_fech!K31=0,0,SER_hh_fech!K31/SER_summary!K$26)</f>
        <v>9.2909639838329596</v>
      </c>
      <c r="L31" s="133">
        <f>IF(SER_hh_fech!L31=0,0,SER_hh_fech!L31/SER_summary!L$26)</f>
        <v>9.4919328725560916</v>
      </c>
      <c r="M31" s="133">
        <f>IF(SER_hh_fech!M31=0,0,SER_hh_fech!M31/SER_summary!M$26)</f>
        <v>9.3012479514099518</v>
      </c>
      <c r="N31" s="133">
        <f>IF(SER_hh_fech!N31=0,0,SER_hh_fech!N31/SER_summary!N$26)</f>
        <v>8.5017209783386658</v>
      </c>
      <c r="O31" s="133">
        <f>IF(SER_hh_fech!O31=0,0,SER_hh_fech!O31/SER_summary!O$26)</f>
        <v>7.9573806057429008</v>
      </c>
      <c r="P31" s="133">
        <f>IF(SER_hh_fech!P31=0,0,SER_hh_fech!P31/SER_summary!P$26)</f>
        <v>10.607928829634396</v>
      </c>
      <c r="Q31" s="133">
        <f>IF(SER_hh_fech!Q31=0,0,SER_hh_fech!Q31/SER_summary!Q$26)</f>
        <v>9.9146028466582603</v>
      </c>
      <c r="R31" s="133">
        <f>IF(SER_hh_fech!R31=0,0,SER_hh_fech!R31/SER_summary!R$26)</f>
        <v>9.8249817821605845</v>
      </c>
      <c r="S31" s="133">
        <f>IF(SER_hh_fech!S31=0,0,SER_hh_fech!S31/SER_summary!S$26)</f>
        <v>9.8485399973436571</v>
      </c>
      <c r="T31" s="133">
        <f>IF(SER_hh_fech!T31=0,0,SER_hh_fech!T31/SER_summary!T$26)</f>
        <v>8.9009655530525951</v>
      </c>
      <c r="U31" s="133">
        <f>IF(SER_hh_fech!U31=0,0,SER_hh_fech!U31/SER_summary!U$26)</f>
        <v>9.2194478653497942</v>
      </c>
      <c r="V31" s="133">
        <f>IF(SER_hh_fech!V31=0,0,SER_hh_fech!V31/SER_summary!V$26)</f>
        <v>9.4519193603427052</v>
      </c>
      <c r="W31" s="133">
        <f>IF(SER_hh_fech!W31=0,0,SER_hh_fech!W31/SER_summary!W$26)</f>
        <v>9.1281268987140081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6.6422048571857424</v>
      </c>
      <c r="C33" s="68">
        <f>IF(SER_hh_fech!C33=0,0,SER_hh_fech!C33/SER_summary!C$26)</f>
        <v>6.553600083849882</v>
      </c>
      <c r="D33" s="68">
        <f>IF(SER_hh_fech!D33=0,0,SER_hh_fech!D33/SER_summary!D$26)</f>
        <v>6.4643203173602632</v>
      </c>
      <c r="E33" s="68">
        <f>IF(SER_hh_fech!E33=0,0,SER_hh_fech!E33/SER_summary!E$26)</f>
        <v>6.4004452307197921</v>
      </c>
      <c r="F33" s="68">
        <f>IF(SER_hh_fech!F33=0,0,SER_hh_fech!F33/SER_summary!F$26)</f>
        <v>6.3809986963801162</v>
      </c>
      <c r="G33" s="68">
        <f>IF(SER_hh_fech!G33=0,0,SER_hh_fech!G33/SER_summary!G$26)</f>
        <v>6.5035284247092511</v>
      </c>
      <c r="H33" s="68">
        <f>IF(SER_hh_fech!H33=0,0,SER_hh_fech!H33/SER_summary!H$26)</f>
        <v>6.9441115921919403</v>
      </c>
      <c r="I33" s="68">
        <f>IF(SER_hh_fech!I33=0,0,SER_hh_fech!I33/SER_summary!I$26)</f>
        <v>7.0050672033238301</v>
      </c>
      <c r="J33" s="68">
        <f>IF(SER_hh_fech!J33=0,0,SER_hh_fech!J33/SER_summary!J$26)</f>
        <v>7.0891787675847402</v>
      </c>
      <c r="K33" s="68">
        <f>IF(SER_hh_fech!K33=0,0,SER_hh_fech!K33/SER_summary!K$26)</f>
        <v>7.1846837843435454</v>
      </c>
      <c r="L33" s="68">
        <f>IF(SER_hh_fech!L33=0,0,SER_hh_fech!L33/SER_summary!L$26)</f>
        <v>7.2907178301501476</v>
      </c>
      <c r="M33" s="68">
        <f>IF(SER_hh_fech!M33=0,0,SER_hh_fech!M33/SER_summary!M$26)</f>
        <v>7.469529223711195</v>
      </c>
      <c r="N33" s="68">
        <f>IF(SER_hh_fech!N33=0,0,SER_hh_fech!N33/SER_summary!N$26)</f>
        <v>7.514246882990812</v>
      </c>
      <c r="O33" s="68">
        <f>IF(SER_hh_fech!O33=0,0,SER_hh_fech!O33/SER_summary!O$26)</f>
        <v>7.9530690425135937</v>
      </c>
      <c r="P33" s="68">
        <f>IF(SER_hh_fech!P33=0,0,SER_hh_fech!P33/SER_summary!P$26)</f>
        <v>6.4092002999438833</v>
      </c>
      <c r="Q33" s="68">
        <f>IF(SER_hh_fech!Q33=0,0,SER_hh_fech!Q33/SER_summary!Q$26)</f>
        <v>6.3408124879498438</v>
      </c>
      <c r="R33" s="68">
        <f>IF(SER_hh_fech!R33=0,0,SER_hh_fech!R33/SER_summary!R$26)</f>
        <v>5.3547349346924316</v>
      </c>
      <c r="S33" s="68">
        <f>IF(SER_hh_fech!S33=0,0,SER_hh_fech!S33/SER_summary!S$26)</f>
        <v>6.5334380894391293</v>
      </c>
      <c r="T33" s="68">
        <f>IF(SER_hh_fech!T33=0,0,SER_hh_fech!T33/SER_summary!T$26)</f>
        <v>7.8715333621211139</v>
      </c>
      <c r="U33" s="68">
        <f>IF(SER_hh_fech!U33=0,0,SER_hh_fech!U33/SER_summary!U$26)</f>
        <v>7.9341485803966671</v>
      </c>
      <c r="V33" s="68">
        <f>IF(SER_hh_fech!V33=0,0,SER_hh_fech!V33/SER_summary!V$26)</f>
        <v>4.420663916684056</v>
      </c>
      <c r="W33" s="68">
        <f>IF(SER_hh_fech!W33=0,0,SER_hh_fech!W33/SER_summary!W$26)</f>
        <v>7.3755814607973349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17.739415318656878</v>
      </c>
      <c r="C3" s="126">
        <f>IF(SER_hh_tesh!C3=0,0,SER_hh_tesh!C3/SER_summary!C$26)</f>
        <v>18.187356717427704</v>
      </c>
      <c r="D3" s="126">
        <f>IF(SER_hh_tesh!D3=0,0,SER_hh_tesh!D3/SER_summary!D$26)</f>
        <v>17.920571233606907</v>
      </c>
      <c r="E3" s="126">
        <f>IF(SER_hh_tesh!E3=0,0,SER_hh_tesh!E3/SER_summary!E$26)</f>
        <v>18.435285577129051</v>
      </c>
      <c r="F3" s="126">
        <f>IF(SER_hh_tesh!F3=0,0,SER_hh_tesh!F3/SER_summary!F$26)</f>
        <v>19.466972121974653</v>
      </c>
      <c r="G3" s="126">
        <f>IF(SER_hh_tesh!G3=0,0,SER_hh_tesh!G3/SER_summary!G$26)</f>
        <v>21.227864724022719</v>
      </c>
      <c r="H3" s="126">
        <f>IF(SER_hh_tesh!H3=0,0,SER_hh_tesh!H3/SER_summary!H$26)</f>
        <v>28.507522860914825</v>
      </c>
      <c r="I3" s="126">
        <f>IF(SER_hh_tesh!I3=0,0,SER_hh_tesh!I3/SER_summary!I$26)</f>
        <v>23.565531832170084</v>
      </c>
      <c r="J3" s="126">
        <f>IF(SER_hh_tesh!J3=0,0,SER_hh_tesh!J3/SER_summary!J$26)</f>
        <v>24.896918697922342</v>
      </c>
      <c r="K3" s="126">
        <f>IF(SER_hh_tesh!K3=0,0,SER_hh_tesh!K3/SER_summary!K$26)</f>
        <v>28.869392324836856</v>
      </c>
      <c r="L3" s="126">
        <f>IF(SER_hh_tesh!L3=0,0,SER_hh_tesh!L3/SER_summary!L$26)</f>
        <v>30.990831415307373</v>
      </c>
      <c r="M3" s="126">
        <f>IF(SER_hh_tesh!M3=0,0,SER_hh_tesh!M3/SER_summary!M$26)</f>
        <v>30.603828714436013</v>
      </c>
      <c r="N3" s="126">
        <f>IF(SER_hh_tesh!N3=0,0,SER_hh_tesh!N3/SER_summary!N$26)</f>
        <v>31.135622449470258</v>
      </c>
      <c r="O3" s="126">
        <f>IF(SER_hh_tesh!O3=0,0,SER_hh_tesh!O3/SER_summary!O$26)</f>
        <v>28.320661968368615</v>
      </c>
      <c r="P3" s="126">
        <f>IF(SER_hh_tesh!P3=0,0,SER_hh_tesh!P3/SER_summary!P$26)</f>
        <v>24.763074168195072</v>
      </c>
      <c r="Q3" s="126">
        <f>IF(SER_hh_tesh!Q3=0,0,SER_hh_tesh!Q3/SER_summary!Q$26)</f>
        <v>29.590974954115087</v>
      </c>
      <c r="R3" s="126">
        <f>IF(SER_hh_tesh!R3=0,0,SER_hh_tesh!R3/SER_summary!R$26)</f>
        <v>29.911807289601708</v>
      </c>
      <c r="S3" s="126">
        <f>IF(SER_hh_tesh!S3=0,0,SER_hh_tesh!S3/SER_summary!S$26)</f>
        <v>33.45701677505145</v>
      </c>
      <c r="T3" s="126">
        <f>IF(SER_hh_tesh!T3=0,0,SER_hh_tesh!T3/SER_summary!T$26)</f>
        <v>30.461450119402649</v>
      </c>
      <c r="U3" s="126">
        <f>IF(SER_hh_tesh!U3=0,0,SER_hh_tesh!U3/SER_summary!U$26)</f>
        <v>31.764233692798115</v>
      </c>
      <c r="V3" s="126">
        <f>IF(SER_hh_tesh!V3=0,0,SER_hh_tesh!V3/SER_summary!V$26)</f>
        <v>31.831470260332576</v>
      </c>
      <c r="W3" s="126">
        <f>IF(SER_hh_tesh!W3=0,0,SER_hh_tesh!W3/SER_summary!W$26)</f>
        <v>32.703181244604345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6.5647930848754878</v>
      </c>
      <c r="C4" s="131">
        <f>IF(SER_hh_tesh!C4=0,0,SER_hh_tesh!C4/SER_summary!C$26)</f>
        <v>6.1901260203115482</v>
      </c>
      <c r="D4" s="131">
        <f>IF(SER_hh_tesh!D4=0,0,SER_hh_tesh!D4/SER_summary!D$26)</f>
        <v>5.8511044195406239</v>
      </c>
      <c r="E4" s="131">
        <f>IF(SER_hh_tesh!E4=0,0,SER_hh_tesh!E4/SER_summary!E$26)</f>
        <v>4.8376461456154338</v>
      </c>
      <c r="F4" s="131">
        <f>IF(SER_hh_tesh!F4=0,0,SER_hh_tesh!F4/SER_summary!F$26)</f>
        <v>5.5067228017172294</v>
      </c>
      <c r="G4" s="131">
        <f>IF(SER_hh_tesh!G4=0,0,SER_hh_tesh!G4/SER_summary!G$26)</f>
        <v>6.3412984671999162</v>
      </c>
      <c r="H4" s="131">
        <f>IF(SER_hh_tesh!H4=0,0,SER_hh_tesh!H4/SER_summary!H$26)</f>
        <v>11.673377045145713</v>
      </c>
      <c r="I4" s="131">
        <f>IF(SER_hh_tesh!I4=0,0,SER_hh_tesh!I4/SER_summary!I$26)</f>
        <v>7.7127630710237725</v>
      </c>
      <c r="J4" s="131">
        <f>IF(SER_hh_tesh!J4=0,0,SER_hh_tesh!J4/SER_summary!J$26)</f>
        <v>7.8296892682999157</v>
      </c>
      <c r="K4" s="131">
        <f>IF(SER_hh_tesh!K4=0,0,SER_hh_tesh!K4/SER_summary!K$26)</f>
        <v>8.3805876893667151</v>
      </c>
      <c r="L4" s="131">
        <f>IF(SER_hh_tesh!L4=0,0,SER_hh_tesh!L4/SER_summary!L$26)</f>
        <v>10.268245070131316</v>
      </c>
      <c r="M4" s="131">
        <f>IF(SER_hh_tesh!M4=0,0,SER_hh_tesh!M4/SER_summary!M$26)</f>
        <v>10.354010535461374</v>
      </c>
      <c r="N4" s="131">
        <f>IF(SER_hh_tesh!N4=0,0,SER_hh_tesh!N4/SER_summary!N$26)</f>
        <v>8.5736328578548164</v>
      </c>
      <c r="O4" s="131">
        <f>IF(SER_hh_tesh!O4=0,0,SER_hh_tesh!O4/SER_summary!O$26)</f>
        <v>7.8723693287942966</v>
      </c>
      <c r="P4" s="131">
        <f>IF(SER_hh_tesh!P4=0,0,SER_hh_tesh!P4/SER_summary!P$26)</f>
        <v>5.0490682068015671</v>
      </c>
      <c r="Q4" s="131">
        <f>IF(SER_hh_tesh!Q4=0,0,SER_hh_tesh!Q4/SER_summary!Q$26)</f>
        <v>5.2036541995904448</v>
      </c>
      <c r="R4" s="131">
        <f>IF(SER_hh_tesh!R4=0,0,SER_hh_tesh!R4/SER_summary!R$26)</f>
        <v>6.0248937495307588</v>
      </c>
      <c r="S4" s="131">
        <f>IF(SER_hh_tesh!S4=0,0,SER_hh_tesh!S4/SER_summary!S$26)</f>
        <v>6.984723010407671</v>
      </c>
      <c r="T4" s="131">
        <f>IF(SER_hh_tesh!T4=0,0,SER_hh_tesh!T4/SER_summary!T$26)</f>
        <v>8.4257352303296322</v>
      </c>
      <c r="U4" s="131">
        <f>IF(SER_hh_tesh!U4=0,0,SER_hh_tesh!U4/SER_summary!U$26)</f>
        <v>8.9325019355650976</v>
      </c>
      <c r="V4" s="131">
        <f>IF(SER_hh_tesh!V4=0,0,SER_hh_tesh!V4/SER_summary!V$26)</f>
        <v>8.8514698483724796</v>
      </c>
      <c r="W4" s="131">
        <f>IF(SER_hh_tesh!W4=0,0,SER_hh_tesh!W4/SER_summary!W$26)</f>
        <v>10.294490345424594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6.2817833608058553</v>
      </c>
      <c r="C7" s="133">
        <f>IF(SER_hh_tesh!C7=0,0,SER_hh_tesh!C7/SER_summary!C$26)</f>
        <v>6.2895643071134986</v>
      </c>
      <c r="D7" s="133">
        <f>IF(SER_hh_tesh!D7=0,0,SER_hh_tesh!D7/SER_summary!D$26)</f>
        <v>5.3510614309193487</v>
      </c>
      <c r="E7" s="133">
        <f>IF(SER_hh_tesh!E7=0,0,SER_hh_tesh!E7/SER_summary!E$26)</f>
        <v>5.4967650392805334</v>
      </c>
      <c r="F7" s="133">
        <f>IF(SER_hh_tesh!F7=0,0,SER_hh_tesh!F7/SER_summary!F$26)</f>
        <v>6.197741139101228</v>
      </c>
      <c r="G7" s="133">
        <f>IF(SER_hh_tesh!G7=0,0,SER_hh_tesh!G7/SER_summary!G$26)</f>
        <v>7.1963062445384196</v>
      </c>
      <c r="H7" s="133">
        <f>IF(SER_hh_tesh!H7=0,0,SER_hh_tesh!H7/SER_summary!H$26)</f>
        <v>7.059541780581478</v>
      </c>
      <c r="I7" s="133">
        <f>IF(SER_hh_tesh!I7=0,0,SER_hh_tesh!I7/SER_summary!I$26)</f>
        <v>7.5741600496395645</v>
      </c>
      <c r="J7" s="133">
        <f>IF(SER_hh_tesh!J7=0,0,SER_hh_tesh!J7/SER_summary!J$26)</f>
        <v>8.0792024559562368</v>
      </c>
      <c r="K7" s="133">
        <f>IF(SER_hh_tesh!K7=0,0,SER_hh_tesh!K7/SER_summary!K$26)</f>
        <v>9.1384540864237191</v>
      </c>
      <c r="L7" s="133">
        <f>IF(SER_hh_tesh!L7=0,0,SER_hh_tesh!L7/SER_summary!L$26)</f>
        <v>9.1889808050945163</v>
      </c>
      <c r="M7" s="133">
        <f>IF(SER_hh_tesh!M7=0,0,SER_hh_tesh!M7/SER_summary!M$26)</f>
        <v>8.1011543519240288</v>
      </c>
      <c r="N7" s="133">
        <f>IF(SER_hh_tesh!N7=0,0,SER_hh_tesh!N7/SER_summary!N$26)</f>
        <v>8.250625576180882</v>
      </c>
      <c r="O7" s="133">
        <f>IF(SER_hh_tesh!O7=0,0,SER_hh_tesh!O7/SER_summary!O$26)</f>
        <v>8.2664356284575771</v>
      </c>
      <c r="P7" s="133">
        <f>IF(SER_hh_tesh!P7=0,0,SER_hh_tesh!P7/SER_summary!P$26)</f>
        <v>6.2132616622222203</v>
      </c>
      <c r="Q7" s="133">
        <f>IF(SER_hh_tesh!Q7=0,0,SER_hh_tesh!Q7/SER_summary!Q$26)</f>
        <v>4.4523947917237985</v>
      </c>
      <c r="R7" s="133">
        <f>IF(SER_hh_tesh!R7=0,0,SER_hh_tesh!R7/SER_summary!R$26)</f>
        <v>5.9532885605238599</v>
      </c>
      <c r="S7" s="133">
        <f>IF(SER_hh_tesh!S7=0,0,SER_hh_tesh!S7/SER_summary!S$26)</f>
        <v>7.1791838523759486</v>
      </c>
      <c r="T7" s="133">
        <f>IF(SER_hh_tesh!T7=0,0,SER_hh_tesh!T7/SER_summary!T$26)</f>
        <v>8.2543421028460529</v>
      </c>
      <c r="U7" s="133">
        <f>IF(SER_hh_tesh!U7=0,0,SER_hh_tesh!U7/SER_summary!U$26)</f>
        <v>8.4898501566663001</v>
      </c>
      <c r="V7" s="133">
        <f>IF(SER_hh_tesh!V7=0,0,SER_hh_tesh!V7/SER_summary!V$26)</f>
        <v>8.652253714130044</v>
      </c>
      <c r="W7" s="133">
        <f>IF(SER_hh_tesh!W7=0,0,SER_hh_tesh!W7/SER_summary!W$26)</f>
        <v>9.9928844443788609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5.4461096659525108</v>
      </c>
      <c r="C8" s="133">
        <f>IF(SER_hh_tesh!C8=0,0,SER_hh_tesh!C8/SER_summary!C$26)</f>
        <v>5.9901190878253372</v>
      </c>
      <c r="D8" s="133">
        <f>IF(SER_hh_tesh!D8=0,0,SER_hh_tesh!D8/SER_summary!D$26)</f>
        <v>5.571212684531913</v>
      </c>
      <c r="E8" s="133">
        <f>IF(SER_hh_tesh!E8=0,0,SER_hh_tesh!E8/SER_summary!E$26)</f>
        <v>3.925096572182829</v>
      </c>
      <c r="F8" s="133">
        <f>IF(SER_hh_tesh!F8=0,0,SER_hh_tesh!F8/SER_summary!F$26)</f>
        <v>4.2499695542845624</v>
      </c>
      <c r="G8" s="133">
        <f>IF(SER_hh_tesh!G8=0,0,SER_hh_tesh!G8/SER_summary!G$26)</f>
        <v>6.4535879672988754</v>
      </c>
      <c r="H8" s="133">
        <f>IF(SER_hh_tesh!H8=0,0,SER_hh_tesh!H8/SER_summary!H$26)</f>
        <v>10.006567598454327</v>
      </c>
      <c r="I8" s="133">
        <f>IF(SER_hh_tesh!I8=0,0,SER_hh_tesh!I8/SER_summary!I$26)</f>
        <v>8.6601274827361205</v>
      </c>
      <c r="J8" s="133">
        <f>IF(SER_hh_tesh!J8=0,0,SER_hh_tesh!J8/SER_summary!J$26)</f>
        <v>8.2629580687098105</v>
      </c>
      <c r="K8" s="133">
        <f>IF(SER_hh_tesh!K8=0,0,SER_hh_tesh!K8/SER_summary!K$26)</f>
        <v>7.6625416250620448</v>
      </c>
      <c r="L8" s="133">
        <f>IF(SER_hh_tesh!L8=0,0,SER_hh_tesh!L8/SER_summary!L$26)</f>
        <v>6.7270435317412316</v>
      </c>
      <c r="M8" s="133">
        <f>IF(SER_hh_tesh!M8=0,0,SER_hh_tesh!M8/SER_summary!M$26)</f>
        <v>6.9190511661959206</v>
      </c>
      <c r="N8" s="133">
        <f>IF(SER_hh_tesh!N8=0,0,SER_hh_tesh!N8/SER_summary!N$26)</f>
        <v>5.4932711171924931</v>
      </c>
      <c r="O8" s="133">
        <f>IF(SER_hh_tesh!O8=0,0,SER_hh_tesh!O8/SER_summary!O$26)</f>
        <v>5.2939893466209238</v>
      </c>
      <c r="P8" s="133">
        <f>IF(SER_hh_tesh!P8=0,0,SER_hh_tesh!P8/SER_summary!P$26)</f>
        <v>5.6006399396566025</v>
      </c>
      <c r="Q8" s="133">
        <f>IF(SER_hh_tesh!Q8=0,0,SER_hh_tesh!Q8/SER_summary!Q$26)</f>
        <v>5.5003191958858677</v>
      </c>
      <c r="R8" s="133">
        <f>IF(SER_hh_tesh!R8=0,0,SER_hh_tesh!R8/SER_summary!R$26)</f>
        <v>6.2429573265398801</v>
      </c>
      <c r="S8" s="133">
        <f>IF(SER_hh_tesh!S8=0,0,SER_hh_tesh!S8/SER_summary!S$26)</f>
        <v>7.0583118177222293</v>
      </c>
      <c r="T8" s="133">
        <f>IF(SER_hh_tesh!T8=0,0,SER_hh_tesh!T8/SER_summary!T$26)</f>
        <v>8.0597978825979091</v>
      </c>
      <c r="U8" s="133">
        <f>IF(SER_hh_tesh!U8=0,0,SER_hh_tesh!U8/SER_summary!U$26)</f>
        <v>8.8415603179140447</v>
      </c>
      <c r="V8" s="133">
        <f>IF(SER_hh_tesh!V8=0,0,SER_hh_tesh!V8/SER_summary!V$26)</f>
        <v>9.2033787422858353</v>
      </c>
      <c r="W8" s="133">
        <f>IF(SER_hh_tesh!W8=0,0,SER_hh_tesh!W8/SER_summary!W$26)</f>
        <v>10.216098299154817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4.710781630534802</v>
      </c>
      <c r="C9" s="133">
        <f>IF(SER_hh_tesh!C9=0,0,SER_hh_tesh!C9/SER_summary!C$26)</f>
        <v>5.7717072312879019</v>
      </c>
      <c r="D9" s="133">
        <f>IF(SER_hh_tesh!D9=0,0,SER_hh_tesh!D9/SER_summary!D$26)</f>
        <v>8.6023570284805544</v>
      </c>
      <c r="E9" s="133">
        <f>IF(SER_hh_tesh!E9=0,0,SER_hh_tesh!E9/SER_summary!E$26)</f>
        <v>0.75025832923609292</v>
      </c>
      <c r="F9" s="133">
        <f>IF(SER_hh_tesh!F9=0,0,SER_hh_tesh!F9/SER_summary!F$26)</f>
        <v>0.90998485155835762</v>
      </c>
      <c r="G9" s="133">
        <f>IF(SER_hh_tesh!G9=0,0,SER_hh_tesh!G9/SER_summary!G$26)</f>
        <v>4.9277832800468753</v>
      </c>
      <c r="H9" s="133">
        <f>IF(SER_hh_tesh!H9=0,0,SER_hh_tesh!H9/SER_summary!H$26)</f>
        <v>16.460045772297935</v>
      </c>
      <c r="I9" s="133">
        <f>IF(SER_hh_tesh!I9=0,0,SER_hh_tesh!I9/SER_summary!I$26)</f>
        <v>7.6922834079174356</v>
      </c>
      <c r="J9" s="133">
        <f>IF(SER_hh_tesh!J9=0,0,SER_hh_tesh!J9/SER_summary!J$26)</f>
        <v>5.8373756803438894</v>
      </c>
      <c r="K9" s="133">
        <f>IF(SER_hh_tesh!K9=0,0,SER_hh_tesh!K9/SER_summary!K$26)</f>
        <v>7.7373907610274371</v>
      </c>
      <c r="L9" s="133">
        <f>IF(SER_hh_tesh!L9=0,0,SER_hh_tesh!L9/SER_summary!L$26)</f>
        <v>10.406242731315963</v>
      </c>
      <c r="M9" s="133">
        <f>IF(SER_hh_tesh!M9=0,0,SER_hh_tesh!M9/SER_summary!M$26)</f>
        <v>11.741482678893643</v>
      </c>
      <c r="N9" s="133">
        <f>IF(SER_hh_tesh!N9=0,0,SER_hh_tesh!N9/SER_summary!N$26)</f>
        <v>8.7798304644822682</v>
      </c>
      <c r="O9" s="133">
        <f>IF(SER_hh_tesh!O9=0,0,SER_hh_tesh!O9/SER_summary!O$26)</f>
        <v>8.0888588244473052</v>
      </c>
      <c r="P9" s="133">
        <f>IF(SER_hh_tesh!P9=0,0,SER_hh_tesh!P9/SER_summary!P$26)</f>
        <v>3.7043754856143307</v>
      </c>
      <c r="Q9" s="133">
        <f>IF(SER_hh_tesh!Q9=0,0,SER_hh_tesh!Q9/SER_summary!Q$26)</f>
        <v>5.6900132675791273</v>
      </c>
      <c r="R9" s="133">
        <f>IF(SER_hh_tesh!R9=0,0,SER_hh_tesh!R9/SER_summary!R$26)</f>
        <v>5.7629370052572506</v>
      </c>
      <c r="S9" s="133">
        <f>IF(SER_hh_tesh!S9=0,0,SER_hh_tesh!S9/SER_summary!S$26)</f>
        <v>6.1424977775892531</v>
      </c>
      <c r="T9" s="133">
        <f>IF(SER_hh_tesh!T9=0,0,SER_hh_tesh!T9/SER_summary!T$26)</f>
        <v>8.7767933936349589</v>
      </c>
      <c r="U9" s="133">
        <f>IF(SER_hh_tesh!U9=0,0,SER_hh_tesh!U9/SER_summary!U$26)</f>
        <v>9.1497711316242896</v>
      </c>
      <c r="V9" s="133">
        <f>IF(SER_hh_tesh!V9=0,0,SER_hh_tesh!V9/SER_summary!V$26)</f>
        <v>8.1640084994635913</v>
      </c>
      <c r="W9" s="133">
        <f>IF(SER_hh_tesh!W9=0,0,SER_hh_tesh!W9/SER_summary!W$26)</f>
        <v>10.469821389727688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6.2923902814837644</v>
      </c>
      <c r="C10" s="133">
        <f>IF(SER_hh_tesh!C10=0,0,SER_hh_tesh!C10/SER_summary!C$26)</f>
        <v>6.1657066531220117</v>
      </c>
      <c r="D10" s="133">
        <f>IF(SER_hh_tesh!D10=0,0,SER_hh_tesh!D10/SER_summary!D$26)</f>
        <v>5.6848282699797812</v>
      </c>
      <c r="E10" s="133">
        <f>IF(SER_hh_tesh!E10=0,0,SER_hh_tesh!E10/SER_summary!E$26)</f>
        <v>5.6008845447071653</v>
      </c>
      <c r="F10" s="133">
        <f>IF(SER_hh_tesh!F10=0,0,SER_hh_tesh!F10/SER_summary!F$26)</f>
        <v>5.6512758897059037</v>
      </c>
      <c r="G10" s="133">
        <f>IF(SER_hh_tesh!G10=0,0,SER_hh_tesh!G10/SER_summary!G$26)</f>
        <v>5.9750372889691237</v>
      </c>
      <c r="H10" s="133">
        <f>IF(SER_hh_tesh!H10=0,0,SER_hh_tesh!H10/SER_summary!H$26)</f>
        <v>9.182834165805783</v>
      </c>
      <c r="I10" s="133">
        <f>IF(SER_hh_tesh!I10=0,0,SER_hh_tesh!I10/SER_summary!I$26)</f>
        <v>8.4381742423016721</v>
      </c>
      <c r="J10" s="133">
        <f>IF(SER_hh_tesh!J10=0,0,SER_hh_tesh!J10/SER_summary!J$26)</f>
        <v>9.7649745861866055</v>
      </c>
      <c r="K10" s="133">
        <f>IF(SER_hh_tesh!K10=0,0,SER_hh_tesh!K10/SER_summary!K$26)</f>
        <v>7.6664294985197738</v>
      </c>
      <c r="L10" s="133">
        <f>IF(SER_hh_tesh!L10=0,0,SER_hh_tesh!L10/SER_summary!L$26)</f>
        <v>8.7363630071357701</v>
      </c>
      <c r="M10" s="133">
        <f>IF(SER_hh_tesh!M10=0,0,SER_hh_tesh!M10/SER_summary!M$26)</f>
        <v>9.2251352550824155</v>
      </c>
      <c r="N10" s="133">
        <f>IF(SER_hh_tesh!N10=0,0,SER_hh_tesh!N10/SER_summary!N$26)</f>
        <v>8.165016656476741</v>
      </c>
      <c r="O10" s="133">
        <f>IF(SER_hh_tesh!O10=0,0,SER_hh_tesh!O10/SER_summary!O$26)</f>
        <v>6.8817255065677818</v>
      </c>
      <c r="P10" s="133">
        <f>IF(SER_hh_tesh!P10=0,0,SER_hh_tesh!P10/SER_summary!P$26)</f>
        <v>5.423055805513938</v>
      </c>
      <c r="Q10" s="133">
        <f>IF(SER_hh_tesh!Q10=0,0,SER_hh_tesh!Q10/SER_summary!Q$26)</f>
        <v>5.3935750957892727</v>
      </c>
      <c r="R10" s="133">
        <f>IF(SER_hh_tesh!R10=0,0,SER_hh_tesh!R10/SER_summary!R$26)</f>
        <v>6.5722024749796129</v>
      </c>
      <c r="S10" s="133">
        <f>IF(SER_hh_tesh!S10=0,0,SER_hh_tesh!S10/SER_summary!S$26)</f>
        <v>7.2494176065382208</v>
      </c>
      <c r="T10" s="133">
        <f>IF(SER_hh_tesh!T10=0,0,SER_hh_tesh!T10/SER_summary!T$26)</f>
        <v>7.8138079551337789</v>
      </c>
      <c r="U10" s="133">
        <f>IF(SER_hh_tesh!U10=0,0,SER_hh_tesh!U10/SER_summary!U$26)</f>
        <v>8.6154000627874066</v>
      </c>
      <c r="V10" s="133">
        <f>IF(SER_hh_tesh!V10=0,0,SER_hh_tesh!V10/SER_summary!V$26)</f>
        <v>9.0053822031786499</v>
      </c>
      <c r="W10" s="133">
        <f>IF(SER_hh_tesh!W10=0,0,SER_hh_tesh!W10/SER_summary!W$26)</f>
        <v>9.9967923887776831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6.4140661367703498</v>
      </c>
      <c r="C11" s="133">
        <f>IF(SER_hh_tesh!C11=0,0,SER_hh_tesh!C11/SER_summary!C$26)</f>
        <v>8.0317592721061395</v>
      </c>
      <c r="D11" s="133">
        <f>IF(SER_hh_tesh!D11=0,0,SER_hh_tesh!D11/SER_summary!D$26)</f>
        <v>2.0726740889009805</v>
      </c>
      <c r="E11" s="133">
        <f>IF(SER_hh_tesh!E11=0,0,SER_hh_tesh!E11/SER_summary!E$26)</f>
        <v>2.7850453103297435</v>
      </c>
      <c r="F11" s="133">
        <f>IF(SER_hh_tesh!F11=0,0,SER_hh_tesh!F11/SER_summary!F$26)</f>
        <v>5.6115195554367254</v>
      </c>
      <c r="G11" s="133">
        <f>IF(SER_hh_tesh!G11=0,0,SER_hh_tesh!G11/SER_summary!G$26)</f>
        <v>6.6575782250122355</v>
      </c>
      <c r="H11" s="133">
        <f>IF(SER_hh_tesh!H11=0,0,SER_hh_tesh!H11/SER_summary!H$26)</f>
        <v>8.1502282714174665</v>
      </c>
      <c r="I11" s="133">
        <f>IF(SER_hh_tesh!I11=0,0,SER_hh_tesh!I11/SER_summary!I$26)</f>
        <v>8.1655492626742401</v>
      </c>
      <c r="J11" s="133">
        <f>IF(SER_hh_tesh!J11=0,0,SER_hh_tesh!J11/SER_summary!J$26)</f>
        <v>8.3576135378454541</v>
      </c>
      <c r="K11" s="133">
        <f>IF(SER_hh_tesh!K11=0,0,SER_hh_tesh!K11/SER_summary!K$26)</f>
        <v>8.6216244994987754</v>
      </c>
      <c r="L11" s="133">
        <f>IF(SER_hh_tesh!L11=0,0,SER_hh_tesh!L11/SER_summary!L$26)</f>
        <v>9.3045390287089926</v>
      </c>
      <c r="M11" s="133">
        <f>IF(SER_hh_tesh!M11=0,0,SER_hh_tesh!M11/SER_summary!M$26)</f>
        <v>9.1791685324157548</v>
      </c>
      <c r="N11" s="133">
        <f>IF(SER_hh_tesh!N11=0,0,SER_hh_tesh!N11/SER_summary!N$26)</f>
        <v>7.9079707766687122</v>
      </c>
      <c r="O11" s="133">
        <f>IF(SER_hh_tesh!O11=0,0,SER_hh_tesh!O11/SER_summary!O$26)</f>
        <v>7.1588660973165057</v>
      </c>
      <c r="P11" s="133">
        <f>IF(SER_hh_tesh!P11=0,0,SER_hh_tesh!P11/SER_summary!P$26)</f>
        <v>5.8596867533269457</v>
      </c>
      <c r="Q11" s="133">
        <f>IF(SER_hh_tesh!Q11=0,0,SER_hh_tesh!Q11/SER_summary!Q$26)</f>
        <v>5.6408179447048825</v>
      </c>
      <c r="R11" s="133">
        <f>IF(SER_hh_tesh!R11=0,0,SER_hh_tesh!R11/SER_summary!R$26)</f>
        <v>6.035200751397003</v>
      </c>
      <c r="S11" s="133">
        <f>IF(SER_hh_tesh!S11=0,0,SER_hh_tesh!S11/SER_summary!S$26)</f>
        <v>6.8928085492529414</v>
      </c>
      <c r="T11" s="133">
        <f>IF(SER_hh_tesh!T11=0,0,SER_hh_tesh!T11/SER_summary!T$26)</f>
        <v>7.8912208020993884</v>
      </c>
      <c r="U11" s="133">
        <f>IF(SER_hh_tesh!U11=0,0,SER_hh_tesh!U11/SER_summary!U$26)</f>
        <v>8.6668911781062601</v>
      </c>
      <c r="V11" s="133">
        <f>IF(SER_hh_tesh!V11=0,0,SER_hh_tesh!V11/SER_summary!V$26)</f>
        <v>9.1767816545177965</v>
      </c>
      <c r="W11" s="133">
        <f>IF(SER_hh_tesh!W11=0,0,SER_hh_tesh!W11/SER_summary!W$26)</f>
        <v>9.7414952741028582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5.7216166743928616</v>
      </c>
      <c r="C13" s="133">
        <f>IF(SER_hh_tesh!C13=0,0,SER_hh_tesh!C13/SER_summary!C$26)</f>
        <v>6.429116184842286</v>
      </c>
      <c r="D13" s="133">
        <f>IF(SER_hh_tesh!D13=0,0,SER_hh_tesh!D13/SER_summary!D$26)</f>
        <v>5.1341968138114096</v>
      </c>
      <c r="E13" s="133">
        <f>IF(SER_hh_tesh!E13=0,0,SER_hh_tesh!E13/SER_summary!E$26)</f>
        <v>5.3625050721864307</v>
      </c>
      <c r="F13" s="133">
        <f>IF(SER_hh_tesh!F13=0,0,SER_hh_tesh!F13/SER_summary!F$26)</f>
        <v>5.1638004937127988</v>
      </c>
      <c r="G13" s="133">
        <f>IF(SER_hh_tesh!G13=0,0,SER_hh_tesh!G13/SER_summary!G$26)</f>
        <v>6.6527224949024708</v>
      </c>
      <c r="H13" s="133">
        <f>IF(SER_hh_tesh!H13=0,0,SER_hh_tesh!H13/SER_summary!H$26)</f>
        <v>6.9160258351866561</v>
      </c>
      <c r="I13" s="133">
        <f>IF(SER_hh_tesh!I13=0,0,SER_hh_tesh!I13/SER_summary!I$26)</f>
        <v>7.5664763149680985</v>
      </c>
      <c r="J13" s="133">
        <f>IF(SER_hh_tesh!J13=0,0,SER_hh_tesh!J13/SER_summary!J$26)</f>
        <v>8.8611476985054143</v>
      </c>
      <c r="K13" s="133">
        <f>IF(SER_hh_tesh!K13=0,0,SER_hh_tesh!K13/SER_summary!K$26)</f>
        <v>9.0092923252326838</v>
      </c>
      <c r="L13" s="133">
        <f>IF(SER_hh_tesh!L13=0,0,SER_hh_tesh!L13/SER_summary!L$26)</f>
        <v>9.0014557607504671</v>
      </c>
      <c r="M13" s="133">
        <f>IF(SER_hh_tesh!M13=0,0,SER_hh_tesh!M13/SER_summary!M$26)</f>
        <v>8.3337218652494496</v>
      </c>
      <c r="N13" s="133">
        <f>IF(SER_hh_tesh!N13=0,0,SER_hh_tesh!N13/SER_summary!N$26)</f>
        <v>7.7650563041014822</v>
      </c>
      <c r="O13" s="133">
        <f>IF(SER_hh_tesh!O13=0,0,SER_hh_tesh!O13/SER_summary!O$26)</f>
        <v>6.3439057131795087</v>
      </c>
      <c r="P13" s="133">
        <f>IF(SER_hh_tesh!P13=0,0,SER_hh_tesh!P13/SER_summary!P$26)</f>
        <v>5.0940480957022167</v>
      </c>
      <c r="Q13" s="133">
        <f>IF(SER_hh_tesh!Q13=0,0,SER_hh_tesh!Q13/SER_summary!Q$26)</f>
        <v>5.5746617622329842</v>
      </c>
      <c r="R13" s="133">
        <f>IF(SER_hh_tesh!R13=0,0,SER_hh_tesh!R13/SER_summary!R$26)</f>
        <v>6.2138339868097425</v>
      </c>
      <c r="S13" s="133">
        <f>IF(SER_hh_tesh!S13=0,0,SER_hh_tesh!S13/SER_summary!S$26)</f>
        <v>7.1318879418496888</v>
      </c>
      <c r="T13" s="133">
        <f>IF(SER_hh_tesh!T13=0,0,SER_hh_tesh!T13/SER_summary!T$26)</f>
        <v>8.0890338581126784</v>
      </c>
      <c r="U13" s="133">
        <f>IF(SER_hh_tesh!U13=0,0,SER_hh_tesh!U13/SER_summary!U$26)</f>
        <v>8.8615629753741398</v>
      </c>
      <c r="V13" s="133">
        <f>IF(SER_hh_tesh!V13=0,0,SER_hh_tesh!V13/SER_summary!V$26)</f>
        <v>9.2564619849710876</v>
      </c>
      <c r="W13" s="133">
        <f>IF(SER_hh_tesh!W13=0,0,SER_hh_tesh!W13/SER_summary!W$26)</f>
        <v>10.152717264301582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9.3363497273553051</v>
      </c>
      <c r="C14" s="65">
        <f>IF(SER_hh_tesh!C14=0,0,SER_hh_tesh!C14/SER_summary!C$26)</f>
        <v>5.5846003496198531</v>
      </c>
      <c r="D14" s="65">
        <f>IF(SER_hh_tesh!D14=0,0,SER_hh_tesh!D14/SER_summary!D$26)</f>
        <v>4.2063453339436565</v>
      </c>
      <c r="E14" s="65">
        <f>IF(SER_hh_tesh!E14=0,0,SER_hh_tesh!E14/SER_summary!E$26)</f>
        <v>3.3623306918889759</v>
      </c>
      <c r="F14" s="65">
        <f>IF(SER_hh_tesh!F14=0,0,SER_hh_tesh!F14/SER_summary!F$26)</f>
        <v>6.0885633580055654</v>
      </c>
      <c r="G14" s="65">
        <f>IF(SER_hh_tesh!G14=0,0,SER_hh_tesh!G14/SER_summary!G$26)</f>
        <v>3.4475949531487076</v>
      </c>
      <c r="H14" s="65">
        <f>IF(SER_hh_tesh!H14=0,0,SER_hh_tesh!H14/SER_summary!H$26)</f>
        <v>13.053655517820355</v>
      </c>
      <c r="I14" s="65">
        <f>IF(SER_hh_tesh!I14=0,0,SER_hh_tesh!I14/SER_summary!I$26)</f>
        <v>7.4395657726423279</v>
      </c>
      <c r="J14" s="65">
        <f>IF(SER_hh_tesh!J14=0,0,SER_hh_tesh!J14/SER_summary!J$26)</f>
        <v>10.16720339907922</v>
      </c>
      <c r="K14" s="65">
        <f>IF(SER_hh_tesh!K14=0,0,SER_hh_tesh!K14/SER_summary!K$26)</f>
        <v>8.2130233113112343</v>
      </c>
      <c r="L14" s="65">
        <f>IF(SER_hh_tesh!L14=0,0,SER_hh_tesh!L14/SER_summary!L$26)</f>
        <v>11.140581666305883</v>
      </c>
      <c r="M14" s="65">
        <f>IF(SER_hh_tesh!M14=0,0,SER_hh_tesh!M14/SER_summary!M$26)</f>
        <v>10.574107587399089</v>
      </c>
      <c r="N14" s="65">
        <f>IF(SER_hh_tesh!N14=0,0,SER_hh_tesh!N14/SER_summary!N$26)</f>
        <v>8.4346153281936207</v>
      </c>
      <c r="O14" s="65">
        <f>IF(SER_hh_tesh!O14=0,0,SER_hh_tesh!O14/SER_summary!O$26)</f>
        <v>6.3587867561787403</v>
      </c>
      <c r="P14" s="65">
        <f>IF(SER_hh_tesh!P14=0,0,SER_hh_tesh!P14/SER_summary!P$26)</f>
        <v>3.4258277041147189</v>
      </c>
      <c r="Q14" s="65">
        <f>IF(SER_hh_tesh!Q14=0,0,SER_hh_tesh!Q14/SER_summary!Q$26)</f>
        <v>3.4025782183297406</v>
      </c>
      <c r="R14" s="65">
        <f>IF(SER_hh_tesh!R14=0,0,SER_hh_tesh!R14/SER_summary!R$26)</f>
        <v>3.2604572858132319</v>
      </c>
      <c r="S14" s="65">
        <f>IF(SER_hh_tesh!S14=0,0,SER_hh_tesh!S14/SER_summary!S$26)</f>
        <v>8.2911199572812553</v>
      </c>
      <c r="T14" s="65">
        <f>IF(SER_hh_tesh!T14=0,0,SER_hh_tesh!T14/SER_summary!T$26)</f>
        <v>9.556954808585056</v>
      </c>
      <c r="U14" s="65">
        <f>IF(SER_hh_tesh!U14=0,0,SER_hh_tesh!U14/SER_summary!U$26)</f>
        <v>9.897468622523089</v>
      </c>
      <c r="V14" s="65">
        <f>IF(SER_hh_tesh!V14=0,0,SER_hh_tesh!V14/SER_summary!V$26)</f>
        <v>7.456266327185479</v>
      </c>
      <c r="W14" s="65">
        <f>IF(SER_hh_tesh!W14=0,0,SER_hh_tesh!W14/SER_summary!W$26)</f>
        <v>11.094260130536734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0.11560486692145112</v>
      </c>
      <c r="C15" s="135">
        <f>IF(SER_hh_tesh!C15=0,0,SER_hh_tesh!C15/SER_summary!C$26)</f>
        <v>0.11991855455991481</v>
      </c>
      <c r="D15" s="135">
        <f>IF(SER_hh_tesh!D15=0,0,SER_hh_tesh!D15/SER_summary!D$26)</f>
        <v>0.11310021314382955</v>
      </c>
      <c r="E15" s="135">
        <f>IF(SER_hh_tesh!E15=0,0,SER_hh_tesh!E15/SER_summary!E$26)</f>
        <v>9.0342078931553674E-2</v>
      </c>
      <c r="F15" s="135">
        <f>IF(SER_hh_tesh!F15=0,0,SER_hh_tesh!F15/SER_summary!F$26)</f>
        <v>9.791040454262491E-2</v>
      </c>
      <c r="G15" s="135">
        <f>IF(SER_hh_tesh!G15=0,0,SER_hh_tesh!G15/SER_summary!G$26)</f>
        <v>0.11902300083115908</v>
      </c>
      <c r="H15" s="135">
        <f>IF(SER_hh_tesh!H15=0,0,SER_hh_tesh!H15/SER_summary!H$26)</f>
        <v>0.20149321076668453</v>
      </c>
      <c r="I15" s="135">
        <f>IF(SER_hh_tesh!I15=0,0,SER_hh_tesh!I15/SER_summary!I$26)</f>
        <v>0.13318585042391987</v>
      </c>
      <c r="J15" s="135">
        <f>IF(SER_hh_tesh!J15=0,0,SER_hh_tesh!J15/SER_summary!J$26)</f>
        <v>0.1174906008990739</v>
      </c>
      <c r="K15" s="135">
        <f>IF(SER_hh_tesh!K15=0,0,SER_hh_tesh!K15/SER_summary!K$26)</f>
        <v>0.1397427650967856</v>
      </c>
      <c r="L15" s="135">
        <f>IF(SER_hh_tesh!L15=0,0,SER_hh_tesh!L15/SER_summary!L$26)</f>
        <v>0.1660766111362359</v>
      </c>
      <c r="M15" s="135">
        <f>IF(SER_hh_tesh!M15=0,0,SER_hh_tesh!M15/SER_summary!M$26)</f>
        <v>0.16984101311406627</v>
      </c>
      <c r="N15" s="135">
        <f>IF(SER_hh_tesh!N15=0,0,SER_hh_tesh!N15/SER_summary!N$26)</f>
        <v>0.13923176638421808</v>
      </c>
      <c r="O15" s="135">
        <f>IF(SER_hh_tesh!O15=0,0,SER_hh_tesh!O15/SER_summary!O$26)</f>
        <v>0.13056568246899988</v>
      </c>
      <c r="P15" s="135">
        <f>IF(SER_hh_tesh!P15=0,0,SER_hh_tesh!P15/SER_summary!P$26)</f>
        <v>7.9391147425416767E-2</v>
      </c>
      <c r="Q15" s="135">
        <f>IF(SER_hh_tesh!Q15=0,0,SER_hh_tesh!Q15/SER_summary!Q$26)</f>
        <v>7.8107152175605446E-2</v>
      </c>
      <c r="R15" s="135">
        <f>IF(SER_hh_tesh!R15=0,0,SER_hh_tesh!R15/SER_summary!R$26)</f>
        <v>9.0356300199578521E-2</v>
      </c>
      <c r="S15" s="135">
        <f>IF(SER_hh_tesh!S15=0,0,SER_hh_tesh!S15/SER_summary!S$26)</f>
        <v>0.10246642243897865</v>
      </c>
      <c r="T15" s="135">
        <f>IF(SER_hh_tesh!T15=0,0,SER_hh_tesh!T15/SER_summary!T$26)</f>
        <v>0.12849287528667583</v>
      </c>
      <c r="U15" s="135">
        <f>IF(SER_hh_tesh!U15=0,0,SER_hh_tesh!U15/SER_summary!U$26)</f>
        <v>0.13304406208401107</v>
      </c>
      <c r="V15" s="135">
        <f>IF(SER_hh_tesh!V15=0,0,SER_hh_tesh!V15/SER_summary!V$26)</f>
        <v>0.12656134644986361</v>
      </c>
      <c r="W15" s="135">
        <f>IF(SER_hh_tesh!W15=0,0,SER_hh_tesh!W15/SER_summary!W$26)</f>
        <v>0.15290499264661672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17.02179068657394</v>
      </c>
      <c r="C16" s="131">
        <f>IF(SER_hh_tesh!C16=0,0,SER_hh_tesh!C16/SER_summary!C$26)</f>
        <v>18.030280969062041</v>
      </c>
      <c r="D16" s="131">
        <f>IF(SER_hh_tesh!D16=0,0,SER_hh_tesh!D16/SER_summary!D$26)</f>
        <v>16.037787110769305</v>
      </c>
      <c r="E16" s="131">
        <f>IF(SER_hh_tesh!E16=0,0,SER_hh_tesh!E16/SER_summary!E$26)</f>
        <v>24.548344710027514</v>
      </c>
      <c r="F16" s="131">
        <f>IF(SER_hh_tesh!F16=0,0,SER_hh_tesh!F16/SER_summary!F$26)</f>
        <v>18.635561949892836</v>
      </c>
      <c r="G16" s="131">
        <f>IF(SER_hh_tesh!G16=0,0,SER_hh_tesh!G16/SER_summary!G$26)</f>
        <v>19.519122941885442</v>
      </c>
      <c r="H16" s="131">
        <f>IF(SER_hh_tesh!H16=0,0,SER_hh_tesh!H16/SER_summary!H$26)</f>
        <v>21.910974216853528</v>
      </c>
      <c r="I16" s="131">
        <f>IF(SER_hh_tesh!I16=0,0,SER_hh_tesh!I16/SER_summary!I$26)</f>
        <v>16.419264122074665</v>
      </c>
      <c r="J16" s="131">
        <f>IF(SER_hh_tesh!J16=0,0,SER_hh_tesh!J16/SER_summary!J$26)</f>
        <v>17.342246485886076</v>
      </c>
      <c r="K16" s="131">
        <f>IF(SER_hh_tesh!K16=0,0,SER_hh_tesh!K16/SER_summary!K$26)</f>
        <v>22.306967003971277</v>
      </c>
      <c r="L16" s="131">
        <f>IF(SER_hh_tesh!L16=0,0,SER_hh_tesh!L16/SER_summary!L$26)</f>
        <v>21.115175674040138</v>
      </c>
      <c r="M16" s="131">
        <f>IF(SER_hh_tesh!M16=0,0,SER_hh_tesh!M16/SER_summary!M$26)</f>
        <v>19.039785617185977</v>
      </c>
      <c r="N16" s="131">
        <f>IF(SER_hh_tesh!N16=0,0,SER_hh_tesh!N16/SER_summary!N$26)</f>
        <v>23.016886579850684</v>
      </c>
      <c r="O16" s="131">
        <f>IF(SER_hh_tesh!O16=0,0,SER_hh_tesh!O16/SER_summary!O$26)</f>
        <v>18.801147451956371</v>
      </c>
      <c r="P16" s="131">
        <f>IF(SER_hh_tesh!P16=0,0,SER_hh_tesh!P16/SER_summary!P$26)</f>
        <v>17.54519587841169</v>
      </c>
      <c r="Q16" s="131">
        <f>IF(SER_hh_tesh!Q16=0,0,SER_hh_tesh!Q16/SER_summary!Q$26)</f>
        <v>25.90232715374685</v>
      </c>
      <c r="R16" s="131">
        <f>IF(SER_hh_tesh!R16=0,0,SER_hh_tesh!R16/SER_summary!R$26)</f>
        <v>25.529181021397196</v>
      </c>
      <c r="S16" s="131">
        <f>IF(SER_hh_tesh!S16=0,0,SER_hh_tesh!S16/SER_summary!S$26)</f>
        <v>29.902726501054918</v>
      </c>
      <c r="T16" s="131">
        <f>IF(SER_hh_tesh!T16=0,0,SER_hh_tesh!T16/SER_summary!T$26)</f>
        <v>21.491952680790614</v>
      </c>
      <c r="U16" s="131">
        <f>IF(SER_hh_tesh!U16=0,0,SER_hh_tesh!U16/SER_summary!U$26)</f>
        <v>22.463237805158858</v>
      </c>
      <c r="V16" s="131">
        <f>IF(SER_hh_tesh!V16=0,0,SER_hh_tesh!V16/SER_summary!V$26)</f>
        <v>26.08079753674027</v>
      </c>
      <c r="W16" s="131">
        <f>IF(SER_hh_tesh!W16=0,0,SER_hh_tesh!W16/SER_summary!W$26)</f>
        <v>21.837834209565106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17.021790686573944</v>
      </c>
      <c r="C17" s="133">
        <f>IF(SER_hh_tesh!C17=0,0,SER_hh_tesh!C17/SER_summary!C$26)</f>
        <v>18.030326198177391</v>
      </c>
      <c r="D17" s="133">
        <f>IF(SER_hh_tesh!D17=0,0,SER_hh_tesh!D17/SER_summary!D$26)</f>
        <v>16.037787645937176</v>
      </c>
      <c r="E17" s="133">
        <f>IF(SER_hh_tesh!E17=0,0,SER_hh_tesh!E17/SER_summary!E$26)</f>
        <v>24.548327643043852</v>
      </c>
      <c r="F17" s="133">
        <f>IF(SER_hh_tesh!F17=0,0,SER_hh_tesh!F17/SER_summary!F$26)</f>
        <v>18.635545834859919</v>
      </c>
      <c r="G17" s="133">
        <f>IF(SER_hh_tesh!G17=0,0,SER_hh_tesh!G17/SER_summary!G$26)</f>
        <v>19.51911198405767</v>
      </c>
      <c r="H17" s="133">
        <f>IF(SER_hh_tesh!H17=0,0,SER_hh_tesh!H17/SER_summary!H$26)</f>
        <v>21.91096974609491</v>
      </c>
      <c r="I17" s="133">
        <f>IF(SER_hh_tesh!I17=0,0,SER_hh_tesh!I17/SER_summary!I$26)</f>
        <v>16.419265348946997</v>
      </c>
      <c r="J17" s="133">
        <f>IF(SER_hh_tesh!J17=0,0,SER_hh_tesh!J17/SER_summary!J$26)</f>
        <v>17.342250458170199</v>
      </c>
      <c r="K17" s="133">
        <f>IF(SER_hh_tesh!K17=0,0,SER_hh_tesh!K17/SER_summary!K$26)</f>
        <v>22.306974780856581</v>
      </c>
      <c r="L17" s="133">
        <f>IF(SER_hh_tesh!L17=0,0,SER_hh_tesh!L17/SER_summary!L$26)</f>
        <v>21.11518554798818</v>
      </c>
      <c r="M17" s="133">
        <f>IF(SER_hh_tesh!M17=0,0,SER_hh_tesh!M17/SER_summary!M$26)</f>
        <v>19.039796536325394</v>
      </c>
      <c r="N17" s="133">
        <f>IF(SER_hh_tesh!N17=0,0,SER_hh_tesh!N17/SER_summary!N$26)</f>
        <v>23.016877831759508</v>
      </c>
      <c r="O17" s="133">
        <f>IF(SER_hh_tesh!O17=0,0,SER_hh_tesh!O17/SER_summary!O$26)</f>
        <v>18.801129930521419</v>
      </c>
      <c r="P17" s="133">
        <f>IF(SER_hh_tesh!P17=0,0,SER_hh_tesh!P17/SER_summary!P$26)</f>
        <v>17.545175716187781</v>
      </c>
      <c r="Q17" s="133">
        <f>IF(SER_hh_tesh!Q17=0,0,SER_hh_tesh!Q17/SER_summary!Q$26)</f>
        <v>25.902306273293735</v>
      </c>
      <c r="R17" s="133">
        <f>IF(SER_hh_tesh!R17=0,0,SER_hh_tesh!R17/SER_summary!R$26)</f>
        <v>25.529177076768125</v>
      </c>
      <c r="S17" s="133">
        <f>IF(SER_hh_tesh!S17=0,0,SER_hh_tesh!S17/SER_summary!S$26)</f>
        <v>29.902742459982893</v>
      </c>
      <c r="T17" s="133">
        <f>IF(SER_hh_tesh!T17=0,0,SER_hh_tesh!T17/SER_summary!T$26)</f>
        <v>21.491973776432982</v>
      </c>
      <c r="U17" s="133">
        <f>IF(SER_hh_tesh!U17=0,0,SER_hh_tesh!U17/SER_summary!U$26)</f>
        <v>22.463263185157331</v>
      </c>
      <c r="V17" s="133">
        <f>IF(SER_hh_tesh!V17=0,0,SER_hh_tesh!V17/SER_summary!V$26)</f>
        <v>23.077407014145304</v>
      </c>
      <c r="W17" s="133">
        <f>IF(SER_hh_tesh!W17=0,0,SER_hh_tesh!W17/SER_summary!W$26)</f>
        <v>21.837845050736703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17.02179068657394</v>
      </c>
      <c r="C18" s="133">
        <f>IF(SER_hh_tesh!C18=0,0,SER_hh_tesh!C18/SER_summary!C$26)</f>
        <v>18.030280930841265</v>
      </c>
      <c r="D18" s="133">
        <f>IF(SER_hh_tesh!D18=0,0,SER_hh_tesh!D18/SER_summary!D$26)</f>
        <v>16.03778711036583</v>
      </c>
      <c r="E18" s="133">
        <f>IF(SER_hh_tesh!E18=0,0,SER_hh_tesh!E18/SER_summary!E$26)</f>
        <v>24.548344728236184</v>
      </c>
      <c r="F18" s="133">
        <f>IF(SER_hh_tesh!F18=0,0,SER_hh_tesh!F18/SER_summary!F$26)</f>
        <v>18.635561966864035</v>
      </c>
      <c r="G18" s="133">
        <f>IF(SER_hh_tesh!G18=0,0,SER_hh_tesh!G18/SER_summary!G$26)</f>
        <v>19.519122953996803</v>
      </c>
      <c r="H18" s="133">
        <f>IF(SER_hh_tesh!H18=0,0,SER_hh_tesh!H18/SER_summary!H$26)</f>
        <v>21.910974221766224</v>
      </c>
      <c r="I18" s="133">
        <f>IF(SER_hh_tesh!I18=0,0,SER_hh_tesh!I18/SER_summary!I$26)</f>
        <v>16.41926412052014</v>
      </c>
      <c r="J18" s="133">
        <f>IF(SER_hh_tesh!J18=0,0,SER_hh_tesh!J18/SER_summary!J$26)</f>
        <v>17.342246480176794</v>
      </c>
      <c r="K18" s="133">
        <f>IF(SER_hh_tesh!K18=0,0,SER_hh_tesh!K18/SER_summary!K$26)</f>
        <v>22.306966992041513</v>
      </c>
      <c r="L18" s="133">
        <f>IF(SER_hh_tesh!L18=0,0,SER_hh_tesh!L18/SER_summary!L$26)</f>
        <v>21.115175657058362</v>
      </c>
      <c r="M18" s="133">
        <f>IF(SER_hh_tesh!M18=0,0,SER_hh_tesh!M18/SER_summary!M$26)</f>
        <v>19.039785595710825</v>
      </c>
      <c r="N18" s="133">
        <f>IF(SER_hh_tesh!N18=0,0,SER_hh_tesh!N18/SER_summary!N$26)</f>
        <v>23.016886598804369</v>
      </c>
      <c r="O18" s="133">
        <f>IF(SER_hh_tesh!O18=0,0,SER_hh_tesh!O18/SER_summary!O$26)</f>
        <v>18.801147499172821</v>
      </c>
      <c r="P18" s="133">
        <f>IF(SER_hh_tesh!P18=0,0,SER_hh_tesh!P18/SER_summary!P$26)</f>
        <v>17.545195939316045</v>
      </c>
      <c r="Q18" s="133">
        <f>IF(SER_hh_tesh!Q18=0,0,SER_hh_tesh!Q18/SER_summary!Q$26)</f>
        <v>25.902327227751176</v>
      </c>
      <c r="R18" s="133">
        <f>IF(SER_hh_tesh!R18=0,0,SER_hh_tesh!R18/SER_summary!R$26)</f>
        <v>25.529181037830913</v>
      </c>
      <c r="S18" s="133">
        <f>IF(SER_hh_tesh!S18=0,0,SER_hh_tesh!S18/SER_summary!S$26)</f>
        <v>29.902726428615075</v>
      </c>
      <c r="T18" s="133">
        <f>IF(SER_hh_tesh!T18=0,0,SER_hh_tesh!T18/SER_summary!T$26)</f>
        <v>21.491952566863731</v>
      </c>
      <c r="U18" s="133">
        <f>IF(SER_hh_tesh!U18=0,0,SER_hh_tesh!U18/SER_summary!U$26)</f>
        <v>22.463237660119511</v>
      </c>
      <c r="V18" s="133">
        <f>IF(SER_hh_tesh!V18=0,0,SER_hh_tesh!V18/SER_summary!V$26)</f>
        <v>26.099662806411494</v>
      </c>
      <c r="W18" s="133">
        <f>IF(SER_hh_tesh!W18=0,0,SER_hh_tesh!W18/SER_summary!W$26)</f>
        <v>21.837834146842141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3.5527050174074182</v>
      </c>
      <c r="C19" s="131">
        <f>IF(SER_hh_tesh!C19=0,0,SER_hh_tesh!C19/SER_summary!C$26)</f>
        <v>3.6922886737528957</v>
      </c>
      <c r="D19" s="131">
        <f>IF(SER_hh_tesh!D19=0,0,SER_hh_tesh!D19/SER_summary!D$26)</f>
        <v>3.8748783475249353</v>
      </c>
      <c r="E19" s="131">
        <f>IF(SER_hh_tesh!E19=0,0,SER_hh_tesh!E19/SER_summary!E$26)</f>
        <v>3.8713158995699501</v>
      </c>
      <c r="F19" s="131">
        <f>IF(SER_hh_tesh!F19=0,0,SER_hh_tesh!F19/SER_summary!F$26)</f>
        <v>4.0856530855363138</v>
      </c>
      <c r="G19" s="131">
        <f>IF(SER_hh_tesh!G19=0,0,SER_hh_tesh!G19/SER_summary!G$26)</f>
        <v>4.0839316809902542</v>
      </c>
      <c r="H19" s="131">
        <f>IF(SER_hh_tesh!H19=0,0,SER_hh_tesh!H19/SER_summary!H$26)</f>
        <v>4.1603316150798726</v>
      </c>
      <c r="I19" s="131">
        <f>IF(SER_hh_tesh!I19=0,0,SER_hh_tesh!I19/SER_summary!I$26)</f>
        <v>4.1252639179790238</v>
      </c>
      <c r="J19" s="131">
        <f>IF(SER_hh_tesh!J19=0,0,SER_hh_tesh!J19/SER_summary!J$26)</f>
        <v>4.1715559757427618</v>
      </c>
      <c r="K19" s="131">
        <f>IF(SER_hh_tesh!K19=0,0,SER_hh_tesh!K19/SER_summary!K$26)</f>
        <v>4.2060545581296456</v>
      </c>
      <c r="L19" s="131">
        <f>IF(SER_hh_tesh!L19=0,0,SER_hh_tesh!L19/SER_summary!L$26)</f>
        <v>4.2520148933521842</v>
      </c>
      <c r="M19" s="131">
        <f>IF(SER_hh_tesh!M19=0,0,SER_hh_tesh!M19/SER_summary!M$26)</f>
        <v>4.3018458714028887</v>
      </c>
      <c r="N19" s="131">
        <f>IF(SER_hh_tesh!N19=0,0,SER_hh_tesh!N19/SER_summary!N$26)</f>
        <v>4.2205179732209226</v>
      </c>
      <c r="O19" s="131">
        <f>IF(SER_hh_tesh!O19=0,0,SER_hh_tesh!O19/SER_summary!O$26)</f>
        <v>4.3569963500220439</v>
      </c>
      <c r="P19" s="131">
        <f>IF(SER_hh_tesh!P19=0,0,SER_hh_tesh!P19/SER_summary!P$26)</f>
        <v>4.2704074921920157</v>
      </c>
      <c r="Q19" s="131">
        <f>IF(SER_hh_tesh!Q19=0,0,SER_hh_tesh!Q19/SER_summary!Q$26)</f>
        <v>4.0602710375658493</v>
      </c>
      <c r="R19" s="131">
        <f>IF(SER_hh_tesh!R19=0,0,SER_hh_tesh!R19/SER_summary!R$26)</f>
        <v>3.9727761162750017</v>
      </c>
      <c r="S19" s="131">
        <f>IF(SER_hh_tesh!S19=0,0,SER_hh_tesh!S19/SER_summary!S$26)</f>
        <v>3.8706095802828155</v>
      </c>
      <c r="T19" s="131">
        <f>IF(SER_hh_tesh!T19=0,0,SER_hh_tesh!T19/SER_summary!T$26)</f>
        <v>4.1494076392146289</v>
      </c>
      <c r="U19" s="131">
        <f>IF(SER_hh_tesh!U19=0,0,SER_hh_tesh!U19/SER_summary!U$26)</f>
        <v>4.1086539215196414</v>
      </c>
      <c r="V19" s="131">
        <f>IF(SER_hh_tesh!V19=0,0,SER_hh_tesh!V19/SER_summary!V$26)</f>
        <v>3.6973507920306421</v>
      </c>
      <c r="W19" s="131">
        <f>IF(SER_hh_tesh!W19=0,0,SER_hh_tesh!W19/SER_summary!W$26)</f>
        <v>4.0497534702993185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3.6122899241615083</v>
      </c>
      <c r="C21" s="133">
        <f>IF(SER_hh_tesh!C21=0,0,SER_hh_tesh!C21/SER_summary!C$26)</f>
        <v>3.6628139839473106</v>
      </c>
      <c r="D21" s="133">
        <f>IF(SER_hh_tesh!D21=0,0,SER_hh_tesh!D21/SER_summary!D$26)</f>
        <v>3.8370997808018541</v>
      </c>
      <c r="E21" s="133">
        <f>IF(SER_hh_tesh!E21=0,0,SER_hh_tesh!E21/SER_summary!E$26)</f>
        <v>4.0085834734831991</v>
      </c>
      <c r="F21" s="133">
        <f>IF(SER_hh_tesh!F21=0,0,SER_hh_tesh!F21/SER_summary!F$26)</f>
        <v>3.8938607084514376</v>
      </c>
      <c r="G21" s="133">
        <f>IF(SER_hh_tesh!G21=0,0,SER_hh_tesh!G21/SER_summary!G$26)</f>
        <v>3.9970466802078177</v>
      </c>
      <c r="H21" s="133">
        <f>IF(SER_hh_tesh!H21=0,0,SER_hh_tesh!H21/SER_summary!H$26)</f>
        <v>4.1363113912264007</v>
      </c>
      <c r="I21" s="133">
        <f>IF(SER_hh_tesh!I21=0,0,SER_hh_tesh!I21/SER_summary!I$26)</f>
        <v>4.1329633268632318</v>
      </c>
      <c r="J21" s="133">
        <f>IF(SER_hh_tesh!J21=0,0,SER_hh_tesh!J21/SER_summary!J$26)</f>
        <v>4.136939837956688</v>
      </c>
      <c r="K21" s="133">
        <f>IF(SER_hh_tesh!K21=0,0,SER_hh_tesh!K21/SER_summary!K$26)</f>
        <v>4.1532323982789796</v>
      </c>
      <c r="L21" s="133">
        <f>IF(SER_hh_tesh!L21=0,0,SER_hh_tesh!L21/SER_summary!L$26)</f>
        <v>4.2071510430350783</v>
      </c>
      <c r="M21" s="133">
        <f>IF(SER_hh_tesh!M21=0,0,SER_hh_tesh!M21/SER_summary!M$26)</f>
        <v>4.2242228576097238</v>
      </c>
      <c r="N21" s="133">
        <f>IF(SER_hh_tesh!N21=0,0,SER_hh_tesh!N21/SER_summary!N$26)</f>
        <v>4.2288042928701461</v>
      </c>
      <c r="O21" s="133">
        <f>IF(SER_hh_tesh!O21=0,0,SER_hh_tesh!O21/SER_summary!O$26)</f>
        <v>4.2563870618132338</v>
      </c>
      <c r="P21" s="133">
        <f>IF(SER_hh_tesh!P21=0,0,SER_hh_tesh!P21/SER_summary!P$26)</f>
        <v>4.1059282499377501</v>
      </c>
      <c r="Q21" s="133">
        <f>IF(SER_hh_tesh!Q21=0,0,SER_hh_tesh!Q21/SER_summary!Q$26)</f>
        <v>4.0281396632383633</v>
      </c>
      <c r="R21" s="133">
        <f>IF(SER_hh_tesh!R21=0,0,SER_hh_tesh!R21/SER_summary!R$26)</f>
        <v>4.0077137456978509</v>
      </c>
      <c r="S21" s="133">
        <f>IF(SER_hh_tesh!S21=0,0,SER_hh_tesh!S21/SER_summary!S$26)</f>
        <v>3.9836811791212838</v>
      </c>
      <c r="T21" s="133">
        <f>IF(SER_hh_tesh!T21=0,0,SER_hh_tesh!T21/SER_summary!T$26)</f>
        <v>4.3481082122199002</v>
      </c>
      <c r="U21" s="133">
        <f>IF(SER_hh_tesh!U21=0,0,SER_hh_tesh!U21/SER_summary!U$26)</f>
        <v>4.073049048222213</v>
      </c>
      <c r="V21" s="133">
        <f>IF(SER_hh_tesh!V21=0,0,SER_hh_tesh!V21/SER_summary!V$26)</f>
        <v>3.2770525332417595</v>
      </c>
      <c r="W21" s="133">
        <f>IF(SER_hh_tesh!W21=0,0,SER_hh_tesh!W21/SER_summary!W$26)</f>
        <v>4.0466910644242384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3.5340383179008508</v>
      </c>
      <c r="C22" s="133">
        <f>IF(SER_hh_tesh!C22=0,0,SER_hh_tesh!C22/SER_summary!C$26)</f>
        <v>3.7082555319331205</v>
      </c>
      <c r="D22" s="133">
        <f>IF(SER_hh_tesh!D22=0,0,SER_hh_tesh!D22/SER_summary!D$26)</f>
        <v>3.8279544951666669</v>
      </c>
      <c r="E22" s="133">
        <f>IF(SER_hh_tesh!E22=0,0,SER_hh_tesh!E22/SER_summary!E$26)</f>
        <v>3.8961572888092806</v>
      </c>
      <c r="F22" s="133">
        <f>IF(SER_hh_tesh!F22=0,0,SER_hh_tesh!F22/SER_summary!F$26)</f>
        <v>4.0444435146487843</v>
      </c>
      <c r="G22" s="133">
        <f>IF(SER_hh_tesh!G22=0,0,SER_hh_tesh!G22/SER_summary!G$26)</f>
        <v>4.1316399335257348</v>
      </c>
      <c r="H22" s="133">
        <f>IF(SER_hh_tesh!H22=0,0,SER_hh_tesh!H22/SER_summary!H$26)</f>
        <v>4.1804176246225158</v>
      </c>
      <c r="I22" s="133">
        <f>IF(SER_hh_tesh!I22=0,0,SER_hh_tesh!I22/SER_summary!I$26)</f>
        <v>4.0748090989881804</v>
      </c>
      <c r="J22" s="133">
        <f>IF(SER_hh_tesh!J22=0,0,SER_hh_tesh!J22/SER_summary!J$26)</f>
        <v>4.0957618934339912</v>
      </c>
      <c r="K22" s="133">
        <f>IF(SER_hh_tesh!K22=0,0,SER_hh_tesh!K22/SER_summary!K$26)</f>
        <v>4.1244065193027488</v>
      </c>
      <c r="L22" s="133">
        <f>IF(SER_hh_tesh!L22=0,0,SER_hh_tesh!L22/SER_summary!L$26)</f>
        <v>4.146411896745728</v>
      </c>
      <c r="M22" s="133">
        <f>IF(SER_hh_tesh!M22=0,0,SER_hh_tesh!M22/SER_summary!M$26)</f>
        <v>4.1735644245131143</v>
      </c>
      <c r="N22" s="133">
        <f>IF(SER_hh_tesh!N22=0,0,SER_hh_tesh!N22/SER_summary!N$26)</f>
        <v>4.2348342491747122</v>
      </c>
      <c r="O22" s="133">
        <f>IF(SER_hh_tesh!O22=0,0,SER_hh_tesh!O22/SER_summary!O$26)</f>
        <v>4.202701070288497</v>
      </c>
      <c r="P22" s="133">
        <f>IF(SER_hh_tesh!P22=0,0,SER_hh_tesh!P22/SER_summary!P$26)</f>
        <v>4.0357727284035292</v>
      </c>
      <c r="Q22" s="133">
        <f>IF(SER_hh_tesh!Q22=0,0,SER_hh_tesh!Q22/SER_summary!Q$26)</f>
        <v>4.0614359771991344</v>
      </c>
      <c r="R22" s="133">
        <f>IF(SER_hh_tesh!R22=0,0,SER_hh_tesh!R22/SER_summary!R$26)</f>
        <v>4.0492784306235778</v>
      </c>
      <c r="S22" s="133">
        <f>IF(SER_hh_tesh!S22=0,0,SER_hh_tesh!S22/SER_summary!S$26)</f>
        <v>3.9325222024964717</v>
      </c>
      <c r="T22" s="133">
        <f>IF(SER_hh_tesh!T22=0,0,SER_hh_tesh!T22/SER_summary!T$26)</f>
        <v>3.9859218556041247</v>
      </c>
      <c r="U22" s="133">
        <f>IF(SER_hh_tesh!U22=0,0,SER_hh_tesh!U22/SER_summary!U$26)</f>
        <v>3.9260103639289587</v>
      </c>
      <c r="V22" s="133">
        <f>IF(SER_hh_tesh!V22=0,0,SER_hh_tesh!V22/SER_summary!V$26)</f>
        <v>3.7304824718657188</v>
      </c>
      <c r="W22" s="133">
        <f>IF(SER_hh_tesh!W22=0,0,SER_hh_tesh!W22/SER_summary!W$26)</f>
        <v>3.9658214652224975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3.7040508922887523</v>
      </c>
      <c r="C23" s="133">
        <f>IF(SER_hh_tesh!C23=0,0,SER_hh_tesh!C23/SER_summary!C$26)</f>
        <v>3.7486460794376901</v>
      </c>
      <c r="D23" s="133">
        <f>IF(SER_hh_tesh!D23=0,0,SER_hh_tesh!D23/SER_summary!D$26)</f>
        <v>4.0474302362251606</v>
      </c>
      <c r="E23" s="133">
        <f>IF(SER_hh_tesh!E23=0,0,SER_hh_tesh!E23/SER_summary!E$26)</f>
        <v>2.09346919337499</v>
      </c>
      <c r="F23" s="133">
        <f>IF(SER_hh_tesh!F23=0,0,SER_hh_tesh!F23/SER_summary!F$26)</f>
        <v>3.2503447647955186</v>
      </c>
      <c r="G23" s="133">
        <f>IF(SER_hh_tesh!G23=0,0,SER_hh_tesh!G23/SER_summary!G$26)</f>
        <v>2.9377534420767741</v>
      </c>
      <c r="H23" s="133">
        <f>IF(SER_hh_tesh!H23=0,0,SER_hh_tesh!H23/SER_summary!H$26)</f>
        <v>4.9792692977070692</v>
      </c>
      <c r="I23" s="133">
        <f>IF(SER_hh_tesh!I23=0,0,SER_hh_tesh!I23/SER_summary!I$26)</f>
        <v>4.4304050175162226</v>
      </c>
      <c r="J23" s="133">
        <f>IF(SER_hh_tesh!J23=0,0,SER_hh_tesh!J23/SER_summary!J$26)</f>
        <v>4.1314352699358681</v>
      </c>
      <c r="K23" s="133">
        <f>IF(SER_hh_tesh!K23=0,0,SER_hh_tesh!K23/SER_summary!K$26)</f>
        <v>4.2041948851339246</v>
      </c>
      <c r="L23" s="133">
        <f>IF(SER_hh_tesh!L23=0,0,SER_hh_tesh!L23/SER_summary!L$26)</f>
        <v>4.1734530488188204</v>
      </c>
      <c r="M23" s="133">
        <f>IF(SER_hh_tesh!M23=0,0,SER_hh_tesh!M23/SER_summary!M$26)</f>
        <v>4.0291272594512924</v>
      </c>
      <c r="N23" s="133">
        <f>IF(SER_hh_tesh!N23=0,0,SER_hh_tesh!N23/SER_summary!N$26)</f>
        <v>4.0800503944209661</v>
      </c>
      <c r="O23" s="133">
        <f>IF(SER_hh_tesh!O23=0,0,SER_hh_tesh!O23/SER_summary!O$26)</f>
        <v>4.2477833783339047</v>
      </c>
      <c r="P23" s="133">
        <f>IF(SER_hh_tesh!P23=0,0,SER_hh_tesh!P23/SER_summary!P$26)</f>
        <v>4.7723942152008645</v>
      </c>
      <c r="Q23" s="133">
        <f>IF(SER_hh_tesh!Q23=0,0,SER_hh_tesh!Q23/SER_summary!Q$26)</f>
        <v>3.7946212670272019</v>
      </c>
      <c r="R23" s="133">
        <f>IF(SER_hh_tesh!R23=0,0,SER_hh_tesh!R23/SER_summary!R$26)</f>
        <v>3.838257727883764</v>
      </c>
      <c r="S23" s="133">
        <f>IF(SER_hh_tesh!S23=0,0,SER_hh_tesh!S23/SER_summary!S$26)</f>
        <v>3.8665835254515364</v>
      </c>
      <c r="T23" s="133">
        <f>IF(SER_hh_tesh!T23=0,0,SER_hh_tesh!T23/SER_summary!T$26)</f>
        <v>3.912110378390611</v>
      </c>
      <c r="U23" s="133">
        <f>IF(SER_hh_tesh!U23=0,0,SER_hh_tesh!U23/SER_summary!U$26)</f>
        <v>3.9976344098940677</v>
      </c>
      <c r="V23" s="133">
        <f>IF(SER_hh_tesh!V23=0,0,SER_hh_tesh!V23/SER_summary!V$26)</f>
        <v>3.6711750581001281</v>
      </c>
      <c r="W23" s="133">
        <f>IF(SER_hh_tesh!W23=0,0,SER_hh_tesh!W23/SER_summary!W$26)</f>
        <v>4.0505347698738161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3.4371142651898015</v>
      </c>
      <c r="C26" s="65">
        <f>IF(SER_hh_tesh!C26=0,0,SER_hh_tesh!C26/SER_summary!C$26)</f>
        <v>3.5763154520593239</v>
      </c>
      <c r="D26" s="65">
        <f>IF(SER_hh_tesh!D26=0,0,SER_hh_tesh!D26/SER_summary!D$26)</f>
        <v>3.764179254637035</v>
      </c>
      <c r="E26" s="65">
        <f>IF(SER_hh_tesh!E26=0,0,SER_hh_tesh!E26/SER_summary!E$26)</f>
        <v>3.8770471176231358</v>
      </c>
      <c r="F26" s="65">
        <f>IF(SER_hh_tesh!F26=0,0,SER_hh_tesh!F26/SER_summary!F$26)</f>
        <v>4.0523306565786044</v>
      </c>
      <c r="G26" s="65">
        <f>IF(SER_hh_tesh!G26=0,0,SER_hh_tesh!G26/SER_summary!G$26)</f>
        <v>4.0693430683887915</v>
      </c>
      <c r="H26" s="65">
        <f>IF(SER_hh_tesh!H26=0,0,SER_hh_tesh!H26/SER_summary!H$26)</f>
        <v>3.74061312959588</v>
      </c>
      <c r="I26" s="65">
        <f>IF(SER_hh_tesh!I26=0,0,SER_hh_tesh!I26/SER_summary!I$26)</f>
        <v>3.8283895593945143</v>
      </c>
      <c r="J26" s="65">
        <f>IF(SER_hh_tesh!J26=0,0,SER_hh_tesh!J26/SER_summary!J$26)</f>
        <v>3.9525843182737401</v>
      </c>
      <c r="K26" s="65">
        <f>IF(SER_hh_tesh!K26=0,0,SER_hh_tesh!K26/SER_summary!K$26)</f>
        <v>3.9262439400061333</v>
      </c>
      <c r="L26" s="65">
        <f>IF(SER_hh_tesh!L26=0,0,SER_hh_tesh!L26/SER_summary!L$26)</f>
        <v>3.9749602470948098</v>
      </c>
      <c r="M26" s="65">
        <f>IF(SER_hh_tesh!M26=0,0,SER_hh_tesh!M26/SER_summary!M$26)</f>
        <v>4.0701279481267907</v>
      </c>
      <c r="N26" s="65">
        <f>IF(SER_hh_tesh!N26=0,0,SER_hh_tesh!N26/SER_summary!N$26)</f>
        <v>3.8549314400138663</v>
      </c>
      <c r="O26" s="65">
        <f>IF(SER_hh_tesh!O26=0,0,SER_hh_tesh!O26/SER_summary!O$26)</f>
        <v>4.0224468038231231</v>
      </c>
      <c r="P26" s="65">
        <f>IF(SER_hh_tesh!P26=0,0,SER_hh_tesh!P26/SER_summary!P$26)</f>
        <v>3.5796649787362682</v>
      </c>
      <c r="Q26" s="65">
        <f>IF(SER_hh_tesh!Q26=0,0,SER_hh_tesh!Q26/SER_summary!Q$26)</f>
        <v>3.6391220032930258</v>
      </c>
      <c r="R26" s="65">
        <f>IF(SER_hh_tesh!R26=0,0,SER_hh_tesh!R26/SER_summary!R$26)</f>
        <v>3.4088929441696578</v>
      </c>
      <c r="S26" s="65">
        <f>IF(SER_hh_tesh!S26=0,0,SER_hh_tesh!S26/SER_summary!S$26)</f>
        <v>3.2053834822083758</v>
      </c>
      <c r="T26" s="65">
        <f>IF(SER_hh_tesh!T26=0,0,SER_hh_tesh!T26/SER_summary!T$26)</f>
        <v>3.7660836308751575</v>
      </c>
      <c r="U26" s="65">
        <f>IF(SER_hh_tesh!U26=0,0,SER_hh_tesh!U26/SER_summary!U$26)</f>
        <v>3.6606626104397995</v>
      </c>
      <c r="V26" s="65">
        <f>IF(SER_hh_tesh!V26=0,0,SER_hh_tesh!V26/SER_summary!V$26)</f>
        <v>3.0248612605570733</v>
      </c>
      <c r="W26" s="65">
        <f>IF(SER_hh_tesh!W26=0,0,SER_hh_tesh!W26/SER_summary!W$26)</f>
        <v>3.4116751728915293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4.6508918826353191E-2</v>
      </c>
      <c r="C27" s="146">
        <f>IF(SER_hh_tesh!C27=0,0,SER_hh_tesh!C27/SER_summary!C$26)</f>
        <v>5.7346047668085869E-2</v>
      </c>
      <c r="D27" s="146">
        <f>IF(SER_hh_tesh!D27=0,0,SER_hh_tesh!D27/SER_summary!D$26)</f>
        <v>6.8450447364806669E-2</v>
      </c>
      <c r="E27" s="146">
        <f>IF(SER_hh_tesh!E27=0,0,SER_hh_tesh!E27/SER_summary!E$26)</f>
        <v>8.4360471718443131E-2</v>
      </c>
      <c r="F27" s="146">
        <f>IF(SER_hh_tesh!F27=0,0,SER_hh_tesh!F27/SER_summary!F$26)</f>
        <v>9.7103712735257905E-2</v>
      </c>
      <c r="G27" s="146">
        <f>IF(SER_hh_tesh!G27=0,0,SER_hh_tesh!G27/SER_summary!G$26)</f>
        <v>0.11401115461155766</v>
      </c>
      <c r="H27" s="146">
        <f>IF(SER_hh_tesh!H27=0,0,SER_hh_tesh!H27/SER_summary!H$26)</f>
        <v>0.12765696743203586</v>
      </c>
      <c r="I27" s="146">
        <f>IF(SER_hh_tesh!I27=0,0,SER_hh_tesh!I27/SER_summary!I$26)</f>
        <v>0.13340143745402647</v>
      </c>
      <c r="J27" s="146">
        <f>IF(SER_hh_tesh!J27=0,0,SER_hh_tesh!J27/SER_summary!J$26)</f>
        <v>0.15316278285223567</v>
      </c>
      <c r="K27" s="146">
        <f>IF(SER_hh_tesh!K27=0,0,SER_hh_tesh!K27/SER_summary!K$26)</f>
        <v>0.18319620780235879</v>
      </c>
      <c r="L27" s="146">
        <f>IF(SER_hh_tesh!L27=0,0,SER_hh_tesh!L27/SER_summary!L$26)</f>
        <v>0.20011264406021173</v>
      </c>
      <c r="M27" s="146">
        <f>IF(SER_hh_tesh!M27=0,0,SER_hh_tesh!M27/SER_summary!M$26)</f>
        <v>0.21530855734801158</v>
      </c>
      <c r="N27" s="146">
        <f>IF(SER_hh_tesh!N27=0,0,SER_hh_tesh!N27/SER_summary!N$26)</f>
        <v>0.22935204686772603</v>
      </c>
      <c r="O27" s="146">
        <f>IF(SER_hh_tesh!O27=0,0,SER_hh_tesh!O27/SER_summary!O$26)</f>
        <v>0.23403942628981061</v>
      </c>
      <c r="P27" s="146">
        <f>IF(SER_hh_tesh!P27=0,0,SER_hh_tesh!P27/SER_summary!P$26)</f>
        <v>0.24934542798301998</v>
      </c>
      <c r="Q27" s="146">
        <f>IF(SER_hh_tesh!Q27=0,0,SER_hh_tesh!Q27/SER_summary!Q$26)</f>
        <v>0.26241971222656857</v>
      </c>
      <c r="R27" s="146">
        <f>IF(SER_hh_tesh!R27=0,0,SER_hh_tesh!R27/SER_summary!R$26)</f>
        <v>0.25912459735051024</v>
      </c>
      <c r="S27" s="146">
        <f>IF(SER_hh_tesh!S27=0,0,SER_hh_tesh!S27/SER_summary!S$26)</f>
        <v>0.26132257905535083</v>
      </c>
      <c r="T27" s="146">
        <f>IF(SER_hh_tesh!T27=0,0,SER_hh_tesh!T27/SER_summary!T$26)</f>
        <v>0.26302183199686818</v>
      </c>
      <c r="U27" s="146">
        <f>IF(SER_hh_tesh!U27=0,0,SER_hh_tesh!U27/SER_summary!U$26)</f>
        <v>0.26296325308239082</v>
      </c>
      <c r="V27" s="146">
        <f>IF(SER_hh_tesh!V27=0,0,SER_hh_tesh!V27/SER_summary!V$26)</f>
        <v>0.25908468575916715</v>
      </c>
      <c r="W27" s="146">
        <f>IF(SER_hh_tesh!W27=0,0,SER_hh_tesh!W27/SER_summary!W$26)</f>
        <v>0.25201037925614145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3.1636042420613157</v>
      </c>
      <c r="C28" s="147">
        <f>IF(SER_hh_tesh!C28=0,0,SER_hh_tesh!C28/SER_summary!C$26)</f>
        <v>2.8912541413198727</v>
      </c>
      <c r="D28" s="147">
        <f>IF(SER_hh_tesh!D28=0,0,SER_hh_tesh!D28/SER_summary!D$26)</f>
        <v>3.520626015733952</v>
      </c>
      <c r="E28" s="147">
        <f>IF(SER_hh_tesh!E28=0,0,SER_hh_tesh!E28/SER_summary!E$26)</f>
        <v>3.6476599771845333</v>
      </c>
      <c r="F28" s="147">
        <f>IF(SER_hh_tesh!F28=0,0,SER_hh_tesh!F28/SER_summary!F$26)</f>
        <v>3.7673123226798659</v>
      </c>
      <c r="G28" s="147">
        <f>IF(SER_hh_tesh!G28=0,0,SER_hh_tesh!G28/SER_summary!G$26)</f>
        <v>3.7661851918109761</v>
      </c>
      <c r="H28" s="147">
        <f>IF(SER_hh_tesh!H28=0,0,SER_hh_tesh!H28/SER_summary!H$26)</f>
        <v>3.7231731969772999</v>
      </c>
      <c r="I28" s="147">
        <f>IF(SER_hh_tesh!I28=0,0,SER_hh_tesh!I28/SER_summary!I$26)</f>
        <v>3.7556838531880974</v>
      </c>
      <c r="J28" s="147">
        <f>IF(SER_hh_tesh!J28=0,0,SER_hh_tesh!J28/SER_summary!J$26)</f>
        <v>3.8172542400417049</v>
      </c>
      <c r="K28" s="147">
        <f>IF(SER_hh_tesh!K28=0,0,SER_hh_tesh!K28/SER_summary!K$26)</f>
        <v>3.8664988324173373</v>
      </c>
      <c r="L28" s="147">
        <f>IF(SER_hh_tesh!L28=0,0,SER_hh_tesh!L28/SER_summary!L$26)</f>
        <v>3.9185499986674932</v>
      </c>
      <c r="M28" s="147">
        <f>IF(SER_hh_tesh!M28=0,0,SER_hh_tesh!M28/SER_summary!M$26)</f>
        <v>3.8240654486740429</v>
      </c>
      <c r="N28" s="147">
        <f>IF(SER_hh_tesh!N28=0,0,SER_hh_tesh!N28/SER_summary!N$26)</f>
        <v>3.8821474606463804</v>
      </c>
      <c r="O28" s="147">
        <f>IF(SER_hh_tesh!O28=0,0,SER_hh_tesh!O28/SER_summary!O$26)</f>
        <v>4.1234952011868327</v>
      </c>
      <c r="P28" s="147">
        <f>IF(SER_hh_tesh!P28=0,0,SER_hh_tesh!P28/SER_summary!P$26)</f>
        <v>3.8477159788364235</v>
      </c>
      <c r="Q28" s="147">
        <f>IF(SER_hh_tesh!Q28=0,0,SER_hh_tesh!Q28/SER_summary!Q$26)</f>
        <v>3.9422971904709039</v>
      </c>
      <c r="R28" s="147">
        <f>IF(SER_hh_tesh!R28=0,0,SER_hh_tesh!R28/SER_summary!R$26)</f>
        <v>3.8112122743253045</v>
      </c>
      <c r="S28" s="147">
        <f>IF(SER_hh_tesh!S28=0,0,SER_hh_tesh!S28/SER_summary!S$26)</f>
        <v>3.6069366668052667</v>
      </c>
      <c r="T28" s="147">
        <f>IF(SER_hh_tesh!T28=0,0,SER_hh_tesh!T28/SER_summary!T$26)</f>
        <v>3.8304521693978431</v>
      </c>
      <c r="U28" s="147">
        <f>IF(SER_hh_tesh!U28=0,0,SER_hh_tesh!U28/SER_summary!U$26)</f>
        <v>3.7139376654099041</v>
      </c>
      <c r="V28" s="147">
        <f>IF(SER_hh_tesh!V28=0,0,SER_hh_tesh!V28/SER_summary!V$26)</f>
        <v>3.4037899472192361</v>
      </c>
      <c r="W28" s="147">
        <f>IF(SER_hh_tesh!W28=0,0,SER_hh_tesh!W28/SER_summary!W$26)</f>
        <v>3.7885003079976376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4.5305112765216125</v>
      </c>
      <c r="C29" s="131">
        <f>IF(SER_hh_tesh!C29=0,0,SER_hh_tesh!C29/SER_summary!C$26)</f>
        <v>4.6431043057363244</v>
      </c>
      <c r="D29" s="131">
        <f>IF(SER_hh_tesh!D29=0,0,SER_hh_tesh!D29/SER_summary!D$26)</f>
        <v>4.4872298589143327</v>
      </c>
      <c r="E29" s="131">
        <f>IF(SER_hh_tesh!E29=0,0,SER_hh_tesh!E29/SER_summary!E$26)</f>
        <v>4.3409121126697459</v>
      </c>
      <c r="F29" s="131">
        <f>IF(SER_hh_tesh!F29=0,0,SER_hh_tesh!F29/SER_summary!F$26)</f>
        <v>4.6024606470452429</v>
      </c>
      <c r="G29" s="131">
        <f>IF(SER_hh_tesh!G29=0,0,SER_hh_tesh!G29/SER_summary!G$26)</f>
        <v>4.631756327687448</v>
      </c>
      <c r="H29" s="131">
        <f>IF(SER_hh_tesh!H29=0,0,SER_hh_tesh!H29/SER_summary!H$26)</f>
        <v>4.8957615830687002</v>
      </c>
      <c r="I29" s="131">
        <f>IF(SER_hh_tesh!I29=0,0,SER_hh_tesh!I29/SER_summary!I$26)</f>
        <v>4.9766573329634749</v>
      </c>
      <c r="J29" s="131">
        <f>IF(SER_hh_tesh!J29=0,0,SER_hh_tesh!J29/SER_summary!J$26)</f>
        <v>5.0934210549530441</v>
      </c>
      <c r="K29" s="131">
        <f>IF(SER_hh_tesh!K29=0,0,SER_hh_tesh!K29/SER_summary!K$26)</f>
        <v>5.1122805747913631</v>
      </c>
      <c r="L29" s="131">
        <f>IF(SER_hh_tesh!L29=0,0,SER_hh_tesh!L29/SER_summary!L$26)</f>
        <v>5.2245410391522498</v>
      </c>
      <c r="M29" s="131">
        <f>IF(SER_hh_tesh!M29=0,0,SER_hh_tesh!M29/SER_summary!M$26)</f>
        <v>5.2852707310682474</v>
      </c>
      <c r="N29" s="131">
        <f>IF(SER_hh_tesh!N29=0,0,SER_hh_tesh!N29/SER_summary!N$26)</f>
        <v>5.1793102759570298</v>
      </c>
      <c r="O29" s="131">
        <f>IF(SER_hh_tesh!O29=0,0,SER_hh_tesh!O29/SER_summary!O$26)</f>
        <v>5.1898036617529693</v>
      </c>
      <c r="P29" s="131">
        <f>IF(SER_hh_tesh!P29=0,0,SER_hh_tesh!P29/SER_summary!P$26)</f>
        <v>5.151326338210156</v>
      </c>
      <c r="Q29" s="131">
        <f>IF(SER_hh_tesh!Q29=0,0,SER_hh_tesh!Q29/SER_summary!Q$26)</f>
        <v>5.1047295827016832</v>
      </c>
      <c r="R29" s="131">
        <f>IF(SER_hh_tesh!R29=0,0,SER_hh_tesh!R29/SER_summary!R$26)</f>
        <v>4.97605842293002</v>
      </c>
      <c r="S29" s="131">
        <f>IF(SER_hh_tesh!S29=0,0,SER_hh_tesh!S29/SER_summary!S$26)</f>
        <v>5.178841086475269</v>
      </c>
      <c r="T29" s="131">
        <f>IF(SER_hh_tesh!T29=0,0,SER_hh_tesh!T29/SER_summary!T$26)</f>
        <v>5.3805215183733228</v>
      </c>
      <c r="U29" s="131">
        <f>IF(SER_hh_tesh!U29=0,0,SER_hh_tesh!U29/SER_summary!U$26)</f>
        <v>5.5509005252672026</v>
      </c>
      <c r="V29" s="131">
        <f>IF(SER_hh_tesh!V29=0,0,SER_hh_tesh!V29/SER_summary!V$26)</f>
        <v>4.5297776557161322</v>
      </c>
      <c r="W29" s="131">
        <f>IF(SER_hh_tesh!W29=0,0,SER_hh_tesh!W29/SER_summary!W$26)</f>
        <v>5.4494529418130195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4.4175222203501532</v>
      </c>
      <c r="C30" s="133">
        <f>IF(SER_hh_tesh!C30=0,0,SER_hh_tesh!C30/SER_summary!C$26)</f>
        <v>4.6861613544581413</v>
      </c>
      <c r="D30" s="133">
        <f>IF(SER_hh_tesh!D30=0,0,SER_hh_tesh!D30/SER_summary!D$26)</f>
        <v>4.5441670996774421</v>
      </c>
      <c r="E30" s="133">
        <f>IF(SER_hh_tesh!E30=0,0,SER_hh_tesh!E30/SER_summary!E$26)</f>
        <v>4.4246352125005979</v>
      </c>
      <c r="F30" s="133">
        <f>IF(SER_hh_tesh!F30=0,0,SER_hh_tesh!F30/SER_summary!F$26)</f>
        <v>4.8019097657822805</v>
      </c>
      <c r="G30" s="133">
        <f>IF(SER_hh_tesh!G30=0,0,SER_hh_tesh!G30/SER_summary!G$26)</f>
        <v>4.6893666172131221</v>
      </c>
      <c r="H30" s="133">
        <f>IF(SER_hh_tesh!H30=0,0,SER_hh_tesh!H30/SER_summary!H$26)</f>
        <v>4.569156699646582</v>
      </c>
      <c r="I30" s="133">
        <f>IF(SER_hh_tesh!I30=0,0,SER_hh_tesh!I30/SER_summary!I$26)</f>
        <v>4.9375522691154874</v>
      </c>
      <c r="J30" s="133">
        <f>IF(SER_hh_tesh!J30=0,0,SER_hh_tesh!J30/SER_summary!J$26)</f>
        <v>5.3333724429017417</v>
      </c>
      <c r="K30" s="133">
        <f>IF(SER_hh_tesh!K30=0,0,SER_hh_tesh!K30/SER_summary!K$26)</f>
        <v>5.0289024844433845</v>
      </c>
      <c r="L30" s="133">
        <f>IF(SER_hh_tesh!L30=0,0,SER_hh_tesh!L30/SER_summary!L$26)</f>
        <v>5.261227844887407</v>
      </c>
      <c r="M30" s="133">
        <f>IF(SER_hh_tesh!M30=0,0,SER_hh_tesh!M30/SER_summary!M$26)</f>
        <v>5.20714270284049</v>
      </c>
      <c r="N30" s="133">
        <f>IF(SER_hh_tesh!N30=0,0,SER_hh_tesh!N30/SER_summary!N$26)</f>
        <v>5.3002655542973267</v>
      </c>
      <c r="O30" s="133">
        <f>IF(SER_hh_tesh!O30=0,0,SER_hh_tesh!O30/SER_summary!O$26)</f>
        <v>5.315953371040302</v>
      </c>
      <c r="P30" s="133">
        <f>IF(SER_hh_tesh!P30=0,0,SER_hh_tesh!P30/SER_summary!P$26)</f>
        <v>3.6772415013415629</v>
      </c>
      <c r="Q30" s="133">
        <f>IF(SER_hh_tesh!Q30=0,0,SER_hh_tesh!Q30/SER_summary!Q$26)</f>
        <v>5.0644350116394978</v>
      </c>
      <c r="R30" s="133">
        <f>IF(SER_hh_tesh!R30=0,0,SER_hh_tesh!R30/SER_summary!R$26)</f>
        <v>6.316856443229999</v>
      </c>
      <c r="S30" s="133">
        <f>IF(SER_hh_tesh!S30=0,0,SER_hh_tesh!S30/SER_summary!S$26)</f>
        <v>4.9269539058553899</v>
      </c>
      <c r="T30" s="133">
        <f>IF(SER_hh_tesh!T30=0,0,SER_hh_tesh!T30/SER_summary!T$26)</f>
        <v>5.8172659952080998</v>
      </c>
      <c r="U30" s="133">
        <f>IF(SER_hh_tesh!U30=0,0,SER_hh_tesh!U30/SER_summary!U$26)</f>
        <v>5.6162561252906267</v>
      </c>
      <c r="V30" s="133">
        <f>IF(SER_hh_tesh!V30=0,0,SER_hh_tesh!V30/SER_summary!V$26)</f>
        <v>4.2268843389888957</v>
      </c>
      <c r="W30" s="133">
        <f>IF(SER_hh_tesh!W30=0,0,SER_hh_tesh!W30/SER_summary!W$26)</f>
        <v>5.4062222389084198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4.2558595591696342</v>
      </c>
      <c r="C31" s="133">
        <f>IF(SER_hh_tesh!C31=0,0,SER_hh_tesh!C31/SER_summary!C$26)</f>
        <v>4.9477492860026588</v>
      </c>
      <c r="D31" s="133">
        <f>IF(SER_hh_tesh!D31=0,0,SER_hh_tesh!D31/SER_summary!D$26)</f>
        <v>4.297303076827804</v>
      </c>
      <c r="E31" s="133">
        <f>IF(SER_hh_tesh!E31=0,0,SER_hh_tesh!E31/SER_summary!E$26)</f>
        <v>3.6410266588358846</v>
      </c>
      <c r="F31" s="133">
        <f>IF(SER_hh_tesh!F31=0,0,SER_hh_tesh!F31/SER_summary!F$26)</f>
        <v>4.8799612420062077</v>
      </c>
      <c r="G31" s="133">
        <f>IF(SER_hh_tesh!G31=0,0,SER_hh_tesh!G31/SER_summary!G$26)</f>
        <v>4.7511582176377152</v>
      </c>
      <c r="H31" s="133">
        <f>IF(SER_hh_tesh!H31=0,0,SER_hh_tesh!H31/SER_summary!H$26)</f>
        <v>5.0223883242781771</v>
      </c>
      <c r="I31" s="133">
        <f>IF(SER_hh_tesh!I31=0,0,SER_hh_tesh!I31/SER_summary!I$26)</f>
        <v>5.0009019218637007</v>
      </c>
      <c r="J31" s="133">
        <f>IF(SER_hh_tesh!J31=0,0,SER_hh_tesh!J31/SER_summary!J$26)</f>
        <v>5.100078088094067</v>
      </c>
      <c r="K31" s="133">
        <f>IF(SER_hh_tesh!K31=0,0,SER_hh_tesh!K31/SER_summary!K$26)</f>
        <v>5.0559117183628404</v>
      </c>
      <c r="L31" s="133">
        <f>IF(SER_hh_tesh!L31=0,0,SER_hh_tesh!L31/SER_summary!L$26)</f>
        <v>5.1757610257419273</v>
      </c>
      <c r="M31" s="133">
        <f>IF(SER_hh_tesh!M31=0,0,SER_hh_tesh!M31/SER_summary!M$26)</f>
        <v>5.0790312785762239</v>
      </c>
      <c r="N31" s="133">
        <f>IF(SER_hh_tesh!N31=0,0,SER_hh_tesh!N31/SER_summary!N$26)</f>
        <v>4.6524507392872048</v>
      </c>
      <c r="O31" s="133">
        <f>IF(SER_hh_tesh!O31=0,0,SER_hh_tesh!O31/SER_summary!O$26)</f>
        <v>4.3635843562217147</v>
      </c>
      <c r="P31" s="133">
        <f>IF(SER_hh_tesh!P31=0,0,SER_hh_tesh!P31/SER_summary!P$26)</f>
        <v>5.825707464276543</v>
      </c>
      <c r="Q31" s="133">
        <f>IF(SER_hh_tesh!Q31=0,0,SER_hh_tesh!Q31/SER_summary!Q$26)</f>
        <v>5.449301248952529</v>
      </c>
      <c r="R31" s="133">
        <f>IF(SER_hh_tesh!R31=0,0,SER_hh_tesh!R31/SER_summary!R$26)</f>
        <v>5.4060245676152014</v>
      </c>
      <c r="S31" s="133">
        <f>IF(SER_hh_tesh!S31=0,0,SER_hh_tesh!S31/SER_summary!S$26)</f>
        <v>5.4268779290055456</v>
      </c>
      <c r="T31" s="133">
        <f>IF(SER_hh_tesh!T31=0,0,SER_hh_tesh!T31/SER_summary!T$26)</f>
        <v>4.9091832184724948</v>
      </c>
      <c r="U31" s="133">
        <f>IF(SER_hh_tesh!U31=0,0,SER_hh_tesh!U31/SER_summary!U$26)</f>
        <v>5.0993670011594396</v>
      </c>
      <c r="V31" s="133">
        <f>IF(SER_hh_tesh!V31=0,0,SER_hh_tesh!V31/SER_summary!V$26)</f>
        <v>5.2587280175881821</v>
      </c>
      <c r="W31" s="133">
        <f>IF(SER_hh_tesh!W31=0,0,SER_hh_tesh!W31/SER_summary!W$26)</f>
        <v>5.107746927685044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4.6157987094413233</v>
      </c>
      <c r="C33" s="68">
        <f>IF(SER_hh_tesh!C33=0,0,SER_hh_tesh!C33/SER_summary!C$26)</f>
        <v>4.5653695441413449</v>
      </c>
      <c r="D33" s="68">
        <f>IF(SER_hh_tesh!D33=0,0,SER_hh_tesh!D33/SER_summary!D$26)</f>
        <v>4.5157022684566934</v>
      </c>
      <c r="E33" s="68">
        <f>IF(SER_hh_tesh!E33=0,0,SER_hh_tesh!E33/SER_summary!E$26)</f>
        <v>4.4841160471082535</v>
      </c>
      <c r="F33" s="68">
        <f>IF(SER_hh_tesh!F33=0,0,SER_hh_tesh!F33/SER_summary!F$26)</f>
        <v>4.4830355195787712</v>
      </c>
      <c r="G33" s="68">
        <f>IF(SER_hh_tesh!G33=0,0,SER_hh_tesh!G33/SER_summary!G$26)</f>
        <v>4.5843050115999819</v>
      </c>
      <c r="H33" s="68">
        <f>IF(SER_hh_tesh!H33=0,0,SER_hh_tesh!H33/SER_summary!H$26)</f>
        <v>4.9127482968636649</v>
      </c>
      <c r="I33" s="68">
        <f>IF(SER_hh_tesh!I33=0,0,SER_hh_tesh!I33/SER_summary!I$26)</f>
        <v>4.9751860661589697</v>
      </c>
      <c r="J33" s="68">
        <f>IF(SER_hh_tesh!J33=0,0,SER_hh_tesh!J33/SER_summary!J$26)</f>
        <v>5.0551217765706733</v>
      </c>
      <c r="K33" s="68">
        <f>IF(SER_hh_tesh!K33=0,0,SER_hh_tesh!K33/SER_summary!K$26)</f>
        <v>5.1430336216613055</v>
      </c>
      <c r="L33" s="68">
        <f>IF(SER_hh_tesh!L33=0,0,SER_hh_tesh!L33/SER_summary!L$26)</f>
        <v>5.2364187029315756</v>
      </c>
      <c r="M33" s="68">
        <f>IF(SER_hh_tesh!M33=0,0,SER_hh_tesh!M33/SER_summary!M$26)</f>
        <v>5.3719878203345139</v>
      </c>
      <c r="N33" s="68">
        <f>IF(SER_hh_tesh!N33=0,0,SER_hh_tesh!N33/SER_summary!N$26)</f>
        <v>5.4122852866807989</v>
      </c>
      <c r="O33" s="68">
        <f>IF(SER_hh_tesh!O33=0,0,SER_hh_tesh!O33/SER_summary!O$26)</f>
        <v>5.7352922516749985</v>
      </c>
      <c r="P33" s="68">
        <f>IF(SER_hh_tesh!P33=0,0,SER_hh_tesh!P33/SER_summary!P$26)</f>
        <v>4.6275987295999199</v>
      </c>
      <c r="Q33" s="68">
        <f>IF(SER_hh_tesh!Q33=0,0,SER_hh_tesh!Q33/SER_summary!Q$26)</f>
        <v>4.5828689176528865</v>
      </c>
      <c r="R33" s="68">
        <f>IF(SER_hh_tesh!R33=0,0,SER_hh_tesh!R33/SER_summary!R$26)</f>
        <v>3.8901652924486956</v>
      </c>
      <c r="S33" s="68">
        <f>IF(SER_hh_tesh!S33=0,0,SER_hh_tesh!S33/SER_summary!S$26)</f>
        <v>4.8249957084059218</v>
      </c>
      <c r="T33" s="68">
        <f>IF(SER_hh_tesh!T33=0,0,SER_hh_tesh!T33/SER_summary!T$26)</f>
        <v>5.9763211037846879</v>
      </c>
      <c r="U33" s="68">
        <f>IF(SER_hh_tesh!U33=0,0,SER_hh_tesh!U33/SER_summary!U$26)</f>
        <v>6.1732905121180393</v>
      </c>
      <c r="V33" s="68">
        <f>IF(SER_hh_tesh!V33=0,0,SER_hh_tesh!V33/SER_summary!V$26)</f>
        <v>3.5052695083727587</v>
      </c>
      <c r="W33" s="68">
        <f>IF(SER_hh_tesh!W33=0,0,SER_hh_tesh!W33/SER_summary!W$26)</f>
        <v>5.9488032208052291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4.2111115158721253</v>
      </c>
      <c r="C3" s="126">
        <f>IF(SER_hh_emih!C3=0,0,SER_hh_emih!C3/SER_summary!C$26)</f>
        <v>4.4747537762379945</v>
      </c>
      <c r="D3" s="126">
        <f>IF(SER_hh_emih!D3=0,0,SER_hh_emih!D3/SER_summary!D$26)</f>
        <v>4.3144018281176413</v>
      </c>
      <c r="E3" s="126">
        <f>IF(SER_hh_emih!E3=0,0,SER_hh_emih!E3/SER_summary!E$26)</f>
        <v>3.825832035707176</v>
      </c>
      <c r="F3" s="126">
        <f>IF(SER_hh_emih!F3=0,0,SER_hh_emih!F3/SER_summary!F$26)</f>
        <v>4.1645847601854289</v>
      </c>
      <c r="G3" s="126">
        <f>IF(SER_hh_emih!G3=0,0,SER_hh_emih!G3/SER_summary!G$26)</f>
        <v>4.4939893355661695</v>
      </c>
      <c r="H3" s="126">
        <f>IF(SER_hh_emih!H3=0,0,SER_hh_emih!H3/SER_summary!H$26)</f>
        <v>5.5005784041898362</v>
      </c>
      <c r="I3" s="126">
        <f>IF(SER_hh_emih!I3=0,0,SER_hh_emih!I3/SER_summary!I$26)</f>
        <v>4.1088745077630202</v>
      </c>
      <c r="J3" s="126">
        <f>IF(SER_hh_emih!J3=0,0,SER_hh_emih!J3/SER_summary!J$26)</f>
        <v>3.7459254804071076</v>
      </c>
      <c r="K3" s="126">
        <f>IF(SER_hh_emih!K3=0,0,SER_hh_emih!K3/SER_summary!K$26)</f>
        <v>4.0801206541754818</v>
      </c>
      <c r="L3" s="126">
        <f>IF(SER_hh_emih!L3=0,0,SER_hh_emih!L3/SER_summary!L$26)</f>
        <v>4.5282397153677634</v>
      </c>
      <c r="M3" s="126">
        <f>IF(SER_hh_emih!M3=0,0,SER_hh_emih!M3/SER_summary!M$26)</f>
        <v>4.652068956026433</v>
      </c>
      <c r="N3" s="126">
        <f>IF(SER_hh_emih!N3=0,0,SER_hh_emih!N3/SER_summary!N$26)</f>
        <v>4.2628303583953295</v>
      </c>
      <c r="O3" s="126">
        <f>IF(SER_hh_emih!O3=0,0,SER_hh_emih!O3/SER_summary!O$26)</f>
        <v>4.2434124187854332</v>
      </c>
      <c r="P3" s="126">
        <f>IF(SER_hh_emih!P3=0,0,SER_hh_emih!P3/SER_summary!P$26)</f>
        <v>3.6988462167298626</v>
      </c>
      <c r="Q3" s="126">
        <f>IF(SER_hh_emih!Q3=0,0,SER_hh_emih!Q3/SER_summary!Q$26)</f>
        <v>3.5877561352979361</v>
      </c>
      <c r="R3" s="126">
        <f>IF(SER_hh_emih!R3=0,0,SER_hh_emih!R3/SER_summary!R$26)</f>
        <v>3.8088023644213131</v>
      </c>
      <c r="S3" s="126">
        <f>IF(SER_hh_emih!S3=0,0,SER_hh_emih!S3/SER_summary!S$26)</f>
        <v>3.850235357896362</v>
      </c>
      <c r="T3" s="126">
        <f>IF(SER_hh_emih!T3=0,0,SER_hh_emih!T3/SER_summary!T$26)</f>
        <v>3.9699542695705561</v>
      </c>
      <c r="U3" s="126">
        <f>IF(SER_hh_emih!U3=0,0,SER_hh_emih!U3/SER_summary!U$26)</f>
        <v>3.8719116601005301</v>
      </c>
      <c r="V3" s="126">
        <f>IF(SER_hh_emih!V3=0,0,SER_hh_emih!V3/SER_summary!V$26)</f>
        <v>3.618867756926111</v>
      </c>
      <c r="W3" s="126">
        <f>IF(SER_hh_emih!W3=0,0,SER_hh_emih!W3/SER_summary!W$26)</f>
        <v>3.9239406999330328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2.8203844879476727</v>
      </c>
      <c r="C4" s="131">
        <f>IF(SER_hh_emih!C4=0,0,SER_hh_emih!C4/SER_summary!C$26)</f>
        <v>3.034718642625208</v>
      </c>
      <c r="D4" s="131">
        <f>IF(SER_hh_emih!D4=0,0,SER_hh_emih!D4/SER_summary!D$26)</f>
        <v>2.9637289239868041</v>
      </c>
      <c r="E4" s="131">
        <f>IF(SER_hh_emih!E4=0,0,SER_hh_emih!E4/SER_summary!E$26)</f>
        <v>2.621681103291146</v>
      </c>
      <c r="F4" s="131">
        <f>IF(SER_hh_emih!F4=0,0,SER_hh_emih!F4/SER_summary!F$26)</f>
        <v>2.8151641724697276</v>
      </c>
      <c r="G4" s="131">
        <f>IF(SER_hh_emih!G4=0,0,SER_hh_emih!G4/SER_summary!G$26)</f>
        <v>3.1497310957189724</v>
      </c>
      <c r="H4" s="131">
        <f>IF(SER_hh_emih!H4=0,0,SER_hh_emih!H4/SER_summary!H$26)</f>
        <v>4.0170883763286334</v>
      </c>
      <c r="I4" s="131">
        <f>IF(SER_hh_emih!I4=0,0,SER_hh_emih!I4/SER_summary!I$26)</f>
        <v>2.6811172494976221</v>
      </c>
      <c r="J4" s="131">
        <f>IF(SER_hh_emih!J4=0,0,SER_hh_emih!J4/SER_summary!J$26)</f>
        <v>2.3289272989135208</v>
      </c>
      <c r="K4" s="131">
        <f>IF(SER_hh_emih!K4=0,0,SER_hh_emih!K4/SER_summary!K$26)</f>
        <v>2.6686989527206202</v>
      </c>
      <c r="L4" s="131">
        <f>IF(SER_hh_emih!L4=0,0,SER_hh_emih!L4/SER_summary!L$26)</f>
        <v>3.1110309121086428</v>
      </c>
      <c r="M4" s="131">
        <f>IF(SER_hh_emih!M4=0,0,SER_hh_emih!M4/SER_summary!M$26)</f>
        <v>3.2292513154962053</v>
      </c>
      <c r="N4" s="131">
        <f>IF(SER_hh_emih!N4=0,0,SER_hh_emih!N4/SER_summary!N$26)</f>
        <v>2.7774690499520882</v>
      </c>
      <c r="O4" s="131">
        <f>IF(SER_hh_emih!O4=0,0,SER_hh_emih!O4/SER_summary!O$26)</f>
        <v>2.6379634014931157</v>
      </c>
      <c r="P4" s="131">
        <f>IF(SER_hh_emih!P4=0,0,SER_hh_emih!P4/SER_summary!P$26)</f>
        <v>1.6175983491414643</v>
      </c>
      <c r="Q4" s="131">
        <f>IF(SER_hh_emih!Q4=0,0,SER_hh_emih!Q4/SER_summary!Q$26)</f>
        <v>1.4160499956992927</v>
      </c>
      <c r="R4" s="131">
        <f>IF(SER_hh_emih!R4=0,0,SER_hh_emih!R4/SER_summary!R$26)</f>
        <v>1.5657156743101979</v>
      </c>
      <c r="S4" s="131">
        <f>IF(SER_hh_emih!S4=0,0,SER_hh_emih!S4/SER_summary!S$26)</f>
        <v>1.6609301744437976</v>
      </c>
      <c r="T4" s="131">
        <f>IF(SER_hh_emih!T4=0,0,SER_hh_emih!T4/SER_summary!T$26)</f>
        <v>1.9092936591687311</v>
      </c>
      <c r="U4" s="131">
        <f>IF(SER_hh_emih!U4=0,0,SER_hh_emih!U4/SER_summary!U$26)</f>
        <v>1.8275307383692352</v>
      </c>
      <c r="V4" s="131">
        <f>IF(SER_hh_emih!V4=0,0,SER_hh_emih!V4/SER_summary!V$26)</f>
        <v>1.6319742781774853</v>
      </c>
      <c r="W4" s="131">
        <f>IF(SER_hh_emih!W4=0,0,SER_hh_emih!W4/SER_summary!W$26)</f>
        <v>1.8933949348212866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4.0878544015860063</v>
      </c>
      <c r="C7" s="133">
        <f>IF(SER_hh_emih!C7=0,0,SER_hh_emih!C7/SER_summary!C$26)</f>
        <v>3.9951571710517899</v>
      </c>
      <c r="D7" s="133">
        <f>IF(SER_hh_emih!D7=0,0,SER_hh_emih!D7/SER_summary!D$26)</f>
        <v>3.3146842131762799</v>
      </c>
      <c r="E7" s="133">
        <f>IF(SER_hh_emih!E7=0,0,SER_hh_emih!E7/SER_summary!E$26)</f>
        <v>3.3405888899982492</v>
      </c>
      <c r="F7" s="133">
        <f>IF(SER_hh_emih!F7=0,0,SER_hh_emih!F7/SER_summary!F$26)</f>
        <v>3.7294266655664918</v>
      </c>
      <c r="G7" s="133">
        <f>IF(SER_hh_emih!G7=0,0,SER_hh_emih!G7/SER_summary!G$26)</f>
        <v>4.3063782473212573</v>
      </c>
      <c r="H7" s="133">
        <f>IF(SER_hh_emih!H7=0,0,SER_hh_emih!H7/SER_summary!H$26)</f>
        <v>4.208914369833427</v>
      </c>
      <c r="I7" s="133">
        <f>IF(SER_hh_emih!I7=0,0,SER_hh_emih!I7/SER_summary!I$26)</f>
        <v>4.5146909412719323</v>
      </c>
      <c r="J7" s="133">
        <f>IF(SER_hh_emih!J7=0,0,SER_hh_emih!J7/SER_summary!J$26)</f>
        <v>4.8164278320235328</v>
      </c>
      <c r="K7" s="133">
        <f>IF(SER_hh_emih!K7=0,0,SER_hh_emih!K7/SER_summary!K$26)</f>
        <v>5.446537071919038</v>
      </c>
      <c r="L7" s="133">
        <f>IF(SER_hh_emih!L7=0,0,SER_hh_emih!L7/SER_summary!L$26)</f>
        <v>5.3876077133635727</v>
      </c>
      <c r="M7" s="133">
        <f>IF(SER_hh_emih!M7=0,0,SER_hh_emih!M7/SER_summary!M$26)</f>
        <v>4.5142093577056537</v>
      </c>
      <c r="N7" s="133">
        <f>IF(SER_hh_emih!N7=0,0,SER_hh_emih!N7/SER_summary!N$26)</f>
        <v>4.3503658629721143</v>
      </c>
      <c r="O7" s="133">
        <f>IF(SER_hh_emih!O7=0,0,SER_hh_emih!O7/SER_summary!O$26)</f>
        <v>4.1732166396980199</v>
      </c>
      <c r="P7" s="133">
        <f>IF(SER_hh_emih!P7=0,0,SER_hh_emih!P7/SER_summary!P$26)</f>
        <v>3.1308379206266674</v>
      </c>
      <c r="Q7" s="133">
        <f>IF(SER_hh_emih!Q7=0,0,SER_hh_emih!Q7/SER_summary!Q$26)</f>
        <v>2.2257527239455426</v>
      </c>
      <c r="R7" s="133">
        <f>IF(SER_hh_emih!R7=0,0,SER_hh_emih!R7/SER_summary!R$26)</f>
        <v>2.9219508995871299</v>
      </c>
      <c r="S7" s="133">
        <f>IF(SER_hh_emih!S7=0,0,SER_hh_emih!S7/SER_summary!S$26)</f>
        <v>3.407090962219808</v>
      </c>
      <c r="T7" s="133">
        <f>IF(SER_hh_emih!T7=0,0,SER_hh_emih!T7/SER_summary!T$26)</f>
        <v>3.7827552854700732</v>
      </c>
      <c r="U7" s="133">
        <f>IF(SER_hh_emih!U7=0,0,SER_hh_emih!U7/SER_summary!U$26)</f>
        <v>3.8191188084742347</v>
      </c>
      <c r="V7" s="133">
        <f>IF(SER_hh_emih!V7=0,0,SER_hh_emih!V7/SER_summary!V$26)</f>
        <v>3.8919746634396692</v>
      </c>
      <c r="W7" s="133">
        <f>IF(SER_hh_emih!W7=0,0,SER_hh_emih!W7/SER_summary!W$26)</f>
        <v>4.4799169100485878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1.0382070155113698</v>
      </c>
      <c r="C8" s="133">
        <f>IF(SER_hh_emih!C8=0,0,SER_hh_emih!C8/SER_summary!C$26)</f>
        <v>1.0799540627021222</v>
      </c>
      <c r="D8" s="133">
        <f>IF(SER_hh_emih!D8=0,0,SER_hh_emih!D8/SER_summary!D$26)</f>
        <v>0.91935508204969152</v>
      </c>
      <c r="E8" s="133">
        <f>IF(SER_hh_emih!E8=0,0,SER_hh_emih!E8/SER_summary!E$26)</f>
        <v>0.56785843924269641</v>
      </c>
      <c r="F8" s="133">
        <f>IF(SER_hh_emih!F8=0,0,SER_hh_emih!F8/SER_summary!F$26)</f>
        <v>0.5873498724281816</v>
      </c>
      <c r="G8" s="133">
        <f>IF(SER_hh_emih!G8=0,0,SER_hh_emih!G8/SER_summary!G$26)</f>
        <v>0.84347665905404612</v>
      </c>
      <c r="H8" s="133">
        <f>IF(SER_hh_emih!H8=0,0,SER_hh_emih!H8/SER_summary!H$26)</f>
        <v>1.2455416557668904</v>
      </c>
      <c r="I8" s="133">
        <f>IF(SER_hh_emih!I8=0,0,SER_hh_emih!I8/SER_summary!I$26)</f>
        <v>1.0133145669216923</v>
      </c>
      <c r="J8" s="133">
        <f>IF(SER_hh_emih!J8=0,0,SER_hh_emih!J8/SER_summary!J$26)</f>
        <v>0.95919998688387265</v>
      </c>
      <c r="K8" s="133">
        <f>IF(SER_hh_emih!K8=0,0,SER_hh_emih!K8/SER_summary!K$26)</f>
        <v>0.86502157845117389</v>
      </c>
      <c r="L8" s="133">
        <f>IF(SER_hh_emih!L8=0,0,SER_hh_emih!L8/SER_summary!L$26)</f>
        <v>0.70932709443518582</v>
      </c>
      <c r="M8" s="133">
        <f>IF(SER_hh_emih!M8=0,0,SER_hh_emih!M8/SER_summary!M$26)</f>
        <v>0.65744831851583097</v>
      </c>
      <c r="N8" s="133">
        <f>IF(SER_hh_emih!N8=0,0,SER_hh_emih!N8/SER_summary!N$26)</f>
        <v>0.47247851663170082</v>
      </c>
      <c r="O8" s="133">
        <f>IF(SER_hh_emih!O8=0,0,SER_hh_emih!O8/SER_summary!O$26)</f>
        <v>0.41720236586229387</v>
      </c>
      <c r="P8" s="133">
        <f>IF(SER_hh_emih!P8=0,0,SER_hh_emih!P8/SER_summary!P$26)</f>
        <v>0.42038935943224626</v>
      </c>
      <c r="Q8" s="133">
        <f>IF(SER_hh_emih!Q8=0,0,SER_hh_emih!Q8/SER_summary!Q$26)</f>
        <v>0.40810141290833701</v>
      </c>
      <c r="R8" s="133">
        <f>IF(SER_hh_emih!R8=0,0,SER_hh_emih!R8/SER_summary!R$26)</f>
        <v>0.44518693980142954</v>
      </c>
      <c r="S8" s="133">
        <f>IF(SER_hh_emih!S8=0,0,SER_hh_emih!S8/SER_summary!S$26)</f>
        <v>0.4980564476565969</v>
      </c>
      <c r="T8" s="133">
        <f>IF(SER_hh_emih!T8=0,0,SER_hh_emih!T8/SER_summary!T$26)</f>
        <v>0.56398137342538246</v>
      </c>
      <c r="U8" s="133">
        <f>IF(SER_hh_emih!U8=0,0,SER_hh_emih!U8/SER_summary!U$26)</f>
        <v>0.61290697759908896</v>
      </c>
      <c r="V8" s="133">
        <f>IF(SER_hh_emih!V8=0,0,SER_hh_emih!V8/SER_summary!V$26)</f>
        <v>0.63049376039436489</v>
      </c>
      <c r="W8" s="133">
        <f>IF(SER_hh_emih!W8=0,0,SER_hh_emih!W8/SER_summary!W$26)</f>
        <v>0.69537056304785994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2.0290839383836978</v>
      </c>
      <c r="C9" s="133">
        <f>IF(SER_hh_emih!C9=0,0,SER_hh_emih!C9/SER_summary!C$26)</f>
        <v>2.5135780467449775</v>
      </c>
      <c r="D9" s="133">
        <f>IF(SER_hh_emih!D9=0,0,SER_hh_emih!D9/SER_summary!D$26)</f>
        <v>3.7289154081370266</v>
      </c>
      <c r="E9" s="133">
        <f>IF(SER_hh_emih!E9=0,0,SER_hh_emih!E9/SER_summary!E$26)</f>
        <v>0.30960706612567679</v>
      </c>
      <c r="F9" s="133">
        <f>IF(SER_hh_emih!F9=0,0,SER_hh_emih!F9/SER_summary!F$26)</f>
        <v>0.37572035739114246</v>
      </c>
      <c r="G9" s="133">
        <f>IF(SER_hh_emih!G9=0,0,SER_hh_emih!G9/SER_summary!G$26)</f>
        <v>1.9201466043376838</v>
      </c>
      <c r="H9" s="133">
        <f>IF(SER_hh_emih!H9=0,0,SER_hh_emih!H9/SER_summary!H$26)</f>
        <v>6.0886330728823053</v>
      </c>
      <c r="I9" s="133">
        <f>IF(SER_hh_emih!I9=0,0,SER_hh_emih!I9/SER_summary!I$26)</f>
        <v>2.7641122847549875</v>
      </c>
      <c r="J9" s="133">
        <f>IF(SER_hh_emih!J9=0,0,SER_hh_emih!J9/SER_summary!J$26)</f>
        <v>2.1112454942861287</v>
      </c>
      <c r="K9" s="133">
        <f>IF(SER_hh_emih!K9=0,0,SER_hh_emih!K9/SER_summary!K$26)</f>
        <v>2.780554598096844</v>
      </c>
      <c r="L9" s="133">
        <f>IF(SER_hh_emih!L9=0,0,SER_hh_emih!L9/SER_summary!L$26)</f>
        <v>3.6824288861083438</v>
      </c>
      <c r="M9" s="133">
        <f>IF(SER_hh_emih!M9=0,0,SER_hh_emih!M9/SER_summary!M$26)</f>
        <v>4.0896850022404312</v>
      </c>
      <c r="N9" s="133">
        <f>IF(SER_hh_emih!N9=0,0,SER_hh_emih!N9/SER_summary!N$26)</f>
        <v>3.0195797195048084</v>
      </c>
      <c r="O9" s="133">
        <f>IF(SER_hh_emih!O9=0,0,SER_hh_emih!O9/SER_summary!O$26)</f>
        <v>2.7066077935386201</v>
      </c>
      <c r="P9" s="133">
        <f>IF(SER_hh_emih!P9=0,0,SER_hh_emih!P9/SER_summary!P$26)</f>
        <v>1.2443044688167195</v>
      </c>
      <c r="Q9" s="133">
        <f>IF(SER_hh_emih!Q9=0,0,SER_hh_emih!Q9/SER_summary!Q$26)</f>
        <v>1.9477851658410021</v>
      </c>
      <c r="R9" s="133">
        <f>IF(SER_hh_emih!R9=0,0,SER_hh_emih!R9/SER_summary!R$26)</f>
        <v>1.9298913766614474</v>
      </c>
      <c r="S9" s="133">
        <f>IF(SER_hh_emih!S9=0,0,SER_hh_emih!S9/SER_summary!S$26)</f>
        <v>2.0571736721952587</v>
      </c>
      <c r="T9" s="133">
        <f>IF(SER_hh_emih!T9=0,0,SER_hh_emih!T9/SER_summary!T$26)</f>
        <v>2.9194395626539582</v>
      </c>
      <c r="U9" s="133">
        <f>IF(SER_hh_emih!U9=0,0,SER_hh_emih!U9/SER_summary!U$26)</f>
        <v>2.9829520864185026</v>
      </c>
      <c r="V9" s="133">
        <f>IF(SER_hh_emih!V9=0,0,SER_hh_emih!V9/SER_summary!V$26)</f>
        <v>2.5921435635827179</v>
      </c>
      <c r="W9" s="133">
        <f>IF(SER_hh_emih!W9=0,0,SER_hh_emih!W9/SER_summary!W$26)</f>
        <v>3.1992262111782295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0.10102128355113588</v>
      </c>
      <c r="R10" s="133">
        <f>IF(SER_hh_emih!R10=0,0,SER_hh_emih!R10/SER_summary!R$26)</f>
        <v>0.22658747613226091</v>
      </c>
      <c r="S10" s="133">
        <f>IF(SER_hh_emih!S10=0,0,SER_hh_emih!S10/SER_summary!S$26)</f>
        <v>0.28584603001748998</v>
      </c>
      <c r="T10" s="133">
        <f>IF(SER_hh_emih!T10=0,0,SER_hh_emih!T10/SER_summary!T$26)</f>
        <v>0.18930565894999085</v>
      </c>
      <c r="U10" s="133">
        <f>IF(SER_hh_emih!U10=0,0,SER_hh_emih!U10/SER_summary!U$26)</f>
        <v>0.22855411567485043</v>
      </c>
      <c r="V10" s="133">
        <f>IF(SER_hh_emih!V10=0,0,SER_hh_emih!V10/SER_summary!V$26)</f>
        <v>0.22835054908749622</v>
      </c>
      <c r="W10" s="133">
        <f>IF(SER_hh_emih!W10=0,0,SER_hh_emih!W10/SER_summary!W$26)</f>
        <v>0.28963963528771974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2.3811571796394514E-3</v>
      </c>
      <c r="C16" s="131">
        <f>IF(SER_hh_emih!C16=0,0,SER_hh_emih!C16/SER_summary!C$26)</f>
        <v>2.4870732944792533E-3</v>
      </c>
      <c r="D16" s="131">
        <f>IF(SER_hh_emih!D16=0,0,SER_hh_emih!D16/SER_summary!D$26)</f>
        <v>1.9575259635749723E-3</v>
      </c>
      <c r="E16" s="131">
        <f>IF(SER_hh_emih!E16=0,0,SER_hh_emih!E16/SER_summary!E$26)</f>
        <v>4.0050892734327511E-3</v>
      </c>
      <c r="F16" s="131">
        <f>IF(SER_hh_emih!F16=0,0,SER_hh_emih!F16/SER_summary!F$26)</f>
        <v>3.0721329421238845E-3</v>
      </c>
      <c r="G16" s="131">
        <f>IF(SER_hh_emih!G16=0,0,SER_hh_emih!G16/SER_summary!G$26)</f>
        <v>3.4355856029844875E-3</v>
      </c>
      <c r="H16" s="131">
        <f>IF(SER_hh_emih!H16=0,0,SER_hh_emih!H16/SER_summary!H$26)</f>
        <v>3.8429068555321986E-3</v>
      </c>
      <c r="I16" s="131">
        <f>IF(SER_hh_emih!I16=0,0,SER_hh_emih!I16/SER_summary!I$26)</f>
        <v>3.2712911751524945E-3</v>
      </c>
      <c r="J16" s="131">
        <f>IF(SER_hh_emih!J16=0,0,SER_hh_emih!J16/SER_summary!J$26)</f>
        <v>3.9941250003214602E-3</v>
      </c>
      <c r="K16" s="131">
        <f>IF(SER_hh_emih!K16=0,0,SER_hh_emih!K16/SER_summary!K$26)</f>
        <v>5.5223553571022163E-3</v>
      </c>
      <c r="L16" s="131">
        <f>IF(SER_hh_emih!L16=0,0,SER_hh_emih!L16/SER_summary!L$26)</f>
        <v>5.8501330339735917E-3</v>
      </c>
      <c r="M16" s="131">
        <f>IF(SER_hh_emih!M16=0,0,SER_hh_emih!M16/SER_summary!M$26)</f>
        <v>5.9966767293539273E-3</v>
      </c>
      <c r="N16" s="131">
        <f>IF(SER_hh_emih!N16=0,0,SER_hh_emih!N16/SER_summary!N$26)</f>
        <v>7.9476913413974015E-3</v>
      </c>
      <c r="O16" s="131">
        <f>IF(SER_hh_emih!O16=0,0,SER_hh_emih!O16/SER_summary!O$26)</f>
        <v>7.8460088527631568E-3</v>
      </c>
      <c r="P16" s="131">
        <f>IF(SER_hh_emih!P16=0,0,SER_hh_emih!P16/SER_summary!P$26)</f>
        <v>8.166457022562813E-3</v>
      </c>
      <c r="Q16" s="131">
        <f>IF(SER_hh_emih!Q16=0,0,SER_hh_emih!Q16/SER_summary!Q$26)</f>
        <v>1.4215993311027448E-2</v>
      </c>
      <c r="R16" s="131">
        <f>IF(SER_hh_emih!R16=0,0,SER_hh_emih!R16/SER_summary!R$26)</f>
        <v>1.5858309474340051E-2</v>
      </c>
      <c r="S16" s="131">
        <f>IF(SER_hh_emih!S16=0,0,SER_hh_emih!S16/SER_summary!S$26)</f>
        <v>1.9968335385680155E-2</v>
      </c>
      <c r="T16" s="131">
        <f>IF(SER_hh_emih!T16=0,0,SER_hh_emih!T16/SER_summary!T$26)</f>
        <v>1.6736629175769048E-2</v>
      </c>
      <c r="U16" s="131">
        <f>IF(SER_hh_emih!U16=0,0,SER_hh_emih!U16/SER_summary!U$26)</f>
        <v>1.8250536356323569E-2</v>
      </c>
      <c r="V16" s="131">
        <f>IF(SER_hh_emih!V16=0,0,SER_hh_emih!V16/SER_summary!V$26)</f>
        <v>2.0249458300497351E-2</v>
      </c>
      <c r="W16" s="131">
        <f>IF(SER_hh_emih!W16=0,0,SER_hh_emih!W16/SER_summary!W$26)</f>
        <v>1.7454682370448577E-2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2.763593111077332</v>
      </c>
      <c r="C17" s="133">
        <f>IF(SER_hh_emih!C17=0,0,SER_hh_emih!C17/SER_summary!C$26)</f>
        <v>2.9456020917291696</v>
      </c>
      <c r="D17" s="133">
        <f>IF(SER_hh_emih!D17=0,0,SER_hh_emih!D17/SER_summary!D$26)</f>
        <v>2.5984041192505125</v>
      </c>
      <c r="E17" s="133">
        <f>IF(SER_hh_emih!E17=0,0,SER_hh_emih!E17/SER_summary!E$26)</f>
        <v>3.7579736501994265</v>
      </c>
      <c r="F17" s="133">
        <f>IF(SER_hh_emih!F17=0,0,SER_hh_emih!F17/SER_summary!F$26)</f>
        <v>2.9202220008676032</v>
      </c>
      <c r="G17" s="133">
        <f>IF(SER_hh_emih!G17=0,0,SER_hh_emih!G17/SER_summary!G$26)</f>
        <v>3.1118011217814869</v>
      </c>
      <c r="H17" s="133">
        <f>IF(SER_hh_emih!H17=0,0,SER_hh_emih!H17/SER_summary!H$26)</f>
        <v>3.5010495945739772</v>
      </c>
      <c r="I17" s="133">
        <f>IF(SER_hh_emih!I17=0,0,SER_hh_emih!I17/SER_summary!I$26)</f>
        <v>2.5850605928058403</v>
      </c>
      <c r="J17" s="133">
        <f>IF(SER_hh_emih!J17=0,0,SER_hh_emih!J17/SER_summary!J$26)</f>
        <v>2.7829424388127557</v>
      </c>
      <c r="K17" s="133">
        <f>IF(SER_hh_emih!K17=0,0,SER_hh_emih!K17/SER_summary!K$26)</f>
        <v>3.6054851923223512</v>
      </c>
      <c r="L17" s="133">
        <f>IF(SER_hh_emih!L17=0,0,SER_hh_emih!L17/SER_summary!L$26)</f>
        <v>3.407373917156959</v>
      </c>
      <c r="M17" s="133">
        <f>IF(SER_hh_emih!M17=0,0,SER_hh_emih!M17/SER_summary!M$26)</f>
        <v>3.0550339567806013</v>
      </c>
      <c r="N17" s="133">
        <f>IF(SER_hh_emih!N17=0,0,SER_hh_emih!N17/SER_summary!N$26)</f>
        <v>3.6762123624661811</v>
      </c>
      <c r="O17" s="133">
        <f>IF(SER_hh_emih!O17=0,0,SER_hh_emih!O17/SER_summary!O$26)</f>
        <v>2.9194021374087789</v>
      </c>
      <c r="P17" s="133">
        <f>IF(SER_hh_emih!P17=0,0,SER_hh_emih!P17/SER_summary!P$26)</f>
        <v>2.7116501350140498</v>
      </c>
      <c r="Q17" s="133">
        <f>IF(SER_hh_emih!Q17=0,0,SER_hh_emih!Q17/SER_summary!Q$26)</f>
        <v>4.0252840818673423</v>
      </c>
      <c r="R17" s="133">
        <f>IF(SER_hh_emih!R17=0,0,SER_hh_emih!R17/SER_summary!R$26)</f>
        <v>3.8223717786061973</v>
      </c>
      <c r="S17" s="133">
        <f>IF(SER_hh_emih!S17=0,0,SER_hh_emih!S17/SER_summary!S$26)</f>
        <v>4.4191113761725518</v>
      </c>
      <c r="T17" s="133">
        <f>IF(SER_hh_emih!T17=0,0,SER_hh_emih!T17/SER_summary!T$26)</f>
        <v>3.1158289892656743</v>
      </c>
      <c r="U17" s="133">
        <f>IF(SER_hh_emih!U17=0,0,SER_hh_emih!U17/SER_summary!U$26)</f>
        <v>3.2118569387557945</v>
      </c>
      <c r="V17" s="133">
        <f>IF(SER_hh_emih!V17=0,0,SER_hh_emih!V17/SER_summary!V$26)</f>
        <v>3.2440057155555024</v>
      </c>
      <c r="W17" s="133">
        <f>IF(SER_hh_emih!W17=0,0,SER_hh_emih!W17/SER_summary!W$26)</f>
        <v>3.0343595452170526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0.85596597215836812</v>
      </c>
      <c r="C19" s="131">
        <f>IF(SER_hh_emih!C19=0,0,SER_hh_emih!C19/SER_summary!C$26)</f>
        <v>0.83819038337443841</v>
      </c>
      <c r="D19" s="131">
        <f>IF(SER_hh_emih!D19=0,0,SER_hh_emih!D19/SER_summary!D$26)</f>
        <v>0.7999756426202338</v>
      </c>
      <c r="E19" s="131">
        <f>IF(SER_hh_emih!E19=0,0,SER_hh_emih!E19/SER_summary!E$26)</f>
        <v>0.70635186456375865</v>
      </c>
      <c r="F19" s="131">
        <f>IF(SER_hh_emih!F19=0,0,SER_hh_emih!F19/SER_summary!F$26)</f>
        <v>0.72772762354449838</v>
      </c>
      <c r="G19" s="131">
        <f>IF(SER_hh_emih!G19=0,0,SER_hh_emih!G19/SER_summary!G$26)</f>
        <v>0.72997685341658869</v>
      </c>
      <c r="H19" s="131">
        <f>IF(SER_hh_emih!H19=0,0,SER_hh_emih!H19/SER_summary!H$26)</f>
        <v>0.86037740026828669</v>
      </c>
      <c r="I19" s="131">
        <f>IF(SER_hh_emih!I19=0,0,SER_hh_emih!I19/SER_summary!I$26)</f>
        <v>0.808270311616618</v>
      </c>
      <c r="J19" s="131">
        <f>IF(SER_hh_emih!J19=0,0,SER_hh_emih!J19/SER_summary!J$26)</f>
        <v>0.77532054718254484</v>
      </c>
      <c r="K19" s="131">
        <f>IF(SER_hh_emih!K19=0,0,SER_hh_emih!K19/SER_summary!K$26)</f>
        <v>0.78064777905874871</v>
      </c>
      <c r="L19" s="131">
        <f>IF(SER_hh_emih!L19=0,0,SER_hh_emih!L19/SER_summary!L$26)</f>
        <v>0.77042182770469114</v>
      </c>
      <c r="M19" s="131">
        <f>IF(SER_hh_emih!M19=0,0,SER_hh_emih!M19/SER_summary!M$26)</f>
        <v>0.77283231836663846</v>
      </c>
      <c r="N19" s="131">
        <f>IF(SER_hh_emih!N19=0,0,SER_hh_emih!N19/SER_summary!N$26)</f>
        <v>0.80940968365500476</v>
      </c>
      <c r="O19" s="131">
        <f>IF(SER_hh_emih!O19=0,0,SER_hh_emih!O19/SER_summary!O$26)</f>
        <v>0.85574786309401829</v>
      </c>
      <c r="P19" s="131">
        <f>IF(SER_hh_emih!P19=0,0,SER_hh_emih!P19/SER_summary!P$26)</f>
        <v>0.93797006463785593</v>
      </c>
      <c r="Q19" s="131">
        <f>IF(SER_hh_emih!Q19=0,0,SER_hh_emih!Q19/SER_summary!Q$26)</f>
        <v>0.88292945503985387</v>
      </c>
      <c r="R19" s="131">
        <f>IF(SER_hh_emih!R19=0,0,SER_hh_emih!R19/SER_summary!R$26)</f>
        <v>0.89442766750784064</v>
      </c>
      <c r="S19" s="131">
        <f>IF(SER_hh_emih!S19=0,0,SER_hh_emih!S19/SER_summary!S$26)</f>
        <v>0.88065517736358501</v>
      </c>
      <c r="T19" s="131">
        <f>IF(SER_hh_emih!T19=0,0,SER_hh_emih!T19/SER_summary!T$26)</f>
        <v>0.88406438690020106</v>
      </c>
      <c r="U19" s="131">
        <f>IF(SER_hh_emih!U19=0,0,SER_hh_emih!U19/SER_summary!U$26)</f>
        <v>0.87773952074160821</v>
      </c>
      <c r="V19" s="131">
        <f>IF(SER_hh_emih!V19=0,0,SER_hh_emih!V19/SER_summary!V$26)</f>
        <v>0.82851150849164024</v>
      </c>
      <c r="W19" s="131">
        <f>IF(SER_hh_emih!W19=0,0,SER_hh_emih!W19/SER_summary!W$26)</f>
        <v>0.8938662806734432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1.6670662292423688</v>
      </c>
      <c r="C21" s="133">
        <f>IF(SER_hh_emih!C21=0,0,SER_hh_emih!C21/SER_summary!C$26)</f>
        <v>1.6877214214063465</v>
      </c>
      <c r="D21" s="133">
        <f>IF(SER_hh_emih!D21=0,0,SER_hh_emih!D21/SER_summary!D$26)</f>
        <v>1.7648237931379174</v>
      </c>
      <c r="E21" s="133">
        <f>IF(SER_hh_emih!E21=0,0,SER_hh_emih!E21/SER_summary!E$26)</f>
        <v>1.8396228693818979</v>
      </c>
      <c r="F21" s="133">
        <f>IF(SER_hh_emih!F21=0,0,SER_hh_emih!F21/SER_summary!F$26)</f>
        <v>1.783785787153225</v>
      </c>
      <c r="G21" s="133">
        <f>IF(SER_hh_emih!G21=0,0,SER_hh_emih!G21/SER_summary!G$26)</f>
        <v>1.8242835101509787</v>
      </c>
      <c r="H21" s="133">
        <f>IF(SER_hh_emih!H21=0,0,SER_hh_emih!H21/SER_summary!H$26)</f>
        <v>1.8785543437932819</v>
      </c>
      <c r="I21" s="133">
        <f>IF(SER_hh_emih!I21=0,0,SER_hh_emih!I21/SER_summary!I$26)</f>
        <v>1.8652065389626309</v>
      </c>
      <c r="J21" s="133">
        <f>IF(SER_hh_emih!J21=0,0,SER_hh_emih!J21/SER_summary!J$26)</f>
        <v>1.8541455358529007</v>
      </c>
      <c r="K21" s="133">
        <f>IF(SER_hh_emih!K21=0,0,SER_hh_emih!K21/SER_summary!K$26)</f>
        <v>1.8470798947269524</v>
      </c>
      <c r="L21" s="133">
        <f>IF(SER_hh_emih!L21=0,0,SER_hh_emih!L21/SER_summary!L$26)</f>
        <v>1.8531017402457681</v>
      </c>
      <c r="M21" s="133">
        <f>IF(SER_hh_emih!M21=0,0,SER_hh_emih!M21/SER_summary!M$26)</f>
        <v>1.8379796816659768</v>
      </c>
      <c r="N21" s="133">
        <f>IF(SER_hh_emih!N21=0,0,SER_hh_emih!N21/SER_summary!N$26)</f>
        <v>1.808462856613499</v>
      </c>
      <c r="O21" s="133">
        <f>IF(SER_hh_emih!O21=0,0,SER_hh_emih!O21/SER_summary!O$26)</f>
        <v>1.7837494614928304</v>
      </c>
      <c r="P21" s="133">
        <f>IF(SER_hh_emih!P21=0,0,SER_hh_emih!P21/SER_summary!P$26)</f>
        <v>1.703464833729939</v>
      </c>
      <c r="Q21" s="133">
        <f>IF(SER_hh_emih!Q21=0,0,SER_hh_emih!Q21/SER_summary!Q$26)</f>
        <v>1.6417984997307826</v>
      </c>
      <c r="R21" s="133">
        <f>IF(SER_hh_emih!R21=0,0,SER_hh_emih!R21/SER_summary!R$26)</f>
        <v>1.6017908155260747</v>
      </c>
      <c r="S21" s="133">
        <f>IF(SER_hh_emih!S21=0,0,SER_hh_emih!S21/SER_summary!S$26)</f>
        <v>1.5666427573092279</v>
      </c>
      <c r="T21" s="133">
        <f>IF(SER_hh_emih!T21=0,0,SER_hh_emih!T21/SER_summary!T$26)</f>
        <v>1.6995983964662575</v>
      </c>
      <c r="U21" s="133">
        <f>IF(SER_hh_emih!U21=0,0,SER_hh_emih!U21/SER_summary!U$26)</f>
        <v>1.5816654090730045</v>
      </c>
      <c r="V21" s="133">
        <f>IF(SER_hh_emih!V21=0,0,SER_hh_emih!V21/SER_summary!V$26)</f>
        <v>1.2663060105634218</v>
      </c>
      <c r="W21" s="133">
        <f>IF(SER_hh_emih!W21=0,0,SER_hh_emih!W21/SER_summary!W$26)</f>
        <v>1.5562440132673199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2.0526480850358118</v>
      </c>
      <c r="C22" s="133">
        <f>IF(SER_hh_emih!C22=0,0,SER_hh_emih!C22/SER_summary!C$26)</f>
        <v>2.1455724693380218</v>
      </c>
      <c r="D22" s="133">
        <f>IF(SER_hh_emih!D22=0,0,SER_hh_emih!D22/SER_summary!D$26)</f>
        <v>2.2078459164193962</v>
      </c>
      <c r="E22" s="133">
        <f>IF(SER_hh_emih!E22=0,0,SER_hh_emih!E22/SER_summary!E$26)</f>
        <v>2.2382430788965437</v>
      </c>
      <c r="F22" s="133">
        <f>IF(SER_hh_emih!F22=0,0,SER_hh_emih!F22/SER_summary!F$26)</f>
        <v>2.3120448227781294</v>
      </c>
      <c r="G22" s="133">
        <f>IF(SER_hh_emih!G22=0,0,SER_hh_emih!G22/SER_summary!G$26)</f>
        <v>2.3499544088107931</v>
      </c>
      <c r="H22" s="133">
        <f>IF(SER_hh_emih!H22=0,0,SER_hh_emih!H22/SER_summary!H$26)</f>
        <v>2.3659550597594738</v>
      </c>
      <c r="I22" s="133">
        <f>IF(SER_hh_emih!I22=0,0,SER_hh_emih!I22/SER_summary!I$26)</f>
        <v>2.2962936023669314</v>
      </c>
      <c r="J22" s="133">
        <f>IF(SER_hh_emih!J22=0,0,SER_hh_emih!J22/SER_summary!J$26)</f>
        <v>2.2966580613760086</v>
      </c>
      <c r="K22" s="133">
        <f>IF(SER_hh_emih!K22=0,0,SER_hh_emih!K22/SER_summary!K$26)</f>
        <v>2.2962024235217902</v>
      </c>
      <c r="L22" s="133">
        <f>IF(SER_hh_emih!L22=0,0,SER_hh_emih!L22/SER_summary!L$26)</f>
        <v>2.2846980050121668</v>
      </c>
      <c r="M22" s="133">
        <f>IF(SER_hh_emih!M22=0,0,SER_hh_emih!M22/SER_summary!M$26)</f>
        <v>2.2641729769491454</v>
      </c>
      <c r="N22" s="133">
        <f>IF(SER_hh_emih!N22=0,0,SER_hh_emih!N22/SER_summary!N$26)</f>
        <v>2.2323690590893035</v>
      </c>
      <c r="O22" s="133">
        <f>IF(SER_hh_emih!O22=0,0,SER_hh_emih!O22/SER_summary!O$26)</f>
        <v>2.1674529073079536</v>
      </c>
      <c r="P22" s="133">
        <f>IF(SER_hh_emih!P22=0,0,SER_hh_emih!P22/SER_summary!P$26)</f>
        <v>2.0417739347905277</v>
      </c>
      <c r="Q22" s="133">
        <f>IF(SER_hh_emih!Q22=0,0,SER_hh_emih!Q22/SER_summary!Q$26)</f>
        <v>1.9887426622714326</v>
      </c>
      <c r="R22" s="133">
        <f>IF(SER_hh_emih!R22=0,0,SER_hh_emih!R22/SER_summary!R$26)</f>
        <v>1.9246071769081521</v>
      </c>
      <c r="S22" s="133">
        <f>IF(SER_hh_emih!S22=0,0,SER_hh_emih!S22/SER_summary!S$26)</f>
        <v>1.8193396958588088</v>
      </c>
      <c r="T22" s="133">
        <f>IF(SER_hh_emih!T22=0,0,SER_hh_emih!T22/SER_summary!T$26)</f>
        <v>1.8006772882808764</v>
      </c>
      <c r="U22" s="133">
        <f>IF(SER_hh_emih!U22=0,0,SER_hh_emih!U22/SER_summary!U$26)</f>
        <v>1.7301980891772621</v>
      </c>
      <c r="V22" s="133">
        <f>IF(SER_hh_emih!V22=0,0,SER_hh_emih!V22/SER_summary!V$26)</f>
        <v>1.6103944604595732</v>
      </c>
      <c r="W22" s="133">
        <f>IF(SER_hh_emih!W22=0,0,SER_hh_emih!W22/SER_summary!W$26)</f>
        <v>1.6717689276598813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1.5321639642482463</v>
      </c>
      <c r="C23" s="133">
        <f>IF(SER_hh_emih!C23=0,0,SER_hh_emih!C23/SER_summary!C$26)</f>
        <v>1.5686421933726724</v>
      </c>
      <c r="D23" s="133">
        <f>IF(SER_hh_emih!D23=0,0,SER_hh_emih!D23/SER_summary!D$26)</f>
        <v>1.6858848276721616</v>
      </c>
      <c r="E23" s="133">
        <f>IF(SER_hh_emih!E23=0,0,SER_hh_emih!E23/SER_summary!E$26)</f>
        <v>0.83013758112593905</v>
      </c>
      <c r="F23" s="133">
        <f>IF(SER_hh_emih!F23=0,0,SER_hh_emih!F23/SER_summary!F$26)</f>
        <v>1.289307785810117</v>
      </c>
      <c r="G23" s="133">
        <f>IF(SER_hh_emih!G23=0,0,SER_hh_emih!G23/SER_summary!G$26)</f>
        <v>1.1450071702062454</v>
      </c>
      <c r="H23" s="133">
        <f>IF(SER_hh_emih!H23=0,0,SER_hh_emih!H23/SER_summary!H$26)</f>
        <v>1.8850570392207484</v>
      </c>
      <c r="I23" s="133">
        <f>IF(SER_hh_emih!I23=0,0,SER_hh_emih!I23/SER_summary!I$26)</f>
        <v>1.6254644856166436</v>
      </c>
      <c r="J23" s="133">
        <f>IF(SER_hh_emih!J23=0,0,SER_hh_emih!J23/SER_summary!J$26)</f>
        <v>1.5262032237941983</v>
      </c>
      <c r="K23" s="133">
        <f>IF(SER_hh_emih!K23=0,0,SER_hh_emih!K23/SER_summary!K$26)</f>
        <v>1.5493241891097704</v>
      </c>
      <c r="L23" s="133">
        <f>IF(SER_hh_emih!L23=0,0,SER_hh_emih!L23/SER_summary!L$26)</f>
        <v>1.5190425226611708</v>
      </c>
      <c r="M23" s="133">
        <f>IF(SER_hh_emih!M23=0,0,SER_hh_emih!M23/SER_summary!M$26)</f>
        <v>1.4393386977640248</v>
      </c>
      <c r="N23" s="133">
        <f>IF(SER_hh_emih!N23=0,0,SER_hh_emih!N23/SER_summary!N$26)</f>
        <v>1.4224601406962243</v>
      </c>
      <c r="O23" s="133">
        <f>IF(SER_hh_emih!O23=0,0,SER_hh_emih!O23/SER_summary!O$26)</f>
        <v>1.4180945338622593</v>
      </c>
      <c r="P23" s="133">
        <f>IF(SER_hh_emih!P23=0,0,SER_hh_emih!P23/SER_summary!P$26)</f>
        <v>1.5740367962650559</v>
      </c>
      <c r="Q23" s="133">
        <f>IF(SER_hh_emih!Q23=0,0,SER_hh_emih!Q23/SER_summary!Q$26)</f>
        <v>1.2670181439207988</v>
      </c>
      <c r="R23" s="133">
        <f>IF(SER_hh_emih!R23=0,0,SER_hh_emih!R23/SER_summary!R$26)</f>
        <v>1.2382619179554497</v>
      </c>
      <c r="S23" s="133">
        <f>IF(SER_hh_emih!S23=0,0,SER_hh_emih!S23/SER_summary!S$26)</f>
        <v>1.2269709070797825</v>
      </c>
      <c r="T23" s="133">
        <f>IF(SER_hh_emih!T23=0,0,SER_hh_emih!T23/SER_summary!T$26)</f>
        <v>1.2130044529144492</v>
      </c>
      <c r="U23" s="133">
        <f>IF(SER_hh_emih!U23=0,0,SER_hh_emih!U23/SER_summary!U$26)</f>
        <v>1.2011958533315981</v>
      </c>
      <c r="V23" s="133">
        <f>IF(SER_hh_emih!V23=0,0,SER_hh_emih!V23/SER_summary!V$26)</f>
        <v>1.0638296729275014</v>
      </c>
      <c r="W23" s="133">
        <f>IF(SER_hh_emih!W23=0,0,SER_hh_emih!W23/SER_summary!W$26)</f>
        <v>1.1370619016514292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0.53432860282476868</v>
      </c>
      <c r="C29" s="131">
        <f>IF(SER_hh_emih!C29=0,0,SER_hh_emih!C29/SER_summary!C$26)</f>
        <v>0.60133964114926264</v>
      </c>
      <c r="D29" s="131">
        <f>IF(SER_hh_emih!D29=0,0,SER_hh_emih!D29/SER_summary!D$26)</f>
        <v>0.55024475202905365</v>
      </c>
      <c r="E29" s="131">
        <f>IF(SER_hh_emih!E29=0,0,SER_hh_emih!E29/SER_summary!E$26)</f>
        <v>0.49692043209238007</v>
      </c>
      <c r="F29" s="131">
        <f>IF(SER_hh_emih!F29=0,0,SER_hh_emih!F29/SER_summary!F$26)</f>
        <v>0.62082383548821463</v>
      </c>
      <c r="G29" s="131">
        <f>IF(SER_hh_emih!G29=0,0,SER_hh_emih!G29/SER_summary!G$26)</f>
        <v>0.61319524231797429</v>
      </c>
      <c r="H29" s="131">
        <f>IF(SER_hh_emih!H29=0,0,SER_hh_emih!H29/SER_summary!H$26)</f>
        <v>0.62174845585727823</v>
      </c>
      <c r="I29" s="131">
        <f>IF(SER_hh_emih!I29=0,0,SER_hh_emih!I29/SER_summary!I$26)</f>
        <v>0.61814194192014305</v>
      </c>
      <c r="J29" s="131">
        <f>IF(SER_hh_emih!J29=0,0,SER_hh_emih!J29/SER_summary!J$26)</f>
        <v>0.63988068306884083</v>
      </c>
      <c r="K29" s="131">
        <f>IF(SER_hh_emih!K29=0,0,SER_hh_emih!K29/SER_summary!K$26)</f>
        <v>0.62800853963081915</v>
      </c>
      <c r="L29" s="131">
        <f>IF(SER_hh_emih!L29=0,0,SER_hh_emih!L29/SER_summary!L$26)</f>
        <v>0.64367117036133659</v>
      </c>
      <c r="M29" s="131">
        <f>IF(SER_hh_emih!M29=0,0,SER_hh_emih!M29/SER_summary!M$26)</f>
        <v>0.64662705040037516</v>
      </c>
      <c r="N29" s="131">
        <f>IF(SER_hh_emih!N29=0,0,SER_hh_emih!N29/SER_summary!N$26)</f>
        <v>0.67140675311880149</v>
      </c>
      <c r="O29" s="131">
        <f>IF(SER_hh_emih!O29=0,0,SER_hh_emih!O29/SER_summary!O$26)</f>
        <v>0.74515179316144742</v>
      </c>
      <c r="P29" s="131">
        <f>IF(SER_hh_emih!P29=0,0,SER_hh_emih!P29/SER_summary!P$26)</f>
        <v>1.1384872381369773</v>
      </c>
      <c r="Q29" s="131">
        <f>IF(SER_hh_emih!Q29=0,0,SER_hh_emih!Q29/SER_summary!Q$26)</f>
        <v>1.2804222073752356</v>
      </c>
      <c r="R29" s="131">
        <f>IF(SER_hh_emih!R29=0,0,SER_hh_emih!R29/SER_summary!R$26)</f>
        <v>1.3393797323843943</v>
      </c>
      <c r="S29" s="131">
        <f>IF(SER_hh_emih!S29=0,0,SER_hh_emih!S29/SER_summary!S$26)</f>
        <v>1.2970154424535061</v>
      </c>
      <c r="T29" s="131">
        <f>IF(SER_hh_emih!T29=0,0,SER_hh_emih!T29/SER_summary!T$26)</f>
        <v>1.1668574760993673</v>
      </c>
      <c r="U29" s="131">
        <f>IF(SER_hh_emih!U29=0,0,SER_hh_emih!U29/SER_summary!U$26)</f>
        <v>1.1559395020478946</v>
      </c>
      <c r="V29" s="131">
        <f>IF(SER_hh_emih!V29=0,0,SER_hh_emih!V29/SER_summary!V$26)</f>
        <v>1.1469276554404577</v>
      </c>
      <c r="W29" s="131">
        <f>IF(SER_hh_emih!W29=0,0,SER_hh_emih!W29/SER_summary!W$26)</f>
        <v>1.1263611099545698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1.8938908884043197</v>
      </c>
      <c r="C30" s="133">
        <f>IF(SER_hh_emih!C30=0,0,SER_hh_emih!C30/SER_summary!C$26)</f>
        <v>2.0056319489133339</v>
      </c>
      <c r="D30" s="133">
        <f>IF(SER_hh_emih!D30=0,0,SER_hh_emih!D30/SER_summary!D$26)</f>
        <v>1.9413433031535707</v>
      </c>
      <c r="E30" s="133">
        <f>IF(SER_hh_emih!E30=0,0,SER_hh_emih!E30/SER_summary!E$26)</f>
        <v>1.8869559940202054</v>
      </c>
      <c r="F30" s="133">
        <f>IF(SER_hh_emih!F30=0,0,SER_hh_emih!F30/SER_summary!F$26)</f>
        <v>2.044761746262246</v>
      </c>
      <c r="G30" s="133">
        <f>IF(SER_hh_emih!G30=0,0,SER_hh_emih!G30/SER_summary!G$26)</f>
        <v>1.994269107330306</v>
      </c>
      <c r="H30" s="133">
        <f>IF(SER_hh_emih!H30=0,0,SER_hh_emih!H30/SER_summary!H$26)</f>
        <v>1.9402131310676116</v>
      </c>
      <c r="I30" s="133">
        <f>IF(SER_hh_emih!I30=0,0,SER_hh_emih!I30/SER_summary!I$26)</f>
        <v>2.0913155663429337</v>
      </c>
      <c r="J30" s="133">
        <f>IF(SER_hh_emih!J30=0,0,SER_hh_emih!J30/SER_summary!J$26)</f>
        <v>2.2514359206027605</v>
      </c>
      <c r="K30" s="133">
        <f>IF(SER_hh_emih!K30=0,0,SER_hh_emih!K30/SER_summary!K$26)</f>
        <v>2.1149560591668752</v>
      </c>
      <c r="L30" s="133">
        <f>IF(SER_hh_emih!L30=0,0,SER_hh_emih!L30/SER_summary!L$26)</f>
        <v>2.2060989198254735</v>
      </c>
      <c r="M30" s="133">
        <f>IF(SER_hh_emih!M30=0,0,SER_hh_emih!M30/SER_summary!M$26)</f>
        <v>2.1817691519661717</v>
      </c>
      <c r="N30" s="133">
        <f>IF(SER_hh_emih!N30=0,0,SER_hh_emih!N30/SER_summary!N$26)</f>
        <v>2.2179009407317083</v>
      </c>
      <c r="O30" s="133">
        <f>IF(SER_hh_emih!O30=0,0,SER_hh_emih!O30/SER_summary!O$26)</f>
        <v>2.2193968209658697</v>
      </c>
      <c r="P30" s="133">
        <f>IF(SER_hh_emih!P30=0,0,SER_hh_emih!P30/SER_summary!P$26)</f>
        <v>1.5320306104357857</v>
      </c>
      <c r="Q30" s="133">
        <f>IF(SER_hh_emih!Q30=0,0,SER_hh_emih!Q30/SER_summary!Q$26)</f>
        <v>2.1060504421539097</v>
      </c>
      <c r="R30" s="133">
        <f>IF(SER_hh_emih!R30=0,0,SER_hh_emih!R30/SER_summary!R$26)</f>
        <v>2.6212762489095613</v>
      </c>
      <c r="S30" s="133">
        <f>IF(SER_hh_emih!S30=0,0,SER_hh_emih!S30/SER_summary!S$26)</f>
        <v>2.0396076858634822</v>
      </c>
      <c r="T30" s="133">
        <f>IF(SER_hh_emih!T30=0,0,SER_hh_emih!T30/SER_summary!T$26)</f>
        <v>2.4041875077789676</v>
      </c>
      <c r="U30" s="133">
        <f>IF(SER_hh_emih!U30=0,0,SER_hh_emih!U30/SER_summary!U$26)</f>
        <v>2.3193318542350276</v>
      </c>
      <c r="V30" s="133">
        <f>IF(SER_hh_emih!V30=0,0,SER_hh_emih!V30/SER_summary!V$26)</f>
        <v>1.7444323222648173</v>
      </c>
      <c r="W30" s="133">
        <f>IF(SER_hh_emih!W30=0,0,SER_hh_emih!W30/SER_summary!W$26)</f>
        <v>2.2301639827353905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1.566239866564757</v>
      </c>
      <c r="C31" s="133">
        <f>IF(SER_hh_emih!C31=0,0,SER_hh_emih!C31/SER_summary!C$26)</f>
        <v>1.8386837101592632</v>
      </c>
      <c r="D31" s="133">
        <f>IF(SER_hh_emih!D31=0,0,SER_hh_emih!D31/SER_summary!D$26)</f>
        <v>1.5869951609376267</v>
      </c>
      <c r="E31" s="133">
        <f>IF(SER_hh_emih!E31=0,0,SER_hh_emih!E31/SER_summary!E$26)</f>
        <v>1.2767798600945151</v>
      </c>
      <c r="F31" s="133">
        <f>IF(SER_hh_emih!F31=0,0,SER_hh_emih!F31/SER_summary!F$26)</f>
        <v>1.7541748101341577</v>
      </c>
      <c r="G31" s="133">
        <f>IF(SER_hh_emih!G31=0,0,SER_hh_emih!G31/SER_summary!G$26)</f>
        <v>1.7381848655499148</v>
      </c>
      <c r="H31" s="133">
        <f>IF(SER_hh_emih!H31=0,0,SER_hh_emih!H31/SER_summary!H$26)</f>
        <v>1.8413973848934519</v>
      </c>
      <c r="I31" s="133">
        <f>IF(SER_hh_emih!I31=0,0,SER_hh_emih!I31/SER_summary!I$26)</f>
        <v>1.8075591780538376</v>
      </c>
      <c r="J31" s="133">
        <f>IF(SER_hh_emih!J31=0,0,SER_hh_emih!J31/SER_summary!J$26)</f>
        <v>1.8780433104037131</v>
      </c>
      <c r="K31" s="133">
        <f>IF(SER_hh_emih!K31=0,0,SER_hh_emih!K31/SER_summary!K$26)</f>
        <v>1.8720549559097397</v>
      </c>
      <c r="L31" s="133">
        <f>IF(SER_hh_emih!L31=0,0,SER_hh_emih!L31/SER_summary!L$26)</f>
        <v>1.9111008995717902</v>
      </c>
      <c r="M31" s="133">
        <f>IF(SER_hh_emih!M31=0,0,SER_hh_emih!M31/SER_summary!M$26)</f>
        <v>1.8651344478724354</v>
      </c>
      <c r="N31" s="133">
        <f>IF(SER_hh_emih!N31=0,0,SER_hh_emih!N31/SER_summary!N$26)</f>
        <v>1.7016889734269629</v>
      </c>
      <c r="O31" s="133">
        <f>IF(SER_hh_emih!O31=0,0,SER_hh_emih!O31/SER_summary!O$26)</f>
        <v>1.5607132382279394</v>
      </c>
      <c r="P31" s="133">
        <f>IF(SER_hh_emih!P31=0,0,SER_hh_emih!P31/SER_summary!P$26)</f>
        <v>2.0886306927521749</v>
      </c>
      <c r="Q31" s="133">
        <f>IF(SER_hh_emih!Q31=0,0,SER_hh_emih!Q31/SER_summary!Q$26)</f>
        <v>1.9894231014554344</v>
      </c>
      <c r="R31" s="133">
        <f>IF(SER_hh_emih!R31=0,0,SER_hh_emih!R31/SER_summary!R$26)</f>
        <v>1.928704864735981</v>
      </c>
      <c r="S31" s="133">
        <f>IF(SER_hh_emih!S31=0,0,SER_hh_emih!S31/SER_summary!S$26)</f>
        <v>1.9338849356106556</v>
      </c>
      <c r="T31" s="133">
        <f>IF(SER_hh_emih!T31=0,0,SER_hh_emih!T31/SER_summary!T$26)</f>
        <v>1.749932940057185</v>
      </c>
      <c r="U31" s="133">
        <f>IF(SER_hh_emih!U31=0,0,SER_hh_emih!U31/SER_summary!U$26)</f>
        <v>1.8142630642239073</v>
      </c>
      <c r="V31" s="133">
        <f>IF(SER_hh_emih!V31=0,0,SER_hh_emih!V31/SER_summary!V$26)</f>
        <v>1.8586628348790304</v>
      </c>
      <c r="W31" s="133">
        <f>IF(SER_hh_emih!W31=0,0,SER_hh_emih!W31/SER_summary!W$26)</f>
        <v>1.794706925413122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60848.151193081037</v>
      </c>
      <c r="D3" s="125">
        <f t="shared" si="0"/>
        <v>61362.103507895765</v>
      </c>
      <c r="E3" s="125">
        <f t="shared" si="0"/>
        <v>73032.289826104839</v>
      </c>
      <c r="F3" s="125">
        <f t="shared" si="0"/>
        <v>74022.39282535472</v>
      </c>
      <c r="G3" s="125">
        <f t="shared" si="0"/>
        <v>78479.463159009349</v>
      </c>
      <c r="H3" s="125">
        <f t="shared" si="0"/>
        <v>82036.167771557841</v>
      </c>
      <c r="I3" s="125">
        <f t="shared" si="0"/>
        <v>79074.948088052537</v>
      </c>
      <c r="J3" s="125">
        <f t="shared" si="0"/>
        <v>68084.374728674811</v>
      </c>
      <c r="K3" s="125">
        <f t="shared" si="0"/>
        <v>9017.1534485589054</v>
      </c>
      <c r="L3" s="125">
        <f t="shared" si="0"/>
        <v>43815.979955540883</v>
      </c>
      <c r="M3" s="125">
        <f t="shared" si="0"/>
        <v>17419.827129729896</v>
      </c>
      <c r="N3" s="125">
        <f t="shared" si="0"/>
        <v>31986.038070070186</v>
      </c>
      <c r="O3" s="125">
        <f t="shared" si="0"/>
        <v>9230.2595466576277</v>
      </c>
      <c r="P3" s="125">
        <f t="shared" si="0"/>
        <v>22288.816589834933</v>
      </c>
      <c r="Q3" s="125">
        <f t="shared" si="0"/>
        <v>32790.427051820268</v>
      </c>
      <c r="R3" s="125">
        <f t="shared" si="0"/>
        <v>37524.092788492824</v>
      </c>
      <c r="S3" s="125">
        <f t="shared" si="0"/>
        <v>37073.0538956686</v>
      </c>
      <c r="T3" s="125">
        <f t="shared" si="0"/>
        <v>37343.410204876149</v>
      </c>
      <c r="U3" s="125">
        <f t="shared" si="0"/>
        <v>34688.435566741835</v>
      </c>
      <c r="V3" s="125">
        <f t="shared" si="0"/>
        <v>32670.487934773242</v>
      </c>
      <c r="W3" s="125">
        <f t="shared" si="0"/>
        <v>31873.546513725392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60848.151193081037</v>
      </c>
      <c r="D4" s="140">
        <f t="shared" si="1"/>
        <v>61362.103507895765</v>
      </c>
      <c r="E4" s="140">
        <f t="shared" si="1"/>
        <v>73032.289826104839</v>
      </c>
      <c r="F4" s="140">
        <f t="shared" si="1"/>
        <v>74022.39282535472</v>
      </c>
      <c r="G4" s="140">
        <f t="shared" si="1"/>
        <v>78479.463159009349</v>
      </c>
      <c r="H4" s="140">
        <f t="shared" si="1"/>
        <v>82036.167771557841</v>
      </c>
      <c r="I4" s="140">
        <f t="shared" si="1"/>
        <v>79074.948088052537</v>
      </c>
      <c r="J4" s="140">
        <f t="shared" si="1"/>
        <v>68084.374728674811</v>
      </c>
      <c r="K4" s="140">
        <f t="shared" si="1"/>
        <v>9017.1534485589054</v>
      </c>
      <c r="L4" s="140">
        <f t="shared" si="1"/>
        <v>43815.979955540883</v>
      </c>
      <c r="M4" s="140">
        <f t="shared" si="1"/>
        <v>17419.827129729896</v>
      </c>
      <c r="N4" s="140">
        <f t="shared" si="1"/>
        <v>31986.038070070186</v>
      </c>
      <c r="O4" s="140">
        <f t="shared" si="1"/>
        <v>9230.2595466576277</v>
      </c>
      <c r="P4" s="140">
        <f t="shared" si="1"/>
        <v>22288.816589834933</v>
      </c>
      <c r="Q4" s="140">
        <f t="shared" si="1"/>
        <v>32790.427051820268</v>
      </c>
      <c r="R4" s="140">
        <f t="shared" ref="R4:W4" si="2">SUM(R5:R14)</f>
        <v>37524.092788492824</v>
      </c>
      <c r="S4" s="140">
        <f t="shared" si="2"/>
        <v>37073.0538956686</v>
      </c>
      <c r="T4" s="140">
        <f t="shared" si="2"/>
        <v>37343.410204876149</v>
      </c>
      <c r="U4" s="140">
        <f t="shared" si="2"/>
        <v>34688.435566741835</v>
      </c>
      <c r="V4" s="140">
        <f t="shared" si="2"/>
        <v>32670.487934773242</v>
      </c>
      <c r="W4" s="140">
        <f t="shared" si="2"/>
        <v>31873.546513725392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58515.04595248658</v>
      </c>
      <c r="D7" s="141">
        <v>58928.628595722832</v>
      </c>
      <c r="E7" s="141">
        <v>70243.494174402134</v>
      </c>
      <c r="F7" s="141">
        <v>33080.601111564734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10917.602770574784</v>
      </c>
      <c r="M7" s="141">
        <v>10608.545042418569</v>
      </c>
      <c r="N7" s="141">
        <v>17505.792991237533</v>
      </c>
      <c r="O7" s="141">
        <v>5322.428057643071</v>
      </c>
      <c r="P7" s="141">
        <v>1223.5074013503934</v>
      </c>
      <c r="Q7" s="141">
        <v>1638.5649488431852</v>
      </c>
      <c r="R7" s="141">
        <v>8357.3243130996088</v>
      </c>
      <c r="S7" s="141">
        <v>12947.039965335483</v>
      </c>
      <c r="T7" s="141">
        <v>11225.720460813498</v>
      </c>
      <c r="U7" s="141">
        <v>1597.3566780775473</v>
      </c>
      <c r="V7" s="141">
        <v>0</v>
      </c>
      <c r="W7" s="141">
        <v>228.03301376322298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4.5552846035734014</v>
      </c>
      <c r="D8" s="141">
        <v>6.3864346853603724</v>
      </c>
      <c r="E8" s="141">
        <v>14.668441064236292</v>
      </c>
      <c r="F8" s="141">
        <v>35.912367019583378</v>
      </c>
      <c r="G8" s="141">
        <v>40.411172612359856</v>
      </c>
      <c r="H8" s="141">
        <v>25.03816991931906</v>
      </c>
      <c r="I8" s="141">
        <v>61.438367339284028</v>
      </c>
      <c r="J8" s="141">
        <v>37.785677994066162</v>
      </c>
      <c r="K8" s="141">
        <v>9.9074311688025301</v>
      </c>
      <c r="L8" s="141">
        <v>106.87405666224515</v>
      </c>
      <c r="M8" s="141">
        <v>83.032192977866643</v>
      </c>
      <c r="N8" s="141">
        <v>399.11491475776995</v>
      </c>
      <c r="O8" s="141">
        <v>178.41145336715428</v>
      </c>
      <c r="P8" s="141">
        <v>1023.6671265285667</v>
      </c>
      <c r="Q8" s="141">
        <v>1330.5147818578396</v>
      </c>
      <c r="R8" s="141">
        <v>1280.0618893755691</v>
      </c>
      <c r="S8" s="141">
        <v>831.28430742745149</v>
      </c>
      <c r="T8" s="141">
        <v>810.20282089039006</v>
      </c>
      <c r="U8" s="141">
        <v>875.9706634321451</v>
      </c>
      <c r="V8" s="141">
        <v>951.49205055580114</v>
      </c>
      <c r="W8" s="141">
        <v>459.76494577220285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346.99730028376842</v>
      </c>
      <c r="D9" s="141">
        <v>0</v>
      </c>
      <c r="E9" s="141">
        <v>0</v>
      </c>
      <c r="F9" s="141">
        <v>20259.804521359423</v>
      </c>
      <c r="G9" s="141">
        <v>61303.001128343414</v>
      </c>
      <c r="H9" s="141">
        <v>55117.993687903043</v>
      </c>
      <c r="I9" s="141">
        <v>35736.990424660005</v>
      </c>
      <c r="J9" s="141">
        <v>28951.838003153669</v>
      </c>
      <c r="K9" s="141">
        <v>6058.4009008199564</v>
      </c>
      <c r="L9" s="141">
        <v>29033.004407036842</v>
      </c>
      <c r="M9" s="141">
        <v>4405.5026915964118</v>
      </c>
      <c r="N9" s="141">
        <v>4441.5103428607181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5873.8750040883006</v>
      </c>
      <c r="U9" s="141">
        <v>13201.66216743489</v>
      </c>
      <c r="V9" s="141">
        <v>12152.996127632485</v>
      </c>
      <c r="W9" s="141">
        <v>19746.847571143971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1415.4006487976676</v>
      </c>
      <c r="D10" s="141">
        <v>1585.1286785407017</v>
      </c>
      <c r="E10" s="141">
        <v>1277.5858076312379</v>
      </c>
      <c r="F10" s="141">
        <v>1594.3151498805701</v>
      </c>
      <c r="G10" s="141">
        <v>430.6362176031688</v>
      </c>
      <c r="H10" s="141">
        <v>647.09310237447426</v>
      </c>
      <c r="I10" s="141">
        <v>3012.1280904443806</v>
      </c>
      <c r="J10" s="141">
        <v>1077.7213498819415</v>
      </c>
      <c r="K10" s="141">
        <v>13.456603440853394</v>
      </c>
      <c r="L10" s="141">
        <v>0</v>
      </c>
      <c r="M10" s="141">
        <v>350.5699081849927</v>
      </c>
      <c r="N10" s="141">
        <v>1707.5965356337435</v>
      </c>
      <c r="O10" s="141">
        <v>555.0801205998705</v>
      </c>
      <c r="P10" s="141">
        <v>2556.5055261474326</v>
      </c>
      <c r="Q10" s="141">
        <v>2863.5346317243798</v>
      </c>
      <c r="R10" s="141">
        <v>1746.0266487983672</v>
      </c>
      <c r="S10" s="141">
        <v>534.47402624276913</v>
      </c>
      <c r="T10" s="141">
        <v>0</v>
      </c>
      <c r="U10" s="141">
        <v>0</v>
      </c>
      <c r="V10" s="141">
        <v>20.910106370410173</v>
      </c>
      <c r="W10" s="141">
        <v>363.16665029666171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0.10299130569269488</v>
      </c>
      <c r="N11" s="141">
        <v>2.2120420196395592</v>
      </c>
      <c r="O11" s="141">
        <v>3.6368866441575372</v>
      </c>
      <c r="P11" s="141">
        <v>3.5487117078986072</v>
      </c>
      <c r="Q11" s="141">
        <v>1.2204437282542067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566.15200690945142</v>
      </c>
      <c r="D13" s="141">
        <v>841.95979894687355</v>
      </c>
      <c r="E13" s="141">
        <v>1496.5414030072295</v>
      </c>
      <c r="F13" s="141">
        <v>1522.428546792527</v>
      </c>
      <c r="G13" s="141">
        <v>1961.78465163855</v>
      </c>
      <c r="H13" s="141">
        <v>1583.5846738315583</v>
      </c>
      <c r="I13" s="141">
        <v>6699.9180499570675</v>
      </c>
      <c r="J13" s="141">
        <v>6580.2934305817644</v>
      </c>
      <c r="K13" s="141">
        <v>970.99173865450871</v>
      </c>
      <c r="L13" s="141">
        <v>3758.4987212670067</v>
      </c>
      <c r="M13" s="141">
        <v>1972.0743032463618</v>
      </c>
      <c r="N13" s="141">
        <v>7929.8112435607818</v>
      </c>
      <c r="O13" s="141">
        <v>3170.7030284033749</v>
      </c>
      <c r="P13" s="141">
        <v>17481.587824100643</v>
      </c>
      <c r="Q13" s="141">
        <v>26956.592245666609</v>
      </c>
      <c r="R13" s="141">
        <v>26140.67993721928</v>
      </c>
      <c r="S13" s="141">
        <v>19554.941441547475</v>
      </c>
      <c r="T13" s="141">
        <v>17624.223709244052</v>
      </c>
      <c r="U13" s="141">
        <v>18503.282423619901</v>
      </c>
      <c r="V13" s="141">
        <v>19545.089650214548</v>
      </c>
      <c r="W13" s="141">
        <v>10477.87845957902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17529.331128737882</v>
      </c>
      <c r="G14" s="142">
        <v>14743.629988811861</v>
      </c>
      <c r="H14" s="142">
        <v>24662.458137529455</v>
      </c>
      <c r="I14" s="142">
        <v>33564.473155651795</v>
      </c>
      <c r="J14" s="142">
        <v>31436.736267063374</v>
      </c>
      <c r="K14" s="142">
        <v>1964.3967744747849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0</v>
      </c>
      <c r="S14" s="142">
        <v>3205.3141551154208</v>
      </c>
      <c r="T14" s="142">
        <v>1809.388209839912</v>
      </c>
      <c r="U14" s="142">
        <v>510.16363417734476</v>
      </c>
      <c r="V14" s="142">
        <v>0</v>
      </c>
      <c r="W14" s="142">
        <v>597.8558731703115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60281.999186171583</v>
      </c>
      <c r="D15" s="144">
        <f t="shared" si="3"/>
        <v>60520.14370894889</v>
      </c>
      <c r="E15" s="144">
        <f t="shared" si="3"/>
        <v>71535.748423097612</v>
      </c>
      <c r="F15" s="144">
        <f t="shared" si="3"/>
        <v>54970.633149824309</v>
      </c>
      <c r="G15" s="144">
        <f t="shared" si="3"/>
        <v>61774.048518558942</v>
      </c>
      <c r="H15" s="144">
        <f t="shared" si="3"/>
        <v>55790.12496019683</v>
      </c>
      <c r="I15" s="144">
        <f t="shared" si="3"/>
        <v>38810.55688244367</v>
      </c>
      <c r="J15" s="144">
        <f t="shared" si="3"/>
        <v>30067.345031029676</v>
      </c>
      <c r="K15" s="144">
        <f t="shared" si="3"/>
        <v>6081.7649354296127</v>
      </c>
      <c r="L15" s="144">
        <f t="shared" si="3"/>
        <v>40057.481234273873</v>
      </c>
      <c r="M15" s="144">
        <f t="shared" si="3"/>
        <v>15447.752826483533</v>
      </c>
      <c r="N15" s="144">
        <f t="shared" si="3"/>
        <v>24056.226826509406</v>
      </c>
      <c r="O15" s="144">
        <f t="shared" si="3"/>
        <v>6059.5565182542532</v>
      </c>
      <c r="P15" s="144">
        <f t="shared" si="3"/>
        <v>4807.2287657342904</v>
      </c>
      <c r="Q15" s="144">
        <f t="shared" si="3"/>
        <v>5833.834806153659</v>
      </c>
      <c r="R15" s="144">
        <f t="shared" ref="R15:W15" si="4">SUM(R5:R12)</f>
        <v>11383.412851273544</v>
      </c>
      <c r="S15" s="144">
        <f t="shared" si="4"/>
        <v>14312.798299005704</v>
      </c>
      <c r="T15" s="144">
        <f t="shared" si="4"/>
        <v>17909.798285792189</v>
      </c>
      <c r="U15" s="144">
        <f t="shared" si="4"/>
        <v>15674.989508944582</v>
      </c>
      <c r="V15" s="144">
        <f t="shared" si="4"/>
        <v>13125.398284558696</v>
      </c>
      <c r="W15" s="144">
        <f t="shared" si="4"/>
        <v>20797.81218097606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60848.151193081045</v>
      </c>
      <c r="D16" s="140">
        <f t="shared" si="5"/>
        <v>61362.103507895765</v>
      </c>
      <c r="E16" s="140">
        <f t="shared" si="5"/>
        <v>32840.268546265492</v>
      </c>
      <c r="F16" s="140">
        <f t="shared" si="5"/>
        <v>74022.392825354735</v>
      </c>
      <c r="G16" s="140">
        <f t="shared" si="5"/>
        <v>78479.463159009363</v>
      </c>
      <c r="H16" s="140">
        <f t="shared" si="5"/>
        <v>82036.167771557841</v>
      </c>
      <c r="I16" s="140">
        <f t="shared" si="5"/>
        <v>79074.948088052537</v>
      </c>
      <c r="J16" s="140">
        <f t="shared" si="5"/>
        <v>68084.374728674811</v>
      </c>
      <c r="K16" s="140">
        <f t="shared" si="5"/>
        <v>9017.1534485589054</v>
      </c>
      <c r="L16" s="140">
        <f t="shared" si="5"/>
        <v>43815.97995554089</v>
      </c>
      <c r="M16" s="140">
        <f t="shared" si="5"/>
        <v>17419.827129729892</v>
      </c>
      <c r="N16" s="140">
        <f t="shared" si="5"/>
        <v>31986.03807007019</v>
      </c>
      <c r="O16" s="140">
        <f t="shared" si="5"/>
        <v>9230.2595466576258</v>
      </c>
      <c r="P16" s="140">
        <f t="shared" si="5"/>
        <v>22288.816589834936</v>
      </c>
      <c r="Q16" s="140">
        <f t="shared" si="5"/>
        <v>32790.427051820268</v>
      </c>
      <c r="R16" s="140">
        <f t="shared" ref="R16:W16" si="6">SUM(R17:R18)</f>
        <v>37524.092788492824</v>
      </c>
      <c r="S16" s="140">
        <f t="shared" si="6"/>
        <v>37073.053895668592</v>
      </c>
      <c r="T16" s="140">
        <f t="shared" si="6"/>
        <v>37343.410204876149</v>
      </c>
      <c r="U16" s="140">
        <f t="shared" si="6"/>
        <v>34688.435566741835</v>
      </c>
      <c r="V16" s="140">
        <f t="shared" si="6"/>
        <v>32670.487934773246</v>
      </c>
      <c r="W16" s="140">
        <f t="shared" si="6"/>
        <v>31873.546513725385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48.065201967516465</v>
      </c>
      <c r="D17" s="141">
        <v>28.941727965553611</v>
      </c>
      <c r="E17" s="141">
        <v>160.16414345764551</v>
      </c>
      <c r="F17" s="141">
        <v>72.180727845706798</v>
      </c>
      <c r="G17" s="141">
        <v>97.343465282480182</v>
      </c>
      <c r="H17" s="141">
        <v>82.040129866846186</v>
      </c>
      <c r="I17" s="141">
        <v>140.07269692244753</v>
      </c>
      <c r="J17" s="141">
        <v>141.03610346194614</v>
      </c>
      <c r="K17" s="141">
        <v>18.000432291981696</v>
      </c>
      <c r="L17" s="141">
        <v>117.96382132159216</v>
      </c>
      <c r="M17" s="141">
        <v>55.141076118997844</v>
      </c>
      <c r="N17" s="141">
        <v>99.604242613464976</v>
      </c>
      <c r="O17" s="141">
        <v>59.1995831722068</v>
      </c>
      <c r="P17" s="141">
        <v>86.74406878716141</v>
      </c>
      <c r="Q17" s="141">
        <v>190.4831976733268</v>
      </c>
      <c r="R17" s="141">
        <v>250.93012191279641</v>
      </c>
      <c r="S17" s="141">
        <v>192.45259109778604</v>
      </c>
      <c r="T17" s="141">
        <v>353.37998789081138</v>
      </c>
      <c r="U17" s="141">
        <v>203.56095397547833</v>
      </c>
      <c r="V17" s="141">
        <v>303.83204066872776</v>
      </c>
      <c r="W17" s="141">
        <v>66.003849410877947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60800.085991113527</v>
      </c>
      <c r="D18" s="141">
        <v>61333.161779930211</v>
      </c>
      <c r="E18" s="141">
        <v>32680.104402807843</v>
      </c>
      <c r="F18" s="141">
        <v>73950.212097509022</v>
      </c>
      <c r="G18" s="141">
        <v>78382.119693726883</v>
      </c>
      <c r="H18" s="141">
        <v>81954.127641690997</v>
      </c>
      <c r="I18" s="141">
        <v>78934.875391130088</v>
      </c>
      <c r="J18" s="141">
        <v>67943.338625212869</v>
      </c>
      <c r="K18" s="141">
        <v>8999.1530162669242</v>
      </c>
      <c r="L18" s="141">
        <v>43698.016134219295</v>
      </c>
      <c r="M18" s="141">
        <v>17364.686053610894</v>
      </c>
      <c r="N18" s="141">
        <v>31886.433827456724</v>
      </c>
      <c r="O18" s="141">
        <v>9171.0599634854188</v>
      </c>
      <c r="P18" s="141">
        <v>22202.072521047776</v>
      </c>
      <c r="Q18" s="141">
        <v>32599.943854146943</v>
      </c>
      <c r="R18" s="141">
        <v>37273.162666580029</v>
      </c>
      <c r="S18" s="141">
        <v>36880.60130457081</v>
      </c>
      <c r="T18" s="141">
        <v>36990.030216985338</v>
      </c>
      <c r="U18" s="141">
        <v>34484.874612766354</v>
      </c>
      <c r="V18" s="141">
        <v>32366.655894104519</v>
      </c>
      <c r="W18" s="141">
        <v>31807.542664314507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60848.151193081045</v>
      </c>
      <c r="D19" s="140">
        <f t="shared" si="7"/>
        <v>61362.103507895765</v>
      </c>
      <c r="E19" s="140">
        <f t="shared" si="7"/>
        <v>73032.289826104825</v>
      </c>
      <c r="F19" s="140">
        <f t="shared" si="7"/>
        <v>74022.392825354735</v>
      </c>
      <c r="G19" s="140">
        <f t="shared" si="7"/>
        <v>78479.463159009363</v>
      </c>
      <c r="H19" s="140">
        <f t="shared" si="7"/>
        <v>82036.16777155787</v>
      </c>
      <c r="I19" s="140">
        <f t="shared" si="7"/>
        <v>79074.948088052537</v>
      </c>
      <c r="J19" s="140">
        <f t="shared" si="7"/>
        <v>68084.374728674826</v>
      </c>
      <c r="K19" s="140">
        <f t="shared" si="7"/>
        <v>9017.1534485589054</v>
      </c>
      <c r="L19" s="140">
        <f t="shared" si="7"/>
        <v>43815.979955540883</v>
      </c>
      <c r="M19" s="140">
        <f t="shared" si="7"/>
        <v>17419.827129729892</v>
      </c>
      <c r="N19" s="140">
        <f t="shared" si="7"/>
        <v>31986.038070070186</v>
      </c>
      <c r="O19" s="140">
        <f t="shared" si="7"/>
        <v>9230.2595466576277</v>
      </c>
      <c r="P19" s="140">
        <f t="shared" si="7"/>
        <v>22288.81658983494</v>
      </c>
      <c r="Q19" s="140">
        <f t="shared" si="7"/>
        <v>32790.427051820268</v>
      </c>
      <c r="R19" s="140">
        <f t="shared" ref="R19:W19" si="8">SUM(R20:R26)</f>
        <v>37524.092788492824</v>
      </c>
      <c r="S19" s="140">
        <f t="shared" si="8"/>
        <v>37073.053895668592</v>
      </c>
      <c r="T19" s="140">
        <f t="shared" si="8"/>
        <v>37343.410204876149</v>
      </c>
      <c r="U19" s="140">
        <f t="shared" si="8"/>
        <v>34688.435566741828</v>
      </c>
      <c r="V19" s="140">
        <f t="shared" si="8"/>
        <v>32670.487934773242</v>
      </c>
      <c r="W19" s="140">
        <f t="shared" si="8"/>
        <v>31873.546513725385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1304.2864462799637</v>
      </c>
      <c r="D21" s="141">
        <v>1119.2997585459884</v>
      </c>
      <c r="E21" s="141">
        <v>1366.8345544411595</v>
      </c>
      <c r="F21" s="141">
        <v>960.65758568466936</v>
      </c>
      <c r="G21" s="141">
        <v>2125.7995382116765</v>
      </c>
      <c r="H21" s="141">
        <v>2637.6667670715842</v>
      </c>
      <c r="I21" s="141">
        <v>2822.440026044585</v>
      </c>
      <c r="J21" s="141">
        <v>2380.0969673052718</v>
      </c>
      <c r="K21" s="141">
        <v>466.73114291331973</v>
      </c>
      <c r="L21" s="141">
        <v>1793.3783079555822</v>
      </c>
      <c r="M21" s="141">
        <v>814.91668964366602</v>
      </c>
      <c r="N21" s="141">
        <v>1439.8317692632033</v>
      </c>
      <c r="O21" s="141">
        <v>444.96674171268927</v>
      </c>
      <c r="P21" s="141">
        <v>865.39648597981397</v>
      </c>
      <c r="Q21" s="141">
        <v>1699.0261590171324</v>
      </c>
      <c r="R21" s="141">
        <v>1487.4035625174761</v>
      </c>
      <c r="S21" s="141">
        <v>817.33851964665109</v>
      </c>
      <c r="T21" s="141">
        <v>0</v>
      </c>
      <c r="U21" s="141">
        <v>0</v>
      </c>
      <c r="V21" s="141">
        <v>0</v>
      </c>
      <c r="W21" s="141">
        <v>5.2670426405793247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11829.057628574974</v>
      </c>
      <c r="D22" s="141">
        <v>10442.839091476772</v>
      </c>
      <c r="E22" s="141">
        <v>14075.849192848964</v>
      </c>
      <c r="F22" s="141">
        <v>11720.550135440839</v>
      </c>
      <c r="G22" s="141">
        <v>13134.573380263342</v>
      </c>
      <c r="H22" s="141">
        <v>9981.5354900755428</v>
      </c>
      <c r="I22" s="141">
        <v>8121.4832993607879</v>
      </c>
      <c r="J22" s="141">
        <v>7951.6985562389955</v>
      </c>
      <c r="K22" s="141">
        <v>2007.2557242915639</v>
      </c>
      <c r="L22" s="141">
        <v>9598.1841648706977</v>
      </c>
      <c r="M22" s="141">
        <v>5074.7612682421486</v>
      </c>
      <c r="N22" s="141">
        <v>9919.2322618759245</v>
      </c>
      <c r="O22" s="141">
        <v>3421.0491133525193</v>
      </c>
      <c r="P22" s="141">
        <v>9594.4435935479141</v>
      </c>
      <c r="Q22" s="141">
        <v>17857.340692134814</v>
      </c>
      <c r="R22" s="141">
        <v>14838.467752639683</v>
      </c>
      <c r="S22" s="141">
        <v>10162.572068668092</v>
      </c>
      <c r="T22" s="141">
        <v>7329.3033137732846</v>
      </c>
      <c r="U22" s="141">
        <v>7803.5401250751365</v>
      </c>
      <c r="V22" s="141">
        <v>9844.6401704130458</v>
      </c>
      <c r="W22" s="141">
        <v>7691.3140661986035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11496.018076368513</v>
      </c>
      <c r="G23" s="141">
        <v>26208.306966803644</v>
      </c>
      <c r="H23" s="141">
        <v>45399.415555413405</v>
      </c>
      <c r="I23" s="141">
        <v>28269.574343146425</v>
      </c>
      <c r="J23" s="141">
        <v>16127.148210249679</v>
      </c>
      <c r="K23" s="141">
        <v>1735.3987124530183</v>
      </c>
      <c r="L23" s="141">
        <v>6761.9655292792204</v>
      </c>
      <c r="M23" s="141">
        <v>3997.5213894049443</v>
      </c>
      <c r="N23" s="141">
        <v>11243.845870825951</v>
      </c>
      <c r="O23" s="141">
        <v>3849.1541674944851</v>
      </c>
      <c r="P23" s="141">
        <v>11828.97651030721</v>
      </c>
      <c r="Q23" s="141">
        <v>4137.8707975270254</v>
      </c>
      <c r="R23" s="141">
        <v>6824.9593307867763</v>
      </c>
      <c r="S23" s="141">
        <v>7366.7890789655348</v>
      </c>
      <c r="T23" s="141">
        <v>10933.275472340849</v>
      </c>
      <c r="U23" s="141">
        <v>15028.706672177193</v>
      </c>
      <c r="V23" s="141">
        <v>17818.680895386606</v>
      </c>
      <c r="W23" s="141">
        <v>14993.780550872405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47714.807118226105</v>
      </c>
      <c r="D26" s="142">
        <v>49799.964657873003</v>
      </c>
      <c r="E26" s="142">
        <v>57589.606078814708</v>
      </c>
      <c r="F26" s="142">
        <v>49845.167027860705</v>
      </c>
      <c r="G26" s="142">
        <v>37010.783273730704</v>
      </c>
      <c r="H26" s="142">
        <v>24017.549958997333</v>
      </c>
      <c r="I26" s="142">
        <v>39861.450419500739</v>
      </c>
      <c r="J26" s="142">
        <v>41625.430994880873</v>
      </c>
      <c r="K26" s="142">
        <v>4807.7678689010036</v>
      </c>
      <c r="L26" s="142">
        <v>25662.451953435379</v>
      </c>
      <c r="M26" s="142">
        <v>7532.6277824391345</v>
      </c>
      <c r="N26" s="142">
        <v>9383.1281681051078</v>
      </c>
      <c r="O26" s="142">
        <v>1515.0895240979341</v>
      </c>
      <c r="P26" s="142">
        <v>0</v>
      </c>
      <c r="Q26" s="142">
        <v>9096.1894031412976</v>
      </c>
      <c r="R26" s="142">
        <v>14373.262142548887</v>
      </c>
      <c r="S26" s="142">
        <v>18726.354228388318</v>
      </c>
      <c r="T26" s="142">
        <v>19080.831418762016</v>
      </c>
      <c r="U26" s="142">
        <v>11856.188769489501</v>
      </c>
      <c r="V26" s="142">
        <v>5007.1668689735889</v>
      </c>
      <c r="W26" s="142">
        <v>9183.1848540137998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11415.248551703877</v>
      </c>
      <c r="D27" s="151">
        <v>2237.6651290020004</v>
      </c>
      <c r="E27" s="151">
        <v>9946.3602016038567</v>
      </c>
      <c r="F27" s="151">
        <v>8575.9997347852004</v>
      </c>
      <c r="G27" s="151">
        <v>12803.148986677796</v>
      </c>
      <c r="H27" s="151">
        <v>12665.877850918725</v>
      </c>
      <c r="I27" s="151">
        <v>7336.2472532121328</v>
      </c>
      <c r="J27" s="151">
        <v>14607.78178058638</v>
      </c>
      <c r="K27" s="151">
        <v>6161.6328295414887</v>
      </c>
      <c r="L27" s="151">
        <v>12724.939913711136</v>
      </c>
      <c r="M27" s="151">
        <v>7867.5288204997814</v>
      </c>
      <c r="N27" s="151">
        <v>9595.7626557045296</v>
      </c>
      <c r="O27" s="151">
        <v>125.05588364623662</v>
      </c>
      <c r="P27" s="151">
        <v>6574.2159800188601</v>
      </c>
      <c r="Q27" s="151">
        <v>9509.7544272981941</v>
      </c>
      <c r="R27" s="151">
        <v>12508.861418902054</v>
      </c>
      <c r="S27" s="151">
        <v>18897.081433182899</v>
      </c>
      <c r="T27" s="151">
        <v>2662.8408970777164</v>
      </c>
      <c r="U27" s="151">
        <v>12396.787682542863</v>
      </c>
      <c r="V27" s="151">
        <v>7455.0089217502064</v>
      </c>
      <c r="W27" s="151">
        <v>2.0744354392808803E-10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60848.151193081045</v>
      </c>
      <c r="D29" s="140">
        <f t="shared" si="9"/>
        <v>61362.103507895772</v>
      </c>
      <c r="E29" s="140">
        <f t="shared" si="9"/>
        <v>73032.289826104825</v>
      </c>
      <c r="F29" s="140">
        <f t="shared" si="9"/>
        <v>74022.392825354735</v>
      </c>
      <c r="G29" s="140">
        <f t="shared" si="9"/>
        <v>78479.463159009349</v>
      </c>
      <c r="H29" s="140">
        <f t="shared" si="9"/>
        <v>82036.16777155787</v>
      </c>
      <c r="I29" s="140">
        <f t="shared" si="9"/>
        <v>79074.948088052537</v>
      </c>
      <c r="J29" s="140">
        <f t="shared" si="9"/>
        <v>68084.374728674826</v>
      </c>
      <c r="K29" s="140">
        <f t="shared" si="9"/>
        <v>9017.1534485589073</v>
      </c>
      <c r="L29" s="140">
        <f t="shared" si="9"/>
        <v>43815.979955540883</v>
      </c>
      <c r="M29" s="140">
        <f t="shared" si="9"/>
        <v>17419.827129729892</v>
      </c>
      <c r="N29" s="140">
        <f t="shared" si="9"/>
        <v>31986.038070070193</v>
      </c>
      <c r="O29" s="140">
        <f t="shared" si="9"/>
        <v>9230.2595466576277</v>
      </c>
      <c r="P29" s="140">
        <f t="shared" si="9"/>
        <v>22288.81658983494</v>
      </c>
      <c r="Q29" s="140">
        <f t="shared" si="9"/>
        <v>32790.427051820268</v>
      </c>
      <c r="R29" s="140">
        <f t="shared" ref="R29:W29" si="10">SUM(R30:R33)</f>
        <v>37524.092788492817</v>
      </c>
      <c r="S29" s="140">
        <f t="shared" si="10"/>
        <v>37073.053895668592</v>
      </c>
      <c r="T29" s="140">
        <f t="shared" si="10"/>
        <v>37343.410204876156</v>
      </c>
      <c r="U29" s="140">
        <f t="shared" si="10"/>
        <v>34688.435566741835</v>
      </c>
      <c r="V29" s="140">
        <f t="shared" si="10"/>
        <v>32670.487934773239</v>
      </c>
      <c r="W29" s="140">
        <f t="shared" si="10"/>
        <v>31873.546513725385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10291.403667102759</v>
      </c>
      <c r="D30" s="141">
        <v>9794.0302162837725</v>
      </c>
      <c r="E30" s="141">
        <v>9350.6382896375853</v>
      </c>
      <c r="F30" s="141">
        <v>6157.3263636977508</v>
      </c>
      <c r="G30" s="141">
        <v>3355.2876251860148</v>
      </c>
      <c r="H30" s="141">
        <v>3112.1420250085821</v>
      </c>
      <c r="I30" s="141">
        <v>6089.6016263965976</v>
      </c>
      <c r="J30" s="141">
        <v>6542.6942073301971</v>
      </c>
      <c r="K30" s="141">
        <v>944.07538543474425</v>
      </c>
      <c r="L30" s="141">
        <v>3137.4133440559553</v>
      </c>
      <c r="M30" s="141">
        <v>333.05548380162247</v>
      </c>
      <c r="N30" s="141">
        <v>1109.2623978476499</v>
      </c>
      <c r="O30" s="141">
        <v>639.26690779494345</v>
      </c>
      <c r="P30" s="141">
        <v>1484.8070991611869</v>
      </c>
      <c r="Q30" s="141">
        <v>5799.5379666832723</v>
      </c>
      <c r="R30" s="141">
        <v>6890.0311076531661</v>
      </c>
      <c r="S30" s="141">
        <v>3626.1516760347972</v>
      </c>
      <c r="T30" s="141">
        <v>1166.0732277734173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10544.420845866021</v>
      </c>
      <c r="D31" s="141">
        <v>8443.6704283297622</v>
      </c>
      <c r="E31" s="141">
        <v>15288.419589342304</v>
      </c>
      <c r="F31" s="141">
        <v>25517.132050200908</v>
      </c>
      <c r="G31" s="141">
        <v>23593.231749893472</v>
      </c>
      <c r="H31" s="141">
        <v>21586.979767579149</v>
      </c>
      <c r="I31" s="141">
        <v>15016.15006531064</v>
      </c>
      <c r="J31" s="141">
        <v>12578.962891142355</v>
      </c>
      <c r="K31" s="141">
        <v>2119.2289400128252</v>
      </c>
      <c r="L31" s="141">
        <v>10999.917195563341</v>
      </c>
      <c r="M31" s="141">
        <v>8043.3026781152466</v>
      </c>
      <c r="N31" s="141">
        <v>23036.281469420272</v>
      </c>
      <c r="O31" s="141">
        <v>8590.9926388626845</v>
      </c>
      <c r="P31" s="141">
        <v>20804.009490673754</v>
      </c>
      <c r="Q31" s="141">
        <v>26990.889085136998</v>
      </c>
      <c r="R31" s="141">
        <v>21671.364650325297</v>
      </c>
      <c r="S31" s="141">
        <v>12999.129849719786</v>
      </c>
      <c r="T31" s="141">
        <v>3969.4046663405907</v>
      </c>
      <c r="U31" s="141">
        <v>10863.345804809162</v>
      </c>
      <c r="V31" s="141">
        <v>18746.62743635181</v>
      </c>
      <c r="W31" s="141">
        <v>16494.43303229913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40012.326680112266</v>
      </c>
      <c r="D33" s="153">
        <v>43124.402863282237</v>
      </c>
      <c r="E33" s="153">
        <v>48393.231947124936</v>
      </c>
      <c r="F33" s="153">
        <v>42347.934411456081</v>
      </c>
      <c r="G33" s="153">
        <v>51530.943783929863</v>
      </c>
      <c r="H33" s="153">
        <v>57337.045978970134</v>
      </c>
      <c r="I33" s="153">
        <v>57969.196396345294</v>
      </c>
      <c r="J33" s="153">
        <v>48962.717630202271</v>
      </c>
      <c r="K33" s="153">
        <v>5953.8491231113367</v>
      </c>
      <c r="L33" s="153">
        <v>29678.649415921584</v>
      </c>
      <c r="M33" s="153">
        <v>9043.4689678130217</v>
      </c>
      <c r="N33" s="153">
        <v>7840.4942028022688</v>
      </c>
      <c r="O33" s="153">
        <v>0</v>
      </c>
      <c r="P33" s="153">
        <v>0</v>
      </c>
      <c r="Q33" s="153">
        <v>0</v>
      </c>
      <c r="R33" s="153">
        <v>8962.6970305143568</v>
      </c>
      <c r="S33" s="153">
        <v>20447.772369914012</v>
      </c>
      <c r="T33" s="153">
        <v>32207.932310762146</v>
      </c>
      <c r="U33" s="153">
        <v>23825.089761932672</v>
      </c>
      <c r="V33" s="153">
        <v>13923.860498421429</v>
      </c>
      <c r="W33" s="153">
        <v>15379.113481426255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163.70672163106431</v>
      </c>
      <c r="D3" s="126">
        <f t="shared" si="0"/>
        <v>149.45614815855254</v>
      </c>
      <c r="E3" s="126">
        <f t="shared" si="0"/>
        <v>162.54554708952611</v>
      </c>
      <c r="F3" s="126">
        <f t="shared" si="0"/>
        <v>171.45910226481698</v>
      </c>
      <c r="G3" s="126">
        <f t="shared" si="0"/>
        <v>174.31374090598999</v>
      </c>
      <c r="H3" s="126">
        <f t="shared" si="0"/>
        <v>301.16100060510274</v>
      </c>
      <c r="I3" s="126">
        <f t="shared" si="0"/>
        <v>191.10678681714813</v>
      </c>
      <c r="J3" s="126">
        <f t="shared" si="0"/>
        <v>163.87885772915598</v>
      </c>
      <c r="K3" s="126">
        <f t="shared" si="0"/>
        <v>21.9729387546239</v>
      </c>
      <c r="L3" s="126">
        <f t="shared" si="0"/>
        <v>120.30136027824517</v>
      </c>
      <c r="M3" s="126">
        <f t="shared" si="0"/>
        <v>44.539373844267111</v>
      </c>
      <c r="N3" s="126">
        <f t="shared" si="0"/>
        <v>77.007478166502423</v>
      </c>
      <c r="O3" s="126">
        <f t="shared" si="0"/>
        <v>20.03307498479186</v>
      </c>
      <c r="P3" s="126">
        <f t="shared" si="0"/>
        <v>40.985118380823018</v>
      </c>
      <c r="Q3" s="126">
        <f t="shared" si="0"/>
        <v>60.773132128480761</v>
      </c>
      <c r="R3" s="126">
        <f t="shared" ref="R3:W3" si="1">SUM(R4,R16,R19,R29)</f>
        <v>67.616157245499068</v>
      </c>
      <c r="S3" s="126">
        <f t="shared" si="1"/>
        <v>68.076441084226303</v>
      </c>
      <c r="T3" s="126">
        <f t="shared" si="1"/>
        <v>66.485563579248364</v>
      </c>
      <c r="U3" s="126">
        <f t="shared" si="1"/>
        <v>60.852271290218702</v>
      </c>
      <c r="V3" s="126">
        <f t="shared" si="1"/>
        <v>53.328145665460042</v>
      </c>
      <c r="W3" s="126">
        <f t="shared" si="1"/>
        <v>59.883898470246692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62.034772408841917</v>
      </c>
      <c r="D4" s="131">
        <f t="shared" si="2"/>
        <v>52.02115825093027</v>
      </c>
      <c r="E4" s="131">
        <f t="shared" si="2"/>
        <v>61.782010293003808</v>
      </c>
      <c r="F4" s="131">
        <f t="shared" si="2"/>
        <v>47.225461766330206</v>
      </c>
      <c r="G4" s="131">
        <f t="shared" si="2"/>
        <v>45.96656965611551</v>
      </c>
      <c r="H4" s="131">
        <f t="shared" si="2"/>
        <v>151.69023811686392</v>
      </c>
      <c r="I4" s="131">
        <f t="shared" si="2"/>
        <v>65.975035519632996</v>
      </c>
      <c r="J4" s="131">
        <f t="shared" si="2"/>
        <v>56.979849744447726</v>
      </c>
      <c r="K4" s="131">
        <f t="shared" si="2"/>
        <v>7.4259420069859319</v>
      </c>
      <c r="L4" s="131">
        <f t="shared" si="2"/>
        <v>48.383653644035789</v>
      </c>
      <c r="M4" s="131">
        <f t="shared" si="2"/>
        <v>17.155687536760514</v>
      </c>
      <c r="N4" s="131">
        <f t="shared" si="2"/>
        <v>24.334473984144342</v>
      </c>
      <c r="O4" s="131">
        <f t="shared" si="2"/>
        <v>5.7564459997137121</v>
      </c>
      <c r="P4" s="131">
        <f t="shared" si="2"/>
        <v>4.366836650735558</v>
      </c>
      <c r="Q4" s="131">
        <f t="shared" si="2"/>
        <v>5.4579116517204254</v>
      </c>
      <c r="R4" s="131">
        <f t="shared" ref="R4:W4" si="3">SUM(R5:R15)</f>
        <v>8.8961244911003181</v>
      </c>
      <c r="S4" s="131">
        <f t="shared" si="3"/>
        <v>13.122287052536151</v>
      </c>
      <c r="T4" s="131">
        <f t="shared" si="3"/>
        <v>15.77520988283475</v>
      </c>
      <c r="U4" s="131">
        <f t="shared" si="3"/>
        <v>13.677005292187875</v>
      </c>
      <c r="V4" s="131">
        <f t="shared" si="3"/>
        <v>10.418069686345994</v>
      </c>
      <c r="W4" s="131">
        <f t="shared" si="3"/>
        <v>17.763355188024832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59.645410969473438</v>
      </c>
      <c r="D7" s="133">
        <v>49.965038932254878</v>
      </c>
      <c r="E7" s="133">
        <v>59.787451044233848</v>
      </c>
      <c r="F7" s="133">
        <v>30.995255875088944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12.746706035177755</v>
      </c>
      <c r="M7" s="133">
        <v>10.486515016175531</v>
      </c>
      <c r="N7" s="133">
        <v>16.745630096461365</v>
      </c>
      <c r="O7" s="133">
        <v>4.7761477584342469</v>
      </c>
      <c r="P7" s="133">
        <v>0.76671107549880702</v>
      </c>
      <c r="Q7" s="133">
        <v>0.68991893705541463</v>
      </c>
      <c r="R7" s="133">
        <v>4.5067523898535775</v>
      </c>
      <c r="S7" s="133">
        <v>8.1121802463232235</v>
      </c>
      <c r="T7" s="133">
        <v>7.8037745180474216</v>
      </c>
      <c r="U7" s="133">
        <v>1.0977124753874374</v>
      </c>
      <c r="V7" s="133">
        <v>0</v>
      </c>
      <c r="W7" s="133">
        <v>0.16825780167894874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1.6331456142491155E-3</v>
      </c>
      <c r="D8" s="133">
        <v>1.9604774800509529E-3</v>
      </c>
      <c r="E8" s="133">
        <v>2.9333369185296689E-3</v>
      </c>
      <c r="F8" s="133">
        <v>7.2329228306398088E-3</v>
      </c>
      <c r="G8" s="133">
        <v>1.1481006488529314E-2</v>
      </c>
      <c r="H8" s="133">
        <v>1.0234809206632944E-2</v>
      </c>
      <c r="I8" s="133">
        <v>2.0285230098544597E-2</v>
      </c>
      <c r="J8" s="133">
        <v>1.1097167075163457E-2</v>
      </c>
      <c r="K8" s="133">
        <v>2.506676350633738E-3</v>
      </c>
      <c r="L8" s="133">
        <v>2.2233186701799173E-2</v>
      </c>
      <c r="M8" s="133">
        <v>1.6430982180380256E-2</v>
      </c>
      <c r="N8" s="133">
        <v>5.8159068809156562E-2</v>
      </c>
      <c r="O8" s="133">
        <v>2.3011079621309712E-2</v>
      </c>
      <c r="P8" s="133">
        <v>0.13004063142033978</v>
      </c>
      <c r="Q8" s="133">
        <v>0.15580602963215906</v>
      </c>
      <c r="R8" s="133">
        <v>0.16353738662028425</v>
      </c>
      <c r="S8" s="133">
        <v>0.11561321362726368</v>
      </c>
      <c r="T8" s="133">
        <v>0.12410918826083268</v>
      </c>
      <c r="U8" s="133">
        <v>0.14184661776437837</v>
      </c>
      <c r="V8" s="133">
        <v>0.15401661300400357</v>
      </c>
      <c r="W8" s="133">
        <v>7.8585059530828394E-2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0.28399926192689878</v>
      </c>
      <c r="D9" s="133">
        <v>0</v>
      </c>
      <c r="E9" s="133">
        <v>0</v>
      </c>
      <c r="F9" s="133">
        <v>2.4345467532851011</v>
      </c>
      <c r="G9" s="133">
        <v>39.127094529032782</v>
      </c>
      <c r="H9" s="133">
        <v>114.70564125562447</v>
      </c>
      <c r="I9" s="133">
        <v>33.907094402111703</v>
      </c>
      <c r="J9" s="133">
        <v>20.308598195079522</v>
      </c>
      <c r="K9" s="133">
        <v>5.4675905908203788</v>
      </c>
      <c r="L9" s="133">
        <v>34.256775251270291</v>
      </c>
      <c r="M9" s="133">
        <v>5.6629371270220119</v>
      </c>
      <c r="N9" s="133">
        <v>4.1007459816555976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4.1734992179097183</v>
      </c>
      <c r="U9" s="133">
        <v>9.4497858098673362</v>
      </c>
      <c r="V9" s="133">
        <v>7.4938514449997102</v>
      </c>
      <c r="W9" s="133">
        <v>15.060758427297701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1.3436128863093466</v>
      </c>
      <c r="D10" s="133">
        <v>1.3728419595511894</v>
      </c>
      <c r="E10" s="133">
        <v>1.0780939320851746</v>
      </c>
      <c r="F10" s="133">
        <v>1.3422854521361993</v>
      </c>
      <c r="G10" s="133">
        <v>0.37841178273947845</v>
      </c>
      <c r="H10" s="133">
        <v>0.86229225983000013</v>
      </c>
      <c r="I10" s="133">
        <v>3.6492331526305342</v>
      </c>
      <c r="J10" s="133">
        <v>1.4895234726698434</v>
      </c>
      <c r="K10" s="133">
        <v>1.4358648595609983E-2</v>
      </c>
      <c r="L10" s="133">
        <v>0</v>
      </c>
      <c r="M10" s="133">
        <v>0.43414705544481524</v>
      </c>
      <c r="N10" s="133">
        <v>1.8405943876940123</v>
      </c>
      <c r="O10" s="133">
        <v>0.49343964685738689</v>
      </c>
      <c r="P10" s="133">
        <v>1.7587492269259963</v>
      </c>
      <c r="Q10" s="133">
        <v>1.91874746975355</v>
      </c>
      <c r="R10" s="133">
        <v>1.3905670115800217</v>
      </c>
      <c r="S10" s="133">
        <v>0.45630130351115555</v>
      </c>
      <c r="T10" s="133">
        <v>0</v>
      </c>
      <c r="U10" s="133">
        <v>0</v>
      </c>
      <c r="V10" s="133">
        <v>1.998747933491888E-2</v>
      </c>
      <c r="W10" s="133">
        <v>0.36896034651378345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8.1146962575237385E-5</v>
      </c>
      <c r="N11" s="133">
        <v>1.4691354632956307E-3</v>
      </c>
      <c r="O11" s="133">
        <v>2.1619529085127507E-3</v>
      </c>
      <c r="P11" s="133">
        <v>1.6834877985824864E-3</v>
      </c>
      <c r="Q11" s="133">
        <v>5.4109529601790475E-4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0.19478129242302139</v>
      </c>
      <c r="D13" s="133">
        <v>0.21157188253693163</v>
      </c>
      <c r="E13" s="133">
        <v>0.36077529767980815</v>
      </c>
      <c r="F13" s="133">
        <v>0.32575833297902063</v>
      </c>
      <c r="G13" s="133">
        <v>0.49969910861668437</v>
      </c>
      <c r="H13" s="133">
        <v>0.38755298287400591</v>
      </c>
      <c r="I13" s="133">
        <v>1.6703696689026206</v>
      </c>
      <c r="J13" s="133">
        <v>1.7862208382190279</v>
      </c>
      <c r="K13" s="133">
        <v>0.24775128348576345</v>
      </c>
      <c r="L13" s="133">
        <v>0.89052974872499724</v>
      </c>
      <c r="M13" s="133">
        <v>0.39926893336785246</v>
      </c>
      <c r="N13" s="133">
        <v>1.379677701957126</v>
      </c>
      <c r="O13" s="133">
        <v>0.4129073477941389</v>
      </c>
      <c r="P13" s="133">
        <v>1.6931131911013111</v>
      </c>
      <c r="Q13" s="133">
        <v>2.6759790479780303</v>
      </c>
      <c r="R13" s="133">
        <v>2.7796765918098267</v>
      </c>
      <c r="S13" s="133">
        <v>2.2989296237954004</v>
      </c>
      <c r="T13" s="133">
        <v>2.2675960664762957</v>
      </c>
      <c r="U13" s="133">
        <v>2.5139923296803559</v>
      </c>
      <c r="V13" s="133">
        <v>2.6638656963559639</v>
      </c>
      <c r="W13" s="133">
        <v>1.489963814684454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11.806698675858323</v>
      </c>
      <c r="G14" s="65">
        <v>5.5398680745867512</v>
      </c>
      <c r="H14" s="65">
        <v>34.525696421670844</v>
      </c>
      <c r="I14" s="65">
        <v>26.361643895990287</v>
      </c>
      <c r="J14" s="65">
        <v>33.168942672587512</v>
      </c>
      <c r="K14" s="65">
        <v>1.6375101806946302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2.0487926615458338</v>
      </c>
      <c r="T14" s="65">
        <v>1.273580199274903</v>
      </c>
      <c r="U14" s="65">
        <v>0.35389131660248269</v>
      </c>
      <c r="V14" s="65">
        <v>0</v>
      </c>
      <c r="W14" s="65">
        <v>0.42275913852810826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0.56533485309496101</v>
      </c>
      <c r="D15" s="135">
        <v>0.46974499910722256</v>
      </c>
      <c r="E15" s="135">
        <v>0.55275668208644979</v>
      </c>
      <c r="F15" s="135">
        <v>0.3136837541519743</v>
      </c>
      <c r="G15" s="135">
        <v>0.41001515465128979</v>
      </c>
      <c r="H15" s="135">
        <v>1.1988203876579335</v>
      </c>
      <c r="I15" s="135">
        <v>0.366409169899305</v>
      </c>
      <c r="J15" s="135">
        <v>0.21546739881665744</v>
      </c>
      <c r="K15" s="135">
        <v>5.6224627038916022E-2</v>
      </c>
      <c r="L15" s="135">
        <v>0.4674094221609445</v>
      </c>
      <c r="M15" s="135">
        <v>0.15630727560734664</v>
      </c>
      <c r="N15" s="135">
        <v>0.20819761210378665</v>
      </c>
      <c r="O15" s="135">
        <v>4.877821409811612E-2</v>
      </c>
      <c r="P15" s="135">
        <v>1.6539037990521522E-2</v>
      </c>
      <c r="Q15" s="135">
        <v>1.6919072005253704E-2</v>
      </c>
      <c r="R15" s="135">
        <v>5.5591111236608287E-2</v>
      </c>
      <c r="S15" s="135">
        <v>9.047000373327431E-2</v>
      </c>
      <c r="T15" s="135">
        <v>0.13265069286557873</v>
      </c>
      <c r="U15" s="135">
        <v>0.11977674288588545</v>
      </c>
      <c r="V15" s="135">
        <v>8.634845265139833E-2</v>
      </c>
      <c r="W15" s="135">
        <v>0.17407059979100939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38.907926796468381</v>
      </c>
      <c r="D16" s="131">
        <f t="shared" si="4"/>
        <v>33.605856372323046</v>
      </c>
      <c r="E16" s="131">
        <f t="shared" si="4"/>
        <v>26.613954642037942</v>
      </c>
      <c r="F16" s="131">
        <f t="shared" si="4"/>
        <v>43.855776249752253</v>
      </c>
      <c r="G16" s="131">
        <f t="shared" si="4"/>
        <v>47.019333440846786</v>
      </c>
      <c r="H16" s="131">
        <f t="shared" si="4"/>
        <v>53.237594247036689</v>
      </c>
      <c r="I16" s="131">
        <f t="shared" si="4"/>
        <v>37.092047040535263</v>
      </c>
      <c r="J16" s="131">
        <f t="shared" si="4"/>
        <v>32.510986159317682</v>
      </c>
      <c r="K16" s="131">
        <f t="shared" si="4"/>
        <v>5.3074205752693491</v>
      </c>
      <c r="L16" s="131">
        <f t="shared" si="4"/>
        <v>23.485337958460292</v>
      </c>
      <c r="M16" s="131">
        <f t="shared" si="4"/>
        <v>8.0407826802018825</v>
      </c>
      <c r="N16" s="131">
        <f t="shared" si="4"/>
        <v>16.963933231054401</v>
      </c>
      <c r="O16" s="131">
        <f t="shared" si="4"/>
        <v>3.7870635948434304</v>
      </c>
      <c r="P16" s="131">
        <f t="shared" si="4"/>
        <v>8.005440132174968</v>
      </c>
      <c r="Q16" s="131">
        <f t="shared" si="4"/>
        <v>16.553070345640545</v>
      </c>
      <c r="R16" s="131">
        <f t="shared" ref="R16:W16" si="5">SUM(R17:R18)</f>
        <v>17.999823717853754</v>
      </c>
      <c r="S16" s="131">
        <f t="shared" si="5"/>
        <v>20.085778438220952</v>
      </c>
      <c r="T16" s="131">
        <f t="shared" si="5"/>
        <v>14.17070515701403</v>
      </c>
      <c r="U16" s="131">
        <f t="shared" si="5"/>
        <v>13.238987560414182</v>
      </c>
      <c r="V16" s="131">
        <f t="shared" si="5"/>
        <v>14.063345804176453</v>
      </c>
      <c r="W16" s="131">
        <f t="shared" si="5"/>
        <v>10.925340881278681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5.3862081074688775E-2</v>
      </c>
      <c r="D17" s="133">
        <v>2.8569502314264323E-2</v>
      </c>
      <c r="E17" s="133">
        <v>0.24134430405649801</v>
      </c>
      <c r="F17" s="133">
        <v>8.1917683175510278E-2</v>
      </c>
      <c r="G17" s="133">
        <v>0.11480899256296238</v>
      </c>
      <c r="H17" s="133">
        <v>0.10766391021199335</v>
      </c>
      <c r="I17" s="133">
        <v>0.1363955804408345</v>
      </c>
      <c r="J17" s="133">
        <v>0.14356169828572798</v>
      </c>
      <c r="K17" s="133">
        <v>2.3169262581571551E-2</v>
      </c>
      <c r="L17" s="133">
        <v>0.14188430391641277</v>
      </c>
      <c r="M17" s="133">
        <v>5.8635223955174967E-2</v>
      </c>
      <c r="N17" s="133">
        <v>0.12513465231481891</v>
      </c>
      <c r="O17" s="133">
        <v>5.8779243972287482E-2</v>
      </c>
      <c r="P17" s="133">
        <v>7.7305677359799221E-2</v>
      </c>
      <c r="Q17" s="133">
        <v>0.24133079389073223</v>
      </c>
      <c r="R17" s="133">
        <v>0.30299769749547362</v>
      </c>
      <c r="S17" s="133">
        <v>0.26245425415966617</v>
      </c>
      <c r="T17" s="133">
        <v>0.33323562785740629</v>
      </c>
      <c r="U17" s="133">
        <v>0.19189395970570594</v>
      </c>
      <c r="V17" s="133">
        <v>0.28300522311646403</v>
      </c>
      <c r="W17" s="133">
        <v>5.5485259776063479E-2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38.85406471539369</v>
      </c>
      <c r="D18" s="133">
        <v>33.577286870008784</v>
      </c>
      <c r="E18" s="133">
        <v>26.372610337981445</v>
      </c>
      <c r="F18" s="133">
        <v>43.773858566576742</v>
      </c>
      <c r="G18" s="133">
        <v>46.904524448283823</v>
      </c>
      <c r="H18" s="133">
        <v>53.1299303368247</v>
      </c>
      <c r="I18" s="133">
        <v>36.95565146009443</v>
      </c>
      <c r="J18" s="133">
        <v>32.367424461031952</v>
      </c>
      <c r="K18" s="133">
        <v>5.2842513126877773</v>
      </c>
      <c r="L18" s="133">
        <v>23.343453654543879</v>
      </c>
      <c r="M18" s="133">
        <v>7.9821474562467074</v>
      </c>
      <c r="N18" s="133">
        <v>16.838798578739581</v>
      </c>
      <c r="O18" s="133">
        <v>3.7282843508711427</v>
      </c>
      <c r="P18" s="133">
        <v>7.9281344548151687</v>
      </c>
      <c r="Q18" s="133">
        <v>16.311739551749813</v>
      </c>
      <c r="R18" s="133">
        <v>17.69682602035828</v>
      </c>
      <c r="S18" s="133">
        <v>19.823324184061285</v>
      </c>
      <c r="T18" s="133">
        <v>13.837469529156623</v>
      </c>
      <c r="U18" s="133">
        <v>13.047093600708477</v>
      </c>
      <c r="V18" s="133">
        <v>13.78034058105999</v>
      </c>
      <c r="W18" s="133">
        <v>10.869855621502618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28.374127674127401</v>
      </c>
      <c r="D19" s="131">
        <f t="shared" si="6"/>
        <v>31.017468708699219</v>
      </c>
      <c r="E19" s="131">
        <f t="shared" si="6"/>
        <v>36.680667118706971</v>
      </c>
      <c r="F19" s="131">
        <f t="shared" si="6"/>
        <v>37.820210181424912</v>
      </c>
      <c r="G19" s="131">
        <f t="shared" si="6"/>
        <v>37.604120464936933</v>
      </c>
      <c r="H19" s="131">
        <f t="shared" si="6"/>
        <v>48.456761107880041</v>
      </c>
      <c r="I19" s="131">
        <f t="shared" si="6"/>
        <v>42.125445854768643</v>
      </c>
      <c r="J19" s="131">
        <f t="shared" si="6"/>
        <v>33.839304478585369</v>
      </c>
      <c r="K19" s="131">
        <f t="shared" si="6"/>
        <v>3.7841202349712999</v>
      </c>
      <c r="L19" s="131">
        <f t="shared" si="6"/>
        <v>21.535778576937631</v>
      </c>
      <c r="M19" s="131">
        <f t="shared" si="6"/>
        <v>8.20422332199478</v>
      </c>
      <c r="N19" s="131">
        <f t="shared" si="6"/>
        <v>15.337241346937015</v>
      </c>
      <c r="O19" s="131">
        <f t="shared" si="6"/>
        <v>4.7380669200994117</v>
      </c>
      <c r="P19" s="131">
        <f t="shared" si="6"/>
        <v>10.79913224696673</v>
      </c>
      <c r="Q19" s="131">
        <f t="shared" si="6"/>
        <v>13.929830709149464</v>
      </c>
      <c r="R19" s="131">
        <f t="shared" ref="R19:W19" si="7">SUM(R20:R27)</f>
        <v>14.747865980203542</v>
      </c>
      <c r="S19" s="131">
        <f t="shared" si="7"/>
        <v>12.960904618199194</v>
      </c>
      <c r="T19" s="131">
        <f t="shared" si="7"/>
        <v>14.506744544963301</v>
      </c>
      <c r="U19" s="131">
        <f t="shared" si="7"/>
        <v>12.672405799408143</v>
      </c>
      <c r="V19" s="131">
        <f t="shared" si="7"/>
        <v>11.199996745319352</v>
      </c>
      <c r="W19" s="131">
        <f t="shared" si="7"/>
        <v>11.753592150499589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0.69518960685970943</v>
      </c>
      <c r="D21" s="133">
        <v>0.64889973998000172</v>
      </c>
      <c r="E21" s="133">
        <v>0.80455931675890013</v>
      </c>
      <c r="F21" s="133">
        <v>0.55221506415647059</v>
      </c>
      <c r="G21" s="133">
        <v>1.2198365363498884</v>
      </c>
      <c r="H21" s="133">
        <v>1.5389237930037352</v>
      </c>
      <c r="I21" s="133">
        <v>1.6836576748991219</v>
      </c>
      <c r="J21" s="133">
        <v>1.3899553526499249</v>
      </c>
      <c r="K21" s="133">
        <v>0.21556792522613322</v>
      </c>
      <c r="L21" s="133">
        <v>1.0702372720946738</v>
      </c>
      <c r="M21" s="133">
        <v>0.46392405139384313</v>
      </c>
      <c r="N21" s="133">
        <v>0.80705183381330015</v>
      </c>
      <c r="O21" s="133">
        <v>0.23995088444790971</v>
      </c>
      <c r="P21" s="133">
        <v>0.38135579794942109</v>
      </c>
      <c r="Q21" s="133">
        <v>0.76669040186075421</v>
      </c>
      <c r="R21" s="133">
        <v>0.65212265663980162</v>
      </c>
      <c r="S21" s="133">
        <v>0.34204225278554962</v>
      </c>
      <c r="T21" s="133">
        <v>0</v>
      </c>
      <c r="U21" s="133">
        <v>0</v>
      </c>
      <c r="V21" s="133">
        <v>0</v>
      </c>
      <c r="W21" s="133">
        <v>2.0633053029800097E-3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6.848740673983178</v>
      </c>
      <c r="D22" s="133">
        <v>6.4020141357098446</v>
      </c>
      <c r="E22" s="133">
        <v>8.5962410512319103</v>
      </c>
      <c r="F22" s="133">
        <v>7.3503486581466744</v>
      </c>
      <c r="G22" s="133">
        <v>8.2375229512589527</v>
      </c>
      <c r="H22" s="133">
        <v>6.1151926108519543</v>
      </c>
      <c r="I22" s="133">
        <v>5.0926193807639697</v>
      </c>
      <c r="J22" s="133">
        <v>4.8159849759378517</v>
      </c>
      <c r="K22" s="133">
        <v>0.92705308587990842</v>
      </c>
      <c r="L22" s="133">
        <v>5.9320043265501008</v>
      </c>
      <c r="M22" s="133">
        <v>2.9916690925628693</v>
      </c>
      <c r="N22" s="133">
        <v>5.8101441376136265</v>
      </c>
      <c r="O22" s="133">
        <v>1.8888402782558062</v>
      </c>
      <c r="P22" s="133">
        <v>4.2729531781131973</v>
      </c>
      <c r="Q22" s="133">
        <v>8.3738996552733251</v>
      </c>
      <c r="R22" s="133">
        <v>6.7491621316606789</v>
      </c>
      <c r="S22" s="133">
        <v>4.2981573309084506</v>
      </c>
      <c r="T22" s="133">
        <v>3.062717202784174</v>
      </c>
      <c r="U22" s="133">
        <v>3.0647818401536568</v>
      </c>
      <c r="V22" s="133">
        <v>3.4417459089956104</v>
      </c>
      <c r="W22" s="133">
        <v>3.0041072397838677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5.2670157731209537</v>
      </c>
      <c r="G23" s="133">
        <v>10.616387335465649</v>
      </c>
      <c r="H23" s="133">
        <v>30.185635165112569</v>
      </c>
      <c r="I23" s="133">
        <v>16.846300415460885</v>
      </c>
      <c r="J23" s="133">
        <v>8.7404396665170765</v>
      </c>
      <c r="K23" s="133">
        <v>0.64416437459933318</v>
      </c>
      <c r="L23" s="133">
        <v>3.6458246601655517</v>
      </c>
      <c r="M23" s="133">
        <v>1.9710953031876917</v>
      </c>
      <c r="N23" s="133">
        <v>5.53180230805504</v>
      </c>
      <c r="O23" s="133">
        <v>1.8967159214090237</v>
      </c>
      <c r="P23" s="133">
        <v>4.6947169811809664</v>
      </c>
      <c r="Q23" s="133">
        <v>1.657870832610894</v>
      </c>
      <c r="R23" s="133">
        <v>2.7187193670857677</v>
      </c>
      <c r="S23" s="133">
        <v>2.8603163692544831</v>
      </c>
      <c r="T23" s="133">
        <v>4.2235968394320063</v>
      </c>
      <c r="U23" s="133">
        <v>5.7091526661827245</v>
      </c>
      <c r="V23" s="133">
        <v>5.8763759471111587</v>
      </c>
      <c r="W23" s="133">
        <v>5.7273719947370765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18.280730966054605</v>
      </c>
      <c r="D26" s="65">
        <v>23.358972291174826</v>
      </c>
      <c r="E26" s="65">
        <v>24.46988965359742</v>
      </c>
      <c r="F26" s="65">
        <v>22.161301381599369</v>
      </c>
      <c r="G26" s="65">
        <v>13.826463686782777</v>
      </c>
      <c r="H26" s="65">
        <v>6.9064374872302627</v>
      </c>
      <c r="I26" s="65">
        <v>16.389617625733468</v>
      </c>
      <c r="J26" s="65">
        <v>14.618739368477002</v>
      </c>
      <c r="K26" s="65">
        <v>0.18597396216260162</v>
      </c>
      <c r="L26" s="65">
        <v>7.0660645341349007</v>
      </c>
      <c r="M26" s="65">
        <v>0.47300859422926228</v>
      </c>
      <c r="N26" s="65">
        <v>0.34886183966239331</v>
      </c>
      <c r="O26" s="65">
        <v>0.67325844630635079</v>
      </c>
      <c r="P26" s="65">
        <v>0</v>
      </c>
      <c r="Q26" s="65">
        <v>3.6835608773705855E-2</v>
      </c>
      <c r="R26" s="65">
        <v>0.73853191467957402</v>
      </c>
      <c r="S26" s="65">
        <v>6.4355839615146321E-2</v>
      </c>
      <c r="T26" s="65">
        <v>6.4176684199419691</v>
      </c>
      <c r="U26" s="65">
        <v>0.35863750054924709</v>
      </c>
      <c r="V26" s="65">
        <v>1.5160561646252369E-2</v>
      </c>
      <c r="W26" s="65">
        <v>3.0200496106756018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2.5494664272299081</v>
      </c>
      <c r="D27" s="148">
        <v>0.6075825418345463</v>
      </c>
      <c r="E27" s="148">
        <v>2.8099770971187383</v>
      </c>
      <c r="F27" s="148">
        <v>2.4893293044014428</v>
      </c>
      <c r="G27" s="148">
        <v>3.7039099550796633</v>
      </c>
      <c r="H27" s="148">
        <v>3.7105720516815137</v>
      </c>
      <c r="I27" s="148">
        <v>2.1132507579112003</v>
      </c>
      <c r="J27" s="148">
        <v>4.2741851150035179</v>
      </c>
      <c r="K27" s="148">
        <v>1.8113608871033233</v>
      </c>
      <c r="L27" s="148">
        <v>3.8216477839924043</v>
      </c>
      <c r="M27" s="148">
        <v>2.3045262806211135</v>
      </c>
      <c r="N27" s="148">
        <v>2.8393812277926536</v>
      </c>
      <c r="O27" s="148">
        <v>3.9301389680321965E-2</v>
      </c>
      <c r="P27" s="148">
        <v>1.4501062897231445</v>
      </c>
      <c r="Q27" s="148">
        <v>3.0945342106307847</v>
      </c>
      <c r="R27" s="148">
        <v>3.8893299101377194</v>
      </c>
      <c r="S27" s="148">
        <v>5.3960328256355643</v>
      </c>
      <c r="T27" s="148">
        <v>0.8027620828051526</v>
      </c>
      <c r="U27" s="148">
        <v>3.539833792522515</v>
      </c>
      <c r="V27" s="148">
        <v>1.8667143275663296</v>
      </c>
      <c r="W27" s="148">
        <v>6.4174428847434891E-14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34.389894751626599</v>
      </c>
      <c r="D29" s="131">
        <f t="shared" si="8"/>
        <v>32.811664826600023</v>
      </c>
      <c r="E29" s="131">
        <f t="shared" si="8"/>
        <v>37.468915035777393</v>
      </c>
      <c r="F29" s="131">
        <f t="shared" si="8"/>
        <v>42.557654067309599</v>
      </c>
      <c r="G29" s="131">
        <f t="shared" si="8"/>
        <v>43.723717344090765</v>
      </c>
      <c r="H29" s="131">
        <f t="shared" si="8"/>
        <v>47.77640713332211</v>
      </c>
      <c r="I29" s="131">
        <f t="shared" si="8"/>
        <v>45.914258402211246</v>
      </c>
      <c r="J29" s="131">
        <f t="shared" si="8"/>
        <v>40.548717346805205</v>
      </c>
      <c r="K29" s="131">
        <f t="shared" si="8"/>
        <v>5.4554559373973177</v>
      </c>
      <c r="L29" s="131">
        <f t="shared" si="8"/>
        <v>26.896590098811458</v>
      </c>
      <c r="M29" s="131">
        <f t="shared" si="8"/>
        <v>11.138680305309931</v>
      </c>
      <c r="N29" s="131">
        <f t="shared" si="8"/>
        <v>20.371829604366667</v>
      </c>
      <c r="O29" s="131">
        <f t="shared" si="8"/>
        <v>5.7514984701353047</v>
      </c>
      <c r="P29" s="131">
        <f t="shared" si="8"/>
        <v>17.813709350945764</v>
      </c>
      <c r="Q29" s="131">
        <f t="shared" si="8"/>
        <v>24.832319421970325</v>
      </c>
      <c r="R29" s="131">
        <f t="shared" ref="R29:W29" si="9">SUM(R30:R33)</f>
        <v>25.972343056341447</v>
      </c>
      <c r="S29" s="131">
        <f t="shared" si="9"/>
        <v>21.907470975269995</v>
      </c>
      <c r="T29" s="131">
        <f t="shared" si="9"/>
        <v>22.032903994436278</v>
      </c>
      <c r="U29" s="131">
        <f t="shared" si="9"/>
        <v>21.263872638208504</v>
      </c>
      <c r="V29" s="131">
        <f t="shared" si="9"/>
        <v>17.646733429618244</v>
      </c>
      <c r="W29" s="131">
        <f t="shared" si="9"/>
        <v>19.441610250443588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6.9570264332987026</v>
      </c>
      <c r="D30" s="133">
        <v>6.4052980263867285</v>
      </c>
      <c r="E30" s="133">
        <v>5.9408782055445073</v>
      </c>
      <c r="F30" s="133">
        <v>4.235947677694373</v>
      </c>
      <c r="G30" s="133">
        <v>2.2491379341601356</v>
      </c>
      <c r="H30" s="133">
        <v>2.0281922554180967</v>
      </c>
      <c r="I30" s="133">
        <v>4.2792944513406805</v>
      </c>
      <c r="J30" s="133">
        <v>4.9558191289187397</v>
      </c>
      <c r="K30" s="133">
        <v>0.67291279948839633</v>
      </c>
      <c r="L30" s="133">
        <v>2.3350634805454722</v>
      </c>
      <c r="M30" s="133">
        <v>0.24507841148656806</v>
      </c>
      <c r="N30" s="133">
        <v>0.83084671819434586</v>
      </c>
      <c r="O30" s="133">
        <v>0.48023341403972797</v>
      </c>
      <c r="P30" s="133">
        <v>0.77158038125174322</v>
      </c>
      <c r="Q30" s="133">
        <v>4.1506239391360511</v>
      </c>
      <c r="R30" s="133">
        <v>6.1104554971189282</v>
      </c>
      <c r="S30" s="133">
        <v>2.4818488746445606</v>
      </c>
      <c r="T30" s="133">
        <v>0.93087037742410783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7.4866993211693078</v>
      </c>
      <c r="D31" s="133">
        <v>5.1950731138711559</v>
      </c>
      <c r="E31" s="133">
        <v>7.9519118719269786</v>
      </c>
      <c r="F31" s="133">
        <v>17.74835664910897</v>
      </c>
      <c r="G31" s="133">
        <v>15.941774487282554</v>
      </c>
      <c r="H31" s="133">
        <v>15.385276783995142</v>
      </c>
      <c r="I31" s="133">
        <v>10.633583983293402</v>
      </c>
      <c r="J31" s="133">
        <v>9.0654845636705108</v>
      </c>
      <c r="K31" s="133">
        <v>1.5110524324226664</v>
      </c>
      <c r="L31" s="133">
        <v>8.0137737473511166</v>
      </c>
      <c r="M31" s="133">
        <v>5.7443835628116702</v>
      </c>
      <c r="N31" s="133">
        <v>15.070313654153709</v>
      </c>
      <c r="O31" s="133">
        <v>5.2712650560955767</v>
      </c>
      <c r="P31" s="133">
        <v>17.042128969694023</v>
      </c>
      <c r="Q31" s="133">
        <v>20.681695482834275</v>
      </c>
      <c r="R31" s="133">
        <v>16.36777158309738</v>
      </c>
      <c r="S31" s="133">
        <v>9.7531508194711645</v>
      </c>
      <c r="T31" s="133">
        <v>2.6617822105501778</v>
      </c>
      <c r="U31" s="133">
        <v>7.4740110814578156</v>
      </c>
      <c r="V31" s="133">
        <v>13.150506522622077</v>
      </c>
      <c r="W31" s="133">
        <v>11.12205889007655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19.94616899715859</v>
      </c>
      <c r="D33" s="68">
        <v>21.211293686342135</v>
      </c>
      <c r="E33" s="68">
        <v>23.576124958305908</v>
      </c>
      <c r="F33" s="68">
        <v>20.573349740506252</v>
      </c>
      <c r="G33" s="68">
        <v>25.532804922648076</v>
      </c>
      <c r="H33" s="68">
        <v>30.36293809390887</v>
      </c>
      <c r="I33" s="68">
        <v>31.001379967577165</v>
      </c>
      <c r="J33" s="68">
        <v>26.527413654215959</v>
      </c>
      <c r="K33" s="68">
        <v>3.2714907054862556</v>
      </c>
      <c r="L33" s="68">
        <v>16.54775287091487</v>
      </c>
      <c r="M33" s="68">
        <v>5.149218331011693</v>
      </c>
      <c r="N33" s="68">
        <v>4.4706692320186132</v>
      </c>
      <c r="O33" s="68">
        <v>0</v>
      </c>
      <c r="P33" s="68">
        <v>0</v>
      </c>
      <c r="Q33" s="68">
        <v>0</v>
      </c>
      <c r="R33" s="68">
        <v>3.4941159761251392</v>
      </c>
      <c r="S33" s="68">
        <v>9.6724712811542712</v>
      </c>
      <c r="T33" s="68">
        <v>18.440251406461993</v>
      </c>
      <c r="U33" s="68">
        <v>13.789861556750687</v>
      </c>
      <c r="V33" s="68">
        <v>4.4962269069961671</v>
      </c>
      <c r="W33" s="68">
        <v>8.3195513603670399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153.41222563262843</v>
      </c>
      <c r="D3" s="126">
        <f t="shared" si="0"/>
        <v>140.17953096382638</v>
      </c>
      <c r="E3" s="126">
        <f t="shared" si="0"/>
        <v>138.53983194975083</v>
      </c>
      <c r="F3" s="126">
        <f t="shared" si="0"/>
        <v>179.7361743525706</v>
      </c>
      <c r="G3" s="126">
        <f t="shared" si="0"/>
        <v>193.47538778763266</v>
      </c>
      <c r="H3" s="126">
        <f t="shared" si="0"/>
        <v>285.9108557336553</v>
      </c>
      <c r="I3" s="126">
        <f t="shared" si="0"/>
        <v>195.31133886272394</v>
      </c>
      <c r="J3" s="126">
        <f t="shared" si="0"/>
        <v>174.70920453835697</v>
      </c>
      <c r="K3" s="126">
        <f t="shared" si="0"/>
        <v>26.029058312244249</v>
      </c>
      <c r="L3" s="126">
        <f t="shared" si="0"/>
        <v>128.10421178736104</v>
      </c>
      <c r="M3" s="126">
        <f t="shared" si="0"/>
        <v>46.697571367801061</v>
      </c>
      <c r="N3" s="126">
        <f t="shared" si="0"/>
        <v>90.560504596425801</v>
      </c>
      <c r="O3" s="126">
        <f t="shared" si="0"/>
        <v>22.443071248027703</v>
      </c>
      <c r="P3" s="126">
        <f t="shared" si="0"/>
        <v>50.939682213093356</v>
      </c>
      <c r="Q3" s="126">
        <f t="shared" si="0"/>
        <v>91.187069052312665</v>
      </c>
      <c r="R3" s="126">
        <f t="shared" ref="R3:W3" si="1">SUM(R4,R16,R19,R29)</f>
        <v>102.89605129787267</v>
      </c>
      <c r="S3" s="126">
        <f t="shared" si="1"/>
        <v>112.02821976204199</v>
      </c>
      <c r="T3" s="126">
        <f t="shared" si="1"/>
        <v>96.594139271294949</v>
      </c>
      <c r="U3" s="126">
        <f t="shared" si="1"/>
        <v>91.469091376586505</v>
      </c>
      <c r="V3" s="126">
        <f t="shared" si="1"/>
        <v>87.48094908579435</v>
      </c>
      <c r="W3" s="126">
        <f t="shared" si="1"/>
        <v>80.981377429941915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29.879124854582471</v>
      </c>
      <c r="D4" s="131">
        <f t="shared" si="2"/>
        <v>25.416456678901302</v>
      </c>
      <c r="E4" s="131">
        <f t="shared" si="2"/>
        <v>30.706819866885017</v>
      </c>
      <c r="F4" s="131">
        <f t="shared" si="2"/>
        <v>26.114423021423054</v>
      </c>
      <c r="G4" s="131">
        <f t="shared" si="2"/>
        <v>27.605216367439539</v>
      </c>
      <c r="H4" s="131">
        <f t="shared" si="2"/>
        <v>92.032283041078216</v>
      </c>
      <c r="I4" s="131">
        <f t="shared" si="2"/>
        <v>43.677053302795734</v>
      </c>
      <c r="J4" s="131">
        <f t="shared" si="2"/>
        <v>39.904864559809425</v>
      </c>
      <c r="K4" s="131">
        <f t="shared" si="2"/>
        <v>5.0856598951672618</v>
      </c>
      <c r="L4" s="131">
        <f t="shared" si="2"/>
        <v>30.43932731090872</v>
      </c>
      <c r="M4" s="131">
        <f t="shared" si="2"/>
        <v>10.754365430299243</v>
      </c>
      <c r="N4" s="131">
        <f t="shared" si="2"/>
        <v>17.43688457247957</v>
      </c>
      <c r="O4" s="131">
        <f t="shared" si="2"/>
        <v>4.4965817477941039</v>
      </c>
      <c r="P4" s="131">
        <f t="shared" si="2"/>
        <v>7.4205991504200908</v>
      </c>
      <c r="Q4" s="131">
        <f t="shared" si="2"/>
        <v>11.286052866968545</v>
      </c>
      <c r="R4" s="131">
        <f t="shared" ref="R4:W4" si="3">SUM(R5:R15)</f>
        <v>14.156522899712172</v>
      </c>
      <c r="S4" s="131">
        <f t="shared" si="3"/>
        <v>15.974123834951801</v>
      </c>
      <c r="T4" s="131">
        <f t="shared" si="3"/>
        <v>17.93970862537109</v>
      </c>
      <c r="U4" s="131">
        <f t="shared" si="3"/>
        <v>17.408405376870007</v>
      </c>
      <c r="V4" s="131">
        <f t="shared" si="3"/>
        <v>15.664085619295058</v>
      </c>
      <c r="W4" s="131">
        <f t="shared" si="3"/>
        <v>17.250789196558689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28.21037331226136</v>
      </c>
      <c r="D7" s="133">
        <v>23.931993887951357</v>
      </c>
      <c r="E7" s="133">
        <v>29.008557826367245</v>
      </c>
      <c r="F7" s="133">
        <v>15.230606422360303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6.8073589376451782</v>
      </c>
      <c r="M7" s="133">
        <v>5.7392392488571762</v>
      </c>
      <c r="N7" s="133">
        <v>9.4915989260633289</v>
      </c>
      <c r="O7" s="133">
        <v>2.8337535160436835</v>
      </c>
      <c r="P7" s="133">
        <v>0.4781944802796404</v>
      </c>
      <c r="Q7" s="133">
        <v>0.44764715013923567</v>
      </c>
      <c r="R7" s="133">
        <v>2.9795900603069287</v>
      </c>
      <c r="S7" s="133">
        <v>5.4346638264690004</v>
      </c>
      <c r="T7" s="133">
        <v>5.2783583325779535</v>
      </c>
      <c r="U7" s="133">
        <v>0.74798883239154434</v>
      </c>
      <c r="V7" s="133">
        <v>0</v>
      </c>
      <c r="W7" s="133">
        <v>0.11585882609400007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2.0924343308094521E-3</v>
      </c>
      <c r="D8" s="133">
        <v>2.7030485128431694E-3</v>
      </c>
      <c r="E8" s="133">
        <v>4.3370299974712957E-3</v>
      </c>
      <c r="F8" s="133">
        <v>1.142864026120788E-2</v>
      </c>
      <c r="G8" s="133">
        <v>1.9331706912622513E-2</v>
      </c>
      <c r="H8" s="133">
        <v>1.8316282525845773E-2</v>
      </c>
      <c r="I8" s="133">
        <v>3.8492773999377436E-2</v>
      </c>
      <c r="J8" s="133">
        <v>2.2283419212383904E-2</v>
      </c>
      <c r="K8" s="133">
        <v>5.317162259286602E-3</v>
      </c>
      <c r="L8" s="133">
        <v>4.9737902735355867E-2</v>
      </c>
      <c r="M8" s="133">
        <v>3.8853219965907022E-2</v>
      </c>
      <c r="N8" s="133">
        <v>0.14575186282938249</v>
      </c>
      <c r="O8" s="133">
        <v>6.1215157131336677E-2</v>
      </c>
      <c r="P8" s="133">
        <v>0.36610867326567159</v>
      </c>
      <c r="Q8" s="133">
        <v>0.45845498018388575</v>
      </c>
      <c r="R8" s="133">
        <v>0.48931729985528766</v>
      </c>
      <c r="S8" s="133">
        <v>0.34961348331807318</v>
      </c>
      <c r="T8" s="133">
        <v>0.37790033060532074</v>
      </c>
      <c r="U8" s="133">
        <v>0.434281413199822</v>
      </c>
      <c r="V8" s="133">
        <v>0.47455205524809929</v>
      </c>
      <c r="W8" s="133">
        <v>0.24383209334296338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0.15343790566939317</v>
      </c>
      <c r="D9" s="133">
        <v>0</v>
      </c>
      <c r="E9" s="133">
        <v>0</v>
      </c>
      <c r="F9" s="133">
        <v>1.3687830918101638</v>
      </c>
      <c r="G9" s="133">
        <v>22.282406384555216</v>
      </c>
      <c r="H9" s="133">
        <v>66.153964072608559</v>
      </c>
      <c r="I9" s="133">
        <v>19.800924737326294</v>
      </c>
      <c r="J9" s="133">
        <v>12.00887089128206</v>
      </c>
      <c r="K9" s="133">
        <v>3.2741862338274221</v>
      </c>
      <c r="L9" s="133">
        <v>20.778292677808686</v>
      </c>
      <c r="M9" s="133">
        <v>3.490640119214564</v>
      </c>
      <c r="N9" s="133">
        <v>2.5795650854088916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2.911065551585367</v>
      </c>
      <c r="U9" s="133">
        <v>6.632301519599979</v>
      </c>
      <c r="V9" s="133">
        <v>5.2877360947059833</v>
      </c>
      <c r="W9" s="133">
        <v>10.666231560178637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0.66883945643158704</v>
      </c>
      <c r="D10" s="133">
        <v>0.68373212649581538</v>
      </c>
      <c r="E10" s="133">
        <v>0.53720707051902117</v>
      </c>
      <c r="F10" s="133">
        <v>0.66919305171191767</v>
      </c>
      <c r="G10" s="133">
        <v>0.18875312234698777</v>
      </c>
      <c r="H10" s="133">
        <v>0.43033653243374087</v>
      </c>
      <c r="I10" s="133">
        <v>1.8221348942352824</v>
      </c>
      <c r="J10" s="133">
        <v>0.74413493106327433</v>
      </c>
      <c r="K10" s="133">
        <v>7.1769949473150345E-3</v>
      </c>
      <c r="L10" s="133">
        <v>0</v>
      </c>
      <c r="M10" s="133">
        <v>0.21721740065620204</v>
      </c>
      <c r="N10" s="133">
        <v>0.92128688446832274</v>
      </c>
      <c r="O10" s="133">
        <v>0.24706929624165722</v>
      </c>
      <c r="P10" s="133">
        <v>0.88088293898440673</v>
      </c>
      <c r="Q10" s="133">
        <v>0.96136049450014027</v>
      </c>
      <c r="R10" s="133">
        <v>0.69708798343015521</v>
      </c>
      <c r="S10" s="133">
        <v>0.2288768704738883</v>
      </c>
      <c r="T10" s="133">
        <v>0</v>
      </c>
      <c r="U10" s="133">
        <v>0</v>
      </c>
      <c r="V10" s="133">
        <v>1.004144695365016E-2</v>
      </c>
      <c r="W10" s="133">
        <v>0.18542849735515482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6.2511274245215877E-5</v>
      </c>
      <c r="N11" s="133">
        <v>1.1381021849937627E-3</v>
      </c>
      <c r="O11" s="133">
        <v>1.6842580527273408E-3</v>
      </c>
      <c r="P11" s="133">
        <v>1.3187854389286788E-3</v>
      </c>
      <c r="Q11" s="133">
        <v>4.2604840460084024E-4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0.27904689279436184</v>
      </c>
      <c r="D13" s="133">
        <v>0.32828261683406351</v>
      </c>
      <c r="E13" s="133">
        <v>0.60396125791482758</v>
      </c>
      <c r="F13" s="133">
        <v>0.58616735735407532</v>
      </c>
      <c r="G13" s="133">
        <v>0.96344202760214726</v>
      </c>
      <c r="H13" s="133">
        <v>0.79833519638273143</v>
      </c>
      <c r="I13" s="133">
        <v>3.6667118581428175</v>
      </c>
      <c r="J13" s="133">
        <v>4.1691317501899086</v>
      </c>
      <c r="K13" s="133">
        <v>0.61365984165022869</v>
      </c>
      <c r="L13" s="133">
        <v>2.3365283705585522</v>
      </c>
      <c r="M13" s="133">
        <v>1.1120456547238029</v>
      </c>
      <c r="N13" s="133">
        <v>4.0893460994208635</v>
      </c>
      <c r="O13" s="133">
        <v>1.304081306226583</v>
      </c>
      <c r="P13" s="133">
        <v>5.6775552344609217</v>
      </c>
      <c r="Q13" s="133">
        <v>9.40124512173543</v>
      </c>
      <c r="R13" s="133">
        <v>9.9349364448831921</v>
      </c>
      <c r="S13" s="133">
        <v>8.3053517584653864</v>
      </c>
      <c r="T13" s="133">
        <v>8.2482473015374946</v>
      </c>
      <c r="U13" s="133">
        <v>9.1939936101367312</v>
      </c>
      <c r="V13" s="133">
        <v>9.8054075697359266</v>
      </c>
      <c r="W13" s="133">
        <v>5.5248793927901554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7.9345607037734105</v>
      </c>
      <c r="G14" s="65">
        <v>3.7412679713712707</v>
      </c>
      <c r="H14" s="65">
        <v>23.432510569469404</v>
      </c>
      <c r="I14" s="65">
        <v>17.982379869192656</v>
      </c>
      <c r="J14" s="65">
        <v>22.744976169245142</v>
      </c>
      <c r="K14" s="65">
        <v>1.1290950354440932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1.5651478924921782</v>
      </c>
      <c r="T14" s="65">
        <v>0.99148641619937705</v>
      </c>
      <c r="U14" s="65">
        <v>0.28006325865604687</v>
      </c>
      <c r="V14" s="65">
        <v>0</v>
      </c>
      <c r="W14" s="65">
        <v>0.3404882270067684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0.56533485309496101</v>
      </c>
      <c r="D15" s="135">
        <v>0.46974499910722256</v>
      </c>
      <c r="E15" s="135">
        <v>0.55275668208644979</v>
      </c>
      <c r="F15" s="135">
        <v>0.3136837541519743</v>
      </c>
      <c r="G15" s="135">
        <v>0.41001515465128979</v>
      </c>
      <c r="H15" s="135">
        <v>1.1988203876579335</v>
      </c>
      <c r="I15" s="135">
        <v>0.366409169899305</v>
      </c>
      <c r="J15" s="135">
        <v>0.21546739881665744</v>
      </c>
      <c r="K15" s="135">
        <v>5.6224627038916022E-2</v>
      </c>
      <c r="L15" s="135">
        <v>0.4674094221609445</v>
      </c>
      <c r="M15" s="135">
        <v>0.15630727560734664</v>
      </c>
      <c r="N15" s="135">
        <v>0.20819761210378665</v>
      </c>
      <c r="O15" s="135">
        <v>4.877821409811612E-2</v>
      </c>
      <c r="P15" s="135">
        <v>1.6539037990521522E-2</v>
      </c>
      <c r="Q15" s="135">
        <v>1.6919072005253704E-2</v>
      </c>
      <c r="R15" s="135">
        <v>5.5591111236608287E-2</v>
      </c>
      <c r="S15" s="135">
        <v>9.047000373327431E-2</v>
      </c>
      <c r="T15" s="135">
        <v>0.13265069286557873</v>
      </c>
      <c r="U15" s="135">
        <v>0.11977674288588545</v>
      </c>
      <c r="V15" s="135">
        <v>8.634845265139833E-2</v>
      </c>
      <c r="W15" s="135">
        <v>0.17407059979100939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84.334449663821601</v>
      </c>
      <c r="D16" s="131">
        <f t="shared" si="4"/>
        <v>75.165386982500024</v>
      </c>
      <c r="E16" s="131">
        <f t="shared" si="4"/>
        <v>61.13992862655688</v>
      </c>
      <c r="F16" s="131">
        <f t="shared" si="4"/>
        <v>104.12771920933012</v>
      </c>
      <c r="G16" s="131">
        <f t="shared" si="4"/>
        <v>114.8991751595223</v>
      </c>
      <c r="H16" s="131">
        <f t="shared" si="4"/>
        <v>133.87976818286518</v>
      </c>
      <c r="I16" s="131">
        <f t="shared" si="4"/>
        <v>95.84070597592536</v>
      </c>
      <c r="J16" s="131">
        <f t="shared" si="4"/>
        <v>86.327270039726301</v>
      </c>
      <c r="K16" s="131">
        <f t="shared" si="4"/>
        <v>14.487401521504248</v>
      </c>
      <c r="L16" s="131">
        <f t="shared" si="4"/>
        <v>65.834127658740229</v>
      </c>
      <c r="M16" s="131">
        <f t="shared" si="4"/>
        <v>23.253820892376666</v>
      </c>
      <c r="N16" s="131">
        <f t="shared" si="4"/>
        <v>50.918920658459236</v>
      </c>
      <c r="O16" s="131">
        <f t="shared" si="4"/>
        <v>11.806514651902104</v>
      </c>
      <c r="P16" s="131">
        <f t="shared" si="4"/>
        <v>26.181461968903186</v>
      </c>
      <c r="Q16" s="131">
        <f t="shared" si="4"/>
        <v>55.989033549017847</v>
      </c>
      <c r="R16" s="131">
        <f t="shared" ref="R16:W16" si="5">SUM(R17:R18)</f>
        <v>62.172128637379011</v>
      </c>
      <c r="S16" s="131">
        <f t="shared" si="5"/>
        <v>70.760860249407614</v>
      </c>
      <c r="T16" s="131">
        <f t="shared" si="5"/>
        <v>50.325082057856079</v>
      </c>
      <c r="U16" s="131">
        <f t="shared" si="5"/>
        <v>47.890518521443944</v>
      </c>
      <c r="V16" s="131">
        <f t="shared" si="5"/>
        <v>51.365335458592689</v>
      </c>
      <c r="W16" s="131">
        <f t="shared" si="5"/>
        <v>40.772857579382737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6.66119338526866E-2</v>
      </c>
      <c r="D17" s="133">
        <v>3.5422597349289368E-2</v>
      </c>
      <c r="E17" s="133">
        <v>0.29982836241488725</v>
      </c>
      <c r="F17" s="133">
        <v>0.10192278955884568</v>
      </c>
      <c r="G17" s="133">
        <v>0.14299991530571945</v>
      </c>
      <c r="H17" s="133">
        <v>0.1342103799670599</v>
      </c>
      <c r="I17" s="133">
        <v>0.17013205280010318</v>
      </c>
      <c r="J17" s="133">
        <v>0.17918007544438039</v>
      </c>
      <c r="K17" s="133">
        <v>2.894299980281078E-2</v>
      </c>
      <c r="L17" s="133">
        <v>0.17747494394507204</v>
      </c>
      <c r="M17" s="133">
        <v>7.3640543227683292E-2</v>
      </c>
      <c r="N17" s="133">
        <v>0.15872583248204644</v>
      </c>
      <c r="O17" s="133">
        <v>7.5819551755798603E-2</v>
      </c>
      <c r="P17" s="133">
        <v>0.10203823289892343</v>
      </c>
      <c r="Q17" s="133">
        <v>0.32633214160106172</v>
      </c>
      <c r="R17" s="133">
        <v>0.41784817508887934</v>
      </c>
      <c r="S17" s="133">
        <v>0.36893443469561987</v>
      </c>
      <c r="T17" s="133">
        <v>0.47886395455728203</v>
      </c>
      <c r="U17" s="133">
        <v>0.28212625051211654</v>
      </c>
      <c r="V17" s="133">
        <v>0.42517001024383833</v>
      </c>
      <c r="W17" s="133">
        <v>8.4810603287082648E-2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84.267837729968917</v>
      </c>
      <c r="D18" s="133">
        <v>75.129964385150728</v>
      </c>
      <c r="E18" s="133">
        <v>60.840100264141995</v>
      </c>
      <c r="F18" s="133">
        <v>104.02579641977128</v>
      </c>
      <c r="G18" s="133">
        <v>114.75617524421658</v>
      </c>
      <c r="H18" s="133">
        <v>133.74555780289811</v>
      </c>
      <c r="I18" s="133">
        <v>95.670573923125261</v>
      </c>
      <c r="J18" s="133">
        <v>86.148089964281922</v>
      </c>
      <c r="K18" s="133">
        <v>14.458458521701438</v>
      </c>
      <c r="L18" s="133">
        <v>65.656652714795158</v>
      </c>
      <c r="M18" s="133">
        <v>23.180180349148984</v>
      </c>
      <c r="N18" s="133">
        <v>50.760194825977187</v>
      </c>
      <c r="O18" s="133">
        <v>11.730695100146304</v>
      </c>
      <c r="P18" s="133">
        <v>26.079423736004262</v>
      </c>
      <c r="Q18" s="133">
        <v>55.662701407416783</v>
      </c>
      <c r="R18" s="133">
        <v>61.754280462290133</v>
      </c>
      <c r="S18" s="133">
        <v>70.391925814711996</v>
      </c>
      <c r="T18" s="133">
        <v>49.846218103298796</v>
      </c>
      <c r="U18" s="133">
        <v>47.60839227093183</v>
      </c>
      <c r="V18" s="133">
        <v>50.94016544834885</v>
      </c>
      <c r="W18" s="133">
        <v>40.688046976095656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17.293023614011748</v>
      </c>
      <c r="D19" s="131">
        <f t="shared" si="6"/>
        <v>18.275682473007535</v>
      </c>
      <c r="E19" s="131">
        <f t="shared" si="6"/>
        <v>22.390794788231808</v>
      </c>
      <c r="F19" s="131">
        <f t="shared" si="6"/>
        <v>22.878111946341036</v>
      </c>
      <c r="G19" s="131">
        <f t="shared" si="6"/>
        <v>22.797597887680087</v>
      </c>
      <c r="H19" s="131">
        <f t="shared" si="6"/>
        <v>28.710027103453491</v>
      </c>
      <c r="I19" s="131">
        <f t="shared" si="6"/>
        <v>25.336778001552016</v>
      </c>
      <c r="J19" s="131">
        <f t="shared" si="6"/>
        <v>21.658090031765486</v>
      </c>
      <c r="K19" s="131">
        <f t="shared" si="6"/>
        <v>2.8898034878916112</v>
      </c>
      <c r="L19" s="131">
        <f t="shared" si="6"/>
        <v>14.120999153926943</v>
      </c>
      <c r="M19" s="131">
        <f t="shared" si="6"/>
        <v>5.6342627218759773</v>
      </c>
      <c r="N19" s="131">
        <f t="shared" si="6"/>
        <v>10.17197474807865</v>
      </c>
      <c r="O19" s="131">
        <f t="shared" si="6"/>
        <v>2.9759808035198225</v>
      </c>
      <c r="P19" s="131">
        <f t="shared" si="6"/>
        <v>7.5360509392646549</v>
      </c>
      <c r="Q19" s="131">
        <f t="shared" si="6"/>
        <v>10.256988495431903</v>
      </c>
      <c r="R19" s="131">
        <f t="shared" ref="R19:W19" si="7">SUM(R20:R27)</f>
        <v>11.434891074434789</v>
      </c>
      <c r="S19" s="131">
        <f t="shared" si="7"/>
        <v>10.816547089958293</v>
      </c>
      <c r="T19" s="131">
        <f t="shared" si="7"/>
        <v>11.400771232923672</v>
      </c>
      <c r="U19" s="131">
        <f t="shared" si="7"/>
        <v>10.501392849963498</v>
      </c>
      <c r="V19" s="131">
        <f t="shared" si="7"/>
        <v>9.0455719699956063</v>
      </c>
      <c r="W19" s="131">
        <f t="shared" si="7"/>
        <v>9.3581572653106093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0.35428468897838961</v>
      </c>
      <c r="D21" s="133">
        <v>0.33199677192018479</v>
      </c>
      <c r="E21" s="133">
        <v>0.41351917497876256</v>
      </c>
      <c r="F21" s="133">
        <v>0.28513876956536194</v>
      </c>
      <c r="G21" s="133">
        <v>0.63315049504809184</v>
      </c>
      <c r="H21" s="133">
        <v>0.80333400802142352</v>
      </c>
      <c r="I21" s="133">
        <v>0.88444810103391236</v>
      </c>
      <c r="J21" s="133">
        <v>0.73558970774703059</v>
      </c>
      <c r="K21" s="133">
        <v>0.11510210545622024</v>
      </c>
      <c r="L21" s="133">
        <v>0.57746072704539231</v>
      </c>
      <c r="M21" s="133">
        <v>0.25579523948907174</v>
      </c>
      <c r="N21" s="133">
        <v>0.46087738727484329</v>
      </c>
      <c r="O21" s="133">
        <v>0.1439800365004367</v>
      </c>
      <c r="P21" s="133">
        <v>0.24229303103150501</v>
      </c>
      <c r="Q21" s="133">
        <v>0.51169166773778996</v>
      </c>
      <c r="R21" s="133">
        <v>0.44933710204966998</v>
      </c>
      <c r="S21" s="133">
        <v>0.24281082207798096</v>
      </c>
      <c r="T21" s="133">
        <v>0</v>
      </c>
      <c r="U21" s="133">
        <v>0</v>
      </c>
      <c r="V21" s="133">
        <v>0</v>
      </c>
      <c r="W21" s="133">
        <v>1.5707400452939877E-3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3.2910007500880454</v>
      </c>
      <c r="D22" s="133">
        <v>3.0901322488707956</v>
      </c>
      <c r="E22" s="133">
        <v>4.1708345688867388</v>
      </c>
      <c r="F22" s="133">
        <v>3.5851550118344759</v>
      </c>
      <c r="G22" s="133">
        <v>4.0416730467804518</v>
      </c>
      <c r="H22" s="133">
        <v>3.019833783089056</v>
      </c>
      <c r="I22" s="133">
        <v>2.5329213923997504</v>
      </c>
      <c r="J22" s="133">
        <v>2.4155199487839134</v>
      </c>
      <c r="K22" s="133">
        <v>0.46968304885978429</v>
      </c>
      <c r="L22" s="133">
        <v>3.0411552223426535</v>
      </c>
      <c r="M22" s="133">
        <v>1.5716664100124378</v>
      </c>
      <c r="N22" s="133">
        <v>3.1751622866599476</v>
      </c>
      <c r="O22" s="133">
        <v>1.0909833632642547</v>
      </c>
      <c r="P22" s="133">
        <v>2.6299957146233814</v>
      </c>
      <c r="Q22" s="133">
        <v>5.442310024326158</v>
      </c>
      <c r="R22" s="133">
        <v>4.5431270895627316</v>
      </c>
      <c r="S22" s="133">
        <v>2.9894578689858675</v>
      </c>
      <c r="T22" s="133">
        <v>2.1922646359875291</v>
      </c>
      <c r="U22" s="133">
        <v>2.2455115975537256</v>
      </c>
      <c r="V22" s="133">
        <v>2.5638555894817316</v>
      </c>
      <c r="W22" s="133">
        <v>2.2551513207994369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2.8701257012296484</v>
      </c>
      <c r="G23" s="133">
        <v>5.859267169478418</v>
      </c>
      <c r="H23" s="133">
        <v>16.877297930158583</v>
      </c>
      <c r="I23" s="133">
        <v>9.5450793051906828</v>
      </c>
      <c r="J23" s="133">
        <v>5.0217919759197569</v>
      </c>
      <c r="K23" s="133">
        <v>0.37562950204787315</v>
      </c>
      <c r="L23" s="133">
        <v>2.1596985276547085</v>
      </c>
      <c r="M23" s="133">
        <v>1.1951989448193672</v>
      </c>
      <c r="N23" s="133">
        <v>3.4647897553156679</v>
      </c>
      <c r="O23" s="133">
        <v>1.2389964332056271</v>
      </c>
      <c r="P23" s="133">
        <v>3.2136559038866244</v>
      </c>
      <c r="Q23" s="133">
        <v>1.1809581793856361</v>
      </c>
      <c r="R23" s="133">
        <v>1.9863476758472134</v>
      </c>
      <c r="S23" s="133">
        <v>2.1375213140099207</v>
      </c>
      <c r="T23" s="133">
        <v>3.21817705575975</v>
      </c>
      <c r="U23" s="133">
        <v>4.4193658960390989</v>
      </c>
      <c r="V23" s="133">
        <v>4.6022056552025781</v>
      </c>
      <c r="W23" s="133">
        <v>4.5123692134440869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11.098271747715405</v>
      </c>
      <c r="D26" s="65">
        <v>14.245970910382008</v>
      </c>
      <c r="E26" s="65">
        <v>14.99646394724757</v>
      </c>
      <c r="F26" s="65">
        <v>13.648363159310106</v>
      </c>
      <c r="G26" s="65">
        <v>8.5595972212934619</v>
      </c>
      <c r="H26" s="65">
        <v>4.2989893305029172</v>
      </c>
      <c r="I26" s="65">
        <v>10.261078445016473</v>
      </c>
      <c r="J26" s="65">
        <v>9.2110032843112659</v>
      </c>
      <c r="K26" s="65">
        <v>0.11802794442441039</v>
      </c>
      <c r="L26" s="65">
        <v>4.5210368928917859</v>
      </c>
      <c r="M26" s="65">
        <v>0.30707584693398676</v>
      </c>
      <c r="N26" s="65">
        <v>0.23176409103553747</v>
      </c>
      <c r="O26" s="65">
        <v>0.46271958086918247</v>
      </c>
      <c r="P26" s="65">
        <v>0</v>
      </c>
      <c r="Q26" s="65">
        <v>2.7494413351534033E-2</v>
      </c>
      <c r="R26" s="65">
        <v>0.56674929683745578</v>
      </c>
      <c r="S26" s="65">
        <v>5.072425924896027E-2</v>
      </c>
      <c r="T26" s="65">
        <v>5.187567458371241</v>
      </c>
      <c r="U26" s="65">
        <v>0.29668156384815991</v>
      </c>
      <c r="V26" s="65">
        <v>1.2796397744967969E-2</v>
      </c>
      <c r="W26" s="65">
        <v>2.5890659910217266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2.5494664272299081</v>
      </c>
      <c r="D27" s="148">
        <v>0.6075825418345463</v>
      </c>
      <c r="E27" s="148">
        <v>2.8099770971187383</v>
      </c>
      <c r="F27" s="148">
        <v>2.4893293044014428</v>
      </c>
      <c r="G27" s="148">
        <v>3.7039099550796633</v>
      </c>
      <c r="H27" s="148">
        <v>3.7105720516815137</v>
      </c>
      <c r="I27" s="148">
        <v>2.1132507579112003</v>
      </c>
      <c r="J27" s="148">
        <v>4.2741851150035179</v>
      </c>
      <c r="K27" s="148">
        <v>1.8113608871033233</v>
      </c>
      <c r="L27" s="148">
        <v>3.8216477839924043</v>
      </c>
      <c r="M27" s="148">
        <v>2.3045262806211135</v>
      </c>
      <c r="N27" s="148">
        <v>2.8393812277926536</v>
      </c>
      <c r="O27" s="148">
        <v>3.9301389680321965E-2</v>
      </c>
      <c r="P27" s="148">
        <v>1.4501062897231445</v>
      </c>
      <c r="Q27" s="148">
        <v>3.0945342106307847</v>
      </c>
      <c r="R27" s="148">
        <v>3.8893299101377194</v>
      </c>
      <c r="S27" s="148">
        <v>5.3960328256355643</v>
      </c>
      <c r="T27" s="148">
        <v>0.8027620828051526</v>
      </c>
      <c r="U27" s="148">
        <v>3.539833792522515</v>
      </c>
      <c r="V27" s="148">
        <v>1.8667143275663296</v>
      </c>
      <c r="W27" s="148">
        <v>6.4174428847434891E-14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21.90562750021261</v>
      </c>
      <c r="D29" s="131">
        <f t="shared" si="8"/>
        <v>21.322004829417537</v>
      </c>
      <c r="E29" s="131">
        <f t="shared" si="8"/>
        <v>24.302288668077132</v>
      </c>
      <c r="F29" s="131">
        <f t="shared" si="8"/>
        <v>26.615920175476361</v>
      </c>
      <c r="G29" s="131">
        <f t="shared" si="8"/>
        <v>28.17339837299069</v>
      </c>
      <c r="H29" s="131">
        <f t="shared" si="8"/>
        <v>31.288777406258443</v>
      </c>
      <c r="I29" s="131">
        <f t="shared" si="8"/>
        <v>30.456801582450844</v>
      </c>
      <c r="J29" s="131">
        <f t="shared" si="8"/>
        <v>26.818979907055777</v>
      </c>
      <c r="K29" s="131">
        <f t="shared" si="8"/>
        <v>3.566193407681125</v>
      </c>
      <c r="L29" s="131">
        <f t="shared" si="8"/>
        <v>17.70975766378514</v>
      </c>
      <c r="M29" s="131">
        <f t="shared" si="8"/>
        <v>7.0551223232491722</v>
      </c>
      <c r="N29" s="131">
        <f t="shared" si="8"/>
        <v>12.03272461740834</v>
      </c>
      <c r="O29" s="131">
        <f t="shared" si="8"/>
        <v>3.1639940448116728</v>
      </c>
      <c r="P29" s="131">
        <f t="shared" si="8"/>
        <v>9.8015701545054288</v>
      </c>
      <c r="Q29" s="131">
        <f t="shared" si="8"/>
        <v>13.654994140894372</v>
      </c>
      <c r="R29" s="131">
        <f t="shared" ref="R29:W29" si="9">SUM(R30:R33)</f>
        <v>15.1325086863467</v>
      </c>
      <c r="S29" s="131">
        <f t="shared" si="9"/>
        <v>14.476688587724286</v>
      </c>
      <c r="T29" s="131">
        <f t="shared" si="9"/>
        <v>16.928577355144096</v>
      </c>
      <c r="U29" s="131">
        <f t="shared" si="9"/>
        <v>15.668774628309071</v>
      </c>
      <c r="V29" s="131">
        <f t="shared" si="9"/>
        <v>11.405956037910999</v>
      </c>
      <c r="W29" s="131">
        <f t="shared" si="9"/>
        <v>13.59957338868988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3.7321118085223715</v>
      </c>
      <c r="D30" s="133">
        <v>3.444122002912736</v>
      </c>
      <c r="E30" s="133">
        <v>3.2017065427444673</v>
      </c>
      <c r="F30" s="133">
        <v>2.2880681889298402</v>
      </c>
      <c r="G30" s="133">
        <v>1.2176058815671562</v>
      </c>
      <c r="H30" s="133">
        <v>1.1004194432878485</v>
      </c>
      <c r="I30" s="133">
        <v>2.3268231896458711</v>
      </c>
      <c r="J30" s="133">
        <v>2.7003579096248447</v>
      </c>
      <c r="K30" s="133">
        <v>0.36740298763397838</v>
      </c>
      <c r="L30" s="133">
        <v>1.2773845057611055</v>
      </c>
      <c r="M30" s="133">
        <v>0.13420814178046125</v>
      </c>
      <c r="N30" s="133">
        <v>0.45498252366210151</v>
      </c>
      <c r="O30" s="133">
        <v>0.26298209511077691</v>
      </c>
      <c r="P30" s="133">
        <v>0.42252750282630119</v>
      </c>
      <c r="Q30" s="133">
        <v>2.272935925780136</v>
      </c>
      <c r="R30" s="133">
        <v>3.368100056473827</v>
      </c>
      <c r="S30" s="133">
        <v>1.3825704167770716</v>
      </c>
      <c r="T30" s="133">
        <v>0.52493743097712531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4.0373203474033232</v>
      </c>
      <c r="D31" s="133">
        <v>2.807954412746628</v>
      </c>
      <c r="E31" s="133">
        <v>4.3077376583523357</v>
      </c>
      <c r="F31" s="133">
        <v>9.6363158960379458</v>
      </c>
      <c r="G31" s="133">
        <v>8.6746052638197515</v>
      </c>
      <c r="H31" s="133">
        <v>8.3900580934657683</v>
      </c>
      <c r="I31" s="133">
        <v>5.8112523085593413</v>
      </c>
      <c r="J31" s="133">
        <v>4.9646022107357819</v>
      </c>
      <c r="K31" s="133">
        <v>0.82916345559192195</v>
      </c>
      <c r="L31" s="133">
        <v>4.4058167185267934</v>
      </c>
      <c r="M31" s="133">
        <v>3.1613901372900166</v>
      </c>
      <c r="N31" s="133">
        <v>8.2938648561951158</v>
      </c>
      <c r="O31" s="133">
        <v>2.9010119497008957</v>
      </c>
      <c r="P31" s="133">
        <v>9.3790426516791268</v>
      </c>
      <c r="Q31" s="133">
        <v>11.382058215114236</v>
      </c>
      <c r="R31" s="133">
        <v>9.06623703715095</v>
      </c>
      <c r="S31" s="133">
        <v>5.4591764221796515</v>
      </c>
      <c r="T31" s="133">
        <v>1.5079863540664711</v>
      </c>
      <c r="U31" s="133">
        <v>4.2868932422446182</v>
      </c>
      <c r="V31" s="133">
        <v>7.6289830989980736</v>
      </c>
      <c r="W31" s="133">
        <v>6.5197292072372646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14.136195344286916</v>
      </c>
      <c r="D33" s="68">
        <v>15.069928413758173</v>
      </c>
      <c r="E33" s="68">
        <v>16.792844466980331</v>
      </c>
      <c r="F33" s="68">
        <v>14.691536090508576</v>
      </c>
      <c r="G33" s="68">
        <v>18.28118722760378</v>
      </c>
      <c r="H33" s="68">
        <v>21.798299869504827</v>
      </c>
      <c r="I33" s="68">
        <v>22.318726084245633</v>
      </c>
      <c r="J33" s="68">
        <v>19.154019786695152</v>
      </c>
      <c r="K33" s="68">
        <v>2.3696269644552248</v>
      </c>
      <c r="L33" s="68">
        <v>12.026556439497242</v>
      </c>
      <c r="M33" s="68">
        <v>3.7595240441786939</v>
      </c>
      <c r="N33" s="68">
        <v>3.2838772375511218</v>
      </c>
      <c r="O33" s="68">
        <v>0</v>
      </c>
      <c r="P33" s="68">
        <v>0</v>
      </c>
      <c r="Q33" s="68">
        <v>0</v>
      </c>
      <c r="R33" s="68">
        <v>2.6981715927219243</v>
      </c>
      <c r="S33" s="68">
        <v>7.6349417487675622</v>
      </c>
      <c r="T33" s="68">
        <v>14.8956535701005</v>
      </c>
      <c r="U33" s="68">
        <v>11.381881386064453</v>
      </c>
      <c r="V33" s="68">
        <v>3.7769729389129254</v>
      </c>
      <c r="W33" s="68">
        <v>7.0798441814526143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0.93711622897417768</v>
      </c>
      <c r="D3" s="127">
        <f>IF(SER_hh_tes_in!D3=0,"",SER_hh_tes_in!D3/SER_hh_fec_in!D3)</f>
        <v>0.93793084253124914</v>
      </c>
      <c r="E3" s="127">
        <f>IF(SER_hh_tes_in!E3=0,"",SER_hh_tes_in!E3/SER_hh_fec_in!E3)</f>
        <v>0.8523139171166989</v>
      </c>
      <c r="F3" s="127">
        <f>IF(SER_hh_tes_in!F3=0,"",SER_hh_tes_in!F3/SER_hh_fec_in!F3)</f>
        <v>1.048274323021765</v>
      </c>
      <c r="G3" s="127">
        <f>IF(SER_hh_tes_in!G3=0,"",SER_hh_tes_in!G3/SER_hh_fec_in!G3)</f>
        <v>1.1099261984858488</v>
      </c>
      <c r="H3" s="127">
        <f>IF(SER_hh_tes_in!H3=0,"",SER_hh_tes_in!H3/SER_hh_fec_in!H3)</f>
        <v>0.94936215233444454</v>
      </c>
      <c r="I3" s="127">
        <f>IF(SER_hh_tes_in!I3=0,"",SER_hh_tes_in!I3/SER_hh_fec_in!I3)</f>
        <v>1.0220010608498102</v>
      </c>
      <c r="J3" s="127">
        <f>IF(SER_hh_tes_in!J3=0,"",SER_hh_tes_in!J3/SER_hh_fec_in!J3)</f>
        <v>1.0660875170798445</v>
      </c>
      <c r="K3" s="127">
        <f>IF(SER_hh_tes_in!K3=0,"",SER_hh_tes_in!K3/SER_hh_fec_in!K3)</f>
        <v>1.1845961344959739</v>
      </c>
      <c r="L3" s="127">
        <f>IF(SER_hh_tes_in!L3=0,"",SER_hh_tes_in!L3/SER_hh_fec_in!L3)</f>
        <v>1.0648608751477842</v>
      </c>
      <c r="M3" s="127">
        <f>IF(SER_hh_tes_in!M3=0,"",SER_hh_tes_in!M3/SER_hh_fec_in!M3)</f>
        <v>1.04845594666598</v>
      </c>
      <c r="N3" s="127">
        <f>IF(SER_hh_tes_in!N3=0,"",SER_hh_tes_in!N3/SER_hh_fec_in!N3)</f>
        <v>1.1759962376721333</v>
      </c>
      <c r="O3" s="127">
        <f>IF(SER_hh_tes_in!O3=0,"",SER_hh_tes_in!O3/SER_hh_fec_in!O3)</f>
        <v>1.120300865696624</v>
      </c>
      <c r="P3" s="127">
        <f>IF(SER_hh_tes_in!P3=0,"",SER_hh_tes_in!P3/SER_hh_fec_in!P3)</f>
        <v>1.242882397941983</v>
      </c>
      <c r="Q3" s="127">
        <f>IF(SER_hh_tes_in!Q3=0,"",SER_hh_tes_in!Q3/SER_hh_fec_in!Q3)</f>
        <v>1.5004503776361839</v>
      </c>
      <c r="R3" s="127">
        <f>IF(SER_hh_tes_in!R3=0,"",SER_hh_tes_in!R3/SER_hh_fec_in!R3)</f>
        <v>1.5217672149613626</v>
      </c>
      <c r="S3" s="127">
        <f>IF(SER_hh_tes_in!S3=0,"",SER_hh_tes_in!S3/SER_hh_fec_in!S3)</f>
        <v>1.6456239189037096</v>
      </c>
      <c r="T3" s="127">
        <f>IF(SER_hh_tes_in!T3=0,"",SER_hh_tes_in!T3/SER_hh_fec_in!T3)</f>
        <v>1.4528588474121644</v>
      </c>
      <c r="U3" s="127">
        <f>IF(SER_hh_tes_in!U3=0,"",SER_hh_tes_in!U3/SER_hh_fec_in!U3)</f>
        <v>1.5031335632543448</v>
      </c>
      <c r="V3" s="127">
        <f>IF(SER_hh_tes_in!V3=0,"",SER_hh_tes_in!V3/SER_hh_fec_in!V3)</f>
        <v>1.640427357714308</v>
      </c>
      <c r="W3" s="127">
        <f>IF(SER_hh_tes_in!W3=0,"",SER_hh_tes_in!W3/SER_hh_fec_in!W3)</f>
        <v>1.3523063711387713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0.48165123678802685</v>
      </c>
      <c r="D4" s="136">
        <f>IF(SER_hh_tes_in!D4=0,"",SER_hh_tes_in!D4/SER_hh_fec_in!D4)</f>
        <v>0.48857921533199988</v>
      </c>
      <c r="E4" s="136">
        <f>IF(SER_hh_tes_in!E4=0,"",SER_hh_tes_in!E4/SER_hh_fec_in!E4)</f>
        <v>0.49701878785194298</v>
      </c>
      <c r="F4" s="136">
        <f>IF(SER_hh_tes_in!F4=0,"",SER_hh_tes_in!F4/SER_hh_fec_in!F4)</f>
        <v>0.55297337590125062</v>
      </c>
      <c r="G4" s="136">
        <f>IF(SER_hh_tes_in!G4=0,"",SER_hh_tes_in!G4/SER_hh_fec_in!G4)</f>
        <v>0.60054984685521062</v>
      </c>
      <c r="H4" s="136">
        <f>IF(SER_hh_tes_in!H4=0,"",SER_hh_tes_in!H4/SER_hh_fec_in!H4)</f>
        <v>0.60671196896780843</v>
      </c>
      <c r="I4" s="136">
        <f>IF(SER_hh_tes_in!I4=0,"",SER_hh_tes_in!I4/SER_hh_fec_in!I4)</f>
        <v>0.66202394525120367</v>
      </c>
      <c r="J4" s="136">
        <f>IF(SER_hh_tes_in!J4=0,"",SER_hh_tes_in!J4/SER_hh_fec_in!J4)</f>
        <v>0.70033292012494053</v>
      </c>
      <c r="K4" s="136">
        <f>IF(SER_hh_tes_in!K4=0,"",SER_hh_tes_in!K4/SER_hh_fec_in!K4)</f>
        <v>0.6848504728939363</v>
      </c>
      <c r="L4" s="136">
        <f>IF(SER_hh_tes_in!L4=0,"",SER_hh_tes_in!L4/SER_hh_fec_in!L4)</f>
        <v>0.62912419832645172</v>
      </c>
      <c r="M4" s="136">
        <f>IF(SER_hh_tes_in!M4=0,"",SER_hh_tes_in!M4/SER_hh_fec_in!M4)</f>
        <v>0.62686880996492989</v>
      </c>
      <c r="N4" s="136">
        <f>IF(SER_hh_tes_in!N4=0,"",SER_hh_tes_in!N4/SER_hh_fec_in!N4)</f>
        <v>0.71655070842463875</v>
      </c>
      <c r="O4" s="136">
        <f>IF(SER_hh_tes_in!O4=0,"",SER_hh_tes_in!O4/SER_hh_fec_in!O4)</f>
        <v>0.78113852679548013</v>
      </c>
      <c r="P4" s="136">
        <f>IF(SER_hh_tes_in!P4=0,"",SER_hh_tes_in!P4/SER_hh_fec_in!P4)</f>
        <v>1.699307701186888</v>
      </c>
      <c r="Q4" s="136">
        <f>IF(SER_hh_tes_in!Q4=0,"",SER_hh_tes_in!Q4/SER_hh_fec_in!Q4)</f>
        <v>2.0678335574396831</v>
      </c>
      <c r="R4" s="136">
        <f>IF(SER_hh_tes_in!R4=0,"",SER_hh_tes_in!R4/SER_hh_fec_in!R4)</f>
        <v>1.5913134886853659</v>
      </c>
      <c r="S4" s="136">
        <f>IF(SER_hh_tes_in!S4=0,"",SER_hh_tes_in!S4/SER_hh_fec_in!S4)</f>
        <v>1.217327724275356</v>
      </c>
      <c r="T4" s="136">
        <f>IF(SER_hh_tes_in!T4=0,"",SER_hh_tes_in!T4/SER_hh_fec_in!T4)</f>
        <v>1.1372088712994914</v>
      </c>
      <c r="U4" s="136">
        <f>IF(SER_hh_tes_in!U4=0,"",SER_hh_tes_in!U4/SER_hh_fec_in!U4)</f>
        <v>1.2728228881225525</v>
      </c>
      <c r="V4" s="136">
        <f>IF(SER_hh_tes_in!V4=0,"",SER_hh_tes_in!V4/SER_hh_fec_in!V4)</f>
        <v>1.5035497065089261</v>
      </c>
      <c r="W4" s="136">
        <f>IF(SER_hh_tes_in!W4=0,"",SER_hh_tes_in!W4/SER_hh_fec_in!W4)</f>
        <v>0.971144753564817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0.47296804320284502</v>
      </c>
      <c r="D7" s="137">
        <f>IF(SER_hh_tes_in!D7=0,"",SER_hh_tes_in!D7/SER_hh_fec_in!D7)</f>
        <v>0.47897478715866831</v>
      </c>
      <c r="E7" s="137">
        <f>IF(SER_hh_tes_in!E7=0,"",SER_hh_tes_in!E7/SER_hh_fec_in!E7)</f>
        <v>0.48519475775786486</v>
      </c>
      <c r="F7" s="137">
        <f>IF(SER_hh_tes_in!F7=0,"",SER_hh_tes_in!F7/SER_hh_fec_in!F7)</f>
        <v>0.49138508434128542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>
        <f>IF(SER_hh_tes_in!L7=0,"",SER_hh_tes_in!L7/SER_hh_fec_in!L7)</f>
        <v>0.53404847643450404</v>
      </c>
      <c r="M7" s="137">
        <f>IF(SER_hh_tes_in!M7=0,"",SER_hh_tes_in!M7/SER_hh_fec_in!M7)</f>
        <v>0.5472970991796946</v>
      </c>
      <c r="N7" s="137">
        <f>IF(SER_hh_tes_in!N7=0,"",SER_hh_tes_in!N7/SER_hh_fec_in!N7)</f>
        <v>0.56681049750818657</v>
      </c>
      <c r="O7" s="137">
        <f>IF(SER_hh_tes_in!O7=0,"",SER_hh_tes_in!O7/SER_hh_fec_in!O7)</f>
        <v>0.59331361996486187</v>
      </c>
      <c r="P7" s="137">
        <f>IF(SER_hh_tes_in!P7=0,"",SER_hh_tes_in!P7/SER_hh_fec_in!P7)</f>
        <v>0.62369580349225628</v>
      </c>
      <c r="Q7" s="137">
        <f>IF(SER_hh_tes_in!Q7=0,"",SER_hh_tes_in!Q7/SER_hh_fec_in!Q7)</f>
        <v>0.6488402130977895</v>
      </c>
      <c r="R7" s="137">
        <f>IF(SER_hh_tes_in!R7=0,"",SER_hh_tes_in!R7/SER_hh_fec_in!R7)</f>
        <v>0.66113906479866191</v>
      </c>
      <c r="S7" s="137">
        <f>IF(SER_hh_tes_in!S7=0,"",SER_hh_tes_in!S7/SER_hh_fec_in!S7)</f>
        <v>0.66993874167579248</v>
      </c>
      <c r="T7" s="137">
        <f>IF(SER_hh_tes_in!T7=0,"",SER_hh_tes_in!T7/SER_hh_fec_in!T7)</f>
        <v>0.67638529539403569</v>
      </c>
      <c r="U7" s="137">
        <f>IF(SER_hh_tes_in!U7=0,"",SER_hh_tes_in!U7/SER_hh_fec_in!U7)</f>
        <v>0.68140687945405909</v>
      </c>
      <c r="V7" s="137" t="str">
        <f>IF(SER_hh_tes_in!V7=0,"",SER_hh_tes_in!V7/SER_hh_fec_in!V7)</f>
        <v/>
      </c>
      <c r="W7" s="137">
        <f>IF(SER_hh_tes_in!W7=0,"",SER_hh_tes_in!W7/SER_hh_fec_in!W7)</f>
        <v>0.68857922151550088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1.2812294951246632</v>
      </c>
      <c r="D8" s="137">
        <f>IF(SER_hh_tes_in!D8=0,"",SER_hh_tes_in!D8/SER_hh_fec_in!D8)</f>
        <v>1.3787704986914295</v>
      </c>
      <c r="E8" s="137">
        <f>IF(SER_hh_tes_in!E8=0,"",SER_hh_tes_in!E8/SER_hh_fec_in!E8)</f>
        <v>1.4785311465841524</v>
      </c>
      <c r="F8" s="137">
        <f>IF(SER_hh_tes_in!F8=0,"",SER_hh_tes_in!F8/SER_hh_fec_in!F8)</f>
        <v>1.5800860217662418</v>
      </c>
      <c r="G8" s="137">
        <f>IF(SER_hh_tes_in!G8=0,"",SER_hh_tes_in!G8/SER_hh_fec_in!G8)</f>
        <v>1.6837989711038699</v>
      </c>
      <c r="H8" s="137">
        <f>IF(SER_hh_tes_in!H8=0,"",SER_hh_tes_in!H8/SER_hh_fec_in!H8)</f>
        <v>1.7896066410280917</v>
      </c>
      <c r="I8" s="137">
        <f>IF(SER_hh_tes_in!I8=0,"",SER_hh_tes_in!I8/SER_hh_fec_in!I8)</f>
        <v>1.8975764047231178</v>
      </c>
      <c r="J8" s="137">
        <f>IF(SER_hh_tes_in!J8=0,"",SER_hh_tes_in!J8/SER_hh_fec_in!J8)</f>
        <v>2.0080277300912566</v>
      </c>
      <c r="K8" s="137">
        <f>IF(SER_hh_tes_in!K8=0,"",SER_hh_tes_in!K8/SER_hh_fec_in!K8)</f>
        <v>2.1212001533194811</v>
      </c>
      <c r="L8" s="137">
        <f>IF(SER_hh_tes_in!L8=0,"",SER_hh_tes_in!L8/SER_hh_fec_in!L8)</f>
        <v>2.2371018335095858</v>
      </c>
      <c r="M8" s="137">
        <f>IF(SER_hh_tes_in!M8=0,"",SER_hh_tes_in!M8/SER_hh_fec_in!M8)</f>
        <v>2.3646316172322606</v>
      </c>
      <c r="N8" s="137">
        <f>IF(SER_hh_tes_in!N8=0,"",SER_hh_tes_in!N8/SER_hh_fec_in!N8)</f>
        <v>2.5060900357200238</v>
      </c>
      <c r="O8" s="137">
        <f>IF(SER_hh_tes_in!O8=0,"",SER_hh_tes_in!O8/SER_hh_fec_in!O8)</f>
        <v>2.6602470696180451</v>
      </c>
      <c r="P8" s="137">
        <f>IF(SER_hh_tes_in!P8=0,"",SER_hh_tes_in!P8/SER_hh_fec_in!P8)</f>
        <v>2.8153406305931563</v>
      </c>
      <c r="Q8" s="137">
        <f>IF(SER_hh_tes_in!Q8=0,"",SER_hh_tes_in!Q8/SER_hh_fec_in!Q8)</f>
        <v>2.9424726454184582</v>
      </c>
      <c r="R8" s="137">
        <f>IF(SER_hh_tes_in!R8=0,"",SER_hh_tes_in!R8/SER_hh_fec_in!R8)</f>
        <v>2.9920821774621382</v>
      </c>
      <c r="S8" s="137">
        <f>IF(SER_hh_tes_in!S8=0,"",SER_hh_tes_in!S8/SER_hh_fec_in!S8)</f>
        <v>3.0239924343356201</v>
      </c>
      <c r="T8" s="137">
        <f>IF(SER_hh_tes_in!T8=0,"",SER_hh_tes_in!T8/SER_hh_fec_in!T8)</f>
        <v>3.044902121276555</v>
      </c>
      <c r="U8" s="137">
        <f>IF(SER_hh_tes_in!U8=0,"",SER_hh_tes_in!U8/SER_hh_fec_in!U8)</f>
        <v>3.0616268476785784</v>
      </c>
      <c r="V8" s="137">
        <f>IF(SER_hh_tes_in!V8=0,"",SER_hh_tes_in!V8/SER_hh_fec_in!V8)</f>
        <v>3.0811744654829125</v>
      </c>
      <c r="W8" s="137">
        <f>IF(SER_hh_tes_in!W8=0,"",SER_hh_tes_in!W8/SER_hh_fec_in!W8)</f>
        <v>3.1027792661696676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0.54027571983228595</v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>
        <f>IF(SER_hh_tes_in!F9=0,"",SER_hh_tes_in!F9/SER_hh_fec_in!F9)</f>
        <v>0.56223323292648653</v>
      </c>
      <c r="G9" s="137">
        <f>IF(SER_hh_tes_in!G9=0,"",SER_hh_tes_in!G9/SER_hh_fec_in!G9)</f>
        <v>0.56948788691737384</v>
      </c>
      <c r="H9" s="137">
        <f>IF(SER_hh_tes_in!H9=0,"",SER_hh_tes_in!H9/SER_hh_fec_in!H9)</f>
        <v>0.57672807848380137</v>
      </c>
      <c r="I9" s="137">
        <f>IF(SER_hh_tes_in!I9=0,"",SER_hh_tes_in!I9/SER_hh_fec_in!I9)</f>
        <v>0.58397586364973553</v>
      </c>
      <c r="J9" s="137">
        <f>IF(SER_hh_tes_in!J9=0,"",SER_hh_tes_in!J9/SER_hh_fec_in!J9)</f>
        <v>0.59131953746525123</v>
      </c>
      <c r="K9" s="137">
        <f>IF(SER_hh_tes_in!K9=0,"",SER_hh_tes_in!K9/SER_hh_fec_in!K9)</f>
        <v>0.59883529672549063</v>
      </c>
      <c r="L9" s="137">
        <f>IF(SER_hh_tes_in!L9=0,"",SER_hh_tes_in!L9/SER_hh_fec_in!L9)</f>
        <v>0.60654549429716675</v>
      </c>
      <c r="M9" s="137">
        <f>IF(SER_hh_tes_in!M9=0,"",SER_hh_tes_in!M9/SER_hh_fec_in!M9)</f>
        <v>0.61640100197442926</v>
      </c>
      <c r="N9" s="137">
        <f>IF(SER_hh_tes_in!N9=0,"",SER_hh_tes_in!N9/SER_hh_fec_in!N9)</f>
        <v>0.62904776276033603</v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 t="str">
        <f>IF(SER_hh_tes_in!R9=0,"",SER_hh_tes_in!R9/SER_hh_fec_in!R9)</f>
        <v/>
      </c>
      <c r="S9" s="137" t="str">
        <f>IF(SER_hh_tes_in!S9=0,"",SER_hh_tes_in!S9/SER_hh_fec_in!S9)</f>
        <v/>
      </c>
      <c r="T9" s="137">
        <f>IF(SER_hh_tes_in!T9=0,"",SER_hh_tes_in!T9/SER_hh_fec_in!T9)</f>
        <v>0.69751194371694725</v>
      </c>
      <c r="U9" s="137">
        <f>IF(SER_hh_tes_in!U9=0,"",SER_hh_tes_in!U9/SER_hh_fec_in!U9)</f>
        <v>0.70184675642855532</v>
      </c>
      <c r="V9" s="137">
        <f>IF(SER_hh_tes_in!V9=0,"",SER_hh_tes_in!V9/SER_hh_fec_in!V9)</f>
        <v>0.70560994350031281</v>
      </c>
      <c r="W9" s="137">
        <f>IF(SER_hh_tes_in!W9=0,"",SER_hh_tes_in!W9/SER_hh_fec_in!W9)</f>
        <v>0.70821344168471878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0.49779178455839612</v>
      </c>
      <c r="D10" s="137">
        <f>IF(SER_hh_tes_in!D10=0,"",SER_hh_tes_in!D10/SER_hh_fec_in!D10)</f>
        <v>0.49804139634495265</v>
      </c>
      <c r="E10" s="137">
        <f>IF(SER_hh_tes_in!E10=0,"",SER_hh_tes_in!E10/SER_hh_fec_in!E10)</f>
        <v>0.49829338106002735</v>
      </c>
      <c r="F10" s="137">
        <f>IF(SER_hh_tes_in!F10=0,"",SER_hh_tes_in!F10/SER_hh_fec_in!F10)</f>
        <v>0.49854749647097857</v>
      </c>
      <c r="G10" s="137">
        <f>IF(SER_hh_tes_in!G10=0,"",SER_hh_tes_in!G10/SER_hh_fec_in!G10)</f>
        <v>0.49880350178455418</v>
      </c>
      <c r="H10" s="137">
        <f>IF(SER_hh_tes_in!H10=0,"",SER_hh_tes_in!H10/SER_hh_fec_in!H10)</f>
        <v>0.49906111011431459</v>
      </c>
      <c r="I10" s="137">
        <f>IF(SER_hh_tes_in!I10=0,"",SER_hh_tes_in!I10/SER_hh_fec_in!I10)</f>
        <v>0.49931994422494058</v>
      </c>
      <c r="J10" s="137">
        <f>IF(SER_hh_tes_in!J10=0,"",SER_hh_tes_in!J10/SER_hh_fec_in!J10)</f>
        <v>0.49957919073908658</v>
      </c>
      <c r="K10" s="137">
        <f>IF(SER_hh_tes_in!K10=0,"",SER_hh_tes_in!K10/SER_hh_fec_in!K10)</f>
        <v>0.49983777369614929</v>
      </c>
      <c r="L10" s="137" t="str">
        <f>IF(SER_hh_tes_in!L10=0,"",SER_hh_tes_in!L10/SER_hh_fec_in!L10)</f>
        <v/>
      </c>
      <c r="M10" s="137">
        <f>IF(SER_hh_tes_in!M10=0,"",SER_hh_tes_in!M10/SER_hh_fec_in!M10)</f>
        <v>0.50033139216767697</v>
      </c>
      <c r="N10" s="137">
        <f>IF(SER_hh_tes_in!N10=0,"",SER_hh_tes_in!N10/SER_hh_fec_in!N10)</f>
        <v>0.50053770164026012</v>
      </c>
      <c r="O10" s="137">
        <f>IF(SER_hh_tes_in!O10=0,"",SER_hh_tes_in!O10/SER_hh_fec_in!O10)</f>
        <v>0.50070823821148036</v>
      </c>
      <c r="P10" s="137">
        <f>IF(SER_hh_tes_in!P10=0,"",SER_hh_tes_in!P10/SER_hh_fec_in!P10)</f>
        <v>0.50085761261373507</v>
      </c>
      <c r="Q10" s="137">
        <f>IF(SER_hh_tes_in!Q10=0,"",SER_hh_tes_in!Q10/SER_hh_fec_in!Q10)</f>
        <v>0.50103544612028617</v>
      </c>
      <c r="R10" s="137">
        <f>IF(SER_hh_tes_in!R10=0,"",SER_hh_tes_in!R10/SER_hh_fec_in!R10)</f>
        <v>0.50129765601018683</v>
      </c>
      <c r="S10" s="137">
        <f>IF(SER_hh_tes_in!S10=0,"",SER_hh_tes_in!S10/SER_hh_fec_in!S10)</f>
        <v>0.50159153329767503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0.50238685856236875</v>
      </c>
      <c r="W10" s="137">
        <f>IF(SER_hh_tes_in!W10=0,"",SER_hh_tes_in!W10/SER_hh_fec_in!W10)</f>
        <v>0.50257026021149309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>
        <f>IF(SER_hh_tes_in!M11=0,"",SER_hh_tes_in!M11/SER_hh_fec_in!M11)</f>
        <v>0.77034644626725279</v>
      </c>
      <c r="N11" s="137">
        <f>IF(SER_hh_tes_in!N11=0,"",SER_hh_tes_in!N11/SER_hh_fec_in!N11)</f>
        <v>0.77467477535442564</v>
      </c>
      <c r="O11" s="137">
        <f>IF(SER_hh_tes_in!O11=0,"",SER_hh_tes_in!O11/SER_hh_fec_in!O11)</f>
        <v>0.77904474519103872</v>
      </c>
      <c r="P11" s="137">
        <f>IF(SER_hh_tes_in!P11=0,"",SER_hh_tes_in!P11/SER_hh_fec_in!P11)</f>
        <v>0.78336501163780892</v>
      </c>
      <c r="Q11" s="137">
        <f>IF(SER_hh_tes_in!Q11=0,"",SER_hh_tes_in!Q11/SER_hh_fec_in!Q11)</f>
        <v>0.78738146078198834</v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1.4326164968057324</v>
      </c>
      <c r="D13" s="137">
        <f>IF(SER_hh_tes_in!D13=0,"",SER_hh_tes_in!D13/SER_hh_fec_in!D13)</f>
        <v>1.5516363181046</v>
      </c>
      <c r="E13" s="137">
        <f>IF(SER_hh_tes_in!E13=0,"",SER_hh_tes_in!E13/SER_hh_fec_in!E13)</f>
        <v>1.6740648869226338</v>
      </c>
      <c r="F13" s="137">
        <f>IF(SER_hh_tes_in!F13=0,"",SER_hh_tes_in!F13/SER_hh_fec_in!F13)</f>
        <v>1.7993932864085029</v>
      </c>
      <c r="G13" s="137">
        <f>IF(SER_hh_tes_in!G13=0,"",SER_hh_tes_in!G13/SER_hh_fec_in!G13)</f>
        <v>1.9280443190487995</v>
      </c>
      <c r="H13" s="137">
        <f>IF(SER_hh_tes_in!H13=0,"",SER_hh_tes_in!H13/SER_hh_fec_in!H13)</f>
        <v>2.0599382062871943</v>
      </c>
      <c r="I13" s="137">
        <f>IF(SER_hh_tes_in!I13=0,"",SER_hh_tes_in!I13/SER_hh_fec_in!I13)</f>
        <v>2.1951499278310829</v>
      </c>
      <c r="J13" s="137">
        <f>IF(SER_hh_tes_in!J13=0,"",SER_hh_tes_in!J13/SER_hh_fec_in!J13)</f>
        <v>2.334051681060215</v>
      </c>
      <c r="K13" s="137">
        <f>IF(SER_hh_tes_in!K13=0,"",SER_hh_tes_in!K13/SER_hh_fec_in!K13)</f>
        <v>2.4769189205249527</v>
      </c>
      <c r="L13" s="137">
        <f>IF(SER_hh_tes_in!L13=0,"",SER_hh_tes_in!L13/SER_hh_fec_in!L13)</f>
        <v>2.6237510581806416</v>
      </c>
      <c r="M13" s="137">
        <f>IF(SER_hh_tes_in!M13=0,"",SER_hh_tes_in!M13/SER_hh_fec_in!M13)</f>
        <v>2.7852045621071615</v>
      </c>
      <c r="N13" s="137">
        <f>IF(SER_hh_tes_in!N13=0,"",SER_hh_tes_in!N13/SER_hh_fec_in!N13)</f>
        <v>2.9639865119367865</v>
      </c>
      <c r="O13" s="137">
        <f>IF(SER_hh_tes_in!O13=0,"",SER_hh_tes_in!O13/SER_hh_fec_in!O13)</f>
        <v>3.1582903844974735</v>
      </c>
      <c r="P13" s="137">
        <f>IF(SER_hh_tes_in!P13=0,"",SER_hh_tes_in!P13/SER_hh_fec_in!P13)</f>
        <v>3.3533228990838291</v>
      </c>
      <c r="Q13" s="137">
        <f>IF(SER_hh_tes_in!Q13=0,"",SER_hh_tes_in!Q13/SER_hh_fec_in!Q13)</f>
        <v>3.5131983297249696</v>
      </c>
      <c r="R13" s="137">
        <f>IF(SER_hh_tes_in!R13=0,"",SER_hh_tes_in!R13/SER_hh_fec_in!R13)</f>
        <v>3.5741339385149944</v>
      </c>
      <c r="S13" s="137">
        <f>IF(SER_hh_tes_in!S13=0,"",SER_hh_tes_in!S13/SER_hh_fec_in!S13)</f>
        <v>3.6127037872319594</v>
      </c>
      <c r="T13" s="137">
        <f>IF(SER_hh_tes_in!T13=0,"",SER_hh_tes_in!T13/SER_hh_fec_in!T13)</f>
        <v>3.6374411754712388</v>
      </c>
      <c r="U13" s="137">
        <f>IF(SER_hh_tes_in!U13=0,"",SER_hh_tes_in!U13/SER_hh_fec_in!U13)</f>
        <v>3.6571287436289475</v>
      </c>
      <c r="V13" s="137">
        <f>IF(SER_hh_tes_in!V13=0,"",SER_hh_tes_in!V13/SER_hh_fec_in!V13)</f>
        <v>3.6808941168277505</v>
      </c>
      <c r="W13" s="137">
        <f>IF(SER_hh_tes_in!W13=0,"",SER_hh_tes_in!W13/SER_hh_fec_in!W13)</f>
        <v>3.7080627988003987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>
        <f>IF(SER_hh_tes_in!F14=0,"",SER_hh_tes_in!F14/SER_hh_fec_in!F14)</f>
        <v>0.672038892632837</v>
      </c>
      <c r="G14" s="138">
        <f>IF(SER_hh_tes_in!G14=0,"",SER_hh_tes_in!G14/SER_hh_fec_in!G14)</f>
        <v>0.67533521033356958</v>
      </c>
      <c r="H14" s="138">
        <f>IF(SER_hh_tes_in!H14=0,"",SER_hh_tes_in!H14/SER_hh_fec_in!H14)</f>
        <v>0.67869769470490537</v>
      </c>
      <c r="I14" s="138">
        <f>IF(SER_hh_tes_in!I14=0,"",SER_hh_tes_in!I14/SER_hh_fec_in!I14)</f>
        <v>0.68214182469583573</v>
      </c>
      <c r="J14" s="138">
        <f>IF(SER_hh_tes_in!J14=0,"",SER_hh_tes_in!J14/SER_hh_fec_in!J14)</f>
        <v>0.68573111882890192</v>
      </c>
      <c r="K14" s="138">
        <f>IF(SER_hh_tes_in!K14=0,"",SER_hh_tes_in!K14/SER_hh_fec_in!K14)</f>
        <v>0.68951939887490177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>
        <f>IF(SER_hh_tes_in!S14=0,"",SER_hh_tes_in!S14/SER_hh_fec_in!S14)</f>
        <v>0.76393669397041819</v>
      </c>
      <c r="T14" s="138">
        <f>IF(SER_hh_tes_in!T14=0,"",SER_hh_tes_in!T14/SER_hh_fec_in!T14)</f>
        <v>0.7785033221809412</v>
      </c>
      <c r="U14" s="138">
        <f>IF(SER_hh_tes_in!U14=0,"",SER_hh_tes_in!U14/SER_hh_fec_in!U14)</f>
        <v>0.79138211512161782</v>
      </c>
      <c r="V14" s="138" t="str">
        <f>IF(SER_hh_tes_in!V14=0,"",SER_hh_tes_in!V14/SER_hh_fec_in!V14)</f>
        <v/>
      </c>
      <c r="W14" s="138">
        <f>IF(SER_hh_tes_in!W14=0,"",SER_hh_tes_in!W14/SER_hh_fec_in!W14)</f>
        <v>0.80539530899845979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2.1675390237311878</v>
      </c>
      <c r="D16" s="136">
        <f>IF(SER_hh_tes_in!D16=0,"",SER_hh_tes_in!D16/SER_hh_fec_in!D16)</f>
        <v>2.2366752434377593</v>
      </c>
      <c r="E16" s="136">
        <f>IF(SER_hh_tes_in!E16=0,"",SER_hh_tes_in!E16/SER_hh_fec_in!E16)</f>
        <v>2.297288375549555</v>
      </c>
      <c r="F16" s="136">
        <f>IF(SER_hh_tes_in!F16=0,"",SER_hh_tes_in!F16/SER_hh_fec_in!F16)</f>
        <v>2.3743216541496825</v>
      </c>
      <c r="G16" s="136">
        <f>IF(SER_hh_tes_in!G16=0,"",SER_hh_tes_in!G16/SER_hh_fec_in!G16)</f>
        <v>2.4436581029816709</v>
      </c>
      <c r="H16" s="136">
        <f>IF(SER_hh_tes_in!H16=0,"",SER_hh_tes_in!H16/SER_hh_fec_in!H16)</f>
        <v>2.5147599187451486</v>
      </c>
      <c r="I16" s="136">
        <f>IF(SER_hh_tes_in!I16=0,"",SER_hh_tes_in!I16/SER_hh_fec_in!I16)</f>
        <v>2.5838613293892316</v>
      </c>
      <c r="J16" s="136">
        <f>IF(SER_hh_tes_in!J16=0,"",SER_hh_tes_in!J16/SER_hh_fec_in!J16)</f>
        <v>2.6553260985897476</v>
      </c>
      <c r="K16" s="136">
        <f>IF(SER_hh_tes_in!K16=0,"",SER_hh_tes_in!K16/SER_hh_fec_in!K16)</f>
        <v>2.7296501786593423</v>
      </c>
      <c r="L16" s="136">
        <f>IF(SER_hh_tes_in!L16=0,"",SER_hh_tes_in!L16/SER_hh_fec_in!L16)</f>
        <v>2.8032012047339658</v>
      </c>
      <c r="M16" s="136">
        <f>IF(SER_hh_tes_in!M16=0,"",SER_hh_tes_in!M16/SER_hh_fec_in!M16)</f>
        <v>2.8919847503940779</v>
      </c>
      <c r="N16" s="136">
        <f>IF(SER_hh_tes_in!N16=0,"",SER_hh_tes_in!N16/SER_hh_fec_in!N16)</f>
        <v>3.0015987427518511</v>
      </c>
      <c r="O16" s="136">
        <f>IF(SER_hh_tes_in!O16=0,"",SER_hh_tes_in!O16/SER_hh_fec_in!O16)</f>
        <v>3.1175908078169527</v>
      </c>
      <c r="P16" s="136">
        <f>IF(SER_hh_tes_in!P16=0,"",SER_hh_tes_in!P16/SER_hh_fec_in!P16)</f>
        <v>3.2704587801083265</v>
      </c>
      <c r="Q16" s="136">
        <f>IF(SER_hh_tes_in!Q16=0,"",SER_hh_tes_in!Q16/SER_hh_fec_in!Q16)</f>
        <v>3.382395675238778</v>
      </c>
      <c r="R16" s="136">
        <f>IF(SER_hh_tes_in!R16=0,"",SER_hh_tes_in!R16/SER_hh_fec_in!R16)</f>
        <v>3.4540409735075022</v>
      </c>
      <c r="S16" s="136">
        <f>IF(SER_hh_tes_in!S16=0,"",SER_hh_tes_in!S16/SER_hh_fec_in!S16)</f>
        <v>3.5229334261079841</v>
      </c>
      <c r="T16" s="136">
        <f>IF(SER_hh_tes_in!T16=0,"",SER_hh_tes_in!T16/SER_hh_fec_in!T16)</f>
        <v>3.5513463515220223</v>
      </c>
      <c r="U16" s="136">
        <f>IF(SER_hh_tes_in!U16=0,"",SER_hh_tes_in!U16/SER_hh_fec_in!U16)</f>
        <v>3.6173852647645881</v>
      </c>
      <c r="V16" s="136">
        <f>IF(SER_hh_tes_in!V16=0,"",SER_hh_tes_in!V16/SER_hh_fec_in!V16)</f>
        <v>3.6524263979442573</v>
      </c>
      <c r="W16" s="136">
        <f>IF(SER_hh_tes_in!W16=0,"",SER_hh_tes_in!W16/SER_hh_fec_in!W16)</f>
        <v>3.7319528994513864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1.2367129625072975</v>
      </c>
      <c r="D17" s="137">
        <f>IF(SER_hh_tes_in!D17=0,"",SER_hh_tes_in!D17/SER_hh_fec_in!D17)</f>
        <v>1.2398744983248589</v>
      </c>
      <c r="E17" s="137">
        <f>IF(SER_hh_tes_in!E17=0,"",SER_hh_tes_in!E17/SER_hh_fec_in!E17)</f>
        <v>1.2423262425314927</v>
      </c>
      <c r="F17" s="137">
        <f>IF(SER_hh_tes_in!F17=0,"",SER_hh_tes_in!F17/SER_hh_fec_in!F17)</f>
        <v>1.2442098654142117</v>
      </c>
      <c r="G17" s="137">
        <f>IF(SER_hh_tes_in!G17=0,"",SER_hh_tes_in!G17/SER_hh_fec_in!G17)</f>
        <v>1.245546294880141</v>
      </c>
      <c r="H17" s="137">
        <f>IF(SER_hh_tes_in!H17=0,"",SER_hh_tes_in!H17/SER_hh_fec_in!H17)</f>
        <v>1.246567951162054</v>
      </c>
      <c r="I17" s="137">
        <f>IF(SER_hh_tes_in!I17=0,"",SER_hh_tes_in!I17/SER_hh_fec_in!I17)</f>
        <v>1.2473428556132935</v>
      </c>
      <c r="J17" s="137">
        <f>IF(SER_hh_tes_in!J17=0,"",SER_hh_tes_in!J17/SER_hh_fec_in!J17)</f>
        <v>1.2481050139694074</v>
      </c>
      <c r="K17" s="137">
        <f>IF(SER_hh_tes_in!K17=0,"",SER_hh_tes_in!K17/SER_hh_fec_in!K17)</f>
        <v>1.2491981434847894</v>
      </c>
      <c r="L17" s="137">
        <f>IF(SER_hh_tes_in!L17=0,"",SER_hh_tes_in!L17/SER_hh_fec_in!L17)</f>
        <v>1.2508426869375666</v>
      </c>
      <c r="M17" s="137">
        <f>IF(SER_hh_tes_in!M17=0,"",SER_hh_tes_in!M17/SER_hh_fec_in!M17)</f>
        <v>1.2559096437318886</v>
      </c>
      <c r="N17" s="137">
        <f>IF(SER_hh_tes_in!N17=0,"",SER_hh_tes_in!N17/SER_hh_fec_in!N17)</f>
        <v>1.2684402725051529</v>
      </c>
      <c r="O17" s="137">
        <f>IF(SER_hh_tes_in!O17=0,"",SER_hh_tes_in!O17/SER_hh_fec_in!O17)</f>
        <v>1.2899034868761681</v>
      </c>
      <c r="P17" s="137">
        <f>IF(SER_hh_tes_in!P17=0,"",SER_hh_tes_in!P17/SER_hh_fec_in!P17)</f>
        <v>1.3199319426956566</v>
      </c>
      <c r="Q17" s="137">
        <f>IF(SER_hh_tes_in!Q17=0,"",SER_hh_tes_in!Q17/SER_hh_fec_in!Q17)</f>
        <v>1.3522192354317439</v>
      </c>
      <c r="R17" s="137">
        <f>IF(SER_hh_tes_in!R17=0,"",SER_hh_tes_in!R17/SER_hh_fec_in!R17)</f>
        <v>1.3790473608966003</v>
      </c>
      <c r="S17" s="137">
        <f>IF(SER_hh_tes_in!S17=0,"",SER_hh_tes_in!S17/SER_hh_fec_in!S17)</f>
        <v>1.4057094859326442</v>
      </c>
      <c r="T17" s="137">
        <f>IF(SER_hh_tes_in!T17=0,"",SER_hh_tes_in!T17/SER_hh_fec_in!T17)</f>
        <v>1.4370130758113027</v>
      </c>
      <c r="U17" s="137">
        <f>IF(SER_hh_tes_in!U17=0,"",SER_hh_tes_in!U17/SER_hh_fec_in!U17)</f>
        <v>1.4702195470081154</v>
      </c>
      <c r="V17" s="137">
        <f>IF(SER_hh_tes_in!V17=0,"",SER_hh_tes_in!V17/SER_hh_fec_in!V17)</f>
        <v>1.5023397998165913</v>
      </c>
      <c r="W17" s="137">
        <f>IF(SER_hh_tes_in!W17=0,"",SER_hh_tes_in!W17/SER_hh_fec_in!W17)</f>
        <v>1.5285249385039414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2.1688293965440026</v>
      </c>
      <c r="D18" s="137">
        <f>IF(SER_hh_tes_in!D18=0,"",SER_hh_tes_in!D18/SER_hh_fec_in!D18)</f>
        <v>2.2375233793012854</v>
      </c>
      <c r="E18" s="137">
        <f>IF(SER_hh_tes_in!E18=0,"",SER_hh_tes_in!E18/SER_hh_fec_in!E18)</f>
        <v>2.306942675921654</v>
      </c>
      <c r="F18" s="137">
        <f>IF(SER_hh_tes_in!F18=0,"",SER_hh_tes_in!F18/SER_hh_fec_in!F18)</f>
        <v>2.3764365268726739</v>
      </c>
      <c r="G18" s="137">
        <f>IF(SER_hh_tes_in!G18=0,"",SER_hh_tes_in!G18/SER_hh_fec_in!G18)</f>
        <v>2.4465907413845525</v>
      </c>
      <c r="H18" s="137">
        <f>IF(SER_hh_tes_in!H18=0,"",SER_hh_tes_in!H18/SER_hh_fec_in!H18)</f>
        <v>2.5173298168282781</v>
      </c>
      <c r="I18" s="137">
        <f>IF(SER_hh_tes_in!I18=0,"",SER_hh_tes_in!I18/SER_hh_fec_in!I18)</f>
        <v>2.5887941395494698</v>
      </c>
      <c r="J18" s="137">
        <f>IF(SER_hh_tes_in!J18=0,"",SER_hh_tes_in!J18/SER_hh_fec_in!J18)</f>
        <v>2.6615676532434027</v>
      </c>
      <c r="K18" s="137">
        <f>IF(SER_hh_tes_in!K18=0,"",SER_hh_tes_in!K18/SER_hh_fec_in!K18)</f>
        <v>2.7361413502393206</v>
      </c>
      <c r="L18" s="137">
        <f>IF(SER_hh_tes_in!L18=0,"",SER_hh_tes_in!L18/SER_hh_fec_in!L18)</f>
        <v>2.8126366255155597</v>
      </c>
      <c r="M18" s="137">
        <f>IF(SER_hh_tes_in!M18=0,"",SER_hh_tes_in!M18/SER_hh_fec_in!M18)</f>
        <v>2.904003023773825</v>
      </c>
      <c r="N18" s="137">
        <f>IF(SER_hh_tes_in!N18=0,"",SER_hh_tes_in!N18/SER_hh_fec_in!N18)</f>
        <v>3.0144784135648646</v>
      </c>
      <c r="O18" s="137">
        <f>IF(SER_hh_tes_in!O18=0,"",SER_hh_tes_in!O18/SER_hh_fec_in!O18)</f>
        <v>3.1464056912411564</v>
      </c>
      <c r="P18" s="137">
        <f>IF(SER_hh_tes_in!P18=0,"",SER_hh_tes_in!P18/SER_hh_fec_in!P18)</f>
        <v>3.2894779830789664</v>
      </c>
      <c r="Q18" s="137">
        <f>IF(SER_hh_tes_in!Q18=0,"",SER_hh_tes_in!Q18/SER_hh_fec_in!Q18)</f>
        <v>3.4124319623191668</v>
      </c>
      <c r="R18" s="137">
        <f>IF(SER_hh_tes_in!R18=0,"",SER_hh_tes_in!R18/SER_hh_fec_in!R18)</f>
        <v>3.4895681514441361</v>
      </c>
      <c r="S18" s="137">
        <f>IF(SER_hh_tes_in!S18=0,"",SER_hh_tes_in!S18/SER_hh_fec_in!S18)</f>
        <v>3.5509647706467824</v>
      </c>
      <c r="T18" s="137">
        <f>IF(SER_hh_tes_in!T18=0,"",SER_hh_tes_in!T18/SER_hh_fec_in!T18)</f>
        <v>3.6022639831848551</v>
      </c>
      <c r="U18" s="137">
        <f>IF(SER_hh_tes_in!U18=0,"",SER_hh_tes_in!U18/SER_hh_fec_in!U18)</f>
        <v>3.648965334957559</v>
      </c>
      <c r="V18" s="137">
        <f>IF(SER_hh_tes_in!V18=0,"",SER_hh_tes_in!V18/SER_hh_fec_in!V18)</f>
        <v>3.696582471870264</v>
      </c>
      <c r="W18" s="137">
        <f>IF(SER_hh_tes_in!W18=0,"",SER_hh_tes_in!W18/SER_hh_fec_in!W18)</f>
        <v>3.7432003140508185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0.60946450275474651</v>
      </c>
      <c r="D19" s="136">
        <f>IF(SER_hh_tes_in!D19=0,"",SER_hh_tes_in!D19/SER_hh_fec_in!D19)</f>
        <v>0.58920612267376615</v>
      </c>
      <c r="E19" s="136">
        <f>IF(SER_hh_tes_in!E19=0,"",SER_hh_tes_in!E19/SER_hh_fec_in!E19)</f>
        <v>0.61042496080483244</v>
      </c>
      <c r="F19" s="136">
        <f>IF(SER_hh_tes_in!F19=0,"",SER_hh_tes_in!F19/SER_hh_fec_in!F19)</f>
        <v>0.60491763098602336</v>
      </c>
      <c r="G19" s="136">
        <f>IF(SER_hh_tes_in!G19=0,"",SER_hh_tes_in!G19/SER_hh_fec_in!G19)</f>
        <v>0.60625265544868057</v>
      </c>
      <c r="H19" s="136">
        <f>IF(SER_hh_tes_in!H19=0,"",SER_hh_tes_in!H19/SER_hh_fec_in!H19)</f>
        <v>0.5924875383135062</v>
      </c>
      <c r="I19" s="136">
        <f>IF(SER_hh_tes_in!I19=0,"",SER_hh_tes_in!I19/SER_hh_fec_in!I19)</f>
        <v>0.6014601741878981</v>
      </c>
      <c r="J19" s="136">
        <f>IF(SER_hh_tes_in!J19=0,"",SER_hh_tes_in!J19/SER_hh_fec_in!J19)</f>
        <v>0.64002763548143971</v>
      </c>
      <c r="K19" s="136">
        <f>IF(SER_hh_tes_in!K19=0,"",SER_hh_tes_in!K19/SER_hh_fec_in!K19)</f>
        <v>0.76366587435177746</v>
      </c>
      <c r="L19" s="136">
        <f>IF(SER_hh_tes_in!L19=0,"",SER_hh_tes_in!L19/SER_hh_fec_in!L19)</f>
        <v>0.65569949577067654</v>
      </c>
      <c r="M19" s="136">
        <f>IF(SER_hh_tes_in!M19=0,"",SER_hh_tes_in!M19/SER_hh_fec_in!M19)</f>
        <v>0.68675150599216739</v>
      </c>
      <c r="N19" s="136">
        <f>IF(SER_hh_tes_in!N19=0,"",SER_hh_tes_in!N19/SER_hh_fec_in!N19)</f>
        <v>0.66322062214337429</v>
      </c>
      <c r="O19" s="136">
        <f>IF(SER_hh_tes_in!O19=0,"",SER_hh_tes_in!O19/SER_hh_fec_in!O19)</f>
        <v>0.62810020493703411</v>
      </c>
      <c r="P19" s="136">
        <f>IF(SER_hh_tes_in!P19=0,"",SER_hh_tes_in!P19/SER_hh_fec_in!P19)</f>
        <v>0.69783856396252464</v>
      </c>
      <c r="Q19" s="136">
        <f>IF(SER_hh_tes_in!Q19=0,"",SER_hh_tes_in!Q19/SER_hh_fec_in!Q19)</f>
        <v>0.73633260228316022</v>
      </c>
      <c r="R19" s="136">
        <f>IF(SER_hh_tes_in!R19=0,"",SER_hh_tes_in!R19/SER_hh_fec_in!R19)</f>
        <v>0.7753590309122792</v>
      </c>
      <c r="S19" s="136">
        <f>IF(SER_hh_tes_in!S19=0,"",SER_hh_tes_in!S19/SER_hh_fec_in!S19)</f>
        <v>0.83455186258913761</v>
      </c>
      <c r="T19" s="136">
        <f>IF(SER_hh_tes_in!T19=0,"",SER_hh_tes_in!T19/SER_hh_fec_in!T19)</f>
        <v>0.78589453323502456</v>
      </c>
      <c r="U19" s="136">
        <f>IF(SER_hh_tes_in!U19=0,"",SER_hh_tes_in!U19/SER_hh_fec_in!U19)</f>
        <v>0.82868186326971627</v>
      </c>
      <c r="V19" s="136">
        <f>IF(SER_hh_tes_in!V19=0,"",SER_hh_tes_in!V19/SER_hh_fec_in!V19)</f>
        <v>0.8076405891614109</v>
      </c>
      <c r="W19" s="136">
        <f>IF(SER_hh_tes_in!W19=0,"",SER_hh_tes_in!W19/SER_hh_fec_in!W19)</f>
        <v>0.79619550733797062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0.50962310926763454</v>
      </c>
      <c r="D21" s="137">
        <f>IF(SER_hh_tes_in!D21=0,"",SER_hh_tes_in!D21/SER_hh_fec_in!D21)</f>
        <v>0.51163030506132812</v>
      </c>
      <c r="E21" s="137">
        <f>IF(SER_hh_tes_in!E21=0,"",SER_hh_tes_in!E21/SER_hh_fec_in!E21)</f>
        <v>0.51396977993442416</v>
      </c>
      <c r="F21" s="137">
        <f>IF(SER_hh_tes_in!F21=0,"",SER_hh_tes_in!F21/SER_hh_fec_in!F21)</f>
        <v>0.51635456559107495</v>
      </c>
      <c r="G21" s="137">
        <f>IF(SER_hh_tes_in!G21=0,"",SER_hh_tes_in!G21/SER_hh_fec_in!G21)</f>
        <v>0.51904536073551732</v>
      </c>
      <c r="H21" s="137">
        <f>IF(SER_hh_tes_in!H21=0,"",SER_hh_tes_in!H21/SER_hh_fec_in!H21)</f>
        <v>0.52201025916523325</v>
      </c>
      <c r="I21" s="137">
        <f>IF(SER_hh_tes_in!I21=0,"",SER_hh_tes_in!I21/SER_hh_fec_in!I21)</f>
        <v>0.52531349704856423</v>
      </c>
      <c r="J21" s="137">
        <f>IF(SER_hh_tes_in!J21=0,"",SER_hh_tes_in!J21/SER_hh_fec_in!J21)</f>
        <v>0.52921822729387824</v>
      </c>
      <c r="K21" s="137">
        <f>IF(SER_hh_tes_in!K21=0,"",SER_hh_tes_in!K21/SER_hh_fec_in!K21)</f>
        <v>0.53394819909073588</v>
      </c>
      <c r="L21" s="137">
        <f>IF(SER_hh_tes_in!L21=0,"",SER_hh_tes_in!L21/SER_hh_fec_in!L21)</f>
        <v>0.53956327452059605</v>
      </c>
      <c r="M21" s="137">
        <f>IF(SER_hh_tes_in!M21=0,"",SER_hh_tes_in!M21/SER_hh_fec_in!M21)</f>
        <v>0.55137309376511978</v>
      </c>
      <c r="N21" s="137">
        <f>IF(SER_hh_tes_in!N21=0,"",SER_hh_tes_in!N21/SER_hh_fec_in!N21)</f>
        <v>0.57106293296826915</v>
      </c>
      <c r="O21" s="137">
        <f>IF(SER_hh_tes_in!O21=0,"",SER_hh_tes_in!O21/SER_hh_fec_in!O21)</f>
        <v>0.6000396157393324</v>
      </c>
      <c r="P21" s="137">
        <f>IF(SER_hh_tes_in!P21=0,"",SER_hh_tes_in!P21/SER_hh_fec_in!P21)</f>
        <v>0.63534639393011183</v>
      </c>
      <c r="Q21" s="137">
        <f>IF(SER_hh_tes_in!Q21=0,"",SER_hh_tes_in!Q21/SER_hh_fec_in!Q21)</f>
        <v>0.667403252337471</v>
      </c>
      <c r="R21" s="137">
        <f>IF(SER_hh_tes_in!R21=0,"",SER_hh_tes_in!R21/SER_hh_fec_in!R21)</f>
        <v>0.68903771012185555</v>
      </c>
      <c r="S21" s="137">
        <f>IF(SER_hh_tes_in!S21=0,"",SER_hh_tes_in!S21/SER_hh_fec_in!S21)</f>
        <v>0.70988546035046785</v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>
        <f>IF(SER_hh_tes_in!W21=0,"",SER_hh_tes_in!W21/SER_hh_fec_in!W21)</f>
        <v>0.7612736917921864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0.48052640722546486</v>
      </c>
      <c r="D22" s="137">
        <f>IF(SER_hh_tes_in!D22=0,"",SER_hh_tes_in!D22/SER_hh_fec_in!D22)</f>
        <v>0.48268125989199601</v>
      </c>
      <c r="E22" s="137">
        <f>IF(SER_hh_tes_in!E22=0,"",SER_hh_tes_in!E22/SER_hh_fec_in!E22)</f>
        <v>0.48519283533690866</v>
      </c>
      <c r="F22" s="137">
        <f>IF(SER_hh_tes_in!F22=0,"",SER_hh_tes_in!F22/SER_hh_fec_in!F22)</f>
        <v>0.48775305479705516</v>
      </c>
      <c r="G22" s="137">
        <f>IF(SER_hh_tes_in!G22=0,"",SER_hh_tes_in!G22/SER_hh_fec_in!G22)</f>
        <v>0.49064179495399851</v>
      </c>
      <c r="H22" s="137">
        <f>IF(SER_hh_tes_in!H22=0,"",SER_hh_tes_in!H22/SER_hh_fec_in!H22)</f>
        <v>0.49382480246494476</v>
      </c>
      <c r="I22" s="137">
        <f>IF(SER_hh_tes_in!I22=0,"",SER_hh_tes_in!I22/SER_hh_fec_in!I22)</f>
        <v>0.49737103895240919</v>
      </c>
      <c r="J22" s="137">
        <f>IF(SER_hh_tes_in!J22=0,"",SER_hh_tes_in!J22/SER_hh_fec_in!J22)</f>
        <v>0.50156301584257368</v>
      </c>
      <c r="K22" s="137">
        <f>IF(SER_hh_tes_in!K22=0,"",SER_hh_tes_in!K22/SER_hh_fec_in!K22)</f>
        <v>0.50664094215703592</v>
      </c>
      <c r="L22" s="137">
        <f>IF(SER_hh_tes_in!L22=0,"",SER_hh_tes_in!L22/SER_hh_fec_in!L22)</f>
        <v>0.51266908365714392</v>
      </c>
      <c r="M22" s="137">
        <f>IF(SER_hh_tes_in!M22=0,"",SER_hh_tes_in!M22/SER_hh_fec_in!M22)</f>
        <v>0.52534767762902557</v>
      </c>
      <c r="N22" s="137">
        <f>IF(SER_hh_tes_in!N22=0,"",SER_hh_tes_in!N22/SER_hh_fec_in!N22)</f>
        <v>0.54648597546911581</v>
      </c>
      <c r="O22" s="137">
        <f>IF(SER_hh_tes_in!O22=0,"",SER_hh_tes_in!O22/SER_hh_fec_in!O22)</f>
        <v>0.57759429202329959</v>
      </c>
      <c r="P22" s="137">
        <f>IF(SER_hh_tes_in!P22=0,"",SER_hh_tes_in!P22/SER_hh_fec_in!P22)</f>
        <v>0.61549836962751492</v>
      </c>
      <c r="Q22" s="137">
        <f>IF(SER_hh_tes_in!Q22=0,"",SER_hh_tes_in!Q22/SER_hh_fec_in!Q22)</f>
        <v>0.64991345112416687</v>
      </c>
      <c r="R22" s="137">
        <f>IF(SER_hh_tes_in!R22=0,"",SER_hh_tes_in!R22/SER_hh_fec_in!R22)</f>
        <v>0.67313942100319102</v>
      </c>
      <c r="S22" s="137">
        <f>IF(SER_hh_tes_in!S22=0,"",SER_hh_tes_in!S22/SER_hh_fec_in!S22)</f>
        <v>0.69552081015936684</v>
      </c>
      <c r="T22" s="137">
        <f>IF(SER_hh_tes_in!T22=0,"",SER_hh_tes_in!T22/SER_hh_fec_in!T22)</f>
        <v>0.71579074750833771</v>
      </c>
      <c r="U22" s="137">
        <f>IF(SER_hh_tes_in!U22=0,"",SER_hh_tes_in!U22/SER_hh_fec_in!U22)</f>
        <v>0.73268236196581749</v>
      </c>
      <c r="V22" s="137">
        <f>IF(SER_hh_tes_in!V22=0,"",SER_hh_tes_in!V22/SER_hh_fec_in!V22)</f>
        <v>0.7449287824474905</v>
      </c>
      <c r="W22" s="137">
        <f>IF(SER_hh_tes_in!W22=0,"",SER_hh_tes_in!W22/SER_hh_fec_in!W22)</f>
        <v>0.75068935320753905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>
        <f>IF(SER_hh_tes_in!F23=0,"",SER_hh_tes_in!F23/SER_hh_fec_in!F23)</f>
        <v>0.5449244553009881</v>
      </c>
      <c r="G23" s="137">
        <f>IF(SER_hh_tes_in!G23=0,"",SER_hh_tes_in!G23/SER_hh_fec_in!G23)</f>
        <v>0.55190781801118438</v>
      </c>
      <c r="H23" s="137">
        <f>IF(SER_hh_tes_in!H23=0,"",SER_hh_tes_in!H23/SER_hh_fec_in!H23)</f>
        <v>0.55911687257337339</v>
      </c>
      <c r="I23" s="137">
        <f>IF(SER_hh_tes_in!I23=0,"",SER_hh_tes_in!I23/SER_hh_fec_in!I23)</f>
        <v>0.56659795146657699</v>
      </c>
      <c r="J23" s="137">
        <f>IF(SER_hh_tes_in!J23=0,"",SER_hh_tes_in!J23/SER_hh_fec_in!J23)</f>
        <v>0.57454683831950293</v>
      </c>
      <c r="K23" s="137">
        <f>IF(SER_hh_tes_in!K23=0,"",SER_hh_tes_in!K23/SER_hh_fec_in!K23)</f>
        <v>0.58312678698121534</v>
      </c>
      <c r="L23" s="137">
        <f>IF(SER_hh_tes_in!L23=0,"",SER_hh_tes_in!L23/SER_hh_fec_in!L23)</f>
        <v>0.59237586251793017</v>
      </c>
      <c r="M23" s="137">
        <f>IF(SER_hh_tes_in!M23=0,"",SER_hh_tes_in!M23/SER_hh_fec_in!M23)</f>
        <v>0.60636283942560742</v>
      </c>
      <c r="N23" s="137">
        <f>IF(SER_hh_tes_in!N23=0,"",SER_hh_tes_in!N23/SER_hh_fec_in!N23)</f>
        <v>0.62634012612317569</v>
      </c>
      <c r="O23" s="137">
        <f>IF(SER_hh_tes_in!O23=0,"",SER_hh_tes_in!O23/SER_hh_fec_in!O23)</f>
        <v>0.65323247367755899</v>
      </c>
      <c r="P23" s="137">
        <f>IF(SER_hh_tes_in!P23=0,"",SER_hh_tes_in!P23/SER_hh_fec_in!P23)</f>
        <v>0.68452601440486027</v>
      </c>
      <c r="Q23" s="137">
        <f>IF(SER_hh_tes_in!Q23=0,"",SER_hh_tes_in!Q23/SER_hh_fec_in!Q23)</f>
        <v>0.71233425195484434</v>
      </c>
      <c r="R23" s="137">
        <f>IF(SER_hh_tes_in!R23=0,"",SER_hh_tes_in!R23/SER_hh_fec_in!R23)</f>
        <v>0.73061887147859861</v>
      </c>
      <c r="S23" s="137">
        <f>IF(SER_hh_tes_in!S23=0,"",SER_hh_tes_in!S23/SER_hh_fec_in!S23)</f>
        <v>0.74730240926707259</v>
      </c>
      <c r="T23" s="137">
        <f>IF(SER_hh_tes_in!T23=0,"",SER_hh_tes_in!T23/SER_hh_fec_in!T23)</f>
        <v>0.76195176246806118</v>
      </c>
      <c r="U23" s="137">
        <f>IF(SER_hh_tes_in!U23=0,"",SER_hh_tes_in!U23/SER_hh_fec_in!U23)</f>
        <v>0.77408437896862059</v>
      </c>
      <c r="V23" s="137">
        <f>IF(SER_hh_tes_in!V23=0,"",SER_hh_tes_in!V23/SER_hh_fec_in!V23)</f>
        <v>0.78317073254393021</v>
      </c>
      <c r="W23" s="137">
        <f>IF(SER_hh_tes_in!W23=0,"",SER_hh_tes_in!W23/SER_hh_fec_in!W23)</f>
        <v>0.78786033412715917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0.60710218690509299</v>
      </c>
      <c r="D26" s="138">
        <f>IF(SER_hh_tes_in!D26=0,"",SER_hh_tes_in!D26/SER_hh_fec_in!D26)</f>
        <v>0.60987147605651426</v>
      </c>
      <c r="E26" s="138">
        <f>IF(SER_hh_tes_in!E26=0,"",SER_hh_tes_in!E26/SER_hh_fec_in!E26)</f>
        <v>0.61285376270762537</v>
      </c>
      <c r="F26" s="138">
        <f>IF(SER_hh_tes_in!F26=0,"",SER_hh_tes_in!F26/SER_hh_fec_in!F26)</f>
        <v>0.61586469694611012</v>
      </c>
      <c r="G26" s="138">
        <f>IF(SER_hh_tes_in!G26=0,"",SER_hh_tes_in!G26/SER_hh_fec_in!G26)</f>
        <v>0.61907349667984113</v>
      </c>
      <c r="H26" s="138">
        <f>IF(SER_hh_tes_in!H26=0,"",SER_hh_tes_in!H26/SER_hh_fec_in!H26)</f>
        <v>0.62246119485647744</v>
      </c>
      <c r="I26" s="138">
        <f>IF(SER_hh_tes_in!I26=0,"",SER_hh_tes_in!I26/SER_hh_fec_in!I26)</f>
        <v>0.62607186325722897</v>
      </c>
      <c r="J26" s="138">
        <f>IF(SER_hh_tes_in!J26=0,"",SER_hh_tes_in!J26/SER_hh_fec_in!J26)</f>
        <v>0.63008191418839687</v>
      </c>
      <c r="K26" s="138">
        <f>IF(SER_hh_tes_in!K26=0,"",SER_hh_tes_in!K26/SER_hh_fec_in!K26)</f>
        <v>0.634647684288275</v>
      </c>
      <c r="L26" s="138">
        <f>IF(SER_hh_tes_in!L26=0,"",SER_hh_tes_in!L26/SER_hh_fec_in!L26)</f>
        <v>0.63982388938729062</v>
      </c>
      <c r="M26" s="138">
        <f>IF(SER_hh_tes_in!M26=0,"",SER_hh_tes_in!M26/SER_hh_fec_in!M26)</f>
        <v>0.64919718305403629</v>
      </c>
      <c r="N26" s="138">
        <f>IF(SER_hh_tes_in!N26=0,"",SER_hh_tes_in!N26/SER_hh_fec_in!N26)</f>
        <v>0.66434348697990087</v>
      </c>
      <c r="O26" s="138">
        <f>IF(SER_hh_tes_in!O26=0,"",SER_hh_tes_in!O26/SER_hh_fec_in!O26)</f>
        <v>0.68728373688851219</v>
      </c>
      <c r="P26" s="138" t="str">
        <f>IF(SER_hh_tes_in!P26=0,"",SER_hh_tes_in!P26/SER_hh_fec_in!P26)</f>
        <v/>
      </c>
      <c r="Q26" s="138">
        <f>IF(SER_hh_tes_in!Q26=0,"",SER_hh_tes_in!Q26/SER_hh_fec_in!Q26)</f>
        <v>0.74640855049910859</v>
      </c>
      <c r="R26" s="138">
        <f>IF(SER_hh_tes_in!R26=0,"",SER_hh_tes_in!R26/SER_hh_fec_in!R26)</f>
        <v>0.76739987206016769</v>
      </c>
      <c r="S26" s="138">
        <f>IF(SER_hh_tes_in!S26=0,"",SER_hh_tes_in!S26/SER_hh_fec_in!S26)</f>
        <v>0.78818425106868129</v>
      </c>
      <c r="T26" s="138">
        <f>IF(SER_hh_tes_in!T26=0,"",SER_hh_tes_in!T26/SER_hh_fec_in!T26)</f>
        <v>0.80832587770530984</v>
      </c>
      <c r="U26" s="138">
        <f>IF(SER_hh_tes_in!U26=0,"",SER_hh_tes_in!U26/SER_hh_fec_in!U26)</f>
        <v>0.82724635152151482</v>
      </c>
      <c r="V26" s="138">
        <f>IF(SER_hh_tes_in!V26=0,"",SER_hh_tes_in!V26/SER_hh_fec_in!V26)</f>
        <v>0.84405829042166047</v>
      </c>
      <c r="W26" s="138">
        <f>IF(SER_hh_tes_in!W26=0,"",SER_hh_tes_in!W26/SER_hh_fec_in!W26)</f>
        <v>0.85729253647675618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0.63697861416620072</v>
      </c>
      <c r="D29" s="136">
        <f>IF(SER_hh_tes_in!D29=0,"",SER_hh_tes_in!D29/SER_hh_fec_in!D29)</f>
        <v>0.64983002057646411</v>
      </c>
      <c r="E29" s="136">
        <f>IF(SER_hh_tes_in!E29=0,"",SER_hh_tes_in!E29/SER_hh_fec_in!E29)</f>
        <v>0.64859867559207318</v>
      </c>
      <c r="F29" s="136">
        <f>IF(SER_hh_tes_in!F29=0,"",SER_hh_tes_in!F29/SER_hh_fec_in!F29)</f>
        <v>0.62540853716655442</v>
      </c>
      <c r="G29" s="136">
        <f>IF(SER_hh_tes_in!G29=0,"",SER_hh_tes_in!G29/SER_hh_fec_in!G29)</f>
        <v>0.64435048262881311</v>
      </c>
      <c r="H29" s="136">
        <f>IF(SER_hh_tes_in!H29=0,"",SER_hh_tes_in!H29/SER_hh_fec_in!H29)</f>
        <v>0.65490017528831268</v>
      </c>
      <c r="I29" s="136">
        <f>IF(SER_hh_tes_in!I29=0,"",SER_hh_tes_in!I29/SER_hh_fec_in!I29)</f>
        <v>0.66334081486512764</v>
      </c>
      <c r="J29" s="136">
        <f>IF(SER_hh_tes_in!J29=0,"",SER_hh_tes_in!J29/SER_hh_fec_in!J29)</f>
        <v>0.66140143663924844</v>
      </c>
      <c r="K29" s="136">
        <f>IF(SER_hh_tes_in!K29=0,"",SER_hh_tes_in!K29/SER_hh_fec_in!K29)</f>
        <v>0.65369300909109351</v>
      </c>
      <c r="L29" s="136">
        <f>IF(SER_hh_tes_in!L29=0,"",SER_hh_tes_in!L29/SER_hh_fec_in!L29)</f>
        <v>0.65843876858456207</v>
      </c>
      <c r="M29" s="136">
        <f>IF(SER_hh_tes_in!M29=0,"",SER_hh_tes_in!M29/SER_hh_fec_in!M29)</f>
        <v>0.63338942584481195</v>
      </c>
      <c r="N29" s="136">
        <f>IF(SER_hh_tes_in!N29=0,"",SER_hh_tes_in!N29/SER_hh_fec_in!N29)</f>
        <v>0.59065507865965783</v>
      </c>
      <c r="O29" s="136">
        <f>IF(SER_hh_tes_in!O29=0,"",SER_hh_tes_in!O29/SER_hh_fec_in!O29)</f>
        <v>0.55011647160139809</v>
      </c>
      <c r="P29" s="136">
        <f>IF(SER_hh_tes_in!P29=0,"",SER_hh_tes_in!P29/SER_hh_fec_in!P29)</f>
        <v>0.55022623089923961</v>
      </c>
      <c r="Q29" s="136">
        <f>IF(SER_hh_tes_in!Q29=0,"",SER_hh_tes_in!Q29/SER_hh_fec_in!Q29)</f>
        <v>0.54988798705662401</v>
      </c>
      <c r="R29" s="136">
        <f>IF(SER_hh_tes_in!R29=0,"",SER_hh_tes_in!R29/SER_hh_fec_in!R29)</f>
        <v>0.58263933498490905</v>
      </c>
      <c r="S29" s="136">
        <f>IF(SER_hh_tes_in!S29=0,"",SER_hh_tes_in!S29/SER_hh_fec_in!S29)</f>
        <v>0.66081057937112575</v>
      </c>
      <c r="T29" s="136">
        <f>IF(SER_hh_tes_in!T29=0,"",SER_hh_tes_in!T29/SER_hh_fec_in!T29)</f>
        <v>0.76833164431792011</v>
      </c>
      <c r="U29" s="136">
        <f>IF(SER_hh_tes_in!U29=0,"",SER_hh_tes_in!U29/SER_hh_fec_in!U29)</f>
        <v>0.73687304729968406</v>
      </c>
      <c r="V29" s="136">
        <f>IF(SER_hh_tes_in!V29=0,"",SER_hh_tes_in!V29/SER_hh_fec_in!V29)</f>
        <v>0.64634942684447561</v>
      </c>
      <c r="W29" s="136">
        <f>IF(SER_hh_tes_in!W29=0,"",SER_hh_tes_in!W29/SER_hh_fec_in!W29)</f>
        <v>0.69950859077527217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0.53645215298582316</v>
      </c>
      <c r="D30" s="137">
        <f>IF(SER_hh_tes_in!D30=0,"",SER_hh_tes_in!D30/SER_hh_fec_in!D30)</f>
        <v>0.53769894682880015</v>
      </c>
      <c r="E30" s="137">
        <f>IF(SER_hh_tes_in!E30=0,"",SER_hh_tes_in!E30/SER_hh_fec_in!E30)</f>
        <v>0.53892815707892749</v>
      </c>
      <c r="F30" s="137">
        <f>IF(SER_hh_tes_in!F30=0,"",SER_hh_tes_in!F30/SER_hh_fec_in!F30)</f>
        <v>0.54015496956639375</v>
      </c>
      <c r="G30" s="137">
        <f>IF(SER_hh_tes_in!G30=0,"",SER_hh_tes_in!G30/SER_hh_fec_in!G30)</f>
        <v>0.54136558859909578</v>
      </c>
      <c r="H30" s="137">
        <f>IF(SER_hh_tes_in!H30=0,"",SER_hh_tes_in!H30/SER_hh_fec_in!H30)</f>
        <v>0.54256170259411884</v>
      </c>
      <c r="I30" s="137">
        <f>IF(SER_hh_tes_in!I30=0,"",SER_hh_tes_in!I30/SER_hh_fec_in!I30)</f>
        <v>0.54373991229252516</v>
      </c>
      <c r="J30" s="137">
        <f>IF(SER_hh_tes_in!J30=0,"",SER_hh_tes_in!J30/SER_hh_fec_in!J30)</f>
        <v>0.54488629213027973</v>
      </c>
      <c r="K30" s="137">
        <f>IF(SER_hh_tes_in!K30=0,"",SER_hh_tes_in!K30/SER_hh_fec_in!K30)</f>
        <v>0.54598900171509346</v>
      </c>
      <c r="L30" s="137">
        <f>IF(SER_hh_tes_in!L30=0,"",SER_hh_tes_in!L30/SER_hh_fec_in!L30)</f>
        <v>0.54704487325659679</v>
      </c>
      <c r="M30" s="137">
        <f>IF(SER_hh_tes_in!M30=0,"",SER_hh_tes_in!M30/SER_hh_fec_in!M30)</f>
        <v>0.54761307194051545</v>
      </c>
      <c r="N30" s="137">
        <f>IF(SER_hh_tes_in!N30=0,"",SER_hh_tes_in!N30/SER_hh_fec_in!N30)</f>
        <v>0.54761307194051545</v>
      </c>
      <c r="O30" s="137">
        <f>IF(SER_hh_tes_in!O30=0,"",SER_hh_tes_in!O30/SER_hh_fec_in!O30)</f>
        <v>0.54761307194051545</v>
      </c>
      <c r="P30" s="137">
        <f>IF(SER_hh_tes_in!P30=0,"",SER_hh_tes_in!P30/SER_hh_fec_in!P30)</f>
        <v>0.54761307194051545</v>
      </c>
      <c r="Q30" s="137">
        <f>IF(SER_hh_tes_in!Q30=0,"",SER_hh_tes_in!Q30/SER_hh_fec_in!Q30)</f>
        <v>0.54761307194051545</v>
      </c>
      <c r="R30" s="137">
        <f>IF(SER_hh_tes_in!R30=0,"",SER_hh_tes_in!R30/SER_hh_fec_in!R30)</f>
        <v>0.55120277990108624</v>
      </c>
      <c r="S30" s="137">
        <f>IF(SER_hh_tes_in!S30=0,"",SER_hh_tes_in!S30/SER_hh_fec_in!S30)</f>
        <v>0.55707276575213593</v>
      </c>
      <c r="T30" s="137">
        <f>IF(SER_hh_tes_in!T30=0,"",SER_hh_tes_in!T30/SER_hh_fec_in!T30)</f>
        <v>0.56392108257835549</v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0.53926572635118941</v>
      </c>
      <c r="D31" s="137">
        <f>IF(SER_hh_tes_in!D31=0,"",SER_hh_tes_in!D31/SER_hh_fec_in!D31)</f>
        <v>0.54050334830692215</v>
      </c>
      <c r="E31" s="137">
        <f>IF(SER_hh_tes_in!E31=0,"",SER_hh_tes_in!E31/SER_hh_fec_in!E31)</f>
        <v>0.54172351602136737</v>
      </c>
      <c r="F31" s="137">
        <f>IF(SER_hh_tes_in!F31=0,"",SER_hh_tes_in!F31/SER_hh_fec_in!F31)</f>
        <v>0.54294130361200077</v>
      </c>
      <c r="G31" s="137">
        <f>IF(SER_hh_tes_in!G31=0,"",SER_hh_tes_in!G31/SER_hh_fec_in!G31)</f>
        <v>0.54414301687305011</v>
      </c>
      <c r="H31" s="137">
        <f>IF(SER_hh_tes_in!H31=0,"",SER_hh_tes_in!H31/SER_hh_fec_in!H31)</f>
        <v>0.54533033180096591</v>
      </c>
      <c r="I31" s="137">
        <f>IF(SER_hh_tes_in!I31=0,"",SER_hh_tes_in!I31/SER_hh_fec_in!I31)</f>
        <v>0.54649987414304479</v>
      </c>
      <c r="J31" s="137">
        <f>IF(SER_hh_tes_in!J31=0,"",SER_hh_tes_in!J31/SER_hh_fec_in!J31)</f>
        <v>0.54763782077697032</v>
      </c>
      <c r="K31" s="137">
        <f>IF(SER_hh_tes_in!K31=0,"",SER_hh_tes_in!K31/SER_hh_fec_in!K31)</f>
        <v>0.54873241841285836</v>
      </c>
      <c r="L31" s="137">
        <f>IF(SER_hh_tes_in!L31=0,"",SER_hh_tes_in!L31/SER_hh_fec_in!L31)</f>
        <v>0.54978052256380439</v>
      </c>
      <c r="M31" s="137">
        <f>IF(SER_hh_tes_in!M31=0,"",SER_hh_tes_in!M31/SER_hh_fec_in!M31)</f>
        <v>0.55034454136322142</v>
      </c>
      <c r="N31" s="137">
        <f>IF(SER_hh_tes_in!N31=0,"",SER_hh_tes_in!N31/SER_hh_fec_in!N31)</f>
        <v>0.55034454136322131</v>
      </c>
      <c r="O31" s="137">
        <f>IF(SER_hh_tes_in!O31=0,"",SER_hh_tes_in!O31/SER_hh_fec_in!O31)</f>
        <v>0.55034454136322142</v>
      </c>
      <c r="P31" s="137">
        <f>IF(SER_hh_tes_in!P31=0,"",SER_hh_tes_in!P31/SER_hh_fec_in!P31)</f>
        <v>0.55034454136322142</v>
      </c>
      <c r="Q31" s="137">
        <f>IF(SER_hh_tes_in!Q31=0,"",SER_hh_tes_in!Q31/SER_hh_fec_in!Q31)</f>
        <v>0.55034454136322142</v>
      </c>
      <c r="R31" s="137">
        <f>IF(SER_hh_tes_in!R31=0,"",SER_hh_tes_in!R31/SER_hh_fec_in!R31)</f>
        <v>0.55390784207383759</v>
      </c>
      <c r="S31" s="137">
        <f>IF(SER_hh_tes_in!S31=0,"",SER_hh_tes_in!S31/SER_hh_fec_in!S31)</f>
        <v>0.55973464608800738</v>
      </c>
      <c r="T31" s="137">
        <f>IF(SER_hh_tes_in!T31=0,"",SER_hh_tes_in!T31/SER_hh_fec_in!T31)</f>
        <v>0.566532584104534</v>
      </c>
      <c r="U31" s="137">
        <f>IF(SER_hh_tes_in!U31=0,"",SER_hh_tes_in!U31/SER_hh_fec_in!U31)</f>
        <v>0.5735733056216521</v>
      </c>
      <c r="V31" s="137">
        <f>IF(SER_hh_tes_in!V31=0,"",SER_hh_tes_in!V31/SER_hh_fec_in!V31)</f>
        <v>0.58012846013758956</v>
      </c>
      <c r="W31" s="137">
        <f>IF(SER_hh_tes_in!W31=0,"",SER_hh_tes_in!W31/SER_hh_fec_in!W31)</f>
        <v>0.58619804765234351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0.7087173154053128</v>
      </c>
      <c r="D33" s="150">
        <f>IF(SER_hh_tes_in!D33=0,"",SER_hh_tes_in!D33/SER_hh_fec_in!D33)</f>
        <v>0.71046719905922751</v>
      </c>
      <c r="E33" s="150">
        <f>IF(SER_hh_tes_in!E33=0,"",SER_hh_tes_in!E33/SER_hh_fec_in!E33)</f>
        <v>0.71228178916926654</v>
      </c>
      <c r="F33" s="150">
        <f>IF(SER_hh_tes_in!F33=0,"",SER_hh_tes_in!F33/SER_hh_fec_in!F33)</f>
        <v>0.71410520288695867</v>
      </c>
      <c r="G33" s="150">
        <f>IF(SER_hh_tes_in!G33=0,"",SER_hh_tes_in!G33/SER_hh_fec_in!G33)</f>
        <v>0.71598820744476943</v>
      </c>
      <c r="H33" s="150">
        <f>IF(SER_hh_tes_in!H33=0,"",SER_hh_tes_in!H33/SER_hh_fec_in!H33)</f>
        <v>0.71792458957974825</v>
      </c>
      <c r="I33" s="150">
        <f>IF(SER_hh_tes_in!I33=0,"",SER_hh_tes_in!I33/SER_hh_fec_in!I33)</f>
        <v>0.71992685833945791</v>
      </c>
      <c r="J33" s="150">
        <f>IF(SER_hh_tes_in!J33=0,"",SER_hh_tes_in!J33/SER_hh_fec_in!J33)</f>
        <v>0.72204625887646734</v>
      </c>
      <c r="K33" s="150">
        <f>IF(SER_hh_tes_in!K33=0,"",SER_hh_tes_in!K33/SER_hh_fec_in!K33)</f>
        <v>0.72432636304953735</v>
      </c>
      <c r="L33" s="150">
        <f>IF(SER_hh_tes_in!L33=0,"",SER_hh_tes_in!L33/SER_hh_fec_in!L33)</f>
        <v>0.72677882811724237</v>
      </c>
      <c r="M33" s="150">
        <f>IF(SER_hh_tes_in!M33=0,"",SER_hh_tes_in!M33/SER_hh_fec_in!M33)</f>
        <v>0.73011548598290665</v>
      </c>
      <c r="N33" s="150">
        <f>IF(SER_hh_tes_in!N33=0,"",SER_hh_tes_in!N33/SER_hh_fec_in!N33)</f>
        <v>0.73453817921313169</v>
      </c>
      <c r="O33" s="150" t="str">
        <f>IF(SER_hh_tes_in!O33=0,"",SER_hh_tes_in!O33/SER_hh_fec_in!O33)</f>
        <v/>
      </c>
      <c r="P33" s="150" t="str">
        <f>IF(SER_hh_tes_in!P33=0,"",SER_hh_tes_in!P33/SER_hh_fec_in!P33)</f>
        <v/>
      </c>
      <c r="Q33" s="150" t="str">
        <f>IF(SER_hh_tes_in!Q33=0,"",SER_hh_tes_in!Q33/SER_hh_fec_in!Q33)</f>
        <v/>
      </c>
      <c r="R33" s="150">
        <f>IF(SER_hh_tes_in!R33=0,"",SER_hh_tes_in!R33/SER_hh_fec_in!R33)</f>
        <v>0.77220436046147178</v>
      </c>
      <c r="S33" s="150">
        <f>IF(SER_hh_tes_in!S33=0,"",SER_hh_tes_in!S33/SER_hh_fec_in!S33)</f>
        <v>0.78934757486883345</v>
      </c>
      <c r="T33" s="150">
        <f>IF(SER_hh_tes_in!T33=0,"",SER_hh_tes_in!T33/SER_hh_fec_in!T33)</f>
        <v>0.80777931069207853</v>
      </c>
      <c r="U33" s="150">
        <f>IF(SER_hh_tes_in!U33=0,"",SER_hh_tes_in!U33/SER_hh_fec_in!U33)</f>
        <v>0.82538039553359899</v>
      </c>
      <c r="V33" s="150">
        <f>IF(SER_hh_tes_in!V33=0,"",SER_hh_tes_in!V33/SER_hh_fec_in!V33)</f>
        <v>0.84003165699576321</v>
      </c>
      <c r="W33" s="150">
        <f>IF(SER_hh_tes_in!W33=0,"",SER_hh_tes_in!W33/SER_hh_fec_in!W33)</f>
        <v>0.85098869816223688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246.37075485324925</v>
      </c>
      <c r="D3" s="126">
        <f t="shared" si="0"/>
        <v>207.01130343873226</v>
      </c>
      <c r="E3" s="126">
        <f t="shared" si="0"/>
        <v>249.65917073093374</v>
      </c>
      <c r="F3" s="126">
        <f t="shared" si="0"/>
        <v>189.81666464229485</v>
      </c>
      <c r="G3" s="126">
        <f t="shared" si="0"/>
        <v>185.87521793463216</v>
      </c>
      <c r="H3" s="126">
        <f t="shared" si="0"/>
        <v>398.24182949459657</v>
      </c>
      <c r="I3" s="126">
        <f t="shared" si="0"/>
        <v>171.77382313359544</v>
      </c>
      <c r="J3" s="126">
        <f t="shared" si="0"/>
        <v>120.74670643543723</v>
      </c>
      <c r="K3" s="126">
        <f t="shared" si="0"/>
        <v>23.157054097227856</v>
      </c>
      <c r="L3" s="126">
        <f t="shared" si="0"/>
        <v>175.04722107910899</v>
      </c>
      <c r="M3" s="126">
        <f t="shared" si="0"/>
        <v>75.153089243825292</v>
      </c>
      <c r="N3" s="126">
        <f t="shared" si="0"/>
        <v>131.87404811444043</v>
      </c>
      <c r="O3" s="126">
        <f t="shared" si="0"/>
        <v>39.106619684992062</v>
      </c>
      <c r="P3" s="126">
        <f t="shared" si="0"/>
        <v>68.921325167791423</v>
      </c>
      <c r="Q3" s="126">
        <f t="shared" si="0"/>
        <v>94.285883267394183</v>
      </c>
      <c r="R3" s="126">
        <f t="shared" ref="R3:W3" si="1">SUM(R4,R16,R19,R29)</f>
        <v>97.578418836673961</v>
      </c>
      <c r="S3" s="126">
        <f t="shared" si="1"/>
        <v>75.590501049329262</v>
      </c>
      <c r="T3" s="126">
        <f t="shared" si="1"/>
        <v>62.323851032180656</v>
      </c>
      <c r="U3" s="126">
        <f t="shared" si="1"/>
        <v>65.395391999930155</v>
      </c>
      <c r="V3" s="126">
        <f t="shared" si="1"/>
        <v>72.322776516742636</v>
      </c>
      <c r="W3" s="126">
        <f t="shared" si="1"/>
        <v>83.161616280805802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187.32959969307856</v>
      </c>
      <c r="D4" s="131">
        <f t="shared" si="2"/>
        <v>156.35061213318269</v>
      </c>
      <c r="E4" s="131">
        <f t="shared" si="2"/>
        <v>187.04064450457895</v>
      </c>
      <c r="F4" s="131">
        <f t="shared" si="2"/>
        <v>102.28347434884307</v>
      </c>
      <c r="G4" s="131">
        <f t="shared" si="2"/>
        <v>89.811267384895871</v>
      </c>
      <c r="H4" s="131">
        <f t="shared" si="2"/>
        <v>264.46336846150894</v>
      </c>
      <c r="I4" s="131">
        <f t="shared" si="2"/>
        <v>77.267076637992062</v>
      </c>
      <c r="J4" s="131">
        <f t="shared" si="2"/>
        <v>47.246519748686154</v>
      </c>
      <c r="K4" s="131">
        <f t="shared" si="2"/>
        <v>12.818363432324995</v>
      </c>
      <c r="L4" s="131">
        <f t="shared" si="2"/>
        <v>119.94949318220003</v>
      </c>
      <c r="M4" s="131">
        <f t="shared" si="2"/>
        <v>45.848524736080392</v>
      </c>
      <c r="N4" s="131">
        <f t="shared" si="2"/>
        <v>61.364836664254852</v>
      </c>
      <c r="O4" s="131">
        <f t="shared" si="2"/>
        <v>14.8624973586124</v>
      </c>
      <c r="P4" s="131">
        <f t="shared" si="2"/>
        <v>2.6750545367610323</v>
      </c>
      <c r="Q4" s="131">
        <f t="shared" si="2"/>
        <v>2.7060412685497992</v>
      </c>
      <c r="R4" s="131">
        <f t="shared" ref="R4:W4" si="3">SUM(R5:R15)</f>
        <v>14.58321452046032</v>
      </c>
      <c r="S4" s="131">
        <f t="shared" si="3"/>
        <v>25.441109678867949</v>
      </c>
      <c r="T4" s="131">
        <f t="shared" si="3"/>
        <v>33.908200198134992</v>
      </c>
      <c r="U4" s="131">
        <f t="shared" si="3"/>
        <v>25.335979267002532</v>
      </c>
      <c r="V4" s="131">
        <f t="shared" si="3"/>
        <v>17.493390311561917</v>
      </c>
      <c r="W4" s="131">
        <f t="shared" si="3"/>
        <v>35.200901127550786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186.6708514158546</v>
      </c>
      <c r="D7" s="133">
        <v>156.34611150695011</v>
      </c>
      <c r="E7" s="133">
        <v>187.03423376687678</v>
      </c>
      <c r="F7" s="133">
        <v>96.793643999761116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39.68251296359135</v>
      </c>
      <c r="M7" s="133">
        <v>32.603625622858324</v>
      </c>
      <c r="N7" s="133">
        <v>51.683572795422769</v>
      </c>
      <c r="O7" s="133">
        <v>14.810008190122623</v>
      </c>
      <c r="P7" s="133">
        <v>2.3772784332642551</v>
      </c>
      <c r="Q7" s="133">
        <v>2.1333472331104231</v>
      </c>
      <c r="R7" s="133">
        <v>13.930829851134142</v>
      </c>
      <c r="S7" s="133">
        <v>25.072347759585632</v>
      </c>
      <c r="T7" s="133">
        <v>24.081881600471032</v>
      </c>
      <c r="U7" s="133">
        <v>3.3843081059832079</v>
      </c>
      <c r="V7" s="133">
        <v>0</v>
      </c>
      <c r="W7" s="133">
        <v>0.52090619233950353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3.7664908863238168E-3</v>
      </c>
      <c r="D8" s="133">
        <v>4.5006262325879903E-3</v>
      </c>
      <c r="E8" s="133">
        <v>6.4107377021760791E-3</v>
      </c>
      <c r="F8" s="133">
        <v>1.6261712576533072E-2</v>
      </c>
      <c r="G8" s="133">
        <v>2.6345459166065087E-2</v>
      </c>
      <c r="H8" s="133">
        <v>2.359509608606673E-2</v>
      </c>
      <c r="I8" s="133">
        <v>4.6198098575095867E-2</v>
      </c>
      <c r="J8" s="133">
        <v>2.5802676370222086E-2</v>
      </c>
      <c r="K8" s="133">
        <v>5.8740250676118082E-3</v>
      </c>
      <c r="L8" s="133">
        <v>5.2060746168290352E-2</v>
      </c>
      <c r="M8" s="133">
        <v>3.8318822996815667E-2</v>
      </c>
      <c r="N8" s="133">
        <v>0.13538498346916711</v>
      </c>
      <c r="O8" s="133">
        <v>5.2489168489775563E-2</v>
      </c>
      <c r="P8" s="133">
        <v>0.29777610349677719</v>
      </c>
      <c r="Q8" s="133">
        <v>0.36359324822906264</v>
      </c>
      <c r="R8" s="133">
        <v>0.3733625810571482</v>
      </c>
      <c r="S8" s="133">
        <v>0.26402555563425473</v>
      </c>
      <c r="T8" s="133">
        <v>0.28377095107068728</v>
      </c>
      <c r="U8" s="133">
        <v>0.32463403200233582</v>
      </c>
      <c r="V8" s="133">
        <v>0.35223125530682492</v>
      </c>
      <c r="W8" s="133">
        <v>0.17969317028299348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0.65498178633763193</v>
      </c>
      <c r="D9" s="133">
        <v>0</v>
      </c>
      <c r="E9" s="133">
        <v>0</v>
      </c>
      <c r="F9" s="133">
        <v>5.4735686365054237</v>
      </c>
      <c r="G9" s="133">
        <v>89.784921925729805</v>
      </c>
      <c r="H9" s="133">
        <v>264.43977336542287</v>
      </c>
      <c r="I9" s="133">
        <v>77.220878539416972</v>
      </c>
      <c r="J9" s="133">
        <v>47.220717072315935</v>
      </c>
      <c r="K9" s="133">
        <v>12.812489407257383</v>
      </c>
      <c r="L9" s="133">
        <v>80.2149194724404</v>
      </c>
      <c r="M9" s="133">
        <v>13.206580290225258</v>
      </c>
      <c r="N9" s="133">
        <v>9.5458788853629155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9.5425476465932721</v>
      </c>
      <c r="U9" s="133">
        <v>21.627037129016987</v>
      </c>
      <c r="V9" s="133">
        <v>17.138207691182625</v>
      </c>
      <c r="W9" s="133">
        <v>34.438040065437185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0.20910078721031369</v>
      </c>
      <c r="R10" s="133">
        <v>0.27902208826902974</v>
      </c>
      <c r="S10" s="133">
        <v>0.10473636364806084</v>
      </c>
      <c r="T10" s="133">
        <v>0</v>
      </c>
      <c r="U10" s="133">
        <v>0</v>
      </c>
      <c r="V10" s="133">
        <v>2.9513650724665064E-3</v>
      </c>
      <c r="W10" s="133">
        <v>6.226169949109979E-2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0.12422103437452849</v>
      </c>
      <c r="D16" s="131">
        <f t="shared" si="4"/>
        <v>6.5586395597984362E-2</v>
      </c>
      <c r="E16" s="131">
        <f t="shared" si="4"/>
        <v>0.52745220620479161</v>
      </c>
      <c r="F16" s="131">
        <f t="shared" si="4"/>
        <v>0.18417475893598198</v>
      </c>
      <c r="G16" s="131">
        <f t="shared" si="4"/>
        <v>0.26345213100319842</v>
      </c>
      <c r="H16" s="131">
        <f t="shared" si="4"/>
        <v>0.24820592696611365</v>
      </c>
      <c r="I16" s="131">
        <f t="shared" si="4"/>
        <v>0.31063076138659046</v>
      </c>
      <c r="J16" s="131">
        <f t="shared" si="4"/>
        <v>0.33380375504272952</v>
      </c>
      <c r="K16" s="131">
        <f t="shared" si="4"/>
        <v>5.4293738067869655E-2</v>
      </c>
      <c r="L16" s="131">
        <f t="shared" si="4"/>
        <v>0.33223319853015876</v>
      </c>
      <c r="M16" s="131">
        <f t="shared" si="4"/>
        <v>0.1367436677522462</v>
      </c>
      <c r="N16" s="131">
        <f t="shared" si="4"/>
        <v>0.29129339898224926</v>
      </c>
      <c r="O16" s="131">
        <f t="shared" si="4"/>
        <v>0.13407774391019289</v>
      </c>
      <c r="P16" s="131">
        <f t="shared" si="4"/>
        <v>0.17701992931710336</v>
      </c>
      <c r="Q16" s="131">
        <f t="shared" si="4"/>
        <v>0.56317619706752697</v>
      </c>
      <c r="R16" s="131">
        <f t="shared" ref="R16:W16" si="5">SUM(R17:R18)</f>
        <v>0.69175620773464952</v>
      </c>
      <c r="S16" s="131">
        <f t="shared" si="5"/>
        <v>0.59936600764757952</v>
      </c>
      <c r="T16" s="131">
        <f t="shared" si="5"/>
        <v>0.76193062232425035</v>
      </c>
      <c r="U16" s="131">
        <f t="shared" si="5"/>
        <v>0.43917374159485362</v>
      </c>
      <c r="V16" s="131">
        <f t="shared" si="5"/>
        <v>0.64722423803793805</v>
      </c>
      <c r="W16" s="131">
        <f t="shared" si="5"/>
        <v>0.12687299968545562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0.12422103437452849</v>
      </c>
      <c r="D17" s="133">
        <v>6.5586395597984362E-2</v>
      </c>
      <c r="E17" s="133">
        <v>0.52745220620479161</v>
      </c>
      <c r="F17" s="133">
        <v>0.18417475893598198</v>
      </c>
      <c r="G17" s="133">
        <v>0.26345213100319842</v>
      </c>
      <c r="H17" s="133">
        <v>0.24820592696611365</v>
      </c>
      <c r="I17" s="133">
        <v>0.31063076138659046</v>
      </c>
      <c r="J17" s="133">
        <v>0.33380375504272952</v>
      </c>
      <c r="K17" s="133">
        <v>5.4293738067869655E-2</v>
      </c>
      <c r="L17" s="133">
        <v>0.33223319853015876</v>
      </c>
      <c r="M17" s="133">
        <v>0.1367436677522462</v>
      </c>
      <c r="N17" s="133">
        <v>0.29129339898224926</v>
      </c>
      <c r="O17" s="133">
        <v>0.13407774391019289</v>
      </c>
      <c r="P17" s="133">
        <v>0.17701992931710336</v>
      </c>
      <c r="Q17" s="133">
        <v>0.56317619706752697</v>
      </c>
      <c r="R17" s="133">
        <v>0.69175620773464952</v>
      </c>
      <c r="S17" s="133">
        <v>0.59936600764757952</v>
      </c>
      <c r="T17" s="133">
        <v>0.76193062232425035</v>
      </c>
      <c r="U17" s="133">
        <v>0.43917374159485362</v>
      </c>
      <c r="V17" s="133">
        <v>0.64722423803793805</v>
      </c>
      <c r="W17" s="133">
        <v>0.12687299968545562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23.270945055725701</v>
      </c>
      <c r="D19" s="131">
        <f t="shared" si="6"/>
        <v>21.746916820786272</v>
      </c>
      <c r="E19" s="131">
        <f t="shared" si="6"/>
        <v>29.017328089050327</v>
      </c>
      <c r="F19" s="131">
        <f t="shared" si="6"/>
        <v>36.254725227806361</v>
      </c>
      <c r="G19" s="131">
        <f t="shared" si="6"/>
        <v>53.276985588119928</v>
      </c>
      <c r="H19" s="131">
        <f t="shared" si="6"/>
        <v>92.703166453164854</v>
      </c>
      <c r="I19" s="131">
        <f t="shared" si="6"/>
        <v>58.673578262765702</v>
      </c>
      <c r="J19" s="131">
        <f t="shared" si="6"/>
        <v>38.995057311505775</v>
      </c>
      <c r="K19" s="131">
        <f t="shared" si="6"/>
        <v>4.9657204944181821</v>
      </c>
      <c r="L19" s="131">
        <f t="shared" si="6"/>
        <v>29.831680452566886</v>
      </c>
      <c r="M19" s="131">
        <f t="shared" si="6"/>
        <v>15.123833176157657</v>
      </c>
      <c r="N19" s="131">
        <f t="shared" si="6"/>
        <v>32.94165545958392</v>
      </c>
      <c r="O19" s="131">
        <f t="shared" si="6"/>
        <v>10.817369133464432</v>
      </c>
      <c r="P19" s="131">
        <f t="shared" si="6"/>
        <v>25.006580030500668</v>
      </c>
      <c r="Q19" s="131">
        <f t="shared" si="6"/>
        <v>31.787878588941485</v>
      </c>
      <c r="R19" s="131">
        <f t="shared" ref="R19:W19" si="7">SUM(R20:R27)</f>
        <v>28.792118314156436</v>
      </c>
      <c r="S19" s="131">
        <f t="shared" si="7"/>
        <v>20.720059474439299</v>
      </c>
      <c r="T19" s="131">
        <f t="shared" si="7"/>
        <v>19.10841688913661</v>
      </c>
      <c r="U19" s="131">
        <f t="shared" si="7"/>
        <v>22.515013707539616</v>
      </c>
      <c r="V19" s="131">
        <f t="shared" si="7"/>
        <v>24.107358151898779</v>
      </c>
      <c r="W19" s="131">
        <f t="shared" si="7"/>
        <v>22.402061176830777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1.8366011228261465</v>
      </c>
      <c r="D21" s="133">
        <v>1.7143092751807594</v>
      </c>
      <c r="E21" s="133">
        <v>2.1255417658132894</v>
      </c>
      <c r="F21" s="133">
        <v>1.4588808533151065</v>
      </c>
      <c r="G21" s="133">
        <v>3.2226505261559093</v>
      </c>
      <c r="H21" s="133">
        <v>4.065637832161813</v>
      </c>
      <c r="I21" s="133">
        <v>4.4480060485118837</v>
      </c>
      <c r="J21" s="133">
        <v>3.6720824594695398</v>
      </c>
      <c r="K21" s="133">
        <v>0.5695026070715048</v>
      </c>
      <c r="L21" s="133">
        <v>2.8274285982185741</v>
      </c>
      <c r="M21" s="133">
        <v>1.2256274047950937</v>
      </c>
      <c r="N21" s="133">
        <v>2.1321266738378104</v>
      </c>
      <c r="O21" s="133">
        <v>0.6339192350571069</v>
      </c>
      <c r="P21" s="133">
        <v>1.0074927470132755</v>
      </c>
      <c r="Q21" s="133">
        <v>2.0254969853161926</v>
      </c>
      <c r="R21" s="133">
        <v>1.7228238045951183</v>
      </c>
      <c r="S21" s="133">
        <v>0.90363144000036233</v>
      </c>
      <c r="T21" s="133">
        <v>0</v>
      </c>
      <c r="U21" s="133">
        <v>0</v>
      </c>
      <c r="V21" s="133">
        <v>0</v>
      </c>
      <c r="W21" s="133">
        <v>5.4509860314280413E-3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21.434343932899555</v>
      </c>
      <c r="D22" s="133">
        <v>20.032607545605511</v>
      </c>
      <c r="E22" s="133">
        <v>26.891786323237039</v>
      </c>
      <c r="F22" s="133">
        <v>22.954062200937688</v>
      </c>
      <c r="G22" s="133">
        <v>25.692916982714351</v>
      </c>
      <c r="H22" s="133">
        <v>19.048252674539484</v>
      </c>
      <c r="I22" s="133">
        <v>15.859379499733969</v>
      </c>
      <c r="J22" s="133">
        <v>15.000064101837395</v>
      </c>
      <c r="K22" s="133">
        <v>2.8867140046047601</v>
      </c>
      <c r="L22" s="133">
        <v>18.467268166282906</v>
      </c>
      <c r="M22" s="133">
        <v>9.3013988852293625</v>
      </c>
      <c r="N22" s="133">
        <v>17.932380314056314</v>
      </c>
      <c r="O22" s="133">
        <v>5.8569670382167054</v>
      </c>
      <c r="P22" s="133">
        <v>13.248797051833208</v>
      </c>
      <c r="Q22" s="133">
        <v>25.893528500851684</v>
      </c>
      <c r="R22" s="133">
        <v>20.862346355118355</v>
      </c>
      <c r="S22" s="133">
        <v>13.284331961779642</v>
      </c>
      <c r="T22" s="133">
        <v>9.4513229313074465</v>
      </c>
      <c r="U22" s="133">
        <v>9.4488914513259026</v>
      </c>
      <c r="V22" s="133">
        <v>10.668267159474532</v>
      </c>
      <c r="W22" s="133">
        <v>9.3003596150699899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11.841782173553565</v>
      </c>
      <c r="G23" s="133">
        <v>24.36141807924967</v>
      </c>
      <c r="H23" s="133">
        <v>69.589275946463559</v>
      </c>
      <c r="I23" s="133">
        <v>38.366192714519848</v>
      </c>
      <c r="J23" s="133">
        <v>20.322910750198837</v>
      </c>
      <c r="K23" s="133">
        <v>1.5095038827419169</v>
      </c>
      <c r="L23" s="133">
        <v>8.5369836880654049</v>
      </c>
      <c r="M23" s="133">
        <v>4.5968068861332005</v>
      </c>
      <c r="N23" s="133">
        <v>12.877148471689795</v>
      </c>
      <c r="O23" s="133">
        <v>4.3264828601906204</v>
      </c>
      <c r="P23" s="133">
        <v>10.750290231654185</v>
      </c>
      <c r="Q23" s="133">
        <v>3.8688531027736093</v>
      </c>
      <c r="R23" s="133">
        <v>6.206948154442963</v>
      </c>
      <c r="S23" s="133">
        <v>6.5320960726592938</v>
      </c>
      <c r="T23" s="133">
        <v>9.6570939578291632</v>
      </c>
      <c r="U23" s="133">
        <v>13.066122256213712</v>
      </c>
      <c r="V23" s="133">
        <v>13.439090992424248</v>
      </c>
      <c r="W23" s="133">
        <v>13.096250575729361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35.645989070070478</v>
      </c>
      <c r="D29" s="131">
        <f t="shared" si="8"/>
        <v>28.84818808916528</v>
      </c>
      <c r="E29" s="131">
        <f t="shared" si="8"/>
        <v>33.073745931099673</v>
      </c>
      <c r="F29" s="131">
        <f t="shared" si="8"/>
        <v>51.094290306709432</v>
      </c>
      <c r="G29" s="131">
        <f t="shared" si="8"/>
        <v>42.523512830613164</v>
      </c>
      <c r="H29" s="131">
        <f t="shared" si="8"/>
        <v>40.827088652956668</v>
      </c>
      <c r="I29" s="131">
        <f t="shared" si="8"/>
        <v>35.522537471451066</v>
      </c>
      <c r="J29" s="131">
        <f t="shared" si="8"/>
        <v>34.171325620202573</v>
      </c>
      <c r="K29" s="131">
        <f t="shared" si="8"/>
        <v>5.3186764324168081</v>
      </c>
      <c r="L29" s="131">
        <f t="shared" si="8"/>
        <v>24.933814245811924</v>
      </c>
      <c r="M29" s="131">
        <f t="shared" si="8"/>
        <v>14.043987663834995</v>
      </c>
      <c r="N29" s="131">
        <f t="shared" si="8"/>
        <v>37.276262591619393</v>
      </c>
      <c r="O29" s="131">
        <f t="shared" si="8"/>
        <v>13.292675449005039</v>
      </c>
      <c r="P29" s="131">
        <f t="shared" si="8"/>
        <v>41.062670671212622</v>
      </c>
      <c r="Q29" s="131">
        <f t="shared" si="8"/>
        <v>59.228787212835371</v>
      </c>
      <c r="R29" s="131">
        <f t="shared" ref="R29:W29" si="9">SUM(R30:R33)</f>
        <v>53.511329794322549</v>
      </c>
      <c r="S29" s="131">
        <f t="shared" si="9"/>
        <v>28.829965888374428</v>
      </c>
      <c r="T29" s="131">
        <f t="shared" si="9"/>
        <v>8.5453033225847985</v>
      </c>
      <c r="U29" s="131">
        <f t="shared" si="9"/>
        <v>17.10522528379316</v>
      </c>
      <c r="V29" s="131">
        <f t="shared" si="9"/>
        <v>30.074803815243989</v>
      </c>
      <c r="W29" s="131">
        <f t="shared" si="9"/>
        <v>25.431780976738789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18.379564988959991</v>
      </c>
      <c r="D30" s="133">
        <v>16.92196982120873</v>
      </c>
      <c r="E30" s="133">
        <v>15.695032657584434</v>
      </c>
      <c r="F30" s="133">
        <v>11.190826480028576</v>
      </c>
      <c r="G30" s="133">
        <v>5.9419318334299858</v>
      </c>
      <c r="H30" s="133">
        <v>5.3582218963752126</v>
      </c>
      <c r="I30" s="133">
        <v>11.305343055598968</v>
      </c>
      <c r="J30" s="133">
        <v>13.092633846771855</v>
      </c>
      <c r="K30" s="133">
        <v>1.7777486759146495</v>
      </c>
      <c r="L30" s="133">
        <v>6.1689360253994519</v>
      </c>
      <c r="M30" s="133">
        <v>0.64746549901674888</v>
      </c>
      <c r="N30" s="133">
        <v>2.1949896840734713</v>
      </c>
      <c r="O30" s="133">
        <v>1.2687146337358675</v>
      </c>
      <c r="P30" s="133">
        <v>2.0384156790818482</v>
      </c>
      <c r="Q30" s="133">
        <v>10.965412186584512</v>
      </c>
      <c r="R30" s="133">
        <v>16.143033952537984</v>
      </c>
      <c r="S30" s="133">
        <v>6.5567240719363262</v>
      </c>
      <c r="T30" s="133">
        <v>2.4592392687017299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17.266424081110486</v>
      </c>
      <c r="D31" s="133">
        <v>11.92621826795655</v>
      </c>
      <c r="E31" s="133">
        <v>17.378713273515238</v>
      </c>
      <c r="F31" s="133">
        <v>39.903463826680856</v>
      </c>
      <c r="G31" s="133">
        <v>36.581580997183181</v>
      </c>
      <c r="H31" s="133">
        <v>35.468866756581455</v>
      </c>
      <c r="I31" s="133">
        <v>24.217194415852099</v>
      </c>
      <c r="J31" s="133">
        <v>21.078691773430716</v>
      </c>
      <c r="K31" s="133">
        <v>3.5409277565021586</v>
      </c>
      <c r="L31" s="133">
        <v>18.76487822041247</v>
      </c>
      <c r="M31" s="133">
        <v>13.396522164818247</v>
      </c>
      <c r="N31" s="133">
        <v>35.081272907545923</v>
      </c>
      <c r="O31" s="133">
        <v>12.023960815269172</v>
      </c>
      <c r="P31" s="133">
        <v>39.024254992130771</v>
      </c>
      <c r="Q31" s="133">
        <v>48.263375026250856</v>
      </c>
      <c r="R31" s="133">
        <v>37.368295841784565</v>
      </c>
      <c r="S31" s="133">
        <v>22.273241816438102</v>
      </c>
      <c r="T31" s="133">
        <v>6.086064053883069</v>
      </c>
      <c r="U31" s="133">
        <v>17.10522528379316</v>
      </c>
      <c r="V31" s="133">
        <v>30.074803815243989</v>
      </c>
      <c r="W31" s="133">
        <v>25.431780976738789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31289.515543830836</v>
      </c>
      <c r="D3" s="126">
        <f>IF(SER_hh_fec_in!D3=0,0,11630*1000*SER_hh_fec_in!D3/SER_hh_num_in!D3)</f>
        <v>28326.522457958217</v>
      </c>
      <c r="E3" s="126">
        <f>IF(SER_hh_fec_in!E3=0,0,11630*1000*SER_hh_fec_in!E3/SER_hh_num_in!E3)</f>
        <v>25884.505568049131</v>
      </c>
      <c r="F3" s="126">
        <f>IF(SER_hh_fec_in!F3=0,0,11630*1000*SER_hh_fec_in!F3/SER_hh_num_in!F3)</f>
        <v>26938.731419349595</v>
      </c>
      <c r="G3" s="126">
        <f>IF(SER_hh_fec_in!G3=0,0,11630*1000*SER_hh_fec_in!G3/SER_hh_num_in!G3)</f>
        <v>25831.83835787918</v>
      </c>
      <c r="H3" s="126">
        <f>IF(SER_hh_fec_in!H3=0,0,11630*1000*SER_hh_fec_in!H3/SER_hh_num_in!H3)</f>
        <v>42694.613024716054</v>
      </c>
      <c r="I3" s="126">
        <f>IF(SER_hh_fec_in!I3=0,0,11630*1000*SER_hh_fec_in!I3/SER_hh_num_in!I3)</f>
        <v>28107.156367760446</v>
      </c>
      <c r="J3" s="126">
        <f>IF(SER_hh_fec_in!J3=0,0,11630*1000*SER_hh_fec_in!J3/SER_hh_num_in!J3)</f>
        <v>27993.370328880752</v>
      </c>
      <c r="K3" s="126">
        <f>IF(SER_hh_fec_in!K3=0,0,11630*1000*SER_hh_fec_in!K3/SER_hh_num_in!K3)</f>
        <v>28339.905622557242</v>
      </c>
      <c r="L3" s="126">
        <f>IF(SER_hh_fec_in!L3=0,0,11630*1000*SER_hh_fec_in!L3/SER_hh_num_in!L3)</f>
        <v>31931.382601864265</v>
      </c>
      <c r="M3" s="126">
        <f>IF(SER_hh_fec_in!M3=0,0,11630*1000*SER_hh_fec_in!M3/SER_hh_num_in!M3)</f>
        <v>29735.824239310823</v>
      </c>
      <c r="N3" s="126">
        <f>IF(SER_hh_fec_in!N3=0,0,11630*1000*SER_hh_fec_in!N3/SER_hh_num_in!N3)</f>
        <v>27999.621869844726</v>
      </c>
      <c r="O3" s="126">
        <f>IF(SER_hh_fec_in!O3=0,0,11630*1000*SER_hh_fec_in!O3/SER_hh_num_in!O3)</f>
        <v>25241.398781412976</v>
      </c>
      <c r="P3" s="126">
        <f>IF(SER_hh_fec_in!P3=0,0,11630*1000*SER_hh_fec_in!P3/SER_hh_num_in!P3)</f>
        <v>21385.474856765453</v>
      </c>
      <c r="Q3" s="126">
        <f>IF(SER_hh_fec_in!Q3=0,0,11630*1000*SER_hh_fec_in!Q3/SER_hh_num_in!Q3)</f>
        <v>21554.813102533095</v>
      </c>
      <c r="R3" s="126">
        <f>IF(SER_hh_fec_in!R3=0,0,11630*1000*SER_hh_fec_in!R3/SER_hh_num_in!R3)</f>
        <v>20956.560181151268</v>
      </c>
      <c r="S3" s="126">
        <f>IF(SER_hh_fec_in!S3=0,0,11630*1000*SER_hh_fec_in!S3/SER_hh_num_in!S3)</f>
        <v>21355.915594049646</v>
      </c>
      <c r="T3" s="126">
        <f>IF(SER_hh_fec_in!T3=0,0,11630*1000*SER_hh_fec_in!T3/SER_hh_num_in!T3)</f>
        <v>20705.85145235862</v>
      </c>
      <c r="U3" s="126">
        <f>IF(SER_hh_fec_in!U3=0,0,11630*1000*SER_hh_fec_in!U3/SER_hh_num_in!U3)</f>
        <v>20401.955393565662</v>
      </c>
      <c r="V3" s="126">
        <f>IF(SER_hh_fec_in!V3=0,0,11630*1000*SER_hh_fec_in!V3/SER_hh_num_in!V3)</f>
        <v>18983.687520294912</v>
      </c>
      <c r="W3" s="126">
        <f>IF(SER_hh_fec_in!W3=0,0,11630*1000*SER_hh_fec_in!W3/SER_hh_num_in!W3)</f>
        <v>21850.399951855488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11856.800723912023</v>
      </c>
      <c r="D4" s="131">
        <f>IF(SER_hh_fec_in!D4=0,0,11630*1000*SER_hh_fec_in!D4/SER_hh_num_in!D4)</f>
        <v>9859.6044768978609</v>
      </c>
      <c r="E4" s="131">
        <f>IF(SER_hh_fec_in!E4=0,0,11630*1000*SER_hh_fec_in!E4/SER_hh_num_in!E4)</f>
        <v>9838.4533939507273</v>
      </c>
      <c r="F4" s="131">
        <f>IF(SER_hh_fec_in!F4=0,0,11630*1000*SER_hh_fec_in!F4/SER_hh_num_in!F4)</f>
        <v>7419.8104030256791</v>
      </c>
      <c r="G4" s="131">
        <f>IF(SER_hh_fec_in!G4=0,0,11630*1000*SER_hh_fec_in!G4/SER_hh_num_in!G4)</f>
        <v>6811.8611364284407</v>
      </c>
      <c r="H4" s="131">
        <f>IF(SER_hh_fec_in!H4=0,0,11630*1000*SER_hh_fec_in!H4/SER_hh_num_in!H4)</f>
        <v>21504.630423640603</v>
      </c>
      <c r="I4" s="131">
        <f>IF(SER_hh_fec_in!I4=0,0,11630*1000*SER_hh_fec_in!I4/SER_hh_num_in!I4)</f>
        <v>9703.3217427968411</v>
      </c>
      <c r="J4" s="131">
        <f>IF(SER_hh_fec_in!J4=0,0,11630*1000*SER_hh_fec_in!J4/SER_hh_num_in!J4)</f>
        <v>9733.1532406484839</v>
      </c>
      <c r="K4" s="131">
        <f>IF(SER_hh_fec_in!K4=0,0,11630*1000*SER_hh_fec_in!K4/SER_hh_num_in!K4)</f>
        <v>9577.7127486999543</v>
      </c>
      <c r="L4" s="131">
        <f>IF(SER_hh_fec_in!L4=0,0,11630*1000*SER_hh_fec_in!L4/SER_hh_num_in!L4)</f>
        <v>12842.389750294244</v>
      </c>
      <c r="M4" s="131">
        <f>IF(SER_hh_fec_in!M4=0,0,11630*1000*SER_hh_fec_in!M4/SER_hh_num_in!M4)</f>
        <v>11453.652471212465</v>
      </c>
      <c r="N4" s="131">
        <f>IF(SER_hh_fec_in!N4=0,0,11630*1000*SER_hh_fec_in!N4/SER_hh_num_in!N4)</f>
        <v>8847.9208276943591</v>
      </c>
      <c r="O4" s="131">
        <f>IF(SER_hh_fec_in!O4=0,0,11630*1000*SER_hh_fec_in!O4/SER_hh_num_in!O4)</f>
        <v>7253.0427382091157</v>
      </c>
      <c r="P4" s="131">
        <f>IF(SER_hh_fec_in!P4=0,0,11630*1000*SER_hh_fec_in!P4/SER_hh_num_in!P4)</f>
        <v>2278.5557072247711</v>
      </c>
      <c r="Q4" s="131">
        <f>IF(SER_hh_fec_in!Q4=0,0,11630*1000*SER_hh_fec_in!Q4/SER_hh_num_in!Q4)</f>
        <v>1935.7940172354322</v>
      </c>
      <c r="R4" s="131">
        <f>IF(SER_hh_fec_in!R4=0,0,11630*1000*SER_hh_fec_in!R4/SER_hh_num_in!R4)</f>
        <v>2757.2133033213381</v>
      </c>
      <c r="S4" s="131">
        <f>IF(SER_hh_fec_in!S4=0,0,11630*1000*SER_hh_fec_in!S4/SER_hh_num_in!S4)</f>
        <v>4116.5262201079631</v>
      </c>
      <c r="T4" s="131">
        <f>IF(SER_hh_fec_in!T4=0,0,11630*1000*SER_hh_fec_in!T4/SER_hh_num_in!T4)</f>
        <v>4912.9334983287608</v>
      </c>
      <c r="U4" s="131">
        <f>IF(SER_hh_fec_in!U4=0,0,11630*1000*SER_hh_fec_in!U4/SER_hh_num_in!U4)</f>
        <v>4585.4928003916693</v>
      </c>
      <c r="V4" s="131">
        <f>IF(SER_hh_fec_in!V4=0,0,11630*1000*SER_hh_fec_in!V4/SER_hh_num_in!V4)</f>
        <v>3708.611597540405</v>
      </c>
      <c r="W4" s="131">
        <f>IF(SER_hh_fec_in!W4=0,0,11630*1000*SER_hh_fec_in!W4/SER_hh_num_in!W4)</f>
        <v>6481.4820888465583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11854.662647590359</v>
      </c>
      <c r="D7" s="133">
        <f>IF(SER_hh_fec_in!D7=0,0,11630*1000*SER_hh_fec_in!D7/SER_hh_num_in!D7)</f>
        <v>9860.9693900852344</v>
      </c>
      <c r="E7" s="133">
        <f>IF(SER_hh_fec_in!E7=0,0,11630*1000*SER_hh_fec_in!E7/SER_hh_num_in!E7)</f>
        <v>9898.8249917930261</v>
      </c>
      <c r="F7" s="133">
        <f>IF(SER_hh_fec_in!F7=0,0,11630*1000*SER_hh_fec_in!F7/SER_hh_num_in!F7)</f>
        <v>10896.864437607364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13578.456214643227</v>
      </c>
      <c r="M7" s="133">
        <f>IF(SER_hh_fec_in!M7=0,0,11630*1000*SER_hh_fec_in!M7/SER_hh_num_in!M7)</f>
        <v>11496.220183867648</v>
      </c>
      <c r="N7" s="133">
        <f>IF(SER_hh_fec_in!N7=0,0,11630*1000*SER_hh_fec_in!N7/SER_hh_num_in!N7)</f>
        <v>11124.984633334119</v>
      </c>
      <c r="O7" s="133">
        <f>IF(SER_hh_fec_in!O7=0,0,11630*1000*SER_hh_fec_in!O7/SER_hh_num_in!O7)</f>
        <v>10436.326772106333</v>
      </c>
      <c r="P7" s="133">
        <f>IF(SER_hh_fec_in!P7=0,0,11630*1000*SER_hh_fec_in!P7/SER_hh_num_in!P7)</f>
        <v>7287.9410440913871</v>
      </c>
      <c r="Q7" s="133">
        <f>IF(SER_hh_fec_in!Q7=0,0,11630*1000*SER_hh_fec_in!Q7/SER_hh_num_in!Q7)</f>
        <v>4896.8197712389647</v>
      </c>
      <c r="R7" s="133">
        <f>IF(SER_hh_fec_in!R7=0,0,11630*1000*SER_hh_fec_in!R7/SER_hh_num_in!R7)</f>
        <v>6271.5683070767063</v>
      </c>
      <c r="S7" s="133">
        <f>IF(SER_hh_fec_in!S7=0,0,11630*1000*SER_hh_fec_in!S7/SER_hh_num_in!S7)</f>
        <v>7286.9672540857446</v>
      </c>
      <c r="T7" s="133">
        <f>IF(SER_hh_fec_in!T7=0,0,11630*1000*SER_hh_fec_in!T7/SER_hh_num_in!T7)</f>
        <v>8084.8171804836238</v>
      </c>
      <c r="U7" s="133">
        <f>IF(SER_hh_fec_in!U7=0,0,11630*1000*SER_hh_fec_in!U7/SER_hh_num_in!U7)</f>
        <v>7992.201281006649</v>
      </c>
      <c r="V7" s="133">
        <f>IF(SER_hh_fec_in!V7=0,0,11630*1000*SER_hh_fec_in!V7/SER_hh_num_in!V7)</f>
        <v>0</v>
      </c>
      <c r="W7" s="133">
        <f>IF(SER_hh_fec_in!W7=0,0,11630*1000*SER_hh_fec_in!W7/SER_hh_num_in!W7)</f>
        <v>8581.3812712138588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4169.549248101368</v>
      </c>
      <c r="D8" s="133">
        <f>IF(SER_hh_fec_in!D8=0,0,11630*1000*SER_hh_fec_in!D8/SER_hh_num_in!D8)</f>
        <v>3570.1223321453276</v>
      </c>
      <c r="E8" s="133">
        <f>IF(SER_hh_fec_in!E8=0,0,11630*1000*SER_hh_fec_in!E8/SER_hh_num_in!E8)</f>
        <v>2325.7214732706993</v>
      </c>
      <c r="F8" s="133">
        <f>IF(SER_hh_fec_in!F8=0,0,11630*1000*SER_hh_fec_in!F8/SER_hh_num_in!F8)</f>
        <v>2342.3377377066258</v>
      </c>
      <c r="G8" s="133">
        <f>IF(SER_hh_fec_in!G8=0,0,11630*1000*SER_hh_fec_in!G8/SER_hh_num_in!G8)</f>
        <v>3304.1383565483884</v>
      </c>
      <c r="H8" s="133">
        <f>IF(SER_hh_fec_in!H8=0,0,11630*1000*SER_hh_fec_in!H8/SER_hh_num_in!H8)</f>
        <v>4753.9748894067061</v>
      </c>
      <c r="I8" s="133">
        <f>IF(SER_hh_fec_in!I8=0,0,11630*1000*SER_hh_fec_in!I8/SER_hh_num_in!I8)</f>
        <v>3839.9006396647342</v>
      </c>
      <c r="J8" s="133">
        <f>IF(SER_hh_fec_in!J8=0,0,11630*1000*SER_hh_fec_in!J8/SER_hh_num_in!J8)</f>
        <v>3415.5812449473187</v>
      </c>
      <c r="K8" s="133">
        <f>IF(SER_hh_fec_in!K8=0,0,11630*1000*SER_hh_fec_in!K8/SER_hh_num_in!K8)</f>
        <v>2942.5030021575139</v>
      </c>
      <c r="L8" s="133">
        <f>IF(SER_hh_fec_in!L8=0,0,11630*1000*SER_hh_fec_in!L8/SER_hh_num_in!L8)</f>
        <v>2419.4081278218082</v>
      </c>
      <c r="M8" s="133">
        <f>IF(SER_hh_fec_in!M8=0,0,11630*1000*SER_hh_fec_in!M8/SER_hh_num_in!M8)</f>
        <v>2301.4244945783935</v>
      </c>
      <c r="N8" s="133">
        <f>IF(SER_hh_fec_in!N8=0,0,11630*1000*SER_hh_fec_in!N8/SER_hh_num_in!N8)</f>
        <v>1694.724865546566</v>
      </c>
      <c r="O8" s="133">
        <f>IF(SER_hh_fec_in!O8=0,0,11630*1000*SER_hh_fec_in!O8/SER_hh_num_in!O8)</f>
        <v>1500.009393708021</v>
      </c>
      <c r="P8" s="133">
        <f>IF(SER_hh_fec_in!P8=0,0,11630*1000*SER_hh_fec_in!P8/SER_hh_num_in!P8)</f>
        <v>1477.406575072182</v>
      </c>
      <c r="Q8" s="133">
        <f>IF(SER_hh_fec_in!Q8=0,0,11630*1000*SER_hh_fec_in!Q8/SER_hh_num_in!Q8)</f>
        <v>1361.8970261208401</v>
      </c>
      <c r="R8" s="133">
        <f>IF(SER_hh_fec_in!R8=0,0,11630*1000*SER_hh_fec_in!R8/SER_hh_num_in!R8)</f>
        <v>1485.8186328175873</v>
      </c>
      <c r="S8" s="133">
        <f>IF(SER_hh_fec_in!S8=0,0,11630*1000*SER_hh_fec_in!S8/SER_hh_num_in!S8)</f>
        <v>1617.4751074588546</v>
      </c>
      <c r="T8" s="133">
        <f>IF(SER_hh_fec_in!T8=0,0,11630*1000*SER_hh_fec_in!T8/SER_hh_num_in!T8)</f>
        <v>1781.5167045299095</v>
      </c>
      <c r="U8" s="133">
        <f>IF(SER_hh_fec_in!U8=0,0,11630*1000*SER_hh_fec_in!U8/SER_hh_num_in!U8)</f>
        <v>1883.2550374873467</v>
      </c>
      <c r="V8" s="133">
        <f>IF(SER_hh_fec_in!V8=0,0,11630*1000*SER_hh_fec_in!V8/SER_hh_num_in!V8)</f>
        <v>1882.5309241314719</v>
      </c>
      <c r="W8" s="133">
        <f>IF(SER_hh_fec_in!W8=0,0,11630*1000*SER_hh_fec_in!W8/SER_hh_num_in!W8)</f>
        <v>1987.8510763984191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9518.5507596421321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1397.5346460453352</v>
      </c>
      <c r="G9" s="133">
        <f>IF(SER_hh_fec_in!G9=0,0,11630*1000*SER_hh_fec_in!G9/SER_hh_num_in!G9)</f>
        <v>7422.9336410458382</v>
      </c>
      <c r="H9" s="133">
        <f>IF(SER_hh_fec_in!H9=0,0,11630*1000*SER_hh_fec_in!H9/SER_hh_num_in!H9)</f>
        <v>24203.105348076133</v>
      </c>
      <c r="I9" s="133">
        <f>IF(SER_hh_fec_in!I9=0,0,11630*1000*SER_hh_fec_in!I9/SER_hh_num_in!I9)</f>
        <v>11034.491243125176</v>
      </c>
      <c r="J9" s="133">
        <f>IF(SER_hh_fec_in!J9=0,0,11630*1000*SER_hh_fec_in!J9/SER_hh_num_in!J9)</f>
        <v>8157.9966350684617</v>
      </c>
      <c r="K9" s="133">
        <f>IF(SER_hh_fec_in!K9=0,0,11630*1000*SER_hh_fec_in!K9/SER_hh_num_in!K9)</f>
        <v>10495.851894290268</v>
      </c>
      <c r="L9" s="133">
        <f>IF(SER_hh_fec_in!L9=0,0,11630*1000*SER_hh_fec_in!L9/SER_hh_num_in!L9)</f>
        <v>13722.530764873585</v>
      </c>
      <c r="M9" s="133">
        <f>IF(SER_hh_fec_in!M9=0,0,11630*1000*SER_hh_fec_in!M9/SER_hh_num_in!M9)</f>
        <v>14949.476461084736</v>
      </c>
      <c r="N9" s="133">
        <f>IF(SER_hh_fec_in!N9=0,0,11630*1000*SER_hh_fec_in!N9/SER_hh_num_in!N9)</f>
        <v>10737.715796004884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0</v>
      </c>
      <c r="S9" s="133">
        <f>IF(SER_hh_fec_in!S9=0,0,11630*1000*SER_hh_fec_in!S9/SER_hh_num_in!S9)</f>
        <v>0</v>
      </c>
      <c r="T9" s="133">
        <f>IF(SER_hh_fec_in!T9=0,0,11630*1000*SER_hh_fec_in!T9/SER_hh_num_in!T9)</f>
        <v>8263.3348293089366</v>
      </c>
      <c r="U9" s="133">
        <f>IF(SER_hh_fec_in!U9=0,0,11630*1000*SER_hh_fec_in!U9/SER_hh_num_in!U9)</f>
        <v>8324.7857409845474</v>
      </c>
      <c r="V9" s="133">
        <f>IF(SER_hh_fec_in!V9=0,0,11630*1000*SER_hh_fec_in!V9/SER_hh_num_in!V9)</f>
        <v>7171.3585185124984</v>
      </c>
      <c r="W9" s="133">
        <f>IF(SER_hh_fec_in!W9=0,0,11630*1000*SER_hh_fec_in!W9/SER_hh_num_in!W9)</f>
        <v>8870.1054625766319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11040.137561793275</v>
      </c>
      <c r="D10" s="133">
        <f>IF(SER_hh_fec_in!D10=0,0,11630*1000*SER_hh_fec_in!D10/SER_hh_num_in!D10)</f>
        <v>10072.464277334924</v>
      </c>
      <c r="E10" s="133">
        <f>IF(SER_hh_fec_in!E10=0,0,11630*1000*SER_hh_fec_in!E10/SER_hh_num_in!E10)</f>
        <v>9814.004159452601</v>
      </c>
      <c r="F10" s="133">
        <f>IF(SER_hh_fec_in!F10=0,0,11630*1000*SER_hh_fec_in!F10/SER_hh_num_in!F10)</f>
        <v>9791.5269822992013</v>
      </c>
      <c r="G10" s="133">
        <f>IF(SER_hh_fec_in!G10=0,0,11630*1000*SER_hh_fec_in!G10/SER_hh_num_in!G10)</f>
        <v>10219.598011878297</v>
      </c>
      <c r="H10" s="133">
        <f>IF(SER_hh_fec_in!H10=0,0,11630*1000*SER_hh_fec_in!H10/SER_hh_num_in!H10)</f>
        <v>15497.706504711605</v>
      </c>
      <c r="I10" s="133">
        <f>IF(SER_hh_fec_in!I10=0,0,11630*1000*SER_hh_fec_in!I10/SER_hh_num_in!I10)</f>
        <v>14089.899330553315</v>
      </c>
      <c r="J10" s="133">
        <f>IF(SER_hh_fec_in!J10=0,0,11630*1000*SER_hh_fec_in!J10/SER_hh_num_in!J10)</f>
        <v>16073.874744197965</v>
      </c>
      <c r="K10" s="133">
        <f>IF(SER_hh_fec_in!K10=0,0,11630*1000*SER_hh_fec_in!K10/SER_hh_num_in!K10)</f>
        <v>12409.601271296275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14402.63450152949</v>
      </c>
      <c r="N10" s="133">
        <f>IF(SER_hh_fec_in!N10=0,0,11630*1000*SER_hh_fec_in!N10/SER_hh_num_in!N10)</f>
        <v>12535.814100218277</v>
      </c>
      <c r="O10" s="133">
        <f>IF(SER_hh_fec_in!O10=0,0,11630*1000*SER_hh_fec_in!O10/SER_hh_num_in!O10)</f>
        <v>10338.513090235767</v>
      </c>
      <c r="P10" s="133">
        <f>IF(SER_hh_fec_in!P10=0,0,11630*1000*SER_hh_fec_in!P10/SER_hh_num_in!P10)</f>
        <v>8000.8641874415216</v>
      </c>
      <c r="Q10" s="133">
        <f>IF(SER_hh_fec_in!Q10=0,0,11630*1000*SER_hh_fec_in!Q10/SER_hh_num_in!Q10)</f>
        <v>7792.8280754879479</v>
      </c>
      <c r="R10" s="133">
        <f>IF(SER_hh_fec_in!R10=0,0,11630*1000*SER_hh_fec_in!R10/SER_hh_num_in!R10)</f>
        <v>9262.3410735486686</v>
      </c>
      <c r="S10" s="133">
        <f>IF(SER_hh_fec_in!S10=0,0,11630*1000*SER_hh_fec_in!S10/SER_hh_num_in!S10)</f>
        <v>9928.9841961829734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11116.843718884762</v>
      </c>
      <c r="W10" s="133">
        <f>IF(SER_hh_fec_in!W10=0,0,11630*1000*SER_hh_fec_in!W10/SER_hh_num_in!W10)</f>
        <v>11815.536548992271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9163.2897398731566</v>
      </c>
      <c r="N11" s="133">
        <f>IF(SER_hh_fec_in!N11=0,0,11630*1000*SER_hh_fec_in!N11/SER_hh_num_in!N11)</f>
        <v>7724.1052775806984</v>
      </c>
      <c r="O11" s="133">
        <f>IF(SER_hh_fec_in!O11=0,0,11630*1000*SER_hh_fec_in!O11/SER_hh_num_in!O11)</f>
        <v>6913.4715447881745</v>
      </c>
      <c r="P11" s="133">
        <f>IF(SER_hh_fec_in!P11=0,0,11630*1000*SER_hh_fec_in!P11/SER_hh_num_in!P11)</f>
        <v>5517.2030610252432</v>
      </c>
      <c r="Q11" s="133">
        <f>IF(SER_hh_fec_in!Q11=0,0,11630*1000*SER_hh_fec_in!Q11/SER_hh_num_in!Q11)</f>
        <v>5156.2707456328326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4001.2335966903047</v>
      </c>
      <c r="D13" s="133">
        <f>IF(SER_hh_fec_in!D13=0,0,11630*1000*SER_hh_fec_in!D13/SER_hh_num_in!D13)</f>
        <v>2922.4447497163387</v>
      </c>
      <c r="E13" s="133">
        <f>IF(SER_hh_fec_in!E13=0,0,11630*1000*SER_hh_fec_in!E13/SER_hh_num_in!E13)</f>
        <v>2803.6756641579532</v>
      </c>
      <c r="F13" s="133">
        <f>IF(SER_hh_fec_in!F13=0,0,11630*1000*SER_hh_fec_in!F13/SER_hh_num_in!F13)</f>
        <v>2488.5039238969994</v>
      </c>
      <c r="G13" s="133">
        <f>IF(SER_hh_fec_in!G13=0,0,11630*1000*SER_hh_fec_in!G13/SER_hh_num_in!G13)</f>
        <v>2962.3540118728497</v>
      </c>
      <c r="H13" s="133">
        <f>IF(SER_hh_fec_in!H13=0,0,11630*1000*SER_hh_fec_in!H13/SER_hh_num_in!H13)</f>
        <v>2846.2268328975451</v>
      </c>
      <c r="I13" s="133">
        <f>IF(SER_hh_fec_in!I13=0,0,11630*1000*SER_hh_fec_in!I13/SER_hh_num_in!I13)</f>
        <v>2899.4980393024302</v>
      </c>
      <c r="J13" s="133">
        <f>IF(SER_hh_fec_in!J13=0,0,11630*1000*SER_hh_fec_in!J13/SER_hh_num_in!J13)</f>
        <v>3156.9638295978975</v>
      </c>
      <c r="K13" s="133">
        <f>IF(SER_hh_fec_in!K13=0,0,11630*1000*SER_hh_fec_in!K13/SER_hh_num_in!K13)</f>
        <v>2967.4273345848201</v>
      </c>
      <c r="L13" s="133">
        <f>IF(SER_hh_fec_in!L13=0,0,11630*1000*SER_hh_fec_in!L13/SER_hh_num_in!L13)</f>
        <v>2755.5845420589567</v>
      </c>
      <c r="M13" s="133">
        <f>IF(SER_hh_fec_in!M13=0,0,11630*1000*SER_hh_fec_in!M13/SER_hh_num_in!M13)</f>
        <v>2354.6261352445777</v>
      </c>
      <c r="N13" s="133">
        <f>IF(SER_hh_fec_in!N13=0,0,11630*1000*SER_hh_fec_in!N13/SER_hh_num_in!N13)</f>
        <v>2023.459472227775</v>
      </c>
      <c r="O13" s="133">
        <f>IF(SER_hh_fec_in!O13=0,0,11630*1000*SER_hh_fec_in!O13/SER_hh_num_in!O13)</f>
        <v>1514.5260883243191</v>
      </c>
      <c r="P13" s="133">
        <f>IF(SER_hh_fec_in!P13=0,0,11630*1000*SER_hh_fec_in!P13/SER_hh_num_in!P13)</f>
        <v>1126.3797436844823</v>
      </c>
      <c r="Q13" s="133">
        <f>IF(SER_hh_fec_in!Q13=0,0,11630*1000*SER_hh_fec_in!Q13/SER_hh_num_in!Q13)</f>
        <v>1154.5092956988076</v>
      </c>
      <c r="R13" s="133">
        <f>IF(SER_hh_fec_in!R13=0,0,11630*1000*SER_hh_fec_in!R13/SER_hh_num_in!R13)</f>
        <v>1236.6793381192801</v>
      </c>
      <c r="S13" s="133">
        <f>IF(SER_hh_fec_in!S13=0,0,11630*1000*SER_hh_fec_in!S13/SER_hh_num_in!S13)</f>
        <v>1367.2529577580119</v>
      </c>
      <c r="T13" s="133">
        <f>IF(SER_hh_fec_in!T13=0,0,11630*1000*SER_hh_fec_in!T13/SER_hh_num_in!T13)</f>
        <v>1496.3576659144942</v>
      </c>
      <c r="U13" s="133">
        <f>IF(SER_hh_fec_in!U13=0,0,11630*1000*SER_hh_fec_in!U13/SER_hh_num_in!U13)</f>
        <v>1580.1375196467761</v>
      </c>
      <c r="V13" s="133">
        <f>IF(SER_hh_fec_in!V13=0,0,11630*1000*SER_hh_fec_in!V13/SER_hh_num_in!V13)</f>
        <v>1585.0916318656937</v>
      </c>
      <c r="W13" s="133">
        <f>IF(SER_hh_fec_in!W13=0,0,11630*1000*SER_hh_fec_in!W13/SER_hh_num_in!W13)</f>
        <v>1653.7965420794178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7833.2655474298645</v>
      </c>
      <c r="G14" s="65">
        <f>IF(SER_hh_fec_in!G14=0,0,11630*1000*SER_hh_fec_in!G14/SER_hh_num_in!G14)</f>
        <v>4369.9323542665761</v>
      </c>
      <c r="H14" s="65">
        <f>IF(SER_hh_fec_in!H14=0,0,11630*1000*SER_hh_fec_in!H14/SER_hh_num_in!H14)</f>
        <v>16281.177129420372</v>
      </c>
      <c r="I14" s="65">
        <f>IF(SER_hh_fec_in!I14=0,0,11630*1000*SER_hh_fec_in!I14/SER_hh_num_in!I14)</f>
        <v>9134.2389641751961</v>
      </c>
      <c r="J14" s="65">
        <f>IF(SER_hh_fec_in!J14=0,0,11630*1000*SER_hh_fec_in!J14/SER_hh_num_in!J14)</f>
        <v>12270.828625627797</v>
      </c>
      <c r="K14" s="65">
        <f>IF(SER_hh_fec_in!K14=0,0,11630*1000*SER_hh_fec_in!K14/SER_hh_num_in!K14)</f>
        <v>9694.7030502889884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7433.7358214174919</v>
      </c>
      <c r="T14" s="65">
        <f>IF(SER_hh_fec_in!T14=0,0,11630*1000*SER_hh_fec_in!T14/SER_hh_num_in!T14)</f>
        <v>8186.0474369276508</v>
      </c>
      <c r="U14" s="65">
        <f>IF(SER_hh_fec_in!U14=0,0,11630*1000*SER_hh_fec_in!U14/SER_hh_num_in!U14)</f>
        <v>8067.5213526806201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8223.86966780082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109.06812033869367</v>
      </c>
      <c r="D15" s="135">
        <f>IF(SER_hh_fec_in!D15=0,0,11630*1000*SER_hh_fec_in!D15/SER_hh_num_in!D15)</f>
        <v>90.269685509837686</v>
      </c>
      <c r="E15" s="135">
        <f>IF(SER_hh_fec_in!E15=0,0,11630*1000*SER_hh_fec_in!E15/SER_hh_num_in!E15)</f>
        <v>89.86500252494379</v>
      </c>
      <c r="F15" s="135">
        <f>IF(SER_hh_fec_in!F15=0,0,11630*1000*SER_hh_fec_in!F15/SER_hh_num_in!F15)</f>
        <v>66.365290915320685</v>
      </c>
      <c r="G15" s="135">
        <f>IF(SER_hh_fec_in!G15=0,0,11630*1000*SER_hh_fec_in!G15/SER_hh_num_in!G15)</f>
        <v>77.192224938307135</v>
      </c>
      <c r="H15" s="135">
        <f>IF(SER_hh_fec_in!H15=0,0,11630*1000*SER_hh_fec_in!H15/SER_hh_num_in!H15)</f>
        <v>249.90589496633703</v>
      </c>
      <c r="I15" s="135">
        <f>IF(SER_hh_fec_in!I15=0,0,11630*1000*SER_hh_fec_in!I15/SER_hh_num_in!I15)</f>
        <v>109.79844115188605</v>
      </c>
      <c r="J15" s="135">
        <f>IF(SER_hh_fec_in!J15=0,0,11630*1000*SER_hh_fec_in!J15/SER_hh_num_in!J15)</f>
        <v>83.342438304800012</v>
      </c>
      <c r="K15" s="135">
        <f>IF(SER_hh_fec_in!K15=0,0,11630*1000*SER_hh_fec_in!K15/SER_hh_num_in!K15)</f>
        <v>107.51688356998341</v>
      </c>
      <c r="L15" s="135">
        <f>IF(SER_hh_fec_in!L15=0,0,11630*1000*SER_hh_fec_in!L15/SER_hh_num_in!L15)</f>
        <v>135.70427825803171</v>
      </c>
      <c r="M15" s="135">
        <f>IF(SER_hh_fec_in!M15=0,0,11630*1000*SER_hh_fec_in!M15/SER_hh_num_in!M15)</f>
        <v>117.67754415366645</v>
      </c>
      <c r="N15" s="135">
        <f>IF(SER_hh_fec_in!N15=0,0,11630*1000*SER_hh_fec_in!N15/SER_hh_num_in!N15)</f>
        <v>100.65328391810722</v>
      </c>
      <c r="O15" s="135">
        <f>IF(SER_hh_fec_in!O15=0,0,11630*1000*SER_hh_fec_in!O15/SER_hh_num_in!O15)</f>
        <v>93.619166394791847</v>
      </c>
      <c r="P15" s="135">
        <f>IF(SER_hh_fec_in!P15=0,0,11630*1000*SER_hh_fec_in!P15/SER_hh_num_in!P15)</f>
        <v>40.012452330294821</v>
      </c>
      <c r="Q15" s="135">
        <f>IF(SER_hh_fec_in!Q15=0,0,11630*1000*SER_hh_fec_in!Q15/SER_hh_num_in!Q15)</f>
        <v>33.72889599368574</v>
      </c>
      <c r="R15" s="135">
        <f>IF(SER_hh_fec_in!R15=0,0,11630*1000*SER_hh_fec_in!R15/SER_hh_num_in!R15)</f>
        <v>56.795324225583457</v>
      </c>
      <c r="S15" s="135">
        <f>IF(SER_hh_fec_in!S15=0,0,11630*1000*SER_hh_fec_in!S15/SER_hh_num_in!S15)</f>
        <v>73.51225954823056</v>
      </c>
      <c r="T15" s="135">
        <f>IF(SER_hh_fec_in!T15=0,0,11630*1000*SER_hh_fec_in!T15/SER_hh_num_in!T15)</f>
        <v>86.138745585455524</v>
      </c>
      <c r="U15" s="135">
        <f>IF(SER_hh_fec_in!U15=0,0,11630*1000*SER_hh_fec_in!U15/SER_hh_num_in!U15)</f>
        <v>88.867907628771391</v>
      </c>
      <c r="V15" s="135">
        <f>IF(SER_hh_fec_in!V15=0,0,11630*1000*SER_hh_fec_in!V15/SER_hh_num_in!V15)</f>
        <v>76.510630958695288</v>
      </c>
      <c r="W15" s="135">
        <f>IF(SER_hh_fec_in!W15=0,0,11630*1000*SER_hh_fec_in!W15/SER_hh_num_in!W15)</f>
        <v>97.339136345370648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7436.5314273407257</v>
      </c>
      <c r="D16" s="131">
        <f>IF(SER_hh_fec_in!D16=0,0,11630*1000*SER_hh_fec_in!D16/SER_hh_num_in!D16)</f>
        <v>6369.340150795616</v>
      </c>
      <c r="E16" s="131">
        <f>IF(SER_hh_fec_in!E16=0,0,11630*1000*SER_hh_fec_in!E16/SER_hh_num_in!E16)</f>
        <v>9425.0231861182237</v>
      </c>
      <c r="F16" s="131">
        <f>IF(SER_hh_fec_in!F16=0,0,11630*1000*SER_hh_fec_in!F16/SER_hh_num_in!F16)</f>
        <v>6890.3835490429437</v>
      </c>
      <c r="G16" s="131">
        <f>IF(SER_hh_fec_in!G16=0,0,11630*1000*SER_hh_fec_in!G16/SER_hh_num_in!G16)</f>
        <v>6967.8719235004346</v>
      </c>
      <c r="H16" s="131">
        <f>IF(SER_hh_fec_in!H16=0,0,11630*1000*SER_hh_fec_in!H16/SER_hh_num_in!H16)</f>
        <v>7547.3201383219503</v>
      </c>
      <c r="I16" s="131">
        <f>IF(SER_hh_fec_in!I16=0,0,11630*1000*SER_hh_fec_in!I16/SER_hh_num_in!I16)</f>
        <v>5455.3372150313508</v>
      </c>
      <c r="J16" s="131">
        <f>IF(SER_hh_fec_in!J16=0,0,11630*1000*SER_hh_fec_in!J16/SER_hh_num_in!J16)</f>
        <v>5553.444098438943</v>
      </c>
      <c r="K16" s="131">
        <f>IF(SER_hh_fec_in!K16=0,0,11630*1000*SER_hh_fec_in!K16/SER_hh_num_in!K16)</f>
        <v>6845.3200494494504</v>
      </c>
      <c r="L16" s="131">
        <f>IF(SER_hh_fec_in!L16=0,0,11630*1000*SER_hh_fec_in!L16/SER_hh_num_in!L16)</f>
        <v>6233.6727544160085</v>
      </c>
      <c r="M16" s="131">
        <f>IF(SER_hh_fec_in!M16=0,0,11630*1000*SER_hh_fec_in!M16/SER_hh_num_in!M16)</f>
        <v>5368.2681162288836</v>
      </c>
      <c r="N16" s="131">
        <f>IF(SER_hh_fec_in!N16=0,0,11630*1000*SER_hh_fec_in!N16/SER_hh_num_in!N16)</f>
        <v>6168.0206546671488</v>
      </c>
      <c r="O16" s="131">
        <f>IF(SER_hh_fec_in!O16=0,0,11630*1000*SER_hh_fec_in!O16/SER_hh_num_in!O16)</f>
        <v>4771.6480111307083</v>
      </c>
      <c r="P16" s="131">
        <f>IF(SER_hh_fec_in!P16=0,0,11630*1000*SER_hh_fec_in!P16/SER_hh_num_in!P16)</f>
        <v>4177.1292953999036</v>
      </c>
      <c r="Q16" s="131">
        <f>IF(SER_hh_fec_in!Q16=0,0,11630*1000*SER_hh_fec_in!Q16/SER_hh_num_in!Q16)</f>
        <v>5870.9881336880235</v>
      </c>
      <c r="R16" s="131">
        <f>IF(SER_hh_fec_in!R16=0,0,11630*1000*SER_hh_fec_in!R16/SER_hh_num_in!R16)</f>
        <v>5578.7611180525319</v>
      </c>
      <c r="S16" s="131">
        <f>IF(SER_hh_fec_in!S16=0,0,11630*1000*SER_hh_fec_in!S16/SER_hh_num_in!S16)</f>
        <v>6301.0078396536392</v>
      </c>
      <c r="T16" s="131">
        <f>IF(SER_hh_fec_in!T16=0,0,11630*1000*SER_hh_fec_in!T16/SER_hh_num_in!T16)</f>
        <v>4413.2365006812788</v>
      </c>
      <c r="U16" s="131">
        <f>IF(SER_hh_fec_in!U16=0,0,11630*1000*SER_hh_fec_in!U16/SER_hh_num_in!U16)</f>
        <v>4438.6384918216927</v>
      </c>
      <c r="V16" s="131">
        <f>IF(SER_hh_fec_in!V16=0,0,11630*1000*SER_hh_fec_in!V16/SER_hh_num_in!V16)</f>
        <v>5006.2524939668419</v>
      </c>
      <c r="W16" s="131">
        <f>IF(SER_hh_fec_in!W16=0,0,11630*1000*SER_hh_fec_in!W16/SER_hh_num_in!W16)</f>
        <v>3986.4316446416074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13032.63020348851</v>
      </c>
      <c r="D17" s="133">
        <f>IF(SER_hh_fec_in!D17=0,0,11630*1000*SER_hh_fec_in!D17/SER_hh_num_in!D17)</f>
        <v>11480.424123616713</v>
      </c>
      <c r="E17" s="133">
        <f>IF(SER_hh_fec_in!E17=0,0,11630*1000*SER_hh_fec_in!E17/SER_hh_num_in!E17)</f>
        <v>17524.735534325904</v>
      </c>
      <c r="F17" s="133">
        <f>IF(SER_hh_fec_in!F17=0,0,11630*1000*SER_hh_fec_in!F17/SER_hh_num_in!F17)</f>
        <v>13198.850770356285</v>
      </c>
      <c r="G17" s="133">
        <f>IF(SER_hh_fec_in!G17=0,0,11630*1000*SER_hh_fec_in!G17/SER_hh_num_in!G17)</f>
        <v>13716.674043116958</v>
      </c>
      <c r="H17" s="133">
        <f>IF(SER_hh_fec_in!H17=0,0,11630*1000*SER_hh_fec_in!H17/SER_hh_num_in!H17)</f>
        <v>15262.424350104428</v>
      </c>
      <c r="I17" s="133">
        <f>IF(SER_hh_fec_in!I17=0,0,11630*1000*SER_hh_fec_in!I17/SER_hh_num_in!I17)</f>
        <v>11324.695214551079</v>
      </c>
      <c r="J17" s="133">
        <f>IF(SER_hh_fec_in!J17=0,0,11630*1000*SER_hh_fec_in!J17/SER_hh_num_in!J17)</f>
        <v>11838.26346644289</v>
      </c>
      <c r="K17" s="133">
        <f>IF(SER_hh_fec_in!K17=0,0,11630*1000*SER_hh_fec_in!K17/SER_hh_num_in!K17)</f>
        <v>14969.558477976534</v>
      </c>
      <c r="L17" s="133">
        <f>IF(SER_hh_fec_in!L17=0,0,11630*1000*SER_hh_fec_in!L17/SER_hh_num_in!L17)</f>
        <v>13988.309602563228</v>
      </c>
      <c r="M17" s="133">
        <f>IF(SER_hh_fec_in!M17=0,0,11630*1000*SER_hh_fec_in!M17/SER_hh_num_in!M17)</f>
        <v>12366.963117060735</v>
      </c>
      <c r="N17" s="133">
        <f>IF(SER_hh_fec_in!N17=0,0,11630*1000*SER_hh_fec_in!N17/SER_hh_num_in!N17)</f>
        <v>14610.984113086437</v>
      </c>
      <c r="O17" s="133">
        <f>IF(SER_hh_fec_in!O17=0,0,11630*1000*SER_hh_fec_in!O17/SER_hh_num_in!O17)</f>
        <v>11547.422646695986</v>
      </c>
      <c r="P17" s="133">
        <f>IF(SER_hh_fec_in!P17=0,0,11630*1000*SER_hh_fec_in!P17/SER_hh_num_in!P17)</f>
        <v>10364.570630188509</v>
      </c>
      <c r="Q17" s="133">
        <f>IF(SER_hh_fec_in!Q17=0,0,11630*1000*SER_hh_fec_in!Q17/SER_hh_num_in!Q17)</f>
        <v>14734.512897891322</v>
      </c>
      <c r="R17" s="133">
        <f>IF(SER_hh_fec_in!R17=0,0,11630*1000*SER_hh_fec_in!R17/SER_hh_num_in!R17)</f>
        <v>14043.205315529938</v>
      </c>
      <c r="S17" s="133">
        <f>IF(SER_hh_fec_in!S17=0,0,11630*1000*SER_hh_fec_in!S17/SER_hh_num_in!S17)</f>
        <v>15860.233205828901</v>
      </c>
      <c r="T17" s="133">
        <f>IF(SER_hh_fec_in!T17=0,0,11630*1000*SER_hh_fec_in!T17/SER_hh_num_in!T17)</f>
        <v>10967.034027911934</v>
      </c>
      <c r="U17" s="133">
        <f>IF(SER_hh_fec_in!U17=0,0,11630*1000*SER_hh_fec_in!U17/SER_hh_num_in!U17)</f>
        <v>10963.432366534309</v>
      </c>
      <c r="V17" s="133">
        <f>IF(SER_hh_fec_in!V17=0,0,11630*1000*SER_hh_fec_in!V17/SER_hh_num_in!V17)</f>
        <v>10832.796757051314</v>
      </c>
      <c r="W17" s="133">
        <f>IF(SER_hh_fec_in!W17=0,0,11630*1000*SER_hh_fec_in!W17/SER_hh_num_in!W17)</f>
        <v>9776.6051064480616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7432.1074596189519</v>
      </c>
      <c r="D18" s="133">
        <f>IF(SER_hh_fec_in!D18=0,0,11630*1000*SER_hh_fec_in!D18/SER_hh_num_in!D18)</f>
        <v>6366.9283461917512</v>
      </c>
      <c r="E18" s="133">
        <f>IF(SER_hh_fec_in!E18=0,0,11630*1000*SER_hh_fec_in!E18/SER_hh_num_in!E18)</f>
        <v>9385.3267556994615</v>
      </c>
      <c r="F18" s="133">
        <f>IF(SER_hh_fec_in!F18=0,0,11630*1000*SER_hh_fec_in!F18/SER_hh_num_in!F18)</f>
        <v>6884.2260311304226</v>
      </c>
      <c r="G18" s="133">
        <f>IF(SER_hh_fec_in!G18=0,0,11630*1000*SER_hh_fec_in!G18/SER_hh_num_in!G18)</f>
        <v>6959.4905249442827</v>
      </c>
      <c r="H18" s="133">
        <f>IF(SER_hh_fec_in!H18=0,0,11630*1000*SER_hh_fec_in!H18/SER_hh_num_in!H18)</f>
        <v>7539.59693792089</v>
      </c>
      <c r="I18" s="133">
        <f>IF(SER_hh_fec_in!I18=0,0,11630*1000*SER_hh_fec_in!I18/SER_hh_num_in!I18)</f>
        <v>5444.9218339957524</v>
      </c>
      <c r="J18" s="133">
        <f>IF(SER_hh_fec_in!J18=0,0,11630*1000*SER_hh_fec_in!J18/SER_hh_num_in!J18)</f>
        <v>5540.3981331896503</v>
      </c>
      <c r="K18" s="133">
        <f>IF(SER_hh_fec_in!K18=0,0,11630*1000*SER_hh_fec_in!K18/SER_hh_num_in!K18)</f>
        <v>6829.0696530518917</v>
      </c>
      <c r="L18" s="133">
        <f>IF(SER_hh_fec_in!L18=0,0,11630*1000*SER_hh_fec_in!L18/SER_hh_num_in!L18)</f>
        <v>6212.738930034624</v>
      </c>
      <c r="M18" s="133">
        <f>IF(SER_hh_fec_in!M18=0,0,11630*1000*SER_hh_fec_in!M18/SER_hh_num_in!M18)</f>
        <v>5346.0439555050416</v>
      </c>
      <c r="N18" s="133">
        <f>IF(SER_hh_fec_in!N18=0,0,11630*1000*SER_hh_fec_in!N18/SER_hh_num_in!N18)</f>
        <v>6141.647213684706</v>
      </c>
      <c r="O18" s="133">
        <f>IF(SER_hh_fec_in!O18=0,0,11630*1000*SER_hh_fec_in!O18/SER_hh_num_in!O18)</f>
        <v>4727.9100968992734</v>
      </c>
      <c r="P18" s="133">
        <f>IF(SER_hh_fec_in!P18=0,0,11630*1000*SER_hh_fec_in!P18/SER_hh_num_in!P18)</f>
        <v>4152.9548028495965</v>
      </c>
      <c r="Q18" s="133">
        <f>IF(SER_hh_fec_in!Q18=0,0,11630*1000*SER_hh_fec_in!Q18/SER_hh_num_in!Q18)</f>
        <v>5819.1980892850052</v>
      </c>
      <c r="R18" s="133">
        <f>IF(SER_hh_fec_in!R18=0,0,11630*1000*SER_hh_fec_in!R18/SER_hh_num_in!R18)</f>
        <v>5521.7768467311853</v>
      </c>
      <c r="S18" s="133">
        <f>IF(SER_hh_fec_in!S18=0,0,11630*1000*SER_hh_fec_in!S18/SER_hh_num_in!S18)</f>
        <v>6251.1253099352271</v>
      </c>
      <c r="T18" s="133">
        <f>IF(SER_hh_fec_in!T18=0,0,11630*1000*SER_hh_fec_in!T18/SER_hh_num_in!T18)</f>
        <v>4350.6255518059752</v>
      </c>
      <c r="U18" s="133">
        <f>IF(SER_hh_fec_in!U18=0,0,11630*1000*SER_hh_fec_in!U18/SER_hh_num_in!U18)</f>
        <v>4400.1232505588423</v>
      </c>
      <c r="V18" s="133">
        <f>IF(SER_hh_fec_in!V18=0,0,11630*1000*SER_hh_fec_in!V18/SER_hh_num_in!V18)</f>
        <v>4951.5575993415951</v>
      </c>
      <c r="W18" s="133">
        <f>IF(SER_hh_fec_in!W18=0,0,11630*1000*SER_hh_fec_in!W18/SER_hh_num_in!W18)</f>
        <v>3974.4164524820221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5423.1903250928099</v>
      </c>
      <c r="D19" s="131">
        <f>IF(SER_hh_fec_in!D19=0,0,11630*1000*SER_hh_fec_in!D19/SER_hh_num_in!D19)</f>
        <v>5878.7613275961867</v>
      </c>
      <c r="E19" s="131">
        <f>IF(SER_hh_fec_in!E19=0,0,11630*1000*SER_hh_fec_in!E19/SER_hh_num_in!E19)</f>
        <v>5841.1992778306476</v>
      </c>
      <c r="F19" s="131">
        <f>IF(SER_hh_fec_in!F19=0,0,11630*1000*SER_hh_fec_in!F19/SER_hh_num_in!F19)</f>
        <v>5942.1078895373284</v>
      </c>
      <c r="G19" s="131">
        <f>IF(SER_hh_fec_in!G19=0,0,11630*1000*SER_hh_fec_in!G19/SER_hh_num_in!G19)</f>
        <v>5572.6161138630414</v>
      </c>
      <c r="H19" s="131">
        <f>IF(SER_hh_fec_in!H19=0,0,11630*1000*SER_hh_fec_in!H19/SER_hh_num_in!H19)</f>
        <v>6869.5570136082069</v>
      </c>
      <c r="I19" s="131">
        <f>IF(SER_hh_fec_in!I19=0,0,11630*1000*SER_hh_fec_in!I19/SER_hh_num_in!I19)</f>
        <v>6195.6276562511121</v>
      </c>
      <c r="J19" s="131">
        <f>IF(SER_hh_fec_in!J19=0,0,11630*1000*SER_hh_fec_in!J19/SER_hh_num_in!J19)</f>
        <v>5780.3440606497552</v>
      </c>
      <c r="K19" s="131">
        <f>IF(SER_hh_fec_in!K19=0,0,11630*1000*SER_hh_fec_in!K19/SER_hh_num_in!K19)</f>
        <v>4880.6220925240723</v>
      </c>
      <c r="L19" s="131">
        <f>IF(SER_hh_fec_in!L19=0,0,11630*1000*SER_hh_fec_in!L19/SER_hh_num_in!L19)</f>
        <v>5716.2045697465182</v>
      </c>
      <c r="M19" s="131">
        <f>IF(SER_hh_fec_in!M19=0,0,11630*1000*SER_hh_fec_in!M19/SER_hh_num_in!M19)</f>
        <v>5477.3859995405583</v>
      </c>
      <c r="N19" s="131">
        <f>IF(SER_hh_fec_in!N19=0,0,11630*1000*SER_hh_fec_in!N19/SER_hh_num_in!N19)</f>
        <v>5576.5617634208638</v>
      </c>
      <c r="O19" s="131">
        <f>IF(SER_hh_fec_in!O19=0,0,11630*1000*SER_hh_fec_in!O19/SER_hh_num_in!O19)</f>
        <v>5969.8991130438781</v>
      </c>
      <c r="P19" s="131">
        <f>IF(SER_hh_fec_in!P19=0,0,11630*1000*SER_hh_fec_in!P19/SER_hh_num_in!P19)</f>
        <v>5634.8396751356267</v>
      </c>
      <c r="Q19" s="131">
        <f>IF(SER_hh_fec_in!Q19=0,0,11630*1000*SER_hh_fec_in!Q19/SER_hh_num_in!Q19)</f>
        <v>4940.5861927746701</v>
      </c>
      <c r="R19" s="131">
        <f>IF(SER_hh_fec_in!R19=0,0,11630*1000*SER_hh_fec_in!R19/SER_hh_num_in!R19)</f>
        <v>4570.8681703922493</v>
      </c>
      <c r="S19" s="131">
        <f>IF(SER_hh_fec_in!S19=0,0,11630*1000*SER_hh_fec_in!S19/SER_hh_num_in!S19)</f>
        <v>4065.899753871307</v>
      </c>
      <c r="T19" s="131">
        <f>IF(SER_hh_fec_in!T19=0,0,11630*1000*SER_hh_fec_in!T19/SER_hh_num_in!T19)</f>
        <v>4517.8905229146239</v>
      </c>
      <c r="U19" s="131">
        <f>IF(SER_hh_fec_in!U19=0,0,11630*1000*SER_hh_fec_in!U19/SER_hh_num_in!U19)</f>
        <v>4248.6804907517953</v>
      </c>
      <c r="V19" s="131">
        <f>IF(SER_hh_fec_in!V19=0,0,11630*1000*SER_hh_fec_in!V19/SER_hh_num_in!V19)</f>
        <v>3986.9610275830773</v>
      </c>
      <c r="W19" s="131">
        <f>IF(SER_hh_fec_in!W19=0,0,11630*1000*SER_hh_fec_in!W19/SER_hh_num_in!W19)</f>
        <v>4288.6434570889978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6198.8339684417542</v>
      </c>
      <c r="D21" s="133">
        <f>IF(SER_hh_fec_in!D21=0,0,11630*1000*SER_hh_fec_in!D21/SER_hh_num_in!D21)</f>
        <v>6742.3439684922887</v>
      </c>
      <c r="E21" s="133">
        <f>IF(SER_hh_fec_in!E21=0,0,11630*1000*SER_hh_fec_in!E21/SER_hh_num_in!E21)</f>
        <v>6845.7625858981146</v>
      </c>
      <c r="F21" s="133">
        <f>IF(SER_hh_fec_in!F21=0,0,11630*1000*SER_hh_fec_in!F21/SER_hh_num_in!F21)</f>
        <v>6685.2760982078216</v>
      </c>
      <c r="G21" s="133">
        <f>IF(SER_hh_fec_in!G21=0,0,11630*1000*SER_hh_fec_in!G21/SER_hh_num_in!G21)</f>
        <v>6673.5826510169099</v>
      </c>
      <c r="H21" s="133">
        <f>IF(SER_hh_fec_in!H21=0,0,11630*1000*SER_hh_fec_in!H21/SER_hh_num_in!H21)</f>
        <v>6785.422607611642</v>
      </c>
      <c r="I21" s="133">
        <f>IF(SER_hh_fec_in!I21=0,0,11630*1000*SER_hh_fec_in!I21/SER_hh_num_in!I21)</f>
        <v>6937.5925009531011</v>
      </c>
      <c r="J21" s="133">
        <f>IF(SER_hh_fec_in!J21=0,0,11630*1000*SER_hh_fec_in!J21/SER_hh_num_in!J21)</f>
        <v>6791.8160366469119</v>
      </c>
      <c r="K21" s="133">
        <f>IF(SER_hh_fec_in!K21=0,0,11630*1000*SER_hh_fec_in!K21/SER_hh_num_in!K21)</f>
        <v>5371.5185036314024</v>
      </c>
      <c r="L21" s="133">
        <f>IF(SER_hh_fec_in!L21=0,0,11630*1000*SER_hh_fec_in!L21/SER_hh_num_in!L21)</f>
        <v>6940.4539015810024</v>
      </c>
      <c r="M21" s="133">
        <f>IF(SER_hh_fec_in!M21=0,0,11630*1000*SER_hh_fec_in!M21/SER_hh_num_in!M21)</f>
        <v>6620.8445431024702</v>
      </c>
      <c r="N21" s="133">
        <f>IF(SER_hh_fec_in!N21=0,0,11630*1000*SER_hh_fec_in!N21/SER_hh_num_in!N21)</f>
        <v>6518.826037608359</v>
      </c>
      <c r="O21" s="133">
        <f>IF(SER_hh_fec_in!O21=0,0,11630*1000*SER_hh_fec_in!O21/SER_hh_num_in!O21)</f>
        <v>6271.5446448603843</v>
      </c>
      <c r="P21" s="133">
        <f>IF(SER_hh_fec_in!P21=0,0,11630*1000*SER_hh_fec_in!P21/SER_hh_num_in!P21)</f>
        <v>5125.0126410326338</v>
      </c>
      <c r="Q21" s="133">
        <f>IF(SER_hh_fec_in!Q21=0,0,11630*1000*SER_hh_fec_in!Q21/SER_hh_num_in!Q21)</f>
        <v>5248.0706823247083</v>
      </c>
      <c r="R21" s="133">
        <f>IF(SER_hh_fec_in!R21=0,0,11630*1000*SER_hh_fec_in!R21/SER_hh_num_in!R21)</f>
        <v>5098.9433451970663</v>
      </c>
      <c r="S21" s="133">
        <f>IF(SER_hh_fec_in!S21=0,0,11630*1000*SER_hh_fec_in!S21/SER_hh_num_in!S21)</f>
        <v>4866.9569637017421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4555.922993442513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6733.4910809813819</v>
      </c>
      <c r="D22" s="133">
        <f>IF(SER_hh_fec_in!D22=0,0,11630*1000*SER_hh_fec_in!D22/SER_hh_num_in!D22)</f>
        <v>7129.806726513144</v>
      </c>
      <c r="E22" s="133">
        <f>IF(SER_hh_fec_in!E22=0,0,11630*1000*SER_hh_fec_in!E22/SER_hh_num_in!E22)</f>
        <v>7102.5401065406159</v>
      </c>
      <c r="F22" s="133">
        <f>IF(SER_hh_fec_in!F22=0,0,11630*1000*SER_hh_fec_in!F22/SER_hh_num_in!F22)</f>
        <v>7293.5616422778548</v>
      </c>
      <c r="G22" s="133">
        <f>IF(SER_hh_fec_in!G22=0,0,11630*1000*SER_hh_fec_in!G22/SER_hh_num_in!G22)</f>
        <v>7293.9096801650985</v>
      </c>
      <c r="H22" s="133">
        <f>IF(SER_hh_fec_in!H22=0,0,11630*1000*SER_hh_fec_in!H22/SER_hh_num_in!H22)</f>
        <v>7125.1252009193604</v>
      </c>
      <c r="I22" s="133">
        <f>IF(SER_hh_fec_in!I22=0,0,11630*1000*SER_hh_fec_in!I22/SER_hh_num_in!I22)</f>
        <v>7292.6534741438818</v>
      </c>
      <c r="J22" s="133">
        <f>IF(SER_hh_fec_in!J22=0,0,11630*1000*SER_hh_fec_in!J22/SER_hh_num_in!J22)</f>
        <v>7043.7661681995214</v>
      </c>
      <c r="K22" s="133">
        <f>IF(SER_hh_fec_in!K22=0,0,11630*1000*SER_hh_fec_in!K22/SER_hh_num_in!K22)</f>
        <v>5371.3272595541248</v>
      </c>
      <c r="L22" s="133">
        <f>IF(SER_hh_fec_in!L22=0,0,11630*1000*SER_hh_fec_in!L22/SER_hh_num_in!L22)</f>
        <v>7187.7356313163709</v>
      </c>
      <c r="M22" s="133">
        <f>IF(SER_hh_fec_in!M22=0,0,11630*1000*SER_hh_fec_in!M22/SER_hh_num_in!M22)</f>
        <v>6856.108042804186</v>
      </c>
      <c r="N22" s="133">
        <f>IF(SER_hh_fec_in!N22=0,0,11630*1000*SER_hh_fec_in!N22/SER_hh_num_in!N22)</f>
        <v>6812.2183790529843</v>
      </c>
      <c r="O22" s="133">
        <f>IF(SER_hh_fec_in!O22=0,0,11630*1000*SER_hh_fec_in!O22/SER_hh_num_in!O22)</f>
        <v>6421.1917772170937</v>
      </c>
      <c r="P22" s="133">
        <f>IF(SER_hh_fec_in!P22=0,0,11630*1000*SER_hh_fec_in!P22/SER_hh_num_in!P22)</f>
        <v>5179.5025919872078</v>
      </c>
      <c r="Q22" s="133">
        <f>IF(SER_hh_fec_in!Q22=0,0,11630*1000*SER_hh_fec_in!Q22/SER_hh_num_in!Q22)</f>
        <v>5453.6929473335904</v>
      </c>
      <c r="R22" s="133">
        <f>IF(SER_hh_fec_in!R22=0,0,11630*1000*SER_hh_fec_in!R22/SER_hh_num_in!R22)</f>
        <v>5289.8154243217105</v>
      </c>
      <c r="S22" s="133">
        <f>IF(SER_hh_fec_in!S22=0,0,11630*1000*SER_hh_fec_in!S22/SER_hh_num_in!S22)</f>
        <v>4918.7911702570254</v>
      </c>
      <c r="T22" s="133">
        <f>IF(SER_hh_fec_in!T22=0,0,11630*1000*SER_hh_fec_in!T22/SER_hh_num_in!T22)</f>
        <v>4859.8617826940917</v>
      </c>
      <c r="U22" s="133">
        <f>IF(SER_hh_fec_in!U22=0,0,11630*1000*SER_hh_fec_in!U22/SER_hh_num_in!U22)</f>
        <v>4567.595249040106</v>
      </c>
      <c r="V22" s="133">
        <f>IF(SER_hh_fec_in!V22=0,0,11630*1000*SER_hh_fec_in!V22/SER_hh_num_in!V22)</f>
        <v>4065.9185332052148</v>
      </c>
      <c r="W22" s="133">
        <f>IF(SER_hh_fec_in!W22=0,0,11630*1000*SER_hh_fec_in!W22/SER_hh_num_in!W22)</f>
        <v>4542.4964964347391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5328.4009327816493</v>
      </c>
      <c r="G23" s="133">
        <f>IF(SER_hh_fec_in!G23=0,0,11630*1000*SER_hh_fec_in!G23/SER_hh_num_in!G23)</f>
        <v>4711.047717346074</v>
      </c>
      <c r="H23" s="133">
        <f>IF(SER_hh_fec_in!H23=0,0,11630*1000*SER_hh_fec_in!H23/SER_hh_num_in!H23)</f>
        <v>7732.675248688286</v>
      </c>
      <c r="I23" s="133">
        <f>IF(SER_hh_fec_in!I23=0,0,11630*1000*SER_hh_fec_in!I23/SER_hh_num_in!I23)</f>
        <v>6930.5066802078973</v>
      </c>
      <c r="J23" s="133">
        <f>IF(SER_hh_fec_in!J23=0,0,11630*1000*SER_hh_fec_in!J23/SER_hh_num_in!J23)</f>
        <v>6303.1176991967286</v>
      </c>
      <c r="K23" s="133">
        <f>IF(SER_hh_fec_in!K23=0,0,11630*1000*SER_hh_fec_in!K23/SER_hh_num_in!K23)</f>
        <v>4316.9512705242732</v>
      </c>
      <c r="L23" s="133">
        <f>IF(SER_hh_fec_in!L23=0,0,11630*1000*SER_hh_fec_in!L23/SER_hh_num_in!L23)</f>
        <v>6270.5053159661729</v>
      </c>
      <c r="M23" s="133">
        <f>IF(SER_hh_fec_in!M23=0,0,11630*1000*SER_hh_fec_in!M23/SER_hh_num_in!M23)</f>
        <v>5734.5130001881507</v>
      </c>
      <c r="N23" s="133">
        <f>IF(SER_hh_fec_in!N23=0,0,11630*1000*SER_hh_fec_in!N23/SER_hh_num_in!N23)</f>
        <v>5721.7843059915767</v>
      </c>
      <c r="O23" s="133">
        <f>IF(SER_hh_fec_in!O23=0,0,11630*1000*SER_hh_fec_in!O23/SER_hh_num_in!O23)</f>
        <v>5730.8190854682225</v>
      </c>
      <c r="P23" s="133">
        <f>IF(SER_hh_fec_in!P23=0,0,11630*1000*SER_hh_fec_in!P23/SER_hh_num_in!P23)</f>
        <v>4615.7466323108483</v>
      </c>
      <c r="Q23" s="133">
        <f>IF(SER_hh_fec_in!Q23=0,0,11630*1000*SER_hh_fec_in!Q23/SER_hh_num_in!Q23)</f>
        <v>4659.6519627408125</v>
      </c>
      <c r="R23" s="133">
        <f>IF(SER_hh_fec_in!R23=0,0,11630*1000*SER_hh_fec_in!R23/SER_hh_num_in!R23)</f>
        <v>4632.8050771787521</v>
      </c>
      <c r="S23" s="133">
        <f>IF(SER_hh_fec_in!S23=0,0,11630*1000*SER_hh_fec_in!S23/SER_hh_num_in!S23)</f>
        <v>4515.6008971958881</v>
      </c>
      <c r="T23" s="133">
        <f>IF(SER_hh_fec_in!T23=0,0,11630*1000*SER_hh_fec_in!T23/SER_hh_num_in!T23)</f>
        <v>4492.7461460986488</v>
      </c>
      <c r="U23" s="133">
        <f>IF(SER_hh_fec_in!U23=0,0,11630*1000*SER_hh_fec_in!U23/SER_hh_num_in!U23)</f>
        <v>4418.0412164559302</v>
      </c>
      <c r="V23" s="133">
        <f>IF(SER_hh_fec_in!V23=0,0,11630*1000*SER_hh_fec_in!V23/SER_hh_num_in!V23)</f>
        <v>3835.427137740432</v>
      </c>
      <c r="W23" s="133">
        <f>IF(SER_hh_fec_in!W23=0,0,11630*1000*SER_hh_fec_in!W23/SER_hh_num_in!W23)</f>
        <v>4442.4643986747269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4455.7426504613122</v>
      </c>
      <c r="D26" s="65">
        <f>IF(SER_hh_fec_in!D26=0,0,11630*1000*SER_hh_fec_in!D26/SER_hh_num_in!D26)</f>
        <v>5455.1212960231496</v>
      </c>
      <c r="E26" s="65">
        <f>IF(SER_hh_fec_in!E26=0,0,11630*1000*SER_hh_fec_in!E26/SER_hh_num_in!E26)</f>
        <v>4941.6003346483603</v>
      </c>
      <c r="F26" s="65">
        <f>IF(SER_hh_fec_in!F26=0,0,11630*1000*SER_hh_fec_in!F26/SER_hh_num_in!F26)</f>
        <v>5170.7306933877953</v>
      </c>
      <c r="G26" s="65">
        <f>IF(SER_hh_fec_in!G26=0,0,11630*1000*SER_hh_fec_in!G26/SER_hh_num_in!G26)</f>
        <v>4344.7276294586463</v>
      </c>
      <c r="H26" s="65">
        <f>IF(SER_hh_fec_in!H26=0,0,11630*1000*SER_hh_fec_in!H26/SER_hh_num_in!H26)</f>
        <v>3344.2989861002943</v>
      </c>
      <c r="I26" s="65">
        <f>IF(SER_hh_fec_in!I26=0,0,11630*1000*SER_hh_fec_in!I26/SER_hh_num_in!I26)</f>
        <v>4781.844388031368</v>
      </c>
      <c r="J26" s="65">
        <f>IF(SER_hh_fec_in!J26=0,0,11630*1000*SER_hh_fec_in!J26/SER_hh_num_in!J26)</f>
        <v>4084.4247084503754</v>
      </c>
      <c r="K26" s="65">
        <f>IF(SER_hh_fec_in!K26=0,0,11630*1000*SER_hh_fec_in!K26/SER_hh_num_in!K26)</f>
        <v>449.87138292212597</v>
      </c>
      <c r="L26" s="65">
        <f>IF(SER_hh_fec_in!L26=0,0,11630*1000*SER_hh_fec_in!L26/SER_hh_num_in!L26)</f>
        <v>3202.2789825813138</v>
      </c>
      <c r="M26" s="65">
        <f>IF(SER_hh_fec_in!M26=0,0,11630*1000*SER_hh_fec_in!M26/SER_hh_num_in!M26)</f>
        <v>730.30157732087173</v>
      </c>
      <c r="N26" s="65">
        <f>IF(SER_hh_fec_in!N26=0,0,11630*1000*SER_hh_fec_in!N26/SER_hh_num_in!N26)</f>
        <v>432.3998481727001</v>
      </c>
      <c r="O26" s="65">
        <f>IF(SER_hh_fec_in!O26=0,0,11630*1000*SER_hh_fec_in!O26/SER_hh_num_in!O26)</f>
        <v>5168.008626556074</v>
      </c>
      <c r="P26" s="65">
        <f>IF(SER_hh_fec_in!P26=0,0,11630*1000*SER_hh_fec_in!P26/SER_hh_num_in!P26)</f>
        <v>0</v>
      </c>
      <c r="Q26" s="65">
        <f>IF(SER_hh_fec_in!Q26=0,0,11630*1000*SER_hh_fec_in!Q26/SER_hh_num_in!Q26)</f>
        <v>47.096439074834471</v>
      </c>
      <c r="R26" s="65">
        <f>IF(SER_hh_fec_in!R26=0,0,11630*1000*SER_hh_fec_in!R26/SER_hh_num_in!R26)</f>
        <v>597.57667275108156</v>
      </c>
      <c r="S26" s="65">
        <f>IF(SER_hh_fec_in!S26=0,0,11630*1000*SER_hh_fec_in!S26/SER_hh_num_in!S26)</f>
        <v>39.968186310900933</v>
      </c>
      <c r="T26" s="65">
        <f>IF(SER_hh_fec_in!T26=0,0,11630*1000*SER_hh_fec_in!T26/SER_hh_num_in!T26)</f>
        <v>3911.6473536124167</v>
      </c>
      <c r="U26" s="65">
        <f>IF(SER_hh_fec_in!U26=0,0,11630*1000*SER_hh_fec_in!U26/SER_hh_num_in!U26)</f>
        <v>351.79552320566967</v>
      </c>
      <c r="V26" s="65">
        <f>IF(SER_hh_fec_in!V26=0,0,11630*1000*SER_hh_fec_in!V26/SER_hh_num_in!V26)</f>
        <v>35.212993007772084</v>
      </c>
      <c r="W26" s="65">
        <f>IF(SER_hh_fec_in!W26=0,0,11630*1000*SER_hh_fec_in!W26/SER_hh_num_in!W26)</f>
        <v>3824.7272085354525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487.28340906527535</v>
      </c>
      <c r="D27" s="146">
        <f>IF(SER_hh_fec_in!D27=0,0,11630*1000*SER_hh_fec_in!D27/SER_hh_num_in!D19)</f>
        <v>115.15552038770204</v>
      </c>
      <c r="E27" s="146">
        <f>IF(SER_hh_fec_in!E27=0,0,11630*1000*SER_hh_fec_in!E27/SER_hh_num_in!E19)</f>
        <v>447.47376423913937</v>
      </c>
      <c r="F27" s="146">
        <f>IF(SER_hh_fec_in!F27=0,0,11630*1000*SER_hh_fec_in!F27/SER_hh_num_in!F19)</f>
        <v>391.11002367208386</v>
      </c>
      <c r="G27" s="146">
        <f>IF(SER_hh_fec_in!G27=0,0,11630*1000*SER_hh_fec_in!G27/SER_hh_num_in!G19)</f>
        <v>548.88847404954947</v>
      </c>
      <c r="H27" s="146">
        <f>IF(SER_hh_fec_in!H27=0,0,11630*1000*SER_hh_fec_in!H27/SER_hh_num_in!H19)</f>
        <v>526.03570026850491</v>
      </c>
      <c r="I27" s="146">
        <f>IF(SER_hh_fec_in!I27=0,0,11630*1000*SER_hh_fec_in!I27/SER_hh_num_in!I19)</f>
        <v>310.80774516778501</v>
      </c>
      <c r="J27" s="146">
        <f>IF(SER_hh_fec_in!J27=0,0,11630*1000*SER_hh_fec_in!J27/SER_hh_num_in!J19)</f>
        <v>730.10544762417078</v>
      </c>
      <c r="K27" s="146">
        <f>IF(SER_hh_fec_in!K27=0,0,11630*1000*SER_hh_fec_in!K27/SER_hh_num_in!K19)</f>
        <v>2336.2280831960752</v>
      </c>
      <c r="L27" s="146">
        <f>IF(SER_hh_fec_in!L27=0,0,11630*1000*SER_hh_fec_in!L27/SER_hh_num_in!L19)</f>
        <v>1014.3733809657984</v>
      </c>
      <c r="M27" s="146">
        <f>IF(SER_hh_fec_in!M27=0,0,11630*1000*SER_hh_fec_in!M27/SER_hh_num_in!M19)</f>
        <v>1538.5709883355846</v>
      </c>
      <c r="N27" s="146">
        <f>IF(SER_hh_fec_in!N27=0,0,11630*1000*SER_hh_fec_in!N27/SER_hh_num_in!N19)</f>
        <v>1032.3880565291936</v>
      </c>
      <c r="O27" s="146">
        <f>IF(SER_hh_fec_in!O27=0,0,11630*1000*SER_hh_fec_in!O27/SER_hh_num_in!O19)</f>
        <v>49.519210123149364</v>
      </c>
      <c r="P27" s="146">
        <f>IF(SER_hh_fec_in!P27=0,0,11630*1000*SER_hh_fec_in!P27/SER_hh_num_in!P19)</f>
        <v>756.645651486563</v>
      </c>
      <c r="Q27" s="146">
        <f>IF(SER_hh_fec_in!Q27=0,0,11630*1000*SER_hh_fec_in!Q27/SER_hh_num_in!Q19)</f>
        <v>1097.5591386095771</v>
      </c>
      <c r="R27" s="146">
        <f>IF(SER_hh_fec_in!R27=0,0,11630*1000*SER_hh_fec_in!R27/SER_hh_num_in!R19)</f>
        <v>1205.4363874927003</v>
      </c>
      <c r="S27" s="146">
        <f>IF(SER_hh_fec_in!S27=0,0,11630*1000*SER_hh_fec_in!S27/SER_hh_num_in!S19)</f>
        <v>1692.7621322686248</v>
      </c>
      <c r="T27" s="146">
        <f>IF(SER_hh_fec_in!T27=0,0,11630*1000*SER_hh_fec_in!T27/SER_hh_num_in!T19)</f>
        <v>250.00724282553207</v>
      </c>
      <c r="U27" s="146">
        <f>IF(SER_hh_fec_in!U27=0,0,11630*1000*SER_hh_fec_in!U27/SER_hh_num_in!U19)</f>
        <v>1186.8009131696813</v>
      </c>
      <c r="V27" s="146">
        <f>IF(SER_hh_fec_in!V27=0,0,11630*1000*SER_hh_fec_in!V27/SER_hh_num_in!V19)</f>
        <v>664.51066396499152</v>
      </c>
      <c r="W27" s="146">
        <f>IF(SER_hh_fec_in!W27=0,0,11630*1000*SER_hh_fec_in!W27/SER_hh_num_in!W19)</f>
        <v>2.3415926030517978E-11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2597.4287300348037</v>
      </c>
      <c r="D28" s="147">
        <f>IF(SER_hh_fec_in!D27=0,0,11630*1000*SER_hh_fec_in!D27/SER_hh_num_in!D27)</f>
        <v>3157.8384405924467</v>
      </c>
      <c r="E28" s="147">
        <f>IF(SER_hh_fec_in!E27=0,0,11630*1000*SER_hh_fec_in!E27/SER_hh_num_in!E27)</f>
        <v>3285.6274030998047</v>
      </c>
      <c r="F28" s="147">
        <f>IF(SER_hh_fec_in!F27=0,0,11630*1000*SER_hh_fec_in!F27/SER_hh_num_in!F27)</f>
        <v>3375.8046531602304</v>
      </c>
      <c r="G28" s="147">
        <f>IF(SER_hh_fec_in!G27=0,0,11630*1000*SER_hh_fec_in!G27/SER_hh_num_in!G27)</f>
        <v>3364.5217143375689</v>
      </c>
      <c r="H28" s="147">
        <f>IF(SER_hh_fec_in!H27=0,0,11630*1000*SER_hh_fec_in!H27/SER_hh_num_in!H27)</f>
        <v>3407.1032003459445</v>
      </c>
      <c r="I28" s="147">
        <f>IF(SER_hh_fec_in!I27=0,0,11630*1000*SER_hh_fec_in!I27/SER_hh_num_in!I27)</f>
        <v>3350.0924200375498</v>
      </c>
      <c r="J28" s="147">
        <f>IF(SER_hh_fec_in!J27=0,0,11630*1000*SER_hh_fec_in!J27/SER_hh_num_in!J27)</f>
        <v>3402.8967323124621</v>
      </c>
      <c r="K28" s="147">
        <f>IF(SER_hh_fec_in!K27=0,0,11630*1000*SER_hh_fec_in!K27/SER_hh_num_in!K27)</f>
        <v>3418.9195785915185</v>
      </c>
      <c r="L28" s="147">
        <f>IF(SER_hh_fec_in!L27=0,0,11630*1000*SER_hh_fec_in!L27/SER_hh_num_in!L27)</f>
        <v>3492.8073554155885</v>
      </c>
      <c r="M28" s="147">
        <f>IF(SER_hh_fec_in!M27=0,0,11630*1000*SER_hh_fec_in!M27/SER_hh_num_in!M27)</f>
        <v>3406.6148666387708</v>
      </c>
      <c r="N28" s="147">
        <f>IF(SER_hh_fec_in!N27=0,0,11630*1000*SER_hh_fec_in!N27/SER_hh_num_in!N27)</f>
        <v>3441.311010292392</v>
      </c>
      <c r="O28" s="147">
        <f>IF(SER_hh_fec_in!O27=0,0,11630*1000*SER_hh_fec_in!O27/SER_hh_num_in!O27)</f>
        <v>3654.9672726725757</v>
      </c>
      <c r="P28" s="147">
        <f>IF(SER_hh_fec_in!P27=0,0,11630*1000*SER_hh_fec_in!P27/SER_hh_num_in!P27)</f>
        <v>2565.2847732318933</v>
      </c>
      <c r="Q28" s="147">
        <f>IF(SER_hh_fec_in!Q27=0,0,11630*1000*SER_hh_fec_in!Q27/SER_hh_num_in!Q27)</f>
        <v>3784.4755240289574</v>
      </c>
      <c r="R28" s="147">
        <f>IF(SER_hh_fec_in!R27=0,0,11630*1000*SER_hh_fec_in!R27/SER_hh_num_in!R27)</f>
        <v>3616.0690681687902</v>
      </c>
      <c r="S28" s="147">
        <f>IF(SER_hh_fec_in!S27=0,0,11630*1000*SER_hh_fec_in!S27/SER_hh_num_in!S27)</f>
        <v>3320.9287891379654</v>
      </c>
      <c r="T28" s="147">
        <f>IF(SER_hh_fec_in!T27=0,0,11630*1000*SER_hh_fec_in!T27/SER_hh_num_in!T27)</f>
        <v>3506.0761734843691</v>
      </c>
      <c r="U28" s="147">
        <f>IF(SER_hh_fec_in!U27=0,0,11630*1000*SER_hh_fec_in!U27/SER_hh_num_in!U27)</f>
        <v>3320.8818333647787</v>
      </c>
      <c r="V28" s="147">
        <f>IF(SER_hh_fec_in!V27=0,0,11630*1000*SER_hh_fec_in!V27/SER_hh_num_in!V27)</f>
        <v>2912.1209454568434</v>
      </c>
      <c r="W28" s="147">
        <f>IF(SER_hh_fec_in!W27=0,0,11630*1000*SER_hh_fec_in!W27/SER_hh_num_in!W27)</f>
        <v>3597.8396500707468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6572.9930674852721</v>
      </c>
      <c r="D29" s="131">
        <f>IF(SER_hh_fec_in!D29=0,0,11630*1000*SER_hh_fec_in!D29/SER_hh_num_in!D29)</f>
        <v>6218.8165026685547</v>
      </c>
      <c r="E29" s="131">
        <f>IF(SER_hh_fec_in!E29=0,0,11630*1000*SER_hh_fec_in!E29/SER_hh_num_in!E29)</f>
        <v>5966.7235260413645</v>
      </c>
      <c r="F29" s="131">
        <f>IF(SER_hh_fec_in!F29=0,0,11630*1000*SER_hh_fec_in!F29/SER_hh_num_in!F29)</f>
        <v>6686.4295777436409</v>
      </c>
      <c r="G29" s="131">
        <f>IF(SER_hh_fec_in!G29=0,0,11630*1000*SER_hh_fec_in!G29/SER_hh_num_in!G29)</f>
        <v>6479.4891840872588</v>
      </c>
      <c r="H29" s="131">
        <f>IF(SER_hh_fec_in!H29=0,0,11630*1000*SER_hh_fec_in!H29/SER_hh_num_in!H29)</f>
        <v>6773.1054491452933</v>
      </c>
      <c r="I29" s="131">
        <f>IF(SER_hh_fec_in!I29=0,0,11630*1000*SER_hh_fec_in!I29/SER_hh_num_in!I29)</f>
        <v>6752.8697536811469</v>
      </c>
      <c r="J29" s="131">
        <f>IF(SER_hh_fec_in!J29=0,0,11630*1000*SER_hh_fec_in!J29/SER_hh_num_in!J29)</f>
        <v>6926.428929143568</v>
      </c>
      <c r="K29" s="131">
        <f>IF(SER_hh_fec_in!K29=0,0,11630*1000*SER_hh_fec_in!K29/SER_hh_num_in!K29)</f>
        <v>7036.2507318837625</v>
      </c>
      <c r="L29" s="131">
        <f>IF(SER_hh_fec_in!L29=0,0,11630*1000*SER_hh_fec_in!L29/SER_hh_num_in!L29)</f>
        <v>7139.1155274074899</v>
      </c>
      <c r="M29" s="131">
        <f>IF(SER_hh_fec_in!M29=0,0,11630*1000*SER_hh_fec_in!M29/SER_hh_num_in!M29)</f>
        <v>7436.5176523289156</v>
      </c>
      <c r="N29" s="131">
        <f>IF(SER_hh_fec_in!N29=0,0,11630*1000*SER_hh_fec_in!N29/SER_hh_num_in!N29)</f>
        <v>7407.118624062352</v>
      </c>
      <c r="O29" s="131">
        <f>IF(SER_hh_fec_in!O29=0,0,11630*1000*SER_hh_fec_in!O29/SER_hh_num_in!O29)</f>
        <v>7246.8089190292731</v>
      </c>
      <c r="P29" s="131">
        <f>IF(SER_hh_fec_in!P29=0,0,11630*1000*SER_hh_fec_in!P29/SER_hh_num_in!P29)</f>
        <v>9294.9501790051509</v>
      </c>
      <c r="Q29" s="131">
        <f>IF(SER_hh_fec_in!Q29=0,0,11630*1000*SER_hh_fec_in!Q29/SER_hh_num_in!Q29)</f>
        <v>8807.4447588349722</v>
      </c>
      <c r="R29" s="131">
        <f>IF(SER_hh_fec_in!R29=0,0,11630*1000*SER_hh_fec_in!R29/SER_hh_num_in!R29)</f>
        <v>8049.717589385149</v>
      </c>
      <c r="S29" s="131">
        <f>IF(SER_hh_fec_in!S29=0,0,11630*1000*SER_hh_fec_in!S29/SER_hh_num_in!S29)</f>
        <v>6872.4817804167342</v>
      </c>
      <c r="T29" s="131">
        <f>IF(SER_hh_fec_in!T29=0,0,11630*1000*SER_hh_fec_in!T29/SER_hh_num_in!T29)</f>
        <v>6861.7909304339528</v>
      </c>
      <c r="U29" s="131">
        <f>IF(SER_hh_fec_in!U29=0,0,11630*1000*SER_hh_fec_in!U29/SER_hh_num_in!U29)</f>
        <v>7129.1436106005067</v>
      </c>
      <c r="V29" s="131">
        <f>IF(SER_hh_fec_in!V29=0,0,11630*1000*SER_hh_fec_in!V29/SER_hh_num_in!V29)</f>
        <v>6281.8624012045893</v>
      </c>
      <c r="W29" s="131">
        <f>IF(SER_hh_fec_in!W29=0,0,11630*1000*SER_hh_fec_in!W29/SER_hh_num_in!W29)</f>
        <v>7093.8427612783289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7861.9224390060099</v>
      </c>
      <c r="D30" s="133">
        <f>IF(SER_hh_fec_in!D30=0,0,11630*1000*SER_hh_fec_in!D30/SER_hh_num_in!D30)</f>
        <v>7606.0226895178357</v>
      </c>
      <c r="E30" s="133">
        <f>IF(SER_hh_fec_in!E30=0,0,11630*1000*SER_hh_fec_in!E30/SER_hh_num_in!E30)</f>
        <v>7389.058520962265</v>
      </c>
      <c r="F30" s="133">
        <f>IF(SER_hh_fec_in!F30=0,0,11630*1000*SER_hh_fec_in!F30/SER_hh_num_in!F30)</f>
        <v>8000.8868430355988</v>
      </c>
      <c r="G30" s="133">
        <f>IF(SER_hh_fec_in!G30=0,0,11630*1000*SER_hh_fec_in!G30/SER_hh_num_in!G30)</f>
        <v>7795.8962379066452</v>
      </c>
      <c r="H30" s="133">
        <f>IF(SER_hh_fec_in!H30=0,0,11630*1000*SER_hh_fec_in!H30/SER_hh_num_in!H30)</f>
        <v>7579.3057453563415</v>
      </c>
      <c r="I30" s="133">
        <f>IF(SER_hh_fec_in!I30=0,0,11630*1000*SER_hh_fec_in!I30/SER_hh_num_in!I30)</f>
        <v>8172.6519274039065</v>
      </c>
      <c r="J30" s="133">
        <f>IF(SER_hh_fec_in!J30=0,0,11630*1000*SER_hh_fec_in!J30/SER_hh_num_in!J30)</f>
        <v>8809.241979359429</v>
      </c>
      <c r="K30" s="133">
        <f>IF(SER_hh_fec_in!K30=0,0,11630*1000*SER_hh_fec_in!K30/SER_hh_num_in!K30)</f>
        <v>8289.5666795149082</v>
      </c>
      <c r="L30" s="133">
        <f>IF(SER_hh_fec_in!L30=0,0,11630*1000*SER_hh_fec_in!L30/SER_hh_num_in!L30)</f>
        <v>8655.7891169151299</v>
      </c>
      <c r="M30" s="133">
        <f>IF(SER_hh_fec_in!M30=0,0,11630*1000*SER_hh_fec_in!M30/SER_hh_num_in!M30)</f>
        <v>8557.9192183080395</v>
      </c>
      <c r="N30" s="133">
        <f>IF(SER_hh_fec_in!N30=0,0,11630*1000*SER_hh_fec_in!N30/SER_hh_num_in!N30)</f>
        <v>8710.9662703335925</v>
      </c>
      <c r="O30" s="133">
        <f>IF(SER_hh_fec_in!O30=0,0,11630*1000*SER_hh_fec_in!O30/SER_hh_num_in!O30)</f>
        <v>8736.7491374566252</v>
      </c>
      <c r="P30" s="133">
        <f>IF(SER_hh_fec_in!P30=0,0,11630*1000*SER_hh_fec_in!P30/SER_hh_num_in!P30)</f>
        <v>6043.532415104406</v>
      </c>
      <c r="Q30" s="133">
        <f>IF(SER_hh_fec_in!Q30=0,0,11630*1000*SER_hh_fec_in!Q30/SER_hh_num_in!Q30)</f>
        <v>8323.3796708393056</v>
      </c>
      <c r="R30" s="133">
        <f>IF(SER_hh_fec_in!R30=0,0,11630*1000*SER_hh_fec_in!R30/SER_hh_num_in!R30)</f>
        <v>10314.118517194715</v>
      </c>
      <c r="S30" s="133">
        <f>IF(SER_hh_fec_in!S30=0,0,11630*1000*SER_hh_fec_in!S30/SER_hh_num_in!S30)</f>
        <v>7959.926939316274</v>
      </c>
      <c r="T30" s="133">
        <f>IF(SER_hh_fec_in!T30=0,0,11630*1000*SER_hh_fec_in!T30/SER_hh_num_in!T30)</f>
        <v>9284.1703519034963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8257.4770466730079</v>
      </c>
      <c r="D31" s="133">
        <f>IF(SER_hh_fec_in!D31=0,0,11630*1000*SER_hh_fec_in!D31/SER_hh_num_in!D31)</f>
        <v>7155.5019617544367</v>
      </c>
      <c r="E31" s="133">
        <f>IF(SER_hh_fec_in!E31=0,0,11630*1000*SER_hh_fec_in!E31/SER_hh_num_in!E31)</f>
        <v>6049.0709670854349</v>
      </c>
      <c r="F31" s="133">
        <f>IF(SER_hh_fec_in!F31=0,0,11630*1000*SER_hh_fec_in!F31/SER_hh_num_in!F31)</f>
        <v>8089.2079651840086</v>
      </c>
      <c r="G31" s="133">
        <f>IF(SER_hh_fec_in!G31=0,0,11630*1000*SER_hh_fec_in!G31/SER_hh_num_in!G31)</f>
        <v>7858.3061130628384</v>
      </c>
      <c r="H31" s="133">
        <f>IF(SER_hh_fec_in!H31=0,0,11630*1000*SER_hh_fec_in!H31/SER_hh_num_in!H31)</f>
        <v>8288.8283087472191</v>
      </c>
      <c r="I31" s="133">
        <f>IF(SER_hh_fec_in!I31=0,0,11630*1000*SER_hh_fec_in!I31/SER_hh_num_in!I31)</f>
        <v>8235.7049701703236</v>
      </c>
      <c r="J31" s="133">
        <f>IF(SER_hh_fec_in!J31=0,0,11630*1000*SER_hh_fec_in!J31/SER_hh_num_in!J31)</f>
        <v>8381.5801340609014</v>
      </c>
      <c r="K31" s="133">
        <f>IF(SER_hh_fec_in!K31=0,0,11630*1000*SER_hh_fec_in!K31/SER_hh_num_in!K31)</f>
        <v>8292.4215771464769</v>
      </c>
      <c r="L31" s="133">
        <f>IF(SER_hh_fec_in!L31=0,0,11630*1000*SER_hh_fec_in!L31/SER_hh_num_in!L31)</f>
        <v>8472.8082061639925</v>
      </c>
      <c r="M31" s="133">
        <f>IF(SER_hh_fec_in!M31=0,0,11630*1000*SER_hh_fec_in!M31/SER_hh_num_in!M31)</f>
        <v>8305.938929449112</v>
      </c>
      <c r="N31" s="133">
        <f>IF(SER_hh_fec_in!N31=0,0,11630*1000*SER_hh_fec_in!N31/SER_hh_num_in!N31)</f>
        <v>7608.3350531407796</v>
      </c>
      <c r="O31" s="133">
        <f>IF(SER_hh_fec_in!O31=0,0,11630*1000*SER_hh_fec_in!O31/SER_hh_num_in!O31)</f>
        <v>7135.9405343999188</v>
      </c>
      <c r="P31" s="133">
        <f>IF(SER_hh_fec_in!P31=0,0,11630*1000*SER_hh_fec_in!P31/SER_hh_num_in!P31)</f>
        <v>9527.0077629215029</v>
      </c>
      <c r="Q31" s="133">
        <f>IF(SER_hh_fec_in!Q31=0,0,11630*1000*SER_hh_fec_in!Q31/SER_hh_num_in!Q31)</f>
        <v>8911.4559252445524</v>
      </c>
      <c r="R31" s="133">
        <f>IF(SER_hh_fec_in!R31=0,0,11630*1000*SER_hh_fec_in!R31/SER_hh_num_in!R31)</f>
        <v>8783.8115680714727</v>
      </c>
      <c r="S31" s="133">
        <f>IF(SER_hh_fec_in!S31=0,0,11630*1000*SER_hh_fec_in!S31/SER_hh_num_in!S31)</f>
        <v>8725.9028367113951</v>
      </c>
      <c r="T31" s="133">
        <f>IF(SER_hh_fec_in!T31=0,0,11630*1000*SER_hh_fec_in!T31/SER_hh_num_in!T31)</f>
        <v>7798.7833720257877</v>
      </c>
      <c r="U31" s="133">
        <f>IF(SER_hh_fec_in!U31=0,0,11630*1000*SER_hh_fec_in!U31/SER_hh_num_in!U31)</f>
        <v>8001.4712261920295</v>
      </c>
      <c r="V31" s="133">
        <f>IF(SER_hh_fec_in!V31=0,0,11630*1000*SER_hh_fec_in!V31/SER_hh_num_in!V31)</f>
        <v>8158.2882775771286</v>
      </c>
      <c r="W31" s="133">
        <f>IF(SER_hh_fec_in!W31=0,0,11630*1000*SER_hh_fec_in!W31/SER_hh_num_in!W31)</f>
        <v>7842.0121891004137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5797.5620186129981</v>
      </c>
      <c r="D33" s="68">
        <f>IF(SER_hh_fec_in!D33=0,0,11630*1000*SER_hh_fec_in!D33/SER_hh_num_in!D33)</f>
        <v>5720.3654820273014</v>
      </c>
      <c r="E33" s="68">
        <f>IF(SER_hh_fec_in!E33=0,0,11630*1000*SER_hh_fec_in!E33/SER_hh_num_in!E33)</f>
        <v>5665.8818234062473</v>
      </c>
      <c r="F33" s="68">
        <f>IF(SER_hh_fec_in!F33=0,0,11630*1000*SER_hh_fec_in!F33/SER_hh_num_in!F33)</f>
        <v>5650.0526131295846</v>
      </c>
      <c r="G33" s="68">
        <f>IF(SER_hh_fec_in!G33=0,0,11630*1000*SER_hh_fec_in!G33/SER_hh_num_in!G33)</f>
        <v>5762.4894761388232</v>
      </c>
      <c r="H33" s="68">
        <f>IF(SER_hh_fec_in!H33=0,0,11630*1000*SER_hh_fec_in!H33/SER_hh_num_in!H33)</f>
        <v>6158.687878020025</v>
      </c>
      <c r="I33" s="68">
        <f>IF(SER_hh_fec_in!I33=0,0,11630*1000*SER_hh_fec_in!I33/SER_hh_num_in!I33)</f>
        <v>6219.6144062064886</v>
      </c>
      <c r="J33" s="68">
        <f>IF(SER_hh_fec_in!J33=0,0,11630*1000*SER_hh_fec_in!J33/SER_hh_num_in!J33)</f>
        <v>6300.9946287831708</v>
      </c>
      <c r="K33" s="68">
        <f>IF(SER_hh_fec_in!K33=0,0,11630*1000*SER_hh_fec_in!K33/SER_hh_num_in!K33)</f>
        <v>6390.3931923828277</v>
      </c>
      <c r="L33" s="68">
        <f>IF(SER_hh_fec_in!L33=0,0,11630*1000*SER_hh_fec_in!L33/SER_hh_num_in!L33)</f>
        <v>6484.4718232190471</v>
      </c>
      <c r="M33" s="68">
        <f>IF(SER_hh_fec_in!M33=0,0,11630*1000*SER_hh_fec_in!M33/SER_hh_num_in!M33)</f>
        <v>6621.9510900967962</v>
      </c>
      <c r="N33" s="68">
        <f>IF(SER_hh_fec_in!N33=0,0,11630*1000*SER_hh_fec_in!N33/SER_hh_num_in!N33)</f>
        <v>6631.4548322468436</v>
      </c>
      <c r="O33" s="68">
        <f>IF(SER_hh_fec_in!O33=0,0,11630*1000*SER_hh_fec_in!O33/SER_hh_num_in!O33)</f>
        <v>0</v>
      </c>
      <c r="P33" s="68">
        <f>IF(SER_hh_fec_in!P33=0,0,11630*1000*SER_hh_fec_in!P33/SER_hh_num_in!P33)</f>
        <v>0</v>
      </c>
      <c r="Q33" s="68">
        <f>IF(SER_hh_fec_in!Q33=0,0,11630*1000*SER_hh_fec_in!Q33/SER_hh_num_in!Q33)</f>
        <v>0</v>
      </c>
      <c r="R33" s="68">
        <f>IF(SER_hh_fec_in!R33=0,0,11630*1000*SER_hh_fec_in!R33/SER_hh_num_in!R33)</f>
        <v>4533.9665799239101</v>
      </c>
      <c r="S33" s="68">
        <f>IF(SER_hh_fec_in!S33=0,0,11630*1000*SER_hh_fec_in!S33/SER_hh_num_in!S33)</f>
        <v>5501.3738887928175</v>
      </c>
      <c r="T33" s="68">
        <f>IF(SER_hh_fec_in!T33=0,0,11630*1000*SER_hh_fec_in!T33/SER_hh_num_in!T33)</f>
        <v>6658.6119775683956</v>
      </c>
      <c r="U33" s="68">
        <f>IF(SER_hh_fec_in!U33=0,0,11630*1000*SER_hh_fec_in!U33/SER_hh_num_in!U33)</f>
        <v>6731.3949918986964</v>
      </c>
      <c r="V33" s="68">
        <f>IF(SER_hh_fec_in!V33=0,0,11630*1000*SER_hh_fec_in!V33/SER_hh_num_in!V33)</f>
        <v>3755.5043685114306</v>
      </c>
      <c r="W33" s="68">
        <f>IF(SER_hh_fec_in!W33=0,0,11630*1000*SER_hh_fec_in!W33/SER_hh_num_in!W33)</f>
        <v>6291.4148099579215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29321.912812863669</v>
      </c>
      <c r="D3" s="126">
        <f>IF(SER_hh_tes_in!D3=0,0,11630*1000*SER_hh_tes_in!D3/SER_hh_num_in!D3)</f>
        <v>26568.3190749731</v>
      </c>
      <c r="E3" s="126">
        <f>IF(SER_hh_tes_in!E3=0,0,11630*1000*SER_hh_tes_in!E3/SER_hh_num_in!E3)</f>
        <v>22061.724333332961</v>
      </c>
      <c r="F3" s="126">
        <f>IF(SER_hh_tes_in!F3=0,0,11630*1000*SER_hh_tes_in!F3/SER_hh_num_in!F3)</f>
        <v>28239.180441683849</v>
      </c>
      <c r="G3" s="126">
        <f>IF(SER_hh_tes_in!G3=0,0,11630*1000*SER_hh_tes_in!G3/SER_hh_num_in!G3)</f>
        <v>28671.434148461765</v>
      </c>
      <c r="H3" s="126">
        <f>IF(SER_hh_tes_in!H3=0,0,11630*1000*SER_hh_tes_in!H3/SER_hh_num_in!H3)</f>
        <v>40532.649714230647</v>
      </c>
      <c r="I3" s="126">
        <f>IF(SER_hh_tes_in!I3=0,0,11630*1000*SER_hh_tes_in!I3/SER_hh_num_in!I3)</f>
        <v>28725.54362532268</v>
      </c>
      <c r="J3" s="126">
        <f>IF(SER_hh_tes_in!J3=0,0,11630*1000*SER_hh_tes_in!J3/SER_hh_num_in!J3)</f>
        <v>29843.382668613071</v>
      </c>
      <c r="K3" s="126">
        <f>IF(SER_hh_tes_in!K3=0,0,11630*1000*SER_hh_tes_in!K3/SER_hh_num_in!K3)</f>
        <v>33571.342652462023</v>
      </c>
      <c r="L3" s="126">
        <f>IF(SER_hh_tes_in!L3=0,0,11630*1000*SER_hh_tes_in!L3/SER_hh_num_in!L3)</f>
        <v>34002.48002209991</v>
      </c>
      <c r="M3" s="126">
        <f>IF(SER_hh_tes_in!M3=0,0,11630*1000*SER_hh_tes_in!M3/SER_hh_num_in!M3)</f>
        <v>31176.701752719819</v>
      </c>
      <c r="N3" s="126">
        <f>IF(SER_hh_tes_in!N3=0,0,11630*1000*SER_hh_tes_in!N3/SER_hh_num_in!N3)</f>
        <v>32927.449975179785</v>
      </c>
      <c r="O3" s="126">
        <f>IF(SER_hh_tes_in!O3=0,0,11630*1000*SER_hh_tes_in!O3/SER_hh_num_in!O3)</f>
        <v>28277.960906210665</v>
      </c>
      <c r="P3" s="126">
        <f>IF(SER_hh_tes_in!P3=0,0,11630*1000*SER_hh_tes_in!P3/SER_hh_num_in!P3)</f>
        <v>26579.630271104634</v>
      </c>
      <c r="Q3" s="126">
        <f>IF(SER_hh_tes_in!Q3=0,0,11630*1000*SER_hh_tes_in!Q3/SER_hh_num_in!Q3)</f>
        <v>32341.927459573155</v>
      </c>
      <c r="R3" s="126">
        <f>IF(SER_hh_tes_in!R3=0,0,11630*1000*SER_hh_tes_in!R3/SER_hh_num_in!R3)</f>
        <v>31891.006222040756</v>
      </c>
      <c r="S3" s="126">
        <f>IF(SER_hh_tes_in!S3=0,0,11630*1000*SER_hh_tes_in!S3/SER_hh_num_in!S3)</f>
        <v>35143.805511656814</v>
      </c>
      <c r="T3" s="126">
        <f>IF(SER_hh_tes_in!T3=0,0,11630*1000*SER_hh_tes_in!T3/SER_hh_num_in!T3)</f>
        <v>30082.679475761233</v>
      </c>
      <c r="U3" s="126">
        <f>IF(SER_hh_tes_in!U3=0,0,11630*1000*SER_hh_tes_in!U3/SER_hh_num_in!U3)</f>
        <v>30666.863908086551</v>
      </c>
      <c r="V3" s="126">
        <f>IF(SER_hh_tes_in!V3=0,0,11630*1000*SER_hh_tes_in!V3/SER_hh_num_in!V3)</f>
        <v>31141.360358591468</v>
      </c>
      <c r="W3" s="126">
        <f>IF(SER_hh_tes_in!W3=0,0,11630*1000*SER_hh_tes_in!W3/SER_hh_num_in!W3)</f>
        <v>29548.435066824477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5710.8427330213981</v>
      </c>
      <c r="D4" s="131">
        <f>IF(SER_hh_tes_in!D4=0,0,11630*1000*SER_hh_tes_in!D4/SER_hh_num_in!D4)</f>
        <v>4817.1978188066305</v>
      </c>
      <c r="E4" s="131">
        <f>IF(SER_hh_tes_in!E4=0,0,11630*1000*SER_hh_tes_in!E4/SER_hh_num_in!E4)</f>
        <v>4889.8961801992245</v>
      </c>
      <c r="F4" s="131">
        <f>IF(SER_hh_tes_in!F4=0,0,11630*1000*SER_hh_tes_in!F4/SER_hh_num_in!F4)</f>
        <v>4102.9576071083284</v>
      </c>
      <c r="G4" s="131">
        <f>IF(SER_hh_tes_in!G4=0,0,11630*1000*SER_hh_tes_in!G4/SER_hh_num_in!G4)</f>
        <v>4090.862162281061</v>
      </c>
      <c r="H4" s="131">
        <f>IF(SER_hh_tes_in!H4=0,0,11630*1000*SER_hh_tes_in!H4/SER_hh_num_in!H4)</f>
        <v>13047.116666252026</v>
      </c>
      <c r="I4" s="131">
        <f>IF(SER_hh_tes_in!I4=0,0,11630*1000*SER_hh_tes_in!I4/SER_hh_num_in!I4)</f>
        <v>6423.831342208151</v>
      </c>
      <c r="J4" s="131">
        <f>IF(SER_hh_tes_in!J4=0,0,11630*1000*SER_hh_tes_in!J4/SER_hh_num_in!J4)</f>
        <v>6816.4476310468826</v>
      </c>
      <c r="K4" s="131">
        <f>IF(SER_hh_tes_in!K4=0,0,11630*1000*SER_hh_tes_in!K4/SER_hh_num_in!K4)</f>
        <v>6559.3011051894464</v>
      </c>
      <c r="L4" s="131">
        <f>IF(SER_hh_tes_in!L4=0,0,11630*1000*SER_hh_tes_in!L4/SER_hh_num_in!L4)</f>
        <v>8079.4581562497069</v>
      </c>
      <c r="M4" s="131">
        <f>IF(SER_hh_tes_in!M4=0,0,11630*1000*SER_hh_tes_in!M4/SER_hh_num_in!M4)</f>
        <v>7179.9374943808371</v>
      </c>
      <c r="N4" s="131">
        <f>IF(SER_hh_tes_in!N4=0,0,11630*1000*SER_hh_tes_in!N4/SER_hh_num_in!N4)</f>
        <v>6339.9839371695098</v>
      </c>
      <c r="O4" s="131">
        <f>IF(SER_hh_tes_in!O4=0,0,11630*1000*SER_hh_tes_in!O4/SER_hh_num_in!O4)</f>
        <v>5665.6311193093243</v>
      </c>
      <c r="P4" s="131">
        <f>IF(SER_hh_tes_in!P4=0,0,11630*1000*SER_hh_tes_in!P4/SER_hh_num_in!P4)</f>
        <v>3871.9672608703895</v>
      </c>
      <c r="Q4" s="131">
        <f>IF(SER_hh_tes_in!Q4=0,0,11630*1000*SER_hh_tes_in!Q4/SER_hh_num_in!Q4)</f>
        <v>4002.8998291303992</v>
      </c>
      <c r="R4" s="131">
        <f>IF(SER_hh_tes_in!R4=0,0,11630*1000*SER_hh_tes_in!R4/SER_hh_num_in!R4)</f>
        <v>4387.5907207579803</v>
      </c>
      <c r="S4" s="131">
        <f>IF(SER_hh_tes_in!S4=0,0,11630*1000*SER_hh_tes_in!S4/SER_hh_num_in!S4)</f>
        <v>5011.1614954438592</v>
      </c>
      <c r="T4" s="131">
        <f>IF(SER_hh_tes_in!T4=0,0,11630*1000*SER_hh_tes_in!T4/SER_hh_num_in!T4)</f>
        <v>5587.0315584039126</v>
      </c>
      <c r="U4" s="131">
        <f>IF(SER_hh_tes_in!U4=0,0,11630*1000*SER_hh_tes_in!U4/SER_hh_num_in!U4)</f>
        <v>5836.5201896596955</v>
      </c>
      <c r="V4" s="131">
        <f>IF(SER_hh_tes_in!V4=0,0,11630*1000*SER_hh_tes_in!V4/SER_hh_num_in!V4)</f>
        <v>5576.0818790374751</v>
      </c>
      <c r="W4" s="131">
        <f>IF(SER_hh_tes_in!W4=0,0,11630*1000*SER_hh_tes_in!W4/SER_hh_num_in!W4)</f>
        <v>6294.457325907666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5606.87659526067</v>
      </c>
      <c r="D7" s="133">
        <f>IF(SER_hh_tes_in!D7=0,0,11630*1000*SER_hh_tes_in!D7/SER_hh_num_in!D7)</f>
        <v>4723.1557147942185</v>
      </c>
      <c r="E7" s="133">
        <f>IF(SER_hh_tes_in!E7=0,0,11630*1000*SER_hh_tes_in!E7/SER_hh_num_in!E7)</f>
        <v>4802.8579939805149</v>
      </c>
      <c r="F7" s="133">
        <f>IF(SER_hh_tes_in!F7=0,0,11630*1000*SER_hh_tes_in!F7/SER_hh_num_in!F7)</f>
        <v>5354.5566507292488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7251.5538537628381</v>
      </c>
      <c r="M7" s="133">
        <f>IF(SER_hh_tes_in!M7=0,0,11630*1000*SER_hh_tes_in!M7/SER_hh_num_in!M7)</f>
        <v>6291.8479581618185</v>
      </c>
      <c r="N7" s="133">
        <f>IF(SER_hh_tes_in!N7=0,0,11630*1000*SER_hh_tes_in!N7/SER_hh_num_in!N7)</f>
        <v>6305.7580747910424</v>
      </c>
      <c r="O7" s="133">
        <f>IF(SER_hh_tes_in!O7=0,0,11630*1000*SER_hh_tes_in!O7/SER_hh_num_in!O7)</f>
        <v>6192.0148162946107</v>
      </c>
      <c r="P7" s="133">
        <f>IF(SER_hh_tes_in!P7=0,0,11630*1000*SER_hh_tes_in!P7/SER_hh_num_in!P7)</f>
        <v>4545.4582452987706</v>
      </c>
      <c r="Q7" s="133">
        <f>IF(SER_hh_tes_in!Q7=0,0,11630*1000*SER_hh_tes_in!Q7/SER_hh_num_in!Q7)</f>
        <v>3177.2535838721587</v>
      </c>
      <c r="R7" s="133">
        <f>IF(SER_hh_tes_in!R7=0,0,11630*1000*SER_hh_tes_in!R7/SER_hh_num_in!R7)</f>
        <v>4146.3788053616199</v>
      </c>
      <c r="S7" s="133">
        <f>IF(SER_hh_tes_in!S7=0,0,11630*1000*SER_hh_tes_in!S7/SER_hh_num_in!S7)</f>
        <v>4881.8216728349071</v>
      </c>
      <c r="T7" s="133">
        <f>IF(SER_hh_tes_in!T7=0,0,11630*1000*SER_hh_tes_in!T7/SER_hh_num_in!T7)</f>
        <v>5468.4514568281911</v>
      </c>
      <c r="U7" s="133">
        <f>IF(SER_hh_tes_in!U7=0,0,11630*1000*SER_hh_tes_in!U7/SER_hh_num_in!U7)</f>
        <v>5445.9409348594736</v>
      </c>
      <c r="V7" s="133">
        <f>IF(SER_hh_tes_in!V7=0,0,11630*1000*SER_hh_tes_in!V7/SER_hh_num_in!V7)</f>
        <v>0</v>
      </c>
      <c r="W7" s="133">
        <f>IF(SER_hh_tes_in!W7=0,0,11630*1000*SER_hh_tes_in!W7/SER_hh_num_in!W7)</f>
        <v>5908.9608352601381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5342.1494780423336</v>
      </c>
      <c r="D8" s="133">
        <f>IF(SER_hh_tes_in!D8=0,0,11630*1000*SER_hh_tes_in!D8/SER_hh_num_in!D8)</f>
        <v>4922.3793482814217</v>
      </c>
      <c r="E8" s="133">
        <f>IF(SER_hh_tes_in!E8=0,0,11630*1000*SER_hh_tes_in!E8/SER_hh_num_in!E8)</f>
        <v>3438.6516365103107</v>
      </c>
      <c r="F8" s="133">
        <f>IF(SER_hh_tes_in!F8=0,0,11630*1000*SER_hh_tes_in!F8/SER_hh_num_in!F8)</f>
        <v>3701.0951176058015</v>
      </c>
      <c r="G8" s="133">
        <f>IF(SER_hh_tes_in!G8=0,0,11630*1000*SER_hh_tes_in!G8/SER_hh_num_in!G8)</f>
        <v>5563.5047651410068</v>
      </c>
      <c r="H8" s="133">
        <f>IF(SER_hh_tes_in!H8=0,0,11630*1000*SER_hh_tes_in!H8/SER_hh_num_in!H8)</f>
        <v>8507.7450333630295</v>
      </c>
      <c r="I8" s="133">
        <f>IF(SER_hh_tes_in!I8=0,0,11630*1000*SER_hh_tes_in!I8/SER_hh_num_in!I8)</f>
        <v>7286.5048503090075</v>
      </c>
      <c r="J8" s="133">
        <f>IF(SER_hh_tes_in!J8=0,0,11630*1000*SER_hh_tes_in!J8/SER_hh_num_in!J8)</f>
        <v>6858.581854233832</v>
      </c>
      <c r="K8" s="133">
        <f>IF(SER_hh_tes_in!K8=0,0,11630*1000*SER_hh_tes_in!K8/SER_hh_num_in!K8)</f>
        <v>6241.6378193195515</v>
      </c>
      <c r="L8" s="133">
        <f>IF(SER_hh_tes_in!L8=0,0,11630*1000*SER_hh_tes_in!L8/SER_hh_num_in!L8)</f>
        <v>5412.46235875816</v>
      </c>
      <c r="M8" s="133">
        <f>IF(SER_hh_tes_in!M8=0,0,11630*1000*SER_hh_tes_in!M8/SER_hh_num_in!M8)</f>
        <v>5442.0211245528453</v>
      </c>
      <c r="N8" s="133">
        <f>IF(SER_hh_tes_in!N8=0,0,11630*1000*SER_hh_tes_in!N8/SER_hh_num_in!N8)</f>
        <v>4247.1330988332065</v>
      </c>
      <c r="O8" s="133">
        <f>IF(SER_hh_tes_in!O8=0,0,11630*1000*SER_hh_tes_in!O8/SER_hh_num_in!O8)</f>
        <v>3990.3955940113037</v>
      </c>
      <c r="P8" s="133">
        <f>IF(SER_hh_tes_in!P8=0,0,11630*1000*SER_hh_tes_in!P8/SER_hh_num_in!P8)</f>
        <v>4159.4027587061919</v>
      </c>
      <c r="Q8" s="133">
        <f>IF(SER_hh_tes_in!Q8=0,0,11630*1000*SER_hh_tes_in!Q8/SER_hh_num_in!Q8)</f>
        <v>4007.3447452373189</v>
      </c>
      <c r="R8" s="133">
        <f>IF(SER_hh_tes_in!R8=0,0,11630*1000*SER_hh_tes_in!R8/SER_hh_num_in!R8)</f>
        <v>4445.6914501946649</v>
      </c>
      <c r="S8" s="133">
        <f>IF(SER_hh_tes_in!S8=0,0,11630*1000*SER_hh_tes_in!S8/SER_hh_num_in!S8)</f>
        <v>4891.2324876817702</v>
      </c>
      <c r="T8" s="133">
        <f>IF(SER_hh_tes_in!T8=0,0,11630*1000*SER_hh_tes_in!T8/SER_hh_num_in!T8)</f>
        <v>5424.5439927127381</v>
      </c>
      <c r="U8" s="133">
        <f>IF(SER_hh_tes_in!U8=0,0,11630*1000*SER_hh_tes_in!U8/SER_hh_num_in!U8)</f>
        <v>5765.8241837971882</v>
      </c>
      <c r="V8" s="133">
        <f>IF(SER_hh_tes_in!V8=0,0,11630*1000*SER_hh_tes_in!V8/SER_hh_num_in!V8)</f>
        <v>5800.4062139158414</v>
      </c>
      <c r="W8" s="133">
        <f>IF(SER_hh_tes_in!W8=0,0,11630*1000*SER_hh_tes_in!W8/SER_hh_num_in!W8)</f>
        <v>6167.8631040820701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5142.6418634258052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785.74042217284193</v>
      </c>
      <c r="G9" s="133">
        <f>IF(SER_hh_tes_in!G9=0,0,11630*1000*SER_hh_tes_in!G9/SER_hh_num_in!G9)</f>
        <v>4227.2707939670818</v>
      </c>
      <c r="H9" s="133">
        <f>IF(SER_hh_tes_in!H9=0,0,11630*1000*SER_hh_tes_in!H9/SER_hh_num_in!H9)</f>
        <v>13958.610440736964</v>
      </c>
      <c r="I9" s="133">
        <f>IF(SER_hh_tes_in!I9=0,0,11630*1000*SER_hh_tes_in!I9/SER_hh_num_in!I9)</f>
        <v>6443.8765536394685</v>
      </c>
      <c r="J9" s="133">
        <f>IF(SER_hh_tes_in!J9=0,0,11630*1000*SER_hh_tes_in!J9/SER_hh_num_in!J9)</f>
        <v>4823.9827968917589</v>
      </c>
      <c r="K9" s="133">
        <f>IF(SER_hh_tes_in!K9=0,0,11630*1000*SER_hh_tes_in!K9/SER_hh_num_in!K9)</f>
        <v>6285.2865835041157</v>
      </c>
      <c r="L9" s="133">
        <f>IF(SER_hh_tes_in!L9=0,0,11630*1000*SER_hh_tes_in!L9/SER_hh_num_in!L9)</f>
        <v>8323.3392057883266</v>
      </c>
      <c r="M9" s="133">
        <f>IF(SER_hh_tes_in!M9=0,0,11630*1000*SER_hh_tes_in!M9/SER_hh_num_in!M9)</f>
        <v>9214.8722696057757</v>
      </c>
      <c r="N9" s="133">
        <f>IF(SER_hh_tes_in!N9=0,0,11630*1000*SER_hh_tes_in!N9/SER_hh_num_in!N9)</f>
        <v>6754.5360986331934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0</v>
      </c>
      <c r="S9" s="133">
        <f>IF(SER_hh_tes_in!S9=0,0,11630*1000*SER_hh_tes_in!S9/SER_hh_num_in!S9)</f>
        <v>0</v>
      </c>
      <c r="T9" s="133">
        <f>IF(SER_hh_tes_in!T9=0,0,11630*1000*SER_hh_tes_in!T9/SER_hh_num_in!T9)</f>
        <v>5763.7747383752248</v>
      </c>
      <c r="U9" s="133">
        <f>IF(SER_hh_tes_in!U9=0,0,11630*1000*SER_hh_tes_in!U9/SER_hh_num_in!U9)</f>
        <v>5842.7238702726918</v>
      </c>
      <c r="V9" s="133">
        <f>IF(SER_hh_tes_in!V9=0,0,11630*1000*SER_hh_tes_in!V9/SER_hh_num_in!V9)</f>
        <v>5060.1818790680918</v>
      </c>
      <c r="W9" s="133">
        <f>IF(SER_hh_tes_in!W9=0,0,11630*1000*SER_hh_tes_in!W9/SER_hh_num_in!W9)</f>
        <v>6281.9279177578219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5495.6897786552545</v>
      </c>
      <c r="D10" s="133">
        <f>IF(SER_hh_tes_in!D10=0,0,11630*1000*SER_hh_tes_in!D10/SER_hh_num_in!D10)</f>
        <v>5016.5041733185408</v>
      </c>
      <c r="E10" s="133">
        <f>IF(SER_hh_tes_in!E10=0,0,11630*1000*SER_hh_tes_in!E10/SER_hh_num_in!E10)</f>
        <v>4890.253314350809</v>
      </c>
      <c r="F10" s="133">
        <f>IF(SER_hh_tes_in!F10=0,0,11630*1000*SER_hh_tes_in!F10/SER_hh_num_in!F10)</f>
        <v>4881.5412636533028</v>
      </c>
      <c r="G10" s="133">
        <f>IF(SER_hh_tes_in!G10=0,0,11630*1000*SER_hh_tes_in!G10/SER_hh_num_in!G10)</f>
        <v>5097.5712751553629</v>
      </c>
      <c r="H10" s="133">
        <f>IF(SER_hh_tes_in!H10=0,0,11630*1000*SER_hh_tes_in!H10/SER_hh_num_in!H10)</f>
        <v>7734.3026124672069</v>
      </c>
      <c r="I10" s="133">
        <f>IF(SER_hh_tes_in!I10=0,0,11630*1000*SER_hh_tes_in!I10/SER_hh_num_in!I10)</f>
        <v>7035.3677478669097</v>
      </c>
      <c r="J10" s="133">
        <f>IF(SER_hh_tes_in!J10=0,0,11630*1000*SER_hh_tes_in!J10/SER_hh_num_in!J10)</f>
        <v>8030.1733367478628</v>
      </c>
      <c r="K10" s="133">
        <f>IF(SER_hh_tes_in!K10=0,0,11630*1000*SER_hh_tes_in!K10/SER_hh_num_in!K10)</f>
        <v>6202.7874719016336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7206.0901710324661</v>
      </c>
      <c r="N10" s="133">
        <f>IF(SER_hh_tes_in!N10=0,0,11630*1000*SER_hh_tes_in!N10/SER_hh_num_in!N10)</f>
        <v>6274.6475779128205</v>
      </c>
      <c r="O10" s="133">
        <f>IF(SER_hh_tes_in!O10=0,0,11630*1000*SER_hh_tes_in!O10/SER_hh_num_in!O10)</f>
        <v>5176.5786751382784</v>
      </c>
      <c r="P10" s="133">
        <f>IF(SER_hh_tes_in!P10=0,0,11630*1000*SER_hh_tes_in!P10/SER_hh_num_in!P10)</f>
        <v>4007.2937357686919</v>
      </c>
      <c r="Q10" s="133">
        <f>IF(SER_hh_tes_in!Q10=0,0,11630*1000*SER_hh_tes_in!Q10/SER_hh_num_in!Q10)</f>
        <v>3904.483091340795</v>
      </c>
      <c r="R10" s="133">
        <f>IF(SER_hh_tes_in!R10=0,0,11630*1000*SER_hh_tes_in!R10/SER_hh_num_in!R10)</f>
        <v>4643.1898693368248</v>
      </c>
      <c r="S10" s="133">
        <f>IF(SER_hh_tes_in!S10=0,0,11630*1000*SER_hh_tes_in!S10/SER_hh_num_in!S10)</f>
        <v>4980.2944070518015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5584.9561930593163</v>
      </c>
      <c r="W10" s="133">
        <f>IF(SER_hh_tes_in!W10=0,0,11630*1000*SER_hh_tes_in!W10/SER_hh_num_in!W10)</f>
        <v>5938.137277965453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7058.907687228465</v>
      </c>
      <c r="N11" s="133">
        <f>IF(SER_hh_tes_in!N11=0,0,11630*1000*SER_hh_tes_in!N11/SER_hh_num_in!N11)</f>
        <v>5983.6695207237608</v>
      </c>
      <c r="O11" s="133">
        <f>IF(SER_hh_tes_in!O11=0,0,11630*1000*SER_hh_tes_in!O11/SER_hh_num_in!O11)</f>
        <v>5385.9036779950002</v>
      </c>
      <c r="P11" s="133">
        <f>IF(SER_hh_tes_in!P11=0,0,11630*1000*SER_hh_tes_in!P11/SER_hh_num_in!P11)</f>
        <v>4321.9838401081952</v>
      </c>
      <c r="Q11" s="133">
        <f>IF(SER_hh_tes_in!Q11=0,0,11630*1000*SER_hh_tes_in!Q11/SER_hh_num_in!Q11)</f>
        <v>4059.9519918838114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5732.2332581918654</v>
      </c>
      <c r="D13" s="133">
        <f>IF(SER_hh_tes_in!D13=0,0,11630*1000*SER_hh_tes_in!D13/SER_hh_num_in!D13)</f>
        <v>4534.5714113139793</v>
      </c>
      <c r="E13" s="133">
        <f>IF(SER_hh_tes_in!E13=0,0,11630*1000*SER_hh_tes_in!E13/SER_hh_num_in!E13)</f>
        <v>4693.5349836863234</v>
      </c>
      <c r="F13" s="133">
        <f>IF(SER_hh_tes_in!F13=0,0,11630*1000*SER_hh_tes_in!F13/SER_hh_num_in!F13)</f>
        <v>4477.7972538614767</v>
      </c>
      <c r="G13" s="133">
        <f>IF(SER_hh_tes_in!G13=0,0,11630*1000*SER_hh_tes_in!G13/SER_hh_num_in!G13)</f>
        <v>5711.549823602867</v>
      </c>
      <c r="H13" s="133">
        <f>IF(SER_hh_tes_in!H13=0,0,11630*1000*SER_hh_tes_in!H13/SER_hh_num_in!H13)</f>
        <v>5863.0513968454516</v>
      </c>
      <c r="I13" s="133">
        <f>IF(SER_hh_tes_in!I13=0,0,11630*1000*SER_hh_tes_in!I13/SER_hh_num_in!I13)</f>
        <v>6364.832911721096</v>
      </c>
      <c r="J13" s="133">
        <f>IF(SER_hh_tes_in!J13=0,0,11630*1000*SER_hh_tes_in!J13/SER_hh_num_in!J13)</f>
        <v>7368.5167335192664</v>
      </c>
      <c r="K13" s="133">
        <f>IF(SER_hh_tes_in!K13=0,0,11630*1000*SER_hh_tes_in!K13/SER_hh_num_in!K13)</f>
        <v>7350.0769103160701</v>
      </c>
      <c r="L13" s="133">
        <f>IF(SER_hh_tes_in!L13=0,0,11630*1000*SER_hh_tes_in!L13/SER_hh_num_in!L13)</f>
        <v>7229.9678581334047</v>
      </c>
      <c r="M13" s="133">
        <f>IF(SER_hh_tes_in!M13=0,0,11630*1000*SER_hh_tes_in!M13/SER_hh_num_in!M13)</f>
        <v>6558.1154539399513</v>
      </c>
      <c r="N13" s="133">
        <f>IF(SER_hh_tes_in!N13=0,0,11630*1000*SER_hh_tes_in!N13/SER_hh_num_in!N13)</f>
        <v>5997.5065831338543</v>
      </c>
      <c r="O13" s="133">
        <f>IF(SER_hh_tes_in!O13=0,0,11630*1000*SER_hh_tes_in!O13/SER_hh_num_in!O13)</f>
        <v>4783.3131818252687</v>
      </c>
      <c r="P13" s="133">
        <f>IF(SER_hh_tes_in!P13=0,0,11630*1000*SER_hh_tes_in!P13/SER_hh_num_in!P13)</f>
        <v>3777.1149875613482</v>
      </c>
      <c r="Q13" s="133">
        <f>IF(SER_hh_tes_in!Q13=0,0,11630*1000*SER_hh_tes_in!Q13/SER_hh_num_in!Q13)</f>
        <v>4056.0201293010018</v>
      </c>
      <c r="R13" s="133">
        <f>IF(SER_hh_tes_in!R13=0,0,11630*1000*SER_hh_tes_in!R13/SER_hh_num_in!R13)</f>
        <v>4420.0575934323788</v>
      </c>
      <c r="S13" s="133">
        <f>IF(SER_hh_tes_in!S13=0,0,11630*1000*SER_hh_tes_in!S13/SER_hh_num_in!S13)</f>
        <v>4939.4799385964679</v>
      </c>
      <c r="T13" s="133">
        <f>IF(SER_hh_tes_in!T13=0,0,11630*1000*SER_hh_tes_in!T13/SER_hh_num_in!T13)</f>
        <v>5442.912987229417</v>
      </c>
      <c r="U13" s="133">
        <f>IF(SER_hh_tes_in!U13=0,0,11630*1000*SER_hh_tes_in!U13/SER_hh_num_in!U13)</f>
        <v>5778.7663419867758</v>
      </c>
      <c r="V13" s="133">
        <f>IF(SER_hh_tes_in!V13=0,0,11630*1000*SER_hh_tes_in!V13/SER_hh_num_in!V13)</f>
        <v>5834.5544623673313</v>
      </c>
      <c r="W13" s="133">
        <f>IF(SER_hh_tes_in!W13=0,0,11630*1000*SER_hh_tes_in!W13/SER_hh_num_in!W13)</f>
        <v>6132.3814344694274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5264.2591041937194</v>
      </c>
      <c r="G14" s="65">
        <f>IF(SER_hh_tes_in!G14=0,0,11630*1000*SER_hh_tes_in!G14/SER_hh_num_in!G14)</f>
        <v>2951.1691856120892</v>
      </c>
      <c r="H14" s="65">
        <f>IF(SER_hh_tes_in!H14=0,0,11630*1000*SER_hh_tes_in!H14/SER_hh_num_in!H14)</f>
        <v>11049.997384819837</v>
      </c>
      <c r="I14" s="65">
        <f>IF(SER_hh_tes_in!I14=0,0,11630*1000*SER_hh_tes_in!I14/SER_hh_num_in!I14)</f>
        <v>6230.8464342302696</v>
      </c>
      <c r="J14" s="65">
        <f>IF(SER_hh_tes_in!J14=0,0,11630*1000*SER_hh_tes_in!J14/SER_hh_num_in!J14)</f>
        <v>8414.4890424094647</v>
      </c>
      <c r="K14" s="65">
        <f>IF(SER_hh_tes_in!K14=0,0,11630*1000*SER_hh_tes_in!K14/SER_hh_num_in!K14)</f>
        <v>6684.6858195059403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5678.9035672631508</v>
      </c>
      <c r="T14" s="65">
        <f>IF(SER_hh_tes_in!T14=0,0,11630*1000*SER_hh_tes_in!T14/SER_hh_num_in!T14)</f>
        <v>6372.8651251789543</v>
      </c>
      <c r="U14" s="65">
        <f>IF(SER_hh_tes_in!U14=0,0,11630*1000*SER_hh_tes_in!U14/SER_hh_num_in!U14)</f>
        <v>6384.4921118732054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6623.4660522615022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109.06812033869367</v>
      </c>
      <c r="D15" s="135">
        <f>IF(SER_hh_tes_in!D15=0,0,11630*1000*SER_hh_tes_in!D15/SER_hh_num_in!D15)</f>
        <v>90.269685509837686</v>
      </c>
      <c r="E15" s="135">
        <f>IF(SER_hh_tes_in!E15=0,0,11630*1000*SER_hh_tes_in!E15/SER_hh_num_in!E15)</f>
        <v>89.86500252494379</v>
      </c>
      <c r="F15" s="135">
        <f>IF(SER_hh_tes_in!F15=0,0,11630*1000*SER_hh_tes_in!F15/SER_hh_num_in!F15)</f>
        <v>66.365290915320685</v>
      </c>
      <c r="G15" s="135">
        <f>IF(SER_hh_tes_in!G15=0,0,11630*1000*SER_hh_tes_in!G15/SER_hh_num_in!G15)</f>
        <v>77.192224938307135</v>
      </c>
      <c r="H15" s="135">
        <f>IF(SER_hh_tes_in!H15=0,0,11630*1000*SER_hh_tes_in!H15/SER_hh_num_in!H15)</f>
        <v>249.90589496633703</v>
      </c>
      <c r="I15" s="135">
        <f>IF(SER_hh_tes_in!I15=0,0,11630*1000*SER_hh_tes_in!I15/SER_hh_num_in!I15)</f>
        <v>109.79844115188605</v>
      </c>
      <c r="J15" s="135">
        <f>IF(SER_hh_tes_in!J15=0,0,11630*1000*SER_hh_tes_in!J15/SER_hh_num_in!J15)</f>
        <v>83.342438304800012</v>
      </c>
      <c r="K15" s="135">
        <f>IF(SER_hh_tes_in!K15=0,0,11630*1000*SER_hh_tes_in!K15/SER_hh_num_in!K15)</f>
        <v>107.51688356998341</v>
      </c>
      <c r="L15" s="135">
        <f>IF(SER_hh_tes_in!L15=0,0,11630*1000*SER_hh_tes_in!L15/SER_hh_num_in!L15)</f>
        <v>135.70427825803171</v>
      </c>
      <c r="M15" s="135">
        <f>IF(SER_hh_tes_in!M15=0,0,11630*1000*SER_hh_tes_in!M15/SER_hh_num_in!M15)</f>
        <v>117.67754415366645</v>
      </c>
      <c r="N15" s="135">
        <f>IF(SER_hh_tes_in!N15=0,0,11630*1000*SER_hh_tes_in!N15/SER_hh_num_in!N15)</f>
        <v>100.65328391810722</v>
      </c>
      <c r="O15" s="135">
        <f>IF(SER_hh_tes_in!O15=0,0,11630*1000*SER_hh_tes_in!O15/SER_hh_num_in!O15)</f>
        <v>93.619166394791847</v>
      </c>
      <c r="P15" s="135">
        <f>IF(SER_hh_tes_in!P15=0,0,11630*1000*SER_hh_tes_in!P15/SER_hh_num_in!P15)</f>
        <v>40.012452330294821</v>
      </c>
      <c r="Q15" s="135">
        <f>IF(SER_hh_tes_in!Q15=0,0,11630*1000*SER_hh_tes_in!Q15/SER_hh_num_in!Q15)</f>
        <v>33.72889599368574</v>
      </c>
      <c r="R15" s="135">
        <f>IF(SER_hh_tes_in!R15=0,0,11630*1000*SER_hh_tes_in!R15/SER_hh_num_in!R15)</f>
        <v>56.795324225583457</v>
      </c>
      <c r="S15" s="135">
        <f>IF(SER_hh_tes_in!S15=0,0,11630*1000*SER_hh_tes_in!S15/SER_hh_num_in!S15)</f>
        <v>73.51225954823056</v>
      </c>
      <c r="T15" s="135">
        <f>IF(SER_hh_tes_in!T15=0,0,11630*1000*SER_hh_tes_in!T15/SER_hh_num_in!T15)</f>
        <v>86.138745585455524</v>
      </c>
      <c r="U15" s="135">
        <f>IF(SER_hh_tes_in!U15=0,0,11630*1000*SER_hh_tes_in!U15/SER_hh_num_in!U15)</f>
        <v>88.867907628771391</v>
      </c>
      <c r="V15" s="135">
        <f>IF(SER_hh_tes_in!V15=0,0,11630*1000*SER_hh_tes_in!V15/SER_hh_num_in!V15)</f>
        <v>76.510630958695288</v>
      </c>
      <c r="W15" s="135">
        <f>IF(SER_hh_tes_in!W15=0,0,11630*1000*SER_hh_tes_in!W15/SER_hh_num_in!W15)</f>
        <v>97.339136345370648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16118.972069964415</v>
      </c>
      <c r="D16" s="131">
        <f>IF(SER_hh_tes_in!D16=0,0,11630*1000*SER_hh_tes_in!D16/SER_hh_num_in!D16)</f>
        <v>14246.145432318679</v>
      </c>
      <c r="E16" s="131">
        <f>IF(SER_hh_tes_in!E16=0,0,11630*1000*SER_hh_tes_in!E16/SER_hh_num_in!E16)</f>
        <v>21651.996204754425</v>
      </c>
      <c r="F16" s="131">
        <f>IF(SER_hh_tes_in!F16=0,0,11630*1000*SER_hh_tes_in!F16/SER_hh_num_in!F16)</f>
        <v>16359.986865889401</v>
      </c>
      <c r="G16" s="131">
        <f>IF(SER_hh_tes_in!G16=0,0,11630*1000*SER_hh_tes_in!G16/SER_hh_num_in!G16)</f>
        <v>17027.09668640032</v>
      </c>
      <c r="H16" s="131">
        <f>IF(SER_hh_tes_in!H16=0,0,11630*1000*SER_hh_tes_in!H16/SER_hh_num_in!H16)</f>
        <v>18979.698177790135</v>
      </c>
      <c r="I16" s="131">
        <f>IF(SER_hh_tes_in!I16=0,0,11630*1000*SER_hh_tes_in!I16/SER_hh_num_in!I16)</f>
        <v>14095.834868697453</v>
      </c>
      <c r="J16" s="131">
        <f>IF(SER_hh_tes_in!J16=0,0,11630*1000*SER_hh_tes_in!J16/SER_hh_num_in!J16)</f>
        <v>14746.205051644136</v>
      </c>
      <c r="K16" s="131">
        <f>IF(SER_hh_tes_in!K16=0,0,11630*1000*SER_hh_tes_in!K16/SER_hh_num_in!K16)</f>
        <v>18685.329095960071</v>
      </c>
      <c r="L16" s="131">
        <f>IF(SER_hh_tes_in!L16=0,0,11630*1000*SER_hh_tes_in!L16/SER_hh_num_in!L16)</f>
        <v>17474.238975096254</v>
      </c>
      <c r="M16" s="131">
        <f>IF(SER_hh_tes_in!M16=0,0,11630*1000*SER_hh_tes_in!M16/SER_hh_num_in!M16)</f>
        <v>15524.949528160676</v>
      </c>
      <c r="N16" s="131">
        <f>IF(SER_hh_tes_in!N16=0,0,11630*1000*SER_hh_tes_in!N16/SER_hh_num_in!N16)</f>
        <v>18513.923042316364</v>
      </c>
      <c r="O16" s="131">
        <f>IF(SER_hh_tes_in!O16=0,0,11630*1000*SER_hh_tes_in!O16/SER_hh_num_in!O16)</f>
        <v>14876.045977639142</v>
      </c>
      <c r="P16" s="131">
        <f>IF(SER_hh_tes_in!P16=0,0,11630*1000*SER_hh_tes_in!P16/SER_hh_num_in!P16)</f>
        <v>13661.12917978832</v>
      </c>
      <c r="Q16" s="131">
        <f>IF(SER_hh_tes_in!Q16=0,0,11630*1000*SER_hh_tes_in!Q16/SER_hh_num_in!Q16)</f>
        <v>19858.004872764555</v>
      </c>
      <c r="R16" s="131">
        <f>IF(SER_hh_tes_in!R16=0,0,11630*1000*SER_hh_tes_in!R16/SER_hh_num_in!R16)</f>
        <v>19269.269483163967</v>
      </c>
      <c r="S16" s="131">
        <f>IF(SER_hh_tes_in!S16=0,0,11630*1000*SER_hh_tes_in!S16/SER_hh_num_in!S16)</f>
        <v>22198.03113648426</v>
      </c>
      <c r="T16" s="131">
        <f>IF(SER_hh_tes_in!T16=0,0,11630*1000*SER_hh_tes_in!T16/SER_hh_num_in!T16)</f>
        <v>15672.931345098275</v>
      </c>
      <c r="U16" s="131">
        <f>IF(SER_hh_tes_in!U16=0,0,11630*1000*SER_hh_tes_in!U16/SER_hh_num_in!U16)</f>
        <v>16056.265475932705</v>
      </c>
      <c r="V16" s="131">
        <f>IF(SER_hh_tes_in!V16=0,0,11630*1000*SER_hh_tes_in!V16/SER_hh_num_in!V16)</f>
        <v>18284.968763738765</v>
      </c>
      <c r="W16" s="131">
        <f>IF(SER_hh_tes_in!W16=0,0,11630*1000*SER_hh_tes_in!W16/SER_hh_num_in!W16)</f>
        <v>14877.175134685005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16117.62270821836</v>
      </c>
      <c r="D17" s="133">
        <f>IF(SER_hh_tes_in!D17=0,0,11630*1000*SER_hh_tes_in!D17/SER_hh_num_in!D17)</f>
        <v>14234.285100825875</v>
      </c>
      <c r="E17" s="133">
        <f>IF(SER_hh_tes_in!E17=0,0,11630*1000*SER_hh_tes_in!E17/SER_hh_num_in!E17)</f>
        <v>21771.438847717229</v>
      </c>
      <c r="F17" s="133">
        <f>IF(SER_hh_tes_in!F17=0,0,11630*1000*SER_hh_tes_in!F17/SER_hh_num_in!F17)</f>
        <v>16422.140340607257</v>
      </c>
      <c r="G17" s="133">
        <f>IF(SER_hh_tes_in!G17=0,0,11630*1000*SER_hh_tes_in!G17/SER_hh_num_in!G17)</f>
        <v>17084.752532482929</v>
      </c>
      <c r="H17" s="133">
        <f>IF(SER_hh_tes_in!H17=0,0,11630*1000*SER_hh_tes_in!H17/SER_hh_num_in!H17)</f>
        <v>19025.64905187552</v>
      </c>
      <c r="I17" s="133">
        <f>IF(SER_hh_tes_in!I17=0,0,11630*1000*SER_hh_tes_in!I17/SER_hh_num_in!I17)</f>
        <v>14125.777667868342</v>
      </c>
      <c r="J17" s="133">
        <f>IF(SER_hh_tes_in!J17=0,0,11630*1000*SER_hh_tes_in!J17/SER_hh_num_in!J17)</f>
        <v>14775.395989158227</v>
      </c>
      <c r="K17" s="133">
        <f>IF(SER_hh_tes_in!K17=0,0,11630*1000*SER_hh_tes_in!K17/SER_hh_num_in!K17)</f>
        <v>18699.944659475274</v>
      </c>
      <c r="L17" s="133">
        <f>IF(SER_hh_tes_in!L17=0,0,11630*1000*SER_hh_tes_in!L17/SER_hh_num_in!L17)</f>
        <v>17497.174768984751</v>
      </c>
      <c r="M17" s="133">
        <f>IF(SER_hh_tes_in!M17=0,0,11630*1000*SER_hh_tes_in!M17/SER_hh_num_in!M17)</f>
        <v>15531.788242393155</v>
      </c>
      <c r="N17" s="133">
        <f>IF(SER_hh_tes_in!N17=0,0,11630*1000*SER_hh_tes_in!N17/SER_hh_num_in!N17)</f>
        <v>18533.160669971818</v>
      </c>
      <c r="O17" s="133">
        <f>IF(SER_hh_tes_in!O17=0,0,11630*1000*SER_hh_tes_in!O17/SER_hh_num_in!O17)</f>
        <v>14895.060736405982</v>
      </c>
      <c r="P17" s="133">
        <f>IF(SER_hh_tes_in!P17=0,0,11630*1000*SER_hh_tes_in!P17/SER_hh_num_in!P17)</f>
        <v>13680.527847111065</v>
      </c>
      <c r="Q17" s="133">
        <f>IF(SER_hh_tes_in!Q17=0,0,11630*1000*SER_hh_tes_in!Q17/SER_hh_num_in!Q17)</f>
        <v>19924.291765245773</v>
      </c>
      <c r="R17" s="133">
        <f>IF(SER_hh_tes_in!R17=0,0,11630*1000*SER_hh_tes_in!R17/SER_hh_num_in!R17)</f>
        <v>19366.24522891067</v>
      </c>
      <c r="S17" s="133">
        <f>IF(SER_hh_tes_in!S17=0,0,11630*1000*SER_hh_tes_in!S17/SER_hh_num_in!S17)</f>
        <v>22294.880266537595</v>
      </c>
      <c r="T17" s="133">
        <f>IF(SER_hh_tes_in!T17=0,0,11630*1000*SER_hh_tes_in!T17/SER_hh_num_in!T17)</f>
        <v>15759.771300976949</v>
      </c>
      <c r="U17" s="133">
        <f>IF(SER_hh_tes_in!U17=0,0,11630*1000*SER_hh_tes_in!U17/SER_hh_num_in!U17)</f>
        <v>16118.652567580184</v>
      </c>
      <c r="V17" s="133">
        <f>IF(SER_hh_tes_in!V17=0,0,11630*1000*SER_hh_tes_in!V17/SER_hh_num_in!V17)</f>
        <v>16274.541711442289</v>
      </c>
      <c r="W17" s="133">
        <f>IF(SER_hh_tes_in!W17=0,0,11630*1000*SER_hh_tes_in!W17/SER_hh_num_in!W17)</f>
        <v>14943.784719110845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16118.973136695551</v>
      </c>
      <c r="D18" s="133">
        <f>IF(SER_hh_tes_in!D18=0,0,11630*1000*SER_hh_tes_in!D18/SER_hh_num_in!D18)</f>
        <v>14246.151028940109</v>
      </c>
      <c r="E18" s="133">
        <f>IF(SER_hh_tes_in!E18=0,0,11630*1000*SER_hh_tes_in!E18/SER_hh_num_in!E18)</f>
        <v>21651.410820192414</v>
      </c>
      <c r="F18" s="133">
        <f>IF(SER_hh_tes_in!F18=0,0,11630*1000*SER_hh_tes_in!F18/SER_hh_num_in!F18)</f>
        <v>16359.926199626034</v>
      </c>
      <c r="G18" s="133">
        <f>IF(SER_hh_tes_in!G18=0,0,11630*1000*SER_hh_tes_in!G18/SER_hh_num_in!G18)</f>
        <v>17027.025083082197</v>
      </c>
      <c r="H18" s="133">
        <f>IF(SER_hh_tes_in!H18=0,0,11630*1000*SER_hh_tes_in!H18/SER_hh_num_in!H18)</f>
        <v>18979.652178695444</v>
      </c>
      <c r="I18" s="133">
        <f>IF(SER_hh_tes_in!I18=0,0,11630*1000*SER_hh_tes_in!I18/SER_hh_num_in!I18)</f>
        <v>14095.781734153152</v>
      </c>
      <c r="J18" s="133">
        <f>IF(SER_hh_tes_in!J18=0,0,11630*1000*SER_hh_tes_in!J18/SER_hh_num_in!J18)</f>
        <v>14746.144457387705</v>
      </c>
      <c r="K18" s="133">
        <f>IF(SER_hh_tes_in!K18=0,0,11630*1000*SER_hh_tes_in!K18/SER_hh_num_in!K18)</f>
        <v>18685.299861379772</v>
      </c>
      <c r="L18" s="133">
        <f>IF(SER_hh_tes_in!L18=0,0,11630*1000*SER_hh_tes_in!L18/SER_hh_num_in!L18)</f>
        <v>17474.177059381735</v>
      </c>
      <c r="M18" s="133">
        <f>IF(SER_hh_tes_in!M18=0,0,11630*1000*SER_hh_tes_in!M18/SER_hh_num_in!M18)</f>
        <v>15524.927812014421</v>
      </c>
      <c r="N18" s="133">
        <f>IF(SER_hh_tes_in!N18=0,0,11630*1000*SER_hh_tes_in!N18/SER_hh_num_in!N18)</f>
        <v>18513.86294938334</v>
      </c>
      <c r="O18" s="133">
        <f>IF(SER_hh_tes_in!O18=0,0,11630*1000*SER_hh_tes_in!O18/SER_hh_num_in!O18)</f>
        <v>14875.9232365604</v>
      </c>
      <c r="P18" s="133">
        <f>IF(SER_hh_tes_in!P18=0,0,11630*1000*SER_hh_tes_in!P18/SER_hh_num_in!P18)</f>
        <v>13661.053388695798</v>
      </c>
      <c r="Q18" s="133">
        <f>IF(SER_hh_tes_in!Q18=0,0,11630*1000*SER_hh_tes_in!Q18/SER_hh_num_in!Q18)</f>
        <v>19857.617554942775</v>
      </c>
      <c r="R18" s="133">
        <f>IF(SER_hh_tes_in!R18=0,0,11630*1000*SER_hh_tes_in!R18/SER_hh_num_in!R18)</f>
        <v>19268.616623734775</v>
      </c>
      <c r="S18" s="133">
        <f>IF(SER_hh_tes_in!S18=0,0,11630*1000*SER_hh_tes_in!S18/SER_hh_num_in!S18)</f>
        <v>22197.525752478439</v>
      </c>
      <c r="T18" s="133">
        <f>IF(SER_hh_tes_in!T18=0,0,11630*1000*SER_hh_tes_in!T18/SER_hh_num_in!T18)</f>
        <v>15672.1017295944</v>
      </c>
      <c r="U18" s="133">
        <f>IF(SER_hh_tes_in!U18=0,0,11630*1000*SER_hh_tes_in!U18/SER_hh_num_in!U18)</f>
        <v>16055.897210829989</v>
      </c>
      <c r="V18" s="133">
        <f>IF(SER_hh_tes_in!V18=0,0,11630*1000*SER_hh_tes_in!V18/SER_hh_num_in!V18)</f>
        <v>18303.841030182146</v>
      </c>
      <c r="W18" s="133">
        <f>IF(SER_hh_tes_in!W18=0,0,11630*1000*SER_hh_tes_in!W18/SER_hh_num_in!W18)</f>
        <v>14877.036913099446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3305.2419948270417</v>
      </c>
      <c r="D19" s="131">
        <f>IF(SER_hh_tes_in!D19=0,0,11630*1000*SER_hh_tes_in!D19/SER_hh_num_in!D19)</f>
        <v>3463.8021679574308</v>
      </c>
      <c r="E19" s="131">
        <f>IF(SER_hh_tes_in!E19=0,0,11630*1000*SER_hh_tes_in!E19/SER_hh_num_in!E19)</f>
        <v>3565.6138402229885</v>
      </c>
      <c r="F19" s="131">
        <f>IF(SER_hh_tes_in!F19=0,0,11630*1000*SER_hh_tes_in!F19/SER_hh_num_in!F19)</f>
        <v>3594.4858276022796</v>
      </c>
      <c r="G19" s="131">
        <f>IF(SER_hh_tes_in!G19=0,0,11630*1000*SER_hh_tes_in!G19/SER_hh_num_in!G19)</f>
        <v>3378.4133168255762</v>
      </c>
      <c r="H19" s="131">
        <f>IF(SER_hh_tes_in!H19=0,0,11630*1000*SER_hh_tes_in!H19/SER_hh_num_in!H19)</f>
        <v>4070.126924297007</v>
      </c>
      <c r="I19" s="131">
        <f>IF(SER_hh_tes_in!I19=0,0,11630*1000*SER_hh_tes_in!I19/SER_hh_num_in!I19)</f>
        <v>3726.4232893321523</v>
      </c>
      <c r="J19" s="131">
        <f>IF(SER_hh_tes_in!J19=0,0,11630*1000*SER_hh_tes_in!J19/SER_hh_num_in!J19)</f>
        <v>3699.5799414068465</v>
      </c>
      <c r="K19" s="131">
        <f>IF(SER_hh_tes_in!K19=0,0,11630*1000*SER_hh_tes_in!K19/SER_hh_num_in!K19)</f>
        <v>3727.1645376679967</v>
      </c>
      <c r="L19" s="131">
        <f>IF(SER_hh_tes_in!L19=0,0,11630*1000*SER_hh_tes_in!L19/SER_hh_num_in!L19)</f>
        <v>3748.1124541048293</v>
      </c>
      <c r="M19" s="131">
        <f>IF(SER_hh_tes_in!M19=0,0,11630*1000*SER_hh_tes_in!M19/SER_hh_num_in!M19)</f>
        <v>3761.6030840848912</v>
      </c>
      <c r="N19" s="131">
        <f>IF(SER_hh_tes_in!N19=0,0,11630*1000*SER_hh_tes_in!N19/SER_hh_num_in!N19)</f>
        <v>3698.4907621569373</v>
      </c>
      <c r="O19" s="131">
        <f>IF(SER_hh_tes_in!O19=0,0,11630*1000*SER_hh_tes_in!O19/SER_hh_num_in!O19)</f>
        <v>3749.6948563562778</v>
      </c>
      <c r="P19" s="131">
        <f>IF(SER_hh_tes_in!P19=0,0,11630*1000*SER_hh_tes_in!P19/SER_hh_num_in!P19)</f>
        <v>3932.2084270557043</v>
      </c>
      <c r="Q19" s="131">
        <f>IF(SER_hh_tes_in!Q19=0,0,11630*1000*SER_hh_tes_in!Q19/SER_hh_num_in!Q19)</f>
        <v>3637.9146881300239</v>
      </c>
      <c r="R19" s="131">
        <f>IF(SER_hh_tes_in!R19=0,0,11630*1000*SER_hh_tes_in!R19/SER_hh_num_in!R19)</f>
        <v>3544.0639150231173</v>
      </c>
      <c r="S19" s="131">
        <f>IF(SER_hh_tes_in!S19=0,0,11630*1000*SER_hh_tes_in!S19/SER_hh_num_in!S19)</f>
        <v>3393.2042126940155</v>
      </c>
      <c r="T19" s="131">
        <f>IF(SER_hh_tes_in!T19=0,0,11630*1000*SER_hh_tes_in!T19/SER_hh_num_in!T19)</f>
        <v>3550.5854637129291</v>
      </c>
      <c r="U19" s="131">
        <f>IF(SER_hh_tes_in!U19=0,0,11630*1000*SER_hh_tes_in!U19/SER_hh_num_in!U19)</f>
        <v>3520.8044655138901</v>
      </c>
      <c r="V19" s="131">
        <f>IF(SER_hh_tes_in!V19=0,0,11630*1000*SER_hh_tes_in!V19/SER_hh_num_in!V19)</f>
        <v>3220.0315532807808</v>
      </c>
      <c r="W19" s="131">
        <f>IF(SER_hh_tes_in!W19=0,0,11630*1000*SER_hh_tes_in!W19/SER_hh_num_in!W19)</f>
        <v>3414.5986531086432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3159.069040831117</v>
      </c>
      <c r="D21" s="133">
        <f>IF(SER_hh_tes_in!D21=0,0,11630*1000*SER_hh_tes_in!D21/SER_hh_num_in!D21)</f>
        <v>3449.5875014281155</v>
      </c>
      <c r="E21" s="133">
        <f>IF(SER_hh_tes_in!E21=0,0,11630*1000*SER_hh_tes_in!E21/SER_hh_num_in!E21)</f>
        <v>3518.5150897573685</v>
      </c>
      <c r="F21" s="133">
        <f>IF(SER_hh_tes_in!F21=0,0,11630*1000*SER_hh_tes_in!F21/SER_hh_num_in!F21)</f>
        <v>3451.9728355464963</v>
      </c>
      <c r="G21" s="133">
        <f>IF(SER_hh_tes_in!G21=0,0,11630*1000*SER_hh_tes_in!G21/SER_hh_num_in!G21)</f>
        <v>3463.892114495362</v>
      </c>
      <c r="H21" s="133">
        <f>IF(SER_hh_tes_in!H21=0,0,11630*1000*SER_hh_tes_in!H21/SER_hh_num_in!H21)</f>
        <v>3542.0602139449861</v>
      </c>
      <c r="I21" s="133">
        <f>IF(SER_hh_tes_in!I21=0,0,11630*1000*SER_hh_tes_in!I21/SER_hh_num_in!I21)</f>
        <v>3644.4109777735684</v>
      </c>
      <c r="J21" s="133">
        <f>IF(SER_hh_tes_in!J21=0,0,11630*1000*SER_hh_tes_in!J21/SER_hh_num_in!J21)</f>
        <v>3594.3528430204124</v>
      </c>
      <c r="K21" s="133">
        <f>IF(SER_hh_tes_in!K21=0,0,11630*1000*SER_hh_tes_in!K21/SER_hh_num_in!K21)</f>
        <v>2868.1126313965515</v>
      </c>
      <c r="L21" s="133">
        <f>IF(SER_hh_tes_in!L21=0,0,11630*1000*SER_hh_tes_in!L21/SER_hh_num_in!L21)</f>
        <v>3744.8140337962918</v>
      </c>
      <c r="M21" s="133">
        <f>IF(SER_hh_tes_in!M21=0,0,11630*1000*SER_hh_tes_in!M21/SER_hh_num_in!M21)</f>
        <v>3650.5555390683203</v>
      </c>
      <c r="N21" s="133">
        <f>IF(SER_hh_tes_in!N21=0,0,11630*1000*SER_hh_tes_in!N21/SER_hh_num_in!N21)</f>
        <v>3722.6599165465495</v>
      </c>
      <c r="O21" s="133">
        <f>IF(SER_hh_tes_in!O21=0,0,11630*1000*SER_hh_tes_in!O21/SER_hh_num_in!O21)</f>
        <v>3763.1752387940928</v>
      </c>
      <c r="P21" s="133">
        <f>IF(SER_hh_tes_in!P21=0,0,11630*1000*SER_hh_tes_in!P21/SER_hh_num_in!P21)</f>
        <v>3256.1583003263227</v>
      </c>
      <c r="Q21" s="133">
        <f>IF(SER_hh_tes_in!Q21=0,0,11630*1000*SER_hh_tes_in!Q21/SER_hh_num_in!Q21)</f>
        <v>3502.5794418804412</v>
      </c>
      <c r="R21" s="133">
        <f>IF(SER_hh_tes_in!R21=0,0,11630*1000*SER_hh_tes_in!R21/SER_hh_num_in!R21)</f>
        <v>3513.3642466156602</v>
      </c>
      <c r="S21" s="133">
        <f>IF(SER_hh_tes_in!S21=0,0,11630*1000*SER_hh_tes_in!S21/SER_hh_num_in!S21)</f>
        <v>3454.9819846833261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3468.3043167388905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3235.6202772286952</v>
      </c>
      <c r="D22" s="133">
        <f>IF(SER_hh_tes_in!D22=0,0,11630*1000*SER_hh_tes_in!D22/SER_hh_num_in!D22)</f>
        <v>3441.4240935397925</v>
      </c>
      <c r="E22" s="133">
        <f>IF(SER_hh_tes_in!E22=0,0,11630*1000*SER_hh_tes_in!E22/SER_hh_num_in!E22)</f>
        <v>3446.1015723865507</v>
      </c>
      <c r="F22" s="133">
        <f>IF(SER_hh_tes_in!F22=0,0,11630*1000*SER_hh_tes_in!F22/SER_hh_num_in!F22)</f>
        <v>3557.4569713716505</v>
      </c>
      <c r="G22" s="133">
        <f>IF(SER_hh_tes_in!G22=0,0,11630*1000*SER_hh_tes_in!G22/SER_hh_num_in!G22)</f>
        <v>3578.6969377085497</v>
      </c>
      <c r="H22" s="133">
        <f>IF(SER_hh_tes_in!H22=0,0,11630*1000*SER_hh_tes_in!H22/SER_hh_num_in!H22)</f>
        <v>3518.563544882003</v>
      </c>
      <c r="I22" s="133">
        <f>IF(SER_hh_tes_in!I22=0,0,11630*1000*SER_hh_tes_in!I22/SER_hh_num_in!I22)</f>
        <v>3627.1546351548391</v>
      </c>
      <c r="J22" s="133">
        <f>IF(SER_hh_tes_in!J22=0,0,11630*1000*SER_hh_tes_in!J22/SER_hh_num_in!J22)</f>
        <v>3532.8926022120409</v>
      </c>
      <c r="K22" s="133">
        <f>IF(SER_hh_tes_in!K22=0,0,11630*1000*SER_hh_tes_in!K22/SER_hh_num_in!K22)</f>
        <v>2721.3343034142713</v>
      </c>
      <c r="L22" s="133">
        <f>IF(SER_hh_tes_in!L22=0,0,11630*1000*SER_hh_tes_in!L22/SER_hh_num_in!L22)</f>
        <v>3684.9298396767667</v>
      </c>
      <c r="M22" s="133">
        <f>IF(SER_hh_tes_in!M22=0,0,11630*1000*SER_hh_tes_in!M22/SER_hh_num_in!M22)</f>
        <v>3601.8404378608634</v>
      </c>
      <c r="N22" s="133">
        <f>IF(SER_hh_tes_in!N22=0,0,11630*1000*SER_hh_tes_in!N22/SER_hh_num_in!N22)</f>
        <v>3722.7818059854094</v>
      </c>
      <c r="O22" s="133">
        <f>IF(SER_hh_tes_in!O22=0,0,11630*1000*SER_hh_tes_in!O22/SER_hh_num_in!O22)</f>
        <v>3708.8437185075409</v>
      </c>
      <c r="P22" s="133">
        <f>IF(SER_hh_tes_in!P22=0,0,11630*1000*SER_hh_tes_in!P22/SER_hh_num_in!P22)</f>
        <v>3187.9754008496143</v>
      </c>
      <c r="Q22" s="133">
        <f>IF(SER_hh_tes_in!Q22=0,0,11630*1000*SER_hh_tes_in!Q22/SER_hh_num_in!Q22)</f>
        <v>3544.428404773103</v>
      </c>
      <c r="R22" s="133">
        <f>IF(SER_hh_tes_in!R22=0,0,11630*1000*SER_hh_tes_in!R22/SER_hh_num_in!R22)</f>
        <v>3560.7832919416651</v>
      </c>
      <c r="S22" s="133">
        <f>IF(SER_hh_tes_in!S22=0,0,11630*1000*SER_hh_tes_in!S22/SER_hh_num_in!S22)</f>
        <v>3421.1216197419062</v>
      </c>
      <c r="T22" s="133">
        <f>IF(SER_hh_tes_in!T22=0,0,11630*1000*SER_hh_tes_in!T22/SER_hh_num_in!T22)</f>
        <v>3478.6440982218064</v>
      </c>
      <c r="U22" s="133">
        <f>IF(SER_hh_tes_in!U22=0,0,11630*1000*SER_hh_tes_in!U22/SER_hh_num_in!U22)</f>
        <v>3346.5964755705509</v>
      </c>
      <c r="V22" s="133">
        <f>IF(SER_hh_tes_in!V22=0,0,11630*1000*SER_hh_tes_in!V22/SER_hh_num_in!V22)</f>
        <v>3028.8197424712475</v>
      </c>
      <c r="W22" s="133">
        <f>IF(SER_hh_tes_in!W22=0,0,11630*1000*SER_hh_tes_in!W22/SER_hh_num_in!W22)</f>
        <v>3410.0037568561061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2903.5759759213174</v>
      </c>
      <c r="G23" s="133">
        <f>IF(SER_hh_tes_in!G23=0,0,11630*1000*SER_hh_tes_in!G23/SER_hh_num_in!G23)</f>
        <v>2600.0640662270421</v>
      </c>
      <c r="H23" s="133">
        <f>IF(SER_hh_tes_in!H23=0,0,11630*1000*SER_hh_tes_in!H23/SER_hh_num_in!H23)</f>
        <v>4323.4692016721265</v>
      </c>
      <c r="I23" s="133">
        <f>IF(SER_hh_tes_in!I23=0,0,11630*1000*SER_hh_tes_in!I23/SER_hh_num_in!I23)</f>
        <v>3926.8108876312226</v>
      </c>
      <c r="J23" s="133">
        <f>IF(SER_hh_tes_in!J23=0,0,11630*1000*SER_hh_tes_in!J23/SER_hh_num_in!J23)</f>
        <v>3621.4363456291803</v>
      </c>
      <c r="K23" s="133">
        <f>IF(SER_hh_tes_in!K23=0,0,11630*1000*SER_hh_tes_in!K23/SER_hh_num_in!K23)</f>
        <v>2517.3299239352941</v>
      </c>
      <c r="L23" s="133">
        <f>IF(SER_hh_tes_in!L23=0,0,11630*1000*SER_hh_tes_in!L23/SER_hh_num_in!L23)</f>
        <v>3714.4959949687282</v>
      </c>
      <c r="M23" s="133">
        <f>IF(SER_hh_tes_in!M23=0,0,11630*1000*SER_hh_tes_in!M23/SER_hh_num_in!M23)</f>
        <v>3477.1955855171459</v>
      </c>
      <c r="N23" s="133">
        <f>IF(SER_hh_tes_in!N23=0,0,11630*1000*SER_hh_tes_in!N23/SER_hh_num_in!N23)</f>
        <v>3583.7831038643708</v>
      </c>
      <c r="O23" s="133">
        <f>IF(SER_hh_tes_in!O23=0,0,11630*1000*SER_hh_tes_in!O23/SER_hh_num_in!O23)</f>
        <v>3743.557127398974</v>
      </c>
      <c r="P23" s="133">
        <f>IF(SER_hh_tes_in!P23=0,0,11630*1000*SER_hh_tes_in!P23/SER_hh_num_in!P23)</f>
        <v>3159.5986457184013</v>
      </c>
      <c r="Q23" s="133">
        <f>IF(SER_hh_tes_in!Q23=0,0,11630*1000*SER_hh_tes_in!Q23/SER_hh_num_in!Q23)</f>
        <v>3319.2296952488991</v>
      </c>
      <c r="R23" s="133">
        <f>IF(SER_hh_tes_in!R23=0,0,11630*1000*SER_hh_tes_in!R23/SER_hh_num_in!R23)</f>
        <v>3384.814817268662</v>
      </c>
      <c r="S23" s="133">
        <f>IF(SER_hh_tes_in!S23=0,0,11630*1000*SER_hh_tes_in!S23/SER_hh_num_in!S23)</f>
        <v>3374.5194297630414</v>
      </c>
      <c r="T23" s="133">
        <f>IF(SER_hh_tes_in!T23=0,0,11630*1000*SER_hh_tes_in!T23/SER_hh_num_in!T23)</f>
        <v>3423.2558443414546</v>
      </c>
      <c r="U23" s="133">
        <f>IF(SER_hh_tes_in!U23=0,0,11630*1000*SER_hh_tes_in!U23/SER_hh_num_in!U23)</f>
        <v>3419.9366912980577</v>
      </c>
      <c r="V23" s="133">
        <f>IF(SER_hh_tes_in!V23=0,0,11630*1000*SER_hh_tes_in!V23/SER_hh_num_in!V23)</f>
        <v>3003.7942810830446</v>
      </c>
      <c r="W23" s="133">
        <f>IF(SER_hh_tes_in!W23=0,0,11630*1000*SER_hh_tes_in!W23/SER_hh_num_in!W23)</f>
        <v>3500.0414854878795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2705.0911073813581</v>
      </c>
      <c r="D26" s="65">
        <f>IF(SER_hh_tes_in!D26=0,0,11630*1000*SER_hh_tes_in!D26/SER_hh_num_in!D26)</f>
        <v>3326.9228768729631</v>
      </c>
      <c r="E26" s="65">
        <f>IF(SER_hh_tes_in!E26=0,0,11630*1000*SER_hh_tes_in!E26/SER_hh_num_in!E26)</f>
        <v>3028.478358886508</v>
      </c>
      <c r="F26" s="65">
        <f>IF(SER_hh_tes_in!F26=0,0,11630*1000*SER_hh_tes_in!F26/SER_hh_num_in!F26)</f>
        <v>3184.4704914732242</v>
      </c>
      <c r="G26" s="65">
        <f>IF(SER_hh_tes_in!G26=0,0,11630*1000*SER_hh_tes_in!G26/SER_hh_num_in!G26)</f>
        <v>2689.7057256904814</v>
      </c>
      <c r="H26" s="65">
        <f>IF(SER_hh_tes_in!H26=0,0,11630*1000*SER_hh_tes_in!H26/SER_hh_num_in!H26)</f>
        <v>2081.6963428452955</v>
      </c>
      <c r="I26" s="65">
        <f>IF(SER_hh_tes_in!I26=0,0,11630*1000*SER_hh_tes_in!I26/SER_hh_num_in!I26)</f>
        <v>2993.7782258209222</v>
      </c>
      <c r="J26" s="65">
        <f>IF(SER_hh_tes_in!J26=0,0,11630*1000*SER_hh_tes_in!J26/SER_hh_num_in!J26)</f>
        <v>2573.5221386587978</v>
      </c>
      <c r="K26" s="65">
        <f>IF(SER_hh_tes_in!K26=0,0,11630*1000*SER_hh_tes_in!K26/SER_hh_num_in!K26)</f>
        <v>285.50983139909107</v>
      </c>
      <c r="L26" s="65">
        <f>IF(SER_hh_tes_in!L26=0,0,11630*1000*SER_hh_tes_in!L26/SER_hh_num_in!L26)</f>
        <v>2048.8945935383522</v>
      </c>
      <c r="M26" s="65">
        <f>IF(SER_hh_tes_in!M26=0,0,11630*1000*SER_hh_tes_in!M26/SER_hh_num_in!M26)</f>
        <v>474.10972677662943</v>
      </c>
      <c r="N26" s="65">
        <f>IF(SER_hh_tes_in!N26=0,0,11630*1000*SER_hh_tes_in!N26/SER_hh_num_in!N26)</f>
        <v>287.26202290463129</v>
      </c>
      <c r="O26" s="65">
        <f>IF(SER_hh_tes_in!O26=0,0,11630*1000*SER_hh_tes_in!O26/SER_hh_num_in!O26)</f>
        <v>3551.8882811315252</v>
      </c>
      <c r="P26" s="65">
        <f>IF(SER_hh_tes_in!P26=0,0,11630*1000*SER_hh_tes_in!P26/SER_hh_num_in!P26)</f>
        <v>0</v>
      </c>
      <c r="Q26" s="65">
        <f>IF(SER_hh_tes_in!Q26=0,0,11630*1000*SER_hh_tes_in!Q26/SER_hh_num_in!Q26)</f>
        <v>35.153184823516781</v>
      </c>
      <c r="R26" s="65">
        <f>IF(SER_hh_tes_in!R26=0,0,11630*1000*SER_hh_tes_in!R26/SER_hh_num_in!R26)</f>
        <v>458.58026221532072</v>
      </c>
      <c r="S26" s="65">
        <f>IF(SER_hh_tes_in!S26=0,0,11630*1000*SER_hh_tes_in!S26/SER_hh_num_in!S26)</f>
        <v>31.502294994030969</v>
      </c>
      <c r="T26" s="65">
        <f>IF(SER_hh_tes_in!T26=0,0,11630*1000*SER_hh_tes_in!T26/SER_hh_num_in!T26)</f>
        <v>3161.8857803824094</v>
      </c>
      <c r="U26" s="65">
        <f>IF(SER_hh_tes_in!U26=0,0,11630*1000*SER_hh_tes_in!U26/SER_hh_num_in!U26)</f>
        <v>291.02156305349263</v>
      </c>
      <c r="V26" s="65">
        <f>IF(SER_hh_tes_in!V26=0,0,11630*1000*SER_hh_tes_in!V26/SER_hh_num_in!V26)</f>
        <v>29.721818678769992</v>
      </c>
      <c r="W26" s="65">
        <f>IF(SER_hh_tes_in!W26=0,0,11630*1000*SER_hh_tes_in!W26/SER_hh_num_in!W26)</f>
        <v>3278.9100899370214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487.28340906527535</v>
      </c>
      <c r="D27" s="146">
        <f>IF(SER_hh_tes_in!D27=0,0,11630*1000*SER_hh_tes_in!D27/SER_hh_num_in!D19)</f>
        <v>115.15552038770204</v>
      </c>
      <c r="E27" s="146">
        <f>IF(SER_hh_tes_in!E27=0,0,11630*1000*SER_hh_tes_in!E27/SER_hh_num_in!E19)</f>
        <v>447.47376423913937</v>
      </c>
      <c r="F27" s="146">
        <f>IF(SER_hh_tes_in!F27=0,0,11630*1000*SER_hh_tes_in!F27/SER_hh_num_in!F19)</f>
        <v>391.11002367208386</v>
      </c>
      <c r="G27" s="146">
        <f>IF(SER_hh_tes_in!G27=0,0,11630*1000*SER_hh_tes_in!G27/SER_hh_num_in!G19)</f>
        <v>548.88847404954947</v>
      </c>
      <c r="H27" s="146">
        <f>IF(SER_hh_tes_in!H27=0,0,11630*1000*SER_hh_tes_in!H27/SER_hh_num_in!H19)</f>
        <v>526.03570026850491</v>
      </c>
      <c r="I27" s="146">
        <f>IF(SER_hh_tes_in!I27=0,0,11630*1000*SER_hh_tes_in!I27/SER_hh_num_in!I19)</f>
        <v>310.80774516778501</v>
      </c>
      <c r="J27" s="146">
        <f>IF(SER_hh_tes_in!J27=0,0,11630*1000*SER_hh_tes_in!J27/SER_hh_num_in!J19)</f>
        <v>730.10544762417078</v>
      </c>
      <c r="K27" s="146">
        <f>IF(SER_hh_tes_in!K27=0,0,11630*1000*SER_hh_tes_in!K27/SER_hh_num_in!K19)</f>
        <v>2336.2280831960752</v>
      </c>
      <c r="L27" s="146">
        <f>IF(SER_hh_tes_in!L27=0,0,11630*1000*SER_hh_tes_in!L27/SER_hh_num_in!L19)</f>
        <v>1014.3733809657984</v>
      </c>
      <c r="M27" s="146">
        <f>IF(SER_hh_tes_in!M27=0,0,11630*1000*SER_hh_tes_in!M27/SER_hh_num_in!M19)</f>
        <v>1538.5709883355846</v>
      </c>
      <c r="N27" s="146">
        <f>IF(SER_hh_tes_in!N27=0,0,11630*1000*SER_hh_tes_in!N27/SER_hh_num_in!N19)</f>
        <v>1032.3880565291936</v>
      </c>
      <c r="O27" s="146">
        <f>IF(SER_hh_tes_in!O27=0,0,11630*1000*SER_hh_tes_in!O27/SER_hh_num_in!O19)</f>
        <v>49.519210123149364</v>
      </c>
      <c r="P27" s="146">
        <f>IF(SER_hh_tes_in!P27=0,0,11630*1000*SER_hh_tes_in!P27/SER_hh_num_in!P19)</f>
        <v>756.645651486563</v>
      </c>
      <c r="Q27" s="146">
        <f>IF(SER_hh_tes_in!Q27=0,0,11630*1000*SER_hh_tes_in!Q27/SER_hh_num_in!Q19)</f>
        <v>1097.5591386095771</v>
      </c>
      <c r="R27" s="146">
        <f>IF(SER_hh_tes_in!R27=0,0,11630*1000*SER_hh_tes_in!R27/SER_hh_num_in!R19)</f>
        <v>1205.4363874927003</v>
      </c>
      <c r="S27" s="146">
        <f>IF(SER_hh_tes_in!S27=0,0,11630*1000*SER_hh_tes_in!S27/SER_hh_num_in!S19)</f>
        <v>1692.7621322686248</v>
      </c>
      <c r="T27" s="146">
        <f>IF(SER_hh_tes_in!T27=0,0,11630*1000*SER_hh_tes_in!T27/SER_hh_num_in!T19)</f>
        <v>250.00724282553207</v>
      </c>
      <c r="U27" s="146">
        <f>IF(SER_hh_tes_in!U27=0,0,11630*1000*SER_hh_tes_in!U27/SER_hh_num_in!U19)</f>
        <v>1186.8009131696813</v>
      </c>
      <c r="V27" s="146">
        <f>IF(SER_hh_tes_in!V27=0,0,11630*1000*SER_hh_tes_in!V27/SER_hh_num_in!V19)</f>
        <v>664.51066396499152</v>
      </c>
      <c r="W27" s="146">
        <f>IF(SER_hh_tes_in!W27=0,0,11630*1000*SER_hh_tes_in!W27/SER_hh_num_in!W19)</f>
        <v>2.3415926030517978E-11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2597.4287300348037</v>
      </c>
      <c r="D28" s="147">
        <f>IF(SER_hh_tes_in!D27=0,0,11630*1000*SER_hh_tes_in!D27/SER_hh_num_in!D27)</f>
        <v>3157.8384405924467</v>
      </c>
      <c r="E28" s="147">
        <f>IF(SER_hh_tes_in!E27=0,0,11630*1000*SER_hh_tes_in!E27/SER_hh_num_in!E27)</f>
        <v>3285.6274030998047</v>
      </c>
      <c r="F28" s="147">
        <f>IF(SER_hh_tes_in!F27=0,0,11630*1000*SER_hh_tes_in!F27/SER_hh_num_in!F27)</f>
        <v>3375.8046531602304</v>
      </c>
      <c r="G28" s="147">
        <f>IF(SER_hh_tes_in!G27=0,0,11630*1000*SER_hh_tes_in!G27/SER_hh_num_in!G27)</f>
        <v>3364.5217143375689</v>
      </c>
      <c r="H28" s="147">
        <f>IF(SER_hh_tes_in!H27=0,0,11630*1000*SER_hh_tes_in!H27/SER_hh_num_in!H27)</f>
        <v>3407.1032003459445</v>
      </c>
      <c r="I28" s="147">
        <f>IF(SER_hh_tes_in!I27=0,0,11630*1000*SER_hh_tes_in!I27/SER_hh_num_in!I27)</f>
        <v>3350.0924200375498</v>
      </c>
      <c r="J28" s="147">
        <f>IF(SER_hh_tes_in!J27=0,0,11630*1000*SER_hh_tes_in!J27/SER_hh_num_in!J27)</f>
        <v>3402.8967323124621</v>
      </c>
      <c r="K28" s="147">
        <f>IF(SER_hh_tes_in!K27=0,0,11630*1000*SER_hh_tes_in!K27/SER_hh_num_in!K27)</f>
        <v>3418.9195785915185</v>
      </c>
      <c r="L28" s="147">
        <f>IF(SER_hh_tes_in!L27=0,0,11630*1000*SER_hh_tes_in!L27/SER_hh_num_in!L27)</f>
        <v>3492.8073554155885</v>
      </c>
      <c r="M28" s="147">
        <f>IF(SER_hh_tes_in!M27=0,0,11630*1000*SER_hh_tes_in!M27/SER_hh_num_in!M27)</f>
        <v>3406.6148666387708</v>
      </c>
      <c r="N28" s="147">
        <f>IF(SER_hh_tes_in!N27=0,0,11630*1000*SER_hh_tes_in!N27/SER_hh_num_in!N27)</f>
        <v>3441.311010292392</v>
      </c>
      <c r="O28" s="147">
        <f>IF(SER_hh_tes_in!O27=0,0,11630*1000*SER_hh_tes_in!O27/SER_hh_num_in!O27)</f>
        <v>3654.9672726725757</v>
      </c>
      <c r="P28" s="147">
        <f>IF(SER_hh_tes_in!P27=0,0,11630*1000*SER_hh_tes_in!P27/SER_hh_num_in!P27)</f>
        <v>2565.2847732318933</v>
      </c>
      <c r="Q28" s="147">
        <f>IF(SER_hh_tes_in!Q27=0,0,11630*1000*SER_hh_tes_in!Q27/SER_hh_num_in!Q27)</f>
        <v>3784.4755240289574</v>
      </c>
      <c r="R28" s="147">
        <f>IF(SER_hh_tes_in!R27=0,0,11630*1000*SER_hh_tes_in!R27/SER_hh_num_in!R27)</f>
        <v>3616.0690681687902</v>
      </c>
      <c r="S28" s="147">
        <f>IF(SER_hh_tes_in!S27=0,0,11630*1000*SER_hh_tes_in!S27/SER_hh_num_in!S27)</f>
        <v>3320.9287891379654</v>
      </c>
      <c r="T28" s="147">
        <f>IF(SER_hh_tes_in!T27=0,0,11630*1000*SER_hh_tes_in!T27/SER_hh_num_in!T27)</f>
        <v>3506.0761734843691</v>
      </c>
      <c r="U28" s="147">
        <f>IF(SER_hh_tes_in!U27=0,0,11630*1000*SER_hh_tes_in!U27/SER_hh_num_in!U27)</f>
        <v>3320.8818333647787</v>
      </c>
      <c r="V28" s="147">
        <f>IF(SER_hh_tes_in!V27=0,0,11630*1000*SER_hh_tes_in!V27/SER_hh_num_in!V27)</f>
        <v>2912.1209454568434</v>
      </c>
      <c r="W28" s="147">
        <f>IF(SER_hh_tes_in!W27=0,0,11630*1000*SER_hh_tes_in!W27/SER_hh_num_in!W27)</f>
        <v>3597.8396500707468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4186.8560150508129</v>
      </c>
      <c r="D29" s="131">
        <f>IF(SER_hh_tes_in!D29=0,0,11630*1000*SER_hh_tes_in!D29/SER_hh_num_in!D29)</f>
        <v>4041.1736558903617</v>
      </c>
      <c r="E29" s="131">
        <f>IF(SER_hh_tes_in!E29=0,0,11630*1000*SER_hh_tes_in!E29/SER_hh_num_in!E29)</f>
        <v>3870.0089766144943</v>
      </c>
      <c r="F29" s="131">
        <f>IF(SER_hh_tes_in!F29=0,0,11630*1000*SER_hh_tes_in!F29/SER_hh_num_in!F29)</f>
        <v>4181.7501410838331</v>
      </c>
      <c r="G29" s="131">
        <f>IF(SER_hh_tes_in!G29=0,0,11630*1000*SER_hh_tes_in!G29/SER_hh_num_in!G29)</f>
        <v>4175.0619829547995</v>
      </c>
      <c r="H29" s="131">
        <f>IF(SER_hh_tes_in!H29=0,0,11630*1000*SER_hh_tes_in!H29/SER_hh_num_in!H29)</f>
        <v>4435.7079458914786</v>
      </c>
      <c r="I29" s="131">
        <f>IF(SER_hh_tes_in!I29=0,0,11630*1000*SER_hh_tes_in!I29/SER_hh_num_in!I29)</f>
        <v>4479.4541250849261</v>
      </c>
      <c r="J29" s="131">
        <f>IF(SER_hh_tes_in!J29=0,0,11630*1000*SER_hh_tes_in!J29/SER_hh_num_in!J29)</f>
        <v>4581.150044515206</v>
      </c>
      <c r="K29" s="131">
        <f>IF(SER_hh_tes_in!K29=0,0,11630*1000*SER_hh_tes_in!K29/SER_hh_num_in!K29)</f>
        <v>4599.5479136445056</v>
      </c>
      <c r="L29" s="131">
        <f>IF(SER_hh_tes_in!L29=0,0,11630*1000*SER_hh_tes_in!L29/SER_hh_num_in!L29)</f>
        <v>4700.670436649114</v>
      </c>
      <c r="M29" s="131">
        <f>IF(SER_hh_tes_in!M29=0,0,11630*1000*SER_hh_tes_in!M29/SER_hh_num_in!M29)</f>
        <v>4710.2116460934212</v>
      </c>
      <c r="N29" s="131">
        <f>IF(SER_hh_tes_in!N29=0,0,11630*1000*SER_hh_tes_in!N29/SER_hh_num_in!N29)</f>
        <v>4375.0522335369651</v>
      </c>
      <c r="O29" s="131">
        <f>IF(SER_hh_tes_in!O29=0,0,11630*1000*SER_hh_tes_in!O29/SER_hh_num_in!O29)</f>
        <v>3986.5889529059255</v>
      </c>
      <c r="P29" s="131">
        <f>IF(SER_hh_tes_in!P29=0,0,11630*1000*SER_hh_tes_in!P29/SER_hh_num_in!P29)</f>
        <v>5114.3254033902167</v>
      </c>
      <c r="Q29" s="131">
        <f>IF(SER_hh_tes_in!Q29=0,0,11630*1000*SER_hh_tes_in!Q29/SER_hh_num_in!Q29)</f>
        <v>4843.108069548176</v>
      </c>
      <c r="R29" s="131">
        <f>IF(SER_hh_tes_in!R29=0,0,11630*1000*SER_hh_tes_in!R29/SER_hh_num_in!R29)</f>
        <v>4690.0821030956877</v>
      </c>
      <c r="S29" s="131">
        <f>IF(SER_hh_tes_in!S29=0,0,11630*1000*SER_hh_tes_in!S29/SER_hh_num_in!S29)</f>
        <v>4541.4086670346878</v>
      </c>
      <c r="T29" s="131">
        <f>IF(SER_hh_tes_in!T29=0,0,11630*1000*SER_hh_tes_in!T29/SER_hh_num_in!T29)</f>
        <v>5272.1311085461102</v>
      </c>
      <c r="U29" s="131">
        <f>IF(SER_hh_tes_in!U29=0,0,11630*1000*SER_hh_tes_in!U29/SER_hh_num_in!U29)</f>
        <v>5253.273776980267</v>
      </c>
      <c r="V29" s="131">
        <f>IF(SER_hh_tes_in!V29=0,0,11630*1000*SER_hh_tes_in!V29/SER_hh_num_in!V29)</f>
        <v>4060.2781625344473</v>
      </c>
      <c r="W29" s="131">
        <f>IF(SER_hh_tes_in!W29=0,0,11630*1000*SER_hh_tes_in!W29/SER_hh_num_in!W29)</f>
        <v>4962.2039531231685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4217.5452190123278</v>
      </c>
      <c r="D30" s="133">
        <f>IF(SER_hh_tes_in!D30=0,0,11630*1000*SER_hh_tes_in!D30/SER_hh_num_in!D30)</f>
        <v>4089.7503897096985</v>
      </c>
      <c r="E30" s="133">
        <f>IF(SER_hh_tes_in!E30=0,0,11630*1000*SER_hh_tes_in!E30/SER_hh_num_in!E30)</f>
        <v>3982.171691250539</v>
      </c>
      <c r="F30" s="133">
        <f>IF(SER_hh_tes_in!F30=0,0,11630*1000*SER_hh_tes_in!F30/SER_hh_num_in!F30)</f>
        <v>4321.7187892040538</v>
      </c>
      <c r="G30" s="133">
        <f>IF(SER_hh_tes_in!G30=0,0,11630*1000*SER_hh_tes_in!G30/SER_hh_num_in!G30)</f>
        <v>4220.429955491808</v>
      </c>
      <c r="H30" s="133">
        <f>IF(SER_hh_tes_in!H30=0,0,11630*1000*SER_hh_tes_in!H30/SER_hh_num_in!H30)</f>
        <v>4112.2410296819235</v>
      </c>
      <c r="I30" s="133">
        <f>IF(SER_hh_tes_in!I30=0,0,11630*1000*SER_hh_tes_in!I30/SER_hh_num_in!I30)</f>
        <v>4443.7970422039361</v>
      </c>
      <c r="J30" s="133">
        <f>IF(SER_hh_tes_in!J30=0,0,11630*1000*SER_hh_tes_in!J30/SER_hh_num_in!J30)</f>
        <v>4800.0351986115656</v>
      </c>
      <c r="K30" s="133">
        <f>IF(SER_hh_tes_in!K30=0,0,11630*1000*SER_hh_tes_in!K30/SER_hh_num_in!K30)</f>
        <v>4526.0122359990464</v>
      </c>
      <c r="L30" s="133">
        <f>IF(SER_hh_tes_in!L30=0,0,11630*1000*SER_hh_tes_in!L30/SER_hh_num_in!L30)</f>
        <v>4735.1050603986669</v>
      </c>
      <c r="M30" s="133">
        <f>IF(SER_hh_tes_in!M30=0,0,11630*1000*SER_hh_tes_in!M30/SER_hh_num_in!M30)</f>
        <v>4686.4284325564404</v>
      </c>
      <c r="N30" s="133">
        <f>IF(SER_hh_tes_in!N30=0,0,11630*1000*SER_hh_tes_in!N30/SER_hh_num_in!N30)</f>
        <v>4770.2389988675941</v>
      </c>
      <c r="O30" s="133">
        <f>IF(SER_hh_tes_in!O30=0,0,11630*1000*SER_hh_tes_in!O30/SER_hh_num_in!O30)</f>
        <v>4784.3580339362716</v>
      </c>
      <c r="P30" s="133">
        <f>IF(SER_hh_tes_in!P30=0,0,11630*1000*SER_hh_tes_in!P30/SER_hh_num_in!P30)</f>
        <v>3309.5173512074057</v>
      </c>
      <c r="Q30" s="133">
        <f>IF(SER_hh_tes_in!Q30=0,0,11630*1000*SER_hh_tes_in!Q30/SER_hh_num_in!Q30)</f>
        <v>4557.9915104755491</v>
      </c>
      <c r="R30" s="133">
        <f>IF(SER_hh_tes_in!R30=0,0,11630*1000*SER_hh_tes_in!R30/SER_hh_num_in!R30)</f>
        <v>5685.1707989069964</v>
      </c>
      <c r="S30" s="133">
        <f>IF(SER_hh_tes_in!S30=0,0,11630*1000*SER_hh_tes_in!S30/SER_hh_num_in!S30)</f>
        <v>4434.2585152698512</v>
      </c>
      <c r="T30" s="133">
        <f>IF(SER_hh_tes_in!T30=0,0,11630*1000*SER_hh_tes_in!T30/SER_hh_num_in!T30)</f>
        <v>5235.5393956872922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4452.9743574023933</v>
      </c>
      <c r="D31" s="133">
        <f>IF(SER_hh_tes_in!D31=0,0,11630*1000*SER_hh_tes_in!D31/SER_hh_num_in!D31)</f>
        <v>3867.5727691450234</v>
      </c>
      <c r="E31" s="133">
        <f>IF(SER_hh_tes_in!E31=0,0,11630*1000*SER_hh_tes_in!E31/SER_hh_num_in!E31)</f>
        <v>3276.9239929522946</v>
      </c>
      <c r="F31" s="133">
        <f>IF(SER_hh_tes_in!F31=0,0,11630*1000*SER_hh_tes_in!F31/SER_hh_num_in!F31)</f>
        <v>4391.9651178055856</v>
      </c>
      <c r="G31" s="133">
        <f>IF(SER_hh_tes_in!G31=0,0,11630*1000*SER_hh_tes_in!G31/SER_hh_num_in!G31)</f>
        <v>4276.0423958739448</v>
      </c>
      <c r="H31" s="133">
        <f>IF(SER_hh_tes_in!H31=0,0,11630*1000*SER_hh_tes_in!H31/SER_hh_num_in!H31)</f>
        <v>4520.1494918503595</v>
      </c>
      <c r="I31" s="133">
        <f>IF(SER_hh_tes_in!I31=0,0,11630*1000*SER_hh_tes_in!I31/SER_hh_num_in!I31)</f>
        <v>4500.8117296773298</v>
      </c>
      <c r="J31" s="133">
        <f>IF(SER_hh_tes_in!J31=0,0,11630*1000*SER_hh_tes_in!J31/SER_hh_num_in!J31)</f>
        <v>4590.0702792846587</v>
      </c>
      <c r="K31" s="133">
        <f>IF(SER_hh_tes_in!K31=0,0,11630*1000*SER_hh_tes_in!K31/SER_hh_num_in!K31)</f>
        <v>4550.3205465265555</v>
      </c>
      <c r="L31" s="133">
        <f>IF(SER_hh_tes_in!L31=0,0,11630*1000*SER_hh_tes_in!L31/SER_hh_num_in!L31)</f>
        <v>4658.1849231677288</v>
      </c>
      <c r="M31" s="133">
        <f>IF(SER_hh_tes_in!M31=0,0,11630*1000*SER_hh_tes_in!M31/SER_hh_num_in!M31)</f>
        <v>4571.1281507185977</v>
      </c>
      <c r="N31" s="133">
        <f>IF(SER_hh_tes_in!N31=0,0,11630*1000*SER_hh_tes_in!N31/SER_hh_num_in!N31)</f>
        <v>4187.2056653584823</v>
      </c>
      <c r="O31" s="133">
        <f>IF(SER_hh_tes_in!O31=0,0,11630*1000*SER_hh_tes_in!O31/SER_hh_num_in!O31)</f>
        <v>3927.2259205995442</v>
      </c>
      <c r="P31" s="133">
        <f>IF(SER_hh_tes_in!P31=0,0,11630*1000*SER_hh_tes_in!P31/SER_hh_num_in!P31)</f>
        <v>5243.1367178488854</v>
      </c>
      <c r="Q31" s="133">
        <f>IF(SER_hh_tes_in!Q31=0,0,11630*1000*SER_hh_tes_in!Q31/SER_hh_num_in!Q31)</f>
        <v>4904.3711240572748</v>
      </c>
      <c r="R31" s="133">
        <f>IF(SER_hh_tes_in!R31=0,0,11630*1000*SER_hh_tes_in!R31/SER_hh_num_in!R31)</f>
        <v>4865.4221108536813</v>
      </c>
      <c r="S31" s="133">
        <f>IF(SER_hh_tes_in!S31=0,0,11630*1000*SER_hh_tes_in!S31/SER_hh_num_in!S31)</f>
        <v>4884.1901361049922</v>
      </c>
      <c r="T31" s="133">
        <f>IF(SER_hh_tes_in!T31=0,0,11630*1000*SER_hh_tes_in!T31/SER_hh_num_in!T31)</f>
        <v>4418.26489662524</v>
      </c>
      <c r="U31" s="133">
        <f>IF(SER_hh_tes_in!U31=0,0,11630*1000*SER_hh_tes_in!U31/SER_hh_num_in!U31)</f>
        <v>4589.430301043496</v>
      </c>
      <c r="V31" s="133">
        <f>IF(SER_hh_tes_in!V31=0,0,11630*1000*SER_hh_tes_in!V31/SER_hh_num_in!V31)</f>
        <v>4732.8552158293678</v>
      </c>
      <c r="W31" s="133">
        <f>IF(SER_hh_tes_in!W31=0,0,11630*1000*SER_hh_tes_in!W31/SER_hh_num_in!W31)</f>
        <v>4596.9722349165431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4108.8325897272107</v>
      </c>
      <c r="D33" s="68">
        <f>IF(SER_hh_tes_in!D33=0,0,11630*1000*SER_hh_tes_in!D33/SER_hh_num_in!D33)</f>
        <v>4064.1320416110248</v>
      </c>
      <c r="E33" s="68">
        <f>IF(SER_hh_tes_in!E33=0,0,11630*1000*SER_hh_tes_in!E33/SER_hh_num_in!E33)</f>
        <v>4035.704442397428</v>
      </c>
      <c r="F33" s="68">
        <f>IF(SER_hh_tes_in!F33=0,0,11630*1000*SER_hh_tes_in!F33/SER_hh_num_in!F33)</f>
        <v>4034.7319676208931</v>
      </c>
      <c r="G33" s="68">
        <f>IF(SER_hh_tes_in!G33=0,0,11630*1000*SER_hh_tes_in!G33/SER_hh_num_in!G33)</f>
        <v>4125.8745104399841</v>
      </c>
      <c r="H33" s="68">
        <f>IF(SER_hh_tes_in!H33=0,0,11630*1000*SER_hh_tes_in!H33/SER_hh_num_in!H33)</f>
        <v>4421.4734671772967</v>
      </c>
      <c r="I33" s="68">
        <f>IF(SER_hh_tes_in!I33=0,0,11630*1000*SER_hh_tes_in!I33/SER_hh_num_in!I33)</f>
        <v>4477.6674595430695</v>
      </c>
      <c r="J33" s="68">
        <f>IF(SER_hh_tes_in!J33=0,0,11630*1000*SER_hh_tes_in!J33/SER_hh_num_in!J33)</f>
        <v>4549.6095989136038</v>
      </c>
      <c r="K33" s="68">
        <f>IF(SER_hh_tes_in!K33=0,0,11630*1000*SER_hh_tes_in!K33/SER_hh_num_in!K33)</f>
        <v>4628.7302594951761</v>
      </c>
      <c r="L33" s="68">
        <f>IF(SER_hh_tes_in!L33=0,0,11630*1000*SER_hh_tes_in!L33/SER_hh_num_in!L33)</f>
        <v>4712.7768326384166</v>
      </c>
      <c r="M33" s="68">
        <f>IF(SER_hh_tes_in!M33=0,0,11630*1000*SER_hh_tes_in!M33/SER_hh_num_in!M33)</f>
        <v>4834.7890383010617</v>
      </c>
      <c r="N33" s="68">
        <f>IF(SER_hh_tes_in!N33=0,0,11630*1000*SER_hh_tes_in!N33/SER_hh_num_in!N33)</f>
        <v>4871.0567580127199</v>
      </c>
      <c r="O33" s="68">
        <f>IF(SER_hh_tes_in!O33=0,0,11630*1000*SER_hh_tes_in!O33/SER_hh_num_in!O33)</f>
        <v>0</v>
      </c>
      <c r="P33" s="68">
        <f>IF(SER_hh_tes_in!P33=0,0,11630*1000*SER_hh_tes_in!P33/SER_hh_num_in!P33)</f>
        <v>0</v>
      </c>
      <c r="Q33" s="68">
        <f>IF(SER_hh_tes_in!Q33=0,0,11630*1000*SER_hh_tes_in!Q33/SER_hh_num_in!Q33)</f>
        <v>0</v>
      </c>
      <c r="R33" s="68">
        <f>IF(SER_hh_tes_in!R33=0,0,11630*1000*SER_hh_tes_in!R33/SER_hh_num_in!R33)</f>
        <v>3501.1487632038302</v>
      </c>
      <c r="S33" s="68">
        <f>IF(SER_hh_tes_in!S33=0,0,11630*1000*SER_hh_tes_in!S33/SER_hh_num_in!S33)</f>
        <v>4342.4961375653338</v>
      </c>
      <c r="T33" s="68">
        <f>IF(SER_hh_tes_in!T33=0,0,11630*1000*SER_hh_tes_in!T33/SER_hh_num_in!T33)</f>
        <v>5378.6889934062165</v>
      </c>
      <c r="U33" s="68">
        <f>IF(SER_hh_tes_in!U33=0,0,11630*1000*SER_hh_tes_in!U33/SER_hh_num_in!U33)</f>
        <v>5555.9614609062337</v>
      </c>
      <c r="V33" s="68">
        <f>IF(SER_hh_tes_in!V33=0,0,11630*1000*SER_hh_tes_in!V33/SER_hh_num_in!V33)</f>
        <v>3154.7425575354846</v>
      </c>
      <c r="W33" s="68">
        <f>IF(SER_hh_tes_in!W33=0,0,11630*1000*SER_hh_tes_in!W33/SER_hh_num_in!W33)</f>
        <v>5353.9228987247088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4048.9439699075647</v>
      </c>
      <c r="D3" s="126">
        <f>IF(SER_hh_emi_in!D3=0,0,1000000*SER_hh_emi_in!D3/SER_hh_num_in!D3)</f>
        <v>3373.6018096591997</v>
      </c>
      <c r="E3" s="126">
        <f>IF(SER_hh_emi_in!E3=0,0,1000000*SER_hh_emi_in!E3/SER_hh_num_in!E3)</f>
        <v>3418.4765577717781</v>
      </c>
      <c r="F3" s="126">
        <f>IF(SER_hh_emi_in!F3=0,0,1000000*SER_hh_emi_in!F3/SER_hh_num_in!F3)</f>
        <v>2564.3140865513524</v>
      </c>
      <c r="G3" s="126">
        <f>IF(SER_hh_emi_in!G3=0,0,1000000*SER_hh_emi_in!G3/SER_hh_num_in!G3)</f>
        <v>2368.4567968823308</v>
      </c>
      <c r="H3" s="126">
        <f>IF(SER_hh_emi_in!H3=0,0,1000000*SER_hh_emi_in!H3/SER_hh_num_in!H3)</f>
        <v>4854.4665153491987</v>
      </c>
      <c r="I3" s="126">
        <f>IF(SER_hh_emi_in!I3=0,0,1000000*SER_hh_emi_in!I3/SER_hh_num_in!I3)</f>
        <v>2172.2913171225819</v>
      </c>
      <c r="J3" s="126">
        <f>IF(SER_hh_emi_in!J3=0,0,1000000*SER_hh_emi_in!J3/SER_hh_num_in!J3)</f>
        <v>1773.4863089604441</v>
      </c>
      <c r="K3" s="126">
        <f>IF(SER_hh_emi_in!K3=0,0,1000000*SER_hh_emi_in!K3/SER_hh_num_in!K3)</f>
        <v>2568.1113479252977</v>
      </c>
      <c r="L3" s="126">
        <f>IF(SER_hh_emi_in!L3=0,0,1000000*SER_hh_emi_in!L3/SER_hh_num_in!L3)</f>
        <v>3995.0543444817522</v>
      </c>
      <c r="M3" s="126">
        <f>IF(SER_hh_emi_in!M3=0,0,1000000*SER_hh_emi_in!M3/SER_hh_num_in!M3)</f>
        <v>4314.2270404947803</v>
      </c>
      <c r="N3" s="126">
        <f>IF(SER_hh_emi_in!N3=0,0,1000000*SER_hh_emi_in!N3/SER_hh_num_in!N3)</f>
        <v>4122.8628511461984</v>
      </c>
      <c r="O3" s="126">
        <f>IF(SER_hh_emi_in!O3=0,0,1000000*SER_hh_emi_in!O3/SER_hh_num_in!O3)</f>
        <v>4236.7844032243893</v>
      </c>
      <c r="P3" s="126">
        <f>IF(SER_hh_emi_in!P3=0,0,1000000*SER_hh_emi_in!P3/SER_hh_num_in!P3)</f>
        <v>3092.1931135286823</v>
      </c>
      <c r="Q3" s="126">
        <f>IF(SER_hh_emi_in!Q3=0,0,1000000*SER_hh_emi_in!Q3/SER_hh_num_in!Q3)</f>
        <v>2875.4088233858538</v>
      </c>
      <c r="R3" s="126">
        <f>IF(SER_hh_emi_in!R3=0,0,1000000*SER_hh_emi_in!R3/SER_hh_num_in!R3)</f>
        <v>2600.420465504164</v>
      </c>
      <c r="S3" s="126">
        <f>IF(SER_hh_emi_in!S3=0,0,1000000*SER_hh_emi_in!S3/SER_hh_num_in!S3)</f>
        <v>2038.9607304015713</v>
      </c>
      <c r="T3" s="126">
        <f>IF(SER_hh_emi_in!T3=0,0,1000000*SER_hh_emi_in!T3/SER_hh_num_in!T3)</f>
        <v>1668.9383934208201</v>
      </c>
      <c r="U3" s="126">
        <f>IF(SER_hh_emi_in!U3=0,0,1000000*SER_hh_emi_in!U3/SER_hh_num_in!U3)</f>
        <v>1885.2217152920316</v>
      </c>
      <c r="V3" s="126">
        <f>IF(SER_hh_emi_in!V3=0,0,1000000*SER_hh_emi_in!V3/SER_hh_num_in!V3)</f>
        <v>2213.7035927083593</v>
      </c>
      <c r="W3" s="126">
        <f>IF(SER_hh_emi_in!W3=0,0,1000000*SER_hh_emi_in!W3/SER_hh_num_in!W3)</f>
        <v>2609.1108576510219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3078.6407806976981</v>
      </c>
      <c r="D4" s="131">
        <f>IF(SER_hh_emi_in!D4=0,0,1000000*SER_hh_emi_in!D4/SER_hh_num_in!D4)</f>
        <v>2547.9995501305507</v>
      </c>
      <c r="E4" s="131">
        <f>IF(SER_hh_emi_in!E4=0,0,1000000*SER_hh_emi_in!E4/SER_hh_num_in!E4)</f>
        <v>2561.0677817981095</v>
      </c>
      <c r="F4" s="131">
        <f>IF(SER_hh_emi_in!F4=0,0,1000000*SER_hh_emi_in!F4/SER_hh_num_in!F4)</f>
        <v>1381.7909749306043</v>
      </c>
      <c r="G4" s="131">
        <f>IF(SER_hh_emi_in!G4=0,0,1000000*SER_hh_emi_in!G4/SER_hh_num_in!G4)</f>
        <v>1144.3919691821395</v>
      </c>
      <c r="H4" s="131">
        <f>IF(SER_hh_emi_in!H4=0,0,1000000*SER_hh_emi_in!H4/SER_hh_num_in!H4)</f>
        <v>3223.7411332760853</v>
      </c>
      <c r="I4" s="131">
        <f>IF(SER_hh_emi_in!I4=0,0,1000000*SER_hh_emi_in!I4/SER_hh_num_in!I4)</f>
        <v>977.13724139221256</v>
      </c>
      <c r="J4" s="131">
        <f>IF(SER_hh_emi_in!J4=0,0,1000000*SER_hh_emi_in!J4/SER_hh_num_in!J4)</f>
        <v>693.94071601552855</v>
      </c>
      <c r="K4" s="131">
        <f>IF(SER_hh_emi_in!K4=0,0,1000000*SER_hh_emi_in!K4/SER_hh_num_in!K4)</f>
        <v>1421.5532102732029</v>
      </c>
      <c r="L4" s="131">
        <f>IF(SER_hh_emi_in!L4=0,0,1000000*SER_hh_emi_in!L4/SER_hh_num_in!L4)</f>
        <v>2737.5741294365698</v>
      </c>
      <c r="M4" s="131">
        <f>IF(SER_hh_emi_in!M4=0,0,1000000*SER_hh_emi_in!M4/SER_hh_num_in!M4)</f>
        <v>2631.9735778452182</v>
      </c>
      <c r="N4" s="131">
        <f>IF(SER_hh_emi_in!N4=0,0,1000000*SER_hh_emi_in!N4/SER_hh_num_in!N4)</f>
        <v>1918.4882019406725</v>
      </c>
      <c r="O4" s="131">
        <f>IF(SER_hh_emi_in!O4=0,0,1000000*SER_hh_emi_in!O4/SER_hh_num_in!O4)</f>
        <v>1610.1927885651128</v>
      </c>
      <c r="P4" s="131">
        <f>IF(SER_hh_emi_in!P4=0,0,1000000*SER_hh_emi_in!P4/SER_hh_num_in!P4)</f>
        <v>120.01779125326112</v>
      </c>
      <c r="Q4" s="131">
        <f>IF(SER_hh_emi_in!Q4=0,0,1000000*SER_hh_emi_in!Q4/SER_hh_num_in!Q4)</f>
        <v>82.525343883851022</v>
      </c>
      <c r="R4" s="131">
        <f>IF(SER_hh_emi_in!R4=0,0,1000000*SER_hh_emi_in!R4/SER_hh_num_in!R4)</f>
        <v>388.63603185984084</v>
      </c>
      <c r="S4" s="131">
        <f>IF(SER_hh_emi_in!S4=0,0,1000000*SER_hh_emi_in!S4/SER_hh_num_in!S4)</f>
        <v>686.24262113568</v>
      </c>
      <c r="T4" s="131">
        <f>IF(SER_hh_emi_in!T4=0,0,1000000*SER_hh_emi_in!T4/SER_hh_num_in!T4)</f>
        <v>908.01027576499678</v>
      </c>
      <c r="U4" s="131">
        <f>IF(SER_hh_emi_in!U4=0,0,1000000*SER_hh_emi_in!U4/SER_hh_num_in!U4)</f>
        <v>730.38691001948382</v>
      </c>
      <c r="V4" s="131">
        <f>IF(SER_hh_emi_in!V4=0,0,1000000*SER_hh_emi_in!V4/SER_hh_num_in!V4)</f>
        <v>535.44931274021803</v>
      </c>
      <c r="W4" s="131">
        <f>IF(SER_hh_emi_in!W4=0,0,1000000*SER_hh_emi_in!W4/SER_hh_num_in!W4)</f>
        <v>1104.3923559743366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3190.1342360292906</v>
      </c>
      <c r="D7" s="133">
        <f>IF(SER_hh_emi_in!D7=0,0,1000000*SER_hh_emi_in!D7/SER_hh_num_in!D7)</f>
        <v>2653.1435608243232</v>
      </c>
      <c r="E7" s="133">
        <f>IF(SER_hh_emi_in!E7=0,0,1000000*SER_hh_emi_in!E7/SER_hh_num_in!E7)</f>
        <v>2662.6556091088514</v>
      </c>
      <c r="F7" s="133">
        <f>IF(SER_hh_emi_in!F7=0,0,1000000*SER_hh_emi_in!F7/SER_hh_num_in!F7)</f>
        <v>2925.9941097600786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3634.7276776312106</v>
      </c>
      <c r="M7" s="133">
        <f>IF(SER_hh_emi_in!M7=0,0,1000000*SER_hh_emi_in!M7/SER_hh_num_in!M7)</f>
        <v>3073.3362108085321</v>
      </c>
      <c r="N7" s="133">
        <f>IF(SER_hh_emi_in!N7=0,0,1000000*SER_hh_emi_in!N7/SER_hh_num_in!N7)</f>
        <v>2952.3696996355898</v>
      </c>
      <c r="O7" s="133">
        <f>IF(SER_hh_emi_in!O7=0,0,1000000*SER_hh_emi_in!O7/SER_hh_num_in!O7)</f>
        <v>2782.5661577248138</v>
      </c>
      <c r="P7" s="133">
        <f>IF(SER_hh_emi_in!P7=0,0,1000000*SER_hh_emi_in!P7/SER_hh_num_in!P7)</f>
        <v>1943.0029034891304</v>
      </c>
      <c r="Q7" s="133">
        <f>IF(SER_hh_emi_in!Q7=0,0,1000000*SER_hh_emi_in!Q7/SER_hh_num_in!Q7)</f>
        <v>1301.9607398635926</v>
      </c>
      <c r="R7" s="133">
        <f>IF(SER_hh_emi_in!R7=0,0,1000000*SER_hh_emi_in!R7/SER_hh_num_in!R7)</f>
        <v>1666.9007123845122</v>
      </c>
      <c r="S7" s="133">
        <f>IF(SER_hh_emi_in!S7=0,0,1000000*SER_hh_emi_in!S7/SER_hh_num_in!S7)</f>
        <v>1936.5312709866157</v>
      </c>
      <c r="T7" s="133">
        <f>IF(SER_hh_emi_in!T7=0,0,1000000*SER_hh_emi_in!T7/SER_hh_num_in!T7)</f>
        <v>2145.2415178638685</v>
      </c>
      <c r="U7" s="133">
        <f>IF(SER_hh_emi_in!U7=0,0,1000000*SER_hh_emi_in!U7/SER_hh_num_in!U7)</f>
        <v>2118.6928082063018</v>
      </c>
      <c r="V7" s="133">
        <f>IF(SER_hh_emi_in!V7=0,0,1000000*SER_hh_emi_in!V7/SER_hh_num_in!V7)</f>
        <v>0</v>
      </c>
      <c r="W7" s="133">
        <f>IF(SER_hh_emi_in!W7=0,0,1000000*SER_hh_emi_in!W7/SER_hh_num_in!W7)</f>
        <v>2284.3455153400905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826.83986053674585</v>
      </c>
      <c r="D8" s="133">
        <f>IF(SER_hh_emi_in!D8=0,0,1000000*SER_hh_emi_in!D8/SER_hh_num_in!D8)</f>
        <v>704.71655224232995</v>
      </c>
      <c r="E8" s="133">
        <f>IF(SER_hh_emi_in!E8=0,0,1000000*SER_hh_emi_in!E8/SER_hh_num_in!E8)</f>
        <v>437.04287825148327</v>
      </c>
      <c r="F8" s="133">
        <f>IF(SER_hh_emi_in!F8=0,0,1000000*SER_hh_emi_in!F8/SER_hh_num_in!F8)</f>
        <v>452.81650657182792</v>
      </c>
      <c r="G8" s="133">
        <f>IF(SER_hh_emi_in!G8=0,0,1000000*SER_hh_emi_in!G8/SER_hh_num_in!G8)</f>
        <v>651.9350333825073</v>
      </c>
      <c r="H8" s="133">
        <f>IF(SER_hh_emi_in!H8=0,0,1000000*SER_hh_emi_in!H8/SER_hh_num_in!H8)</f>
        <v>942.36504353543512</v>
      </c>
      <c r="I8" s="133">
        <f>IF(SER_hh_emi_in!I8=0,0,1000000*SER_hh_emi_in!I8/SER_hh_num_in!I8)</f>
        <v>751.94215887889561</v>
      </c>
      <c r="J8" s="133">
        <f>IF(SER_hh_emi_in!J8=0,0,1000000*SER_hh_emi_in!J8/SER_hh_num_in!J8)</f>
        <v>682.86921765104012</v>
      </c>
      <c r="K8" s="133">
        <f>IF(SER_hh_emi_in!K8=0,0,1000000*SER_hh_emi_in!K8/SER_hh_num_in!K8)</f>
        <v>592.8908278574271</v>
      </c>
      <c r="L8" s="133">
        <f>IF(SER_hh_emi_in!L8=0,0,1000000*SER_hh_emi_in!L8/SER_hh_num_in!L8)</f>
        <v>487.12239241388863</v>
      </c>
      <c r="M8" s="133">
        <f>IF(SER_hh_emi_in!M8=0,0,1000000*SER_hh_emi_in!M8/SER_hh_num_in!M8)</f>
        <v>461.49356800717123</v>
      </c>
      <c r="N8" s="133">
        <f>IF(SER_hh_emi_in!N8=0,0,1000000*SER_hh_emi_in!N8/SER_hh_num_in!N8)</f>
        <v>339.21303981169109</v>
      </c>
      <c r="O8" s="133">
        <f>IF(SER_hh_emi_in!O8=0,0,1000000*SER_hh_emi_in!O8/SER_hh_num_in!O8)</f>
        <v>294.20290849689849</v>
      </c>
      <c r="P8" s="133">
        <f>IF(SER_hh_emi_in!P8=0,0,1000000*SER_hh_emi_in!P8/SER_hh_num_in!P8)</f>
        <v>290.89153669180308</v>
      </c>
      <c r="Q8" s="133">
        <f>IF(SER_hh_emi_in!Q8=0,0,1000000*SER_hh_emi_in!Q8/SER_hh_num_in!Q8)</f>
        <v>273.27261086221529</v>
      </c>
      <c r="R8" s="133">
        <f>IF(SER_hh_emi_in!R8=0,0,1000000*SER_hh_emi_in!R8/SER_hh_num_in!R8)</f>
        <v>291.67541363119511</v>
      </c>
      <c r="S8" s="133">
        <f>IF(SER_hh_emi_in!S8=0,0,1000000*SER_hh_emi_in!S8/SER_hh_num_in!S8)</f>
        <v>317.61162008618447</v>
      </c>
      <c r="T8" s="133">
        <f>IF(SER_hh_emi_in!T8=0,0,1000000*SER_hh_emi_in!T8/SER_hh_num_in!T8)</f>
        <v>350.24680703879926</v>
      </c>
      <c r="U8" s="133">
        <f>IF(SER_hh_emi_in!U8=0,0,1000000*SER_hh_emi_in!U8/SER_hh_num_in!U8)</f>
        <v>370.59920560625352</v>
      </c>
      <c r="V8" s="133">
        <f>IF(SER_hh_emi_in!V8=0,0,1000000*SER_hh_emi_in!V8/SER_hh_num_in!V8)</f>
        <v>370.1883322105254</v>
      </c>
      <c r="W8" s="133">
        <f>IF(SER_hh_emi_in!W8=0,0,1000000*SER_hh_emi_in!W8/SER_hh_num_in!W8)</f>
        <v>390.83703952502947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1887.5702658262735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270.16887703604311</v>
      </c>
      <c r="G9" s="133">
        <f>IF(SER_hh_emi_in!G9=0,0,1000000*SER_hh_emi_in!G9/SER_hh_num_in!G9)</f>
        <v>1464.6089142969836</v>
      </c>
      <c r="H9" s="133">
        <f>IF(SER_hh_emi_in!H9=0,0,1000000*SER_hh_emi_in!H9/SER_hh_num_in!H9)</f>
        <v>4797.7031758951789</v>
      </c>
      <c r="I9" s="133">
        <f>IF(SER_hh_emi_in!I9=0,0,1000000*SER_hh_emi_in!I9/SER_hh_num_in!I9)</f>
        <v>2160.8109027035293</v>
      </c>
      <c r="J9" s="133">
        <f>IF(SER_hh_emi_in!J9=0,0,1000000*SER_hh_emi_in!J9/SER_hh_num_in!J9)</f>
        <v>1631.0093012807088</v>
      </c>
      <c r="K9" s="133">
        <f>IF(SER_hh_emi_in!K9=0,0,1000000*SER_hh_emi_in!K9/SER_hh_num_in!K9)</f>
        <v>2114.8302360649841</v>
      </c>
      <c r="L9" s="133">
        <f>IF(SER_hh_emi_in!L9=0,0,1000000*SER_hh_emi_in!L9/SER_hh_num_in!L9)</f>
        <v>2762.8873108633015</v>
      </c>
      <c r="M9" s="133">
        <f>IF(SER_hh_emi_in!M9=0,0,1000000*SER_hh_emi_in!M9/SER_hh_num_in!M9)</f>
        <v>2997.746503575423</v>
      </c>
      <c r="N9" s="133">
        <f>IF(SER_hh_emi_in!N9=0,0,1000000*SER_hh_emi_in!N9/SER_hh_num_in!N9)</f>
        <v>2149.2416201860156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1624.5745168141175</v>
      </c>
      <c r="U9" s="133">
        <f>IF(SER_hh_emi_in!U9=0,0,1000000*SER_hh_emi_in!U9/SER_hh_num_in!U9)</f>
        <v>1638.2056179535737</v>
      </c>
      <c r="V9" s="133">
        <f>IF(SER_hh_emi_in!V9=0,0,1000000*SER_hh_emi_in!V9/SER_hh_num_in!V9)</f>
        <v>1410.2043242007767</v>
      </c>
      <c r="W9" s="133">
        <f>IF(SER_hh_emi_in!W9=0,0,1000000*SER_hh_emi_in!W9/SER_hh_num_in!W9)</f>
        <v>1743.9765988654017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73.021916652845292</v>
      </c>
      <c r="R10" s="133">
        <f>IF(SER_hh_emi_in!R10=0,0,1000000*SER_hh_emi_in!R10/SER_hh_num_in!R10)</f>
        <v>159.80402616480998</v>
      </c>
      <c r="S10" s="133">
        <f>IF(SER_hh_emi_in!S10=0,0,1000000*SER_hh_emi_in!S10/SER_hh_num_in!S10)</f>
        <v>195.9615594125942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141.14538779405609</v>
      </c>
      <c r="W10" s="133">
        <f>IF(SER_hh_emi_in!W10=0,0,1000000*SER_hh_emi_in!W10/SER_hh_num_in!W10)</f>
        <v>171.4411261062649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2.0414923368888402</v>
      </c>
      <c r="D16" s="131">
        <f>IF(SER_hh_emi_in!D16=0,0,1000000*SER_hh_emi_in!D16/SER_hh_num_in!D16)</f>
        <v>1.068842035207366</v>
      </c>
      <c r="E16" s="131">
        <f>IF(SER_hh_emi_in!E16=0,0,1000000*SER_hh_emi_in!E16/SER_hh_num_in!E16)</f>
        <v>16.061141688342619</v>
      </c>
      <c r="F16" s="131">
        <f>IF(SER_hh_emi_in!F16=0,0,1000000*SER_hh_emi_in!F16/SER_hh_num_in!F16)</f>
        <v>2.4880951818258028</v>
      </c>
      <c r="G16" s="131">
        <f>IF(SER_hh_emi_in!G16=0,0,1000000*SER_hh_emi_in!G16/SER_hh_num_in!G16)</f>
        <v>3.3569563347982001</v>
      </c>
      <c r="H16" s="131">
        <f>IF(SER_hh_emi_in!H16=0,0,1000000*SER_hh_emi_in!H16/SER_hh_num_in!H16)</f>
        <v>3.025567060339541</v>
      </c>
      <c r="I16" s="131">
        <f>IF(SER_hh_emi_in!I16=0,0,1000000*SER_hh_emi_in!I16/SER_hh_num_in!I16)</f>
        <v>3.9283081291522692</v>
      </c>
      <c r="J16" s="131">
        <f>IF(SER_hh_emi_in!J16=0,0,1000000*SER_hh_emi_in!J16/SER_hh_num_in!J16)</f>
        <v>4.9027953384749647</v>
      </c>
      <c r="K16" s="131">
        <f>IF(SER_hh_emi_in!K16=0,0,1000000*SER_hh_emi_in!K16/SER_hh_num_in!K16)</f>
        <v>6.0211615980148059</v>
      </c>
      <c r="L16" s="131">
        <f>IF(SER_hh_emi_in!L16=0,0,1000000*SER_hh_emi_in!L16/SER_hh_num_in!L16)</f>
        <v>7.5824664624018112</v>
      </c>
      <c r="M16" s="131">
        <f>IF(SER_hh_emi_in!M16=0,0,1000000*SER_hh_emi_in!M16/SER_hh_num_in!M16)</f>
        <v>7.8498866110370242</v>
      </c>
      <c r="N16" s="131">
        <f>IF(SER_hh_emi_in!N16=0,0,1000000*SER_hh_emi_in!N16/SER_hh_num_in!N16)</f>
        <v>9.106892149134806</v>
      </c>
      <c r="O16" s="131">
        <f>IF(SER_hh_emi_in!O16=0,0,1000000*SER_hh_emi_in!O16/SER_hh_num_in!O16)</f>
        <v>14.525890981986942</v>
      </c>
      <c r="P16" s="131">
        <f>IF(SER_hh_emi_in!P16=0,0,1000000*SER_hh_emi_in!P16/SER_hh_num_in!P16)</f>
        <v>7.9420963694337754</v>
      </c>
      <c r="Q16" s="131">
        <f>IF(SER_hh_emi_in!Q16=0,0,1000000*SER_hh_emi_in!Q16/SER_hh_num_in!Q16)</f>
        <v>17.175018677784003</v>
      </c>
      <c r="R16" s="131">
        <f>IF(SER_hh_emi_in!R16=0,0,1000000*SER_hh_emi_in!R16/SER_hh_num_in!R16)</f>
        <v>18.434988199016079</v>
      </c>
      <c r="S16" s="131">
        <f>IF(SER_hh_emi_in!S16=0,0,1000000*SER_hh_emi_in!S16/SER_hh_num_in!S16)</f>
        <v>16.16716036758995</v>
      </c>
      <c r="T16" s="131">
        <f>IF(SER_hh_emi_in!T16=0,0,1000000*SER_hh_emi_in!T16/SER_hh_num_in!T16)</f>
        <v>20.40334876070747</v>
      </c>
      <c r="U16" s="131">
        <f>IF(SER_hh_emi_in!U16=0,0,1000000*SER_hh_emi_in!U16/SER_hh_num_in!U16)</f>
        <v>12.660523151869075</v>
      </c>
      <c r="V16" s="131">
        <f>IF(SER_hh_emi_in!V16=0,0,1000000*SER_hh_emi_in!V16/SER_hh_num_in!V16)</f>
        <v>19.810669474239983</v>
      </c>
      <c r="W16" s="131">
        <f>IF(SER_hh_emi_in!W16=0,0,1000000*SER_hh_emi_in!W16/SER_hh_num_in!W16)</f>
        <v>3.9805109114802013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2584.4275960492132</v>
      </c>
      <c r="D17" s="133">
        <f>IF(SER_hh_emi_in!D17=0,0,1000000*SER_hh_emi_in!D17/SER_hh_num_in!D17)</f>
        <v>2266.1534126796146</v>
      </c>
      <c r="E17" s="133">
        <f>IF(SER_hh_emi_in!E17=0,0,1000000*SER_hh_emi_in!E17/SER_hh_num_in!E17)</f>
        <v>3293.1978083114045</v>
      </c>
      <c r="F17" s="133">
        <f>IF(SER_hh_emi_in!F17=0,0,1000000*SER_hh_emi_in!F17/SER_hh_num_in!F17)</f>
        <v>2551.5780241184757</v>
      </c>
      <c r="G17" s="133">
        <f>IF(SER_hh_emi_in!G17=0,0,1000000*SER_hh_emi_in!G17/SER_hh_num_in!G17)</f>
        <v>2706.4182504566579</v>
      </c>
      <c r="H17" s="133">
        <f>IF(SER_hh_emi_in!H17=0,0,1000000*SER_hh_emi_in!H17/SER_hh_num_in!H17)</f>
        <v>3025.4209417873908</v>
      </c>
      <c r="I17" s="133">
        <f>IF(SER_hh_emi_in!I17=0,0,1000000*SER_hh_emi_in!I17/SER_hh_num_in!I17)</f>
        <v>2217.6396129402283</v>
      </c>
      <c r="J17" s="133">
        <f>IF(SER_hh_emi_in!J17=0,0,1000000*SER_hh_emi_in!J17/SER_hh_num_in!J17)</f>
        <v>2366.7964928767001</v>
      </c>
      <c r="K17" s="133">
        <f>IF(SER_hh_emi_in!K17=0,0,1000000*SER_hh_emi_in!K17/SER_hh_num_in!K17)</f>
        <v>3016.2463427089378</v>
      </c>
      <c r="L17" s="133">
        <f>IF(SER_hh_emi_in!L17=0,0,1000000*SER_hh_emi_in!L17/SER_hh_num_in!L17)</f>
        <v>2816.3990858216343</v>
      </c>
      <c r="M17" s="133">
        <f>IF(SER_hh_emi_in!M17=0,0,1000000*SER_hh_emi_in!M17/SER_hh_num_in!M17)</f>
        <v>2479.8875425852211</v>
      </c>
      <c r="N17" s="133">
        <f>IF(SER_hh_emi_in!N17=0,0,1000000*SER_hh_emi_in!N17/SER_hh_num_in!N17)</f>
        <v>2924.5079460387446</v>
      </c>
      <c r="O17" s="133">
        <f>IF(SER_hh_emi_in!O17=0,0,1000000*SER_hh_emi_in!O17/SER_hh_num_in!O17)</f>
        <v>2264.8427020199042</v>
      </c>
      <c r="P17" s="133">
        <f>IF(SER_hh_emi_in!P17=0,0,1000000*SER_hh_emi_in!P17/SER_hh_num_in!P17)</f>
        <v>2040.7150804909356</v>
      </c>
      <c r="Q17" s="133">
        <f>IF(SER_hh_emi_in!Q17=0,0,1000000*SER_hh_emi_in!Q17/SER_hh_num_in!Q17)</f>
        <v>2956.5662690803729</v>
      </c>
      <c r="R17" s="133">
        <f>IF(SER_hh_emi_in!R17=0,0,1000000*SER_hh_emi_in!R17/SER_hh_num_in!R17)</f>
        <v>2756.7683084896826</v>
      </c>
      <c r="S17" s="133">
        <f>IF(SER_hh_emi_in!S17=0,0,1000000*SER_hh_emi_in!S17/SER_hh_num_in!S17)</f>
        <v>3114.3566539098397</v>
      </c>
      <c r="T17" s="133">
        <f>IF(SER_hh_emi_in!T17=0,0,1000000*SER_hh_emi_in!T17/SER_hh_num_in!T17)</f>
        <v>2156.1227246396152</v>
      </c>
      <c r="U17" s="133">
        <f>IF(SER_hh_emi_in!U17=0,0,1000000*SER_hh_emi_in!U17/SER_hh_num_in!U17)</f>
        <v>2157.4557056151252</v>
      </c>
      <c r="V17" s="133">
        <f>IF(SER_hh_emi_in!V17=0,0,1000000*SER_hh_emi_in!V17/SER_hh_num_in!V17)</f>
        <v>2130.2040318506615</v>
      </c>
      <c r="W17" s="133">
        <f>IF(SER_hh_emi_in!W17=0,0,1000000*SER_hh_emi_in!W17/SER_hh_num_in!W17)</f>
        <v>1922.20606552299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382.44292717922065</v>
      </c>
      <c r="D19" s="131">
        <f>IF(SER_hh_emi_in!D19=0,0,1000000*SER_hh_emi_in!D19/SER_hh_num_in!D19)</f>
        <v>354.40305298510486</v>
      </c>
      <c r="E19" s="131">
        <f>IF(SER_hh_emi_in!E19=0,0,1000000*SER_hh_emi_in!E19/SER_hh_num_in!E19)</f>
        <v>397.32189909617631</v>
      </c>
      <c r="F19" s="131">
        <f>IF(SER_hh_emi_in!F19=0,0,1000000*SER_hh_emi_in!F19/SER_hh_num_in!F19)</f>
        <v>489.78050889741172</v>
      </c>
      <c r="G19" s="131">
        <f>IF(SER_hh_emi_in!G19=0,0,1000000*SER_hh_emi_in!G19/SER_hh_num_in!G19)</f>
        <v>678.86531639715713</v>
      </c>
      <c r="H19" s="131">
        <f>IF(SER_hh_emi_in!H19=0,0,1000000*SER_hh_emi_in!H19/SER_hh_num_in!H19)</f>
        <v>1130.0279982764537</v>
      </c>
      <c r="I19" s="131">
        <f>IF(SER_hh_emi_in!I19=0,0,1000000*SER_hh_emi_in!I19/SER_hh_num_in!I19)</f>
        <v>741.99957991032443</v>
      </c>
      <c r="J19" s="131">
        <f>IF(SER_hh_emi_in!J19=0,0,1000000*SER_hh_emi_in!J19/SER_hh_num_in!J19)</f>
        <v>572.74605909074137</v>
      </c>
      <c r="K19" s="131">
        <f>IF(SER_hh_emi_in!K19=0,0,1000000*SER_hh_emi_in!K19/SER_hh_num_in!K19)</f>
        <v>550.69712662057327</v>
      </c>
      <c r="L19" s="131">
        <f>IF(SER_hh_emi_in!L19=0,0,1000000*SER_hh_emi_in!L19/SER_hh_num_in!L19)</f>
        <v>680.84019763648871</v>
      </c>
      <c r="M19" s="131">
        <f>IF(SER_hh_emi_in!M19=0,0,1000000*SER_hh_emi_in!M19/SER_hh_num_in!M19)</f>
        <v>868.19651329066687</v>
      </c>
      <c r="N19" s="131">
        <f>IF(SER_hh_emi_in!N19=0,0,1000000*SER_hh_emi_in!N19/SER_hh_num_in!N19)</f>
        <v>1029.8760786634566</v>
      </c>
      <c r="O19" s="131">
        <f>IF(SER_hh_emi_in!O19=0,0,1000000*SER_hh_emi_in!O19/SER_hh_num_in!O19)</f>
        <v>1171.9463660565766</v>
      </c>
      <c r="P19" s="131">
        <f>IF(SER_hh_emi_in!P19=0,0,1000000*SER_hh_emi_in!P19/SER_hh_num_in!P19)</f>
        <v>1121.9339496878088</v>
      </c>
      <c r="Q19" s="131">
        <f>IF(SER_hh_emi_in!Q19=0,0,1000000*SER_hh_emi_in!Q19/SER_hh_num_in!Q19)</f>
        <v>969.42557468695338</v>
      </c>
      <c r="R19" s="131">
        <f>IF(SER_hh_emi_in!R19=0,0,1000000*SER_hh_emi_in!R19/SER_hh_num_in!R19)</f>
        <v>767.29685315632344</v>
      </c>
      <c r="S19" s="131">
        <f>IF(SER_hh_emi_in!S19=0,0,1000000*SER_hh_emi_in!S19/SER_hh_num_in!S19)</f>
        <v>558.8981024533324</v>
      </c>
      <c r="T19" s="131">
        <f>IF(SER_hh_emi_in!T19=0,0,1000000*SER_hh_emi_in!T19/SER_hh_num_in!T19)</f>
        <v>511.69448061391859</v>
      </c>
      <c r="U19" s="131">
        <f>IF(SER_hh_emi_in!U19=0,0,1000000*SER_hh_emi_in!U19/SER_hh_num_in!U19)</f>
        <v>649.06397015858204</v>
      </c>
      <c r="V19" s="131">
        <f>IF(SER_hh_emi_in!V19=0,0,1000000*SER_hh_emi_in!V19/SER_hh_num_in!V19)</f>
        <v>737.894034519142</v>
      </c>
      <c r="W19" s="131">
        <f>IF(SER_hh_emi_in!W19=0,0,1000000*SER_hh_emi_in!W19/SER_hh_num_in!W19)</f>
        <v>702.84181169434669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1408.1271242712294</v>
      </c>
      <c r="D21" s="133">
        <f>IF(SER_hh_emi_in!D21=0,0,1000000*SER_hh_emi_in!D21/SER_hh_num_in!D21)</f>
        <v>1531.5908558827084</v>
      </c>
      <c r="E21" s="133">
        <f>IF(SER_hh_emi_in!E21=0,0,1000000*SER_hh_emi_in!E21/SER_hh_num_in!E21)</f>
        <v>1555.0834290126159</v>
      </c>
      <c r="F21" s="133">
        <f>IF(SER_hh_emi_in!F21=0,0,1000000*SER_hh_emi_in!F21/SER_hh_num_in!F21)</f>
        <v>1518.6273184688891</v>
      </c>
      <c r="G21" s="133">
        <f>IF(SER_hh_emi_in!G21=0,0,1000000*SER_hh_emi_in!G21/SER_hh_num_in!G21)</f>
        <v>1515.9710350050016</v>
      </c>
      <c r="H21" s="133">
        <f>IF(SER_hh_emi_in!H21=0,0,1000000*SER_hh_emi_in!H21/SER_hh_num_in!H21)</f>
        <v>1541.376599545061</v>
      </c>
      <c r="I21" s="133">
        <f>IF(SER_hh_emi_in!I21=0,0,1000000*SER_hh_emi_in!I21/SER_hh_num_in!I21)</f>
        <v>1575.9435125165069</v>
      </c>
      <c r="J21" s="133">
        <f>IF(SER_hh_emi_in!J21=0,0,1000000*SER_hh_emi_in!J21/SER_hh_num_in!J21)</f>
        <v>1542.8289308847129</v>
      </c>
      <c r="K21" s="133">
        <f>IF(SER_hh_emi_in!K21=0,0,1000000*SER_hh_emi_in!K21/SER_hh_num_in!K21)</f>
        <v>1220.1941432849094</v>
      </c>
      <c r="L21" s="133">
        <f>IF(SER_hh_emi_in!L21=0,0,1000000*SER_hh_emi_in!L21/SER_hh_num_in!L21)</f>
        <v>1576.5935082831409</v>
      </c>
      <c r="M21" s="133">
        <f>IF(SER_hh_emi_in!M21=0,0,1000000*SER_hh_emi_in!M21/SER_hh_num_in!M21)</f>
        <v>1503.9910464111574</v>
      </c>
      <c r="N21" s="133">
        <f>IF(SER_hh_emi_in!N21=0,0,1000000*SER_hh_emi_in!N21/SER_hh_num_in!N21)</f>
        <v>1480.8165227031147</v>
      </c>
      <c r="O21" s="133">
        <f>IF(SER_hh_emi_in!O21=0,0,1000000*SER_hh_emi_in!O21/SER_hh_num_in!O21)</f>
        <v>1424.644081526485</v>
      </c>
      <c r="P21" s="133">
        <f>IF(SER_hh_emi_in!P21=0,0,1000000*SER_hh_emi_in!P21/SER_hh_num_in!P21)</f>
        <v>1164.1978715369733</v>
      </c>
      <c r="Q21" s="133">
        <f>IF(SER_hh_emi_in!Q21=0,0,1000000*SER_hh_emi_in!Q21/SER_hh_num_in!Q21)</f>
        <v>1192.1517361968811</v>
      </c>
      <c r="R21" s="133">
        <f>IF(SER_hh_emi_in!R21=0,0,1000000*SER_hh_emi_in!R21/SER_hh_num_in!R21)</f>
        <v>1158.2759702949659</v>
      </c>
      <c r="S21" s="133">
        <f>IF(SER_hh_emi_in!S21=0,0,1000000*SER_hh_emi_in!S21/SER_hh_num_in!S21)</f>
        <v>1105.577943874488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1034.9234671904012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1812.0077360280568</v>
      </c>
      <c r="D22" s="133">
        <f>IF(SER_hh_emi_in!D22=0,0,1000000*SER_hh_emi_in!D22/SER_hh_num_in!D22)</f>
        <v>1918.3104680752679</v>
      </c>
      <c r="E22" s="133">
        <f>IF(SER_hh_emi_in!E22=0,0,1000000*SER_hh_emi_in!E22/SER_hh_num_in!E22)</f>
        <v>1910.4912218652521</v>
      </c>
      <c r="F22" s="133">
        <f>IF(SER_hh_emi_in!F22=0,0,1000000*SER_hh_emi_in!F22/SER_hh_num_in!F22)</f>
        <v>1958.4458012366438</v>
      </c>
      <c r="G22" s="133">
        <f>IF(SER_hh_emi_in!G22=0,0,1000000*SER_hh_emi_in!G22/SER_hh_num_in!G22)</f>
        <v>1956.1287785198867</v>
      </c>
      <c r="H22" s="133">
        <f>IF(SER_hh_emi_in!H22=0,0,1000000*SER_hh_emi_in!H22/SER_hh_num_in!H22)</f>
        <v>1908.3489402486032</v>
      </c>
      <c r="I22" s="133">
        <f>IF(SER_hh_emi_in!I22=0,0,1000000*SER_hh_emi_in!I22/SER_hh_num_in!I22)</f>
        <v>1952.7688373110614</v>
      </c>
      <c r="J22" s="133">
        <f>IF(SER_hh_emi_in!J22=0,0,1000000*SER_hh_emi_in!J22/SER_hh_num_in!J22)</f>
        <v>1886.3974779411337</v>
      </c>
      <c r="K22" s="133">
        <f>IF(SER_hh_emi_in!K22=0,0,1000000*SER_hh_emi_in!K22/SER_hh_num_in!K22)</f>
        <v>1438.1396299784324</v>
      </c>
      <c r="L22" s="133">
        <f>IF(SER_hh_emi_in!L22=0,0,1000000*SER_hh_emi_in!L22/SER_hh_num_in!L22)</f>
        <v>1924.0376980755391</v>
      </c>
      <c r="M22" s="133">
        <f>IF(SER_hh_emi_in!M22=0,0,1000000*SER_hh_emi_in!M22/SER_hh_num_in!M22)</f>
        <v>1832.8741774391453</v>
      </c>
      <c r="N22" s="133">
        <f>IF(SER_hh_emi_in!N22=0,0,1000000*SER_hh_emi_in!N22/SER_hh_num_in!N22)</f>
        <v>1807.8395424793637</v>
      </c>
      <c r="O22" s="133">
        <f>IF(SER_hh_emi_in!O22=0,0,1000000*SER_hh_emi_in!O22/SER_hh_num_in!O22)</f>
        <v>1712.0382795314692</v>
      </c>
      <c r="P22" s="133">
        <f>IF(SER_hh_emi_in!P22=0,0,1000000*SER_hh_emi_in!P22/SER_hh_num_in!P22)</f>
        <v>1380.8822703114099</v>
      </c>
      <c r="Q22" s="133">
        <f>IF(SER_hh_emi_in!Q22=0,0,1000000*SER_hh_emi_in!Q22/SER_hh_num_in!Q22)</f>
        <v>1450.0215316078038</v>
      </c>
      <c r="R22" s="133">
        <f>IF(SER_hh_emi_in!R22=0,0,1000000*SER_hh_emi_in!R22/SER_hh_num_in!R22)</f>
        <v>1405.9636549337822</v>
      </c>
      <c r="S22" s="133">
        <f>IF(SER_hh_emi_in!S22=0,0,1000000*SER_hh_emi_in!S22/SER_hh_num_in!S22)</f>
        <v>1307.1820669037272</v>
      </c>
      <c r="T22" s="133">
        <f>IF(SER_hh_emi_in!T22=0,0,1000000*SER_hh_emi_in!T22/SER_hh_num_in!T22)</f>
        <v>1289.5254196325106</v>
      </c>
      <c r="U22" s="133">
        <f>IF(SER_hh_emi_in!U22=0,0,1000000*SER_hh_emi_in!U22/SER_hh_num_in!U22)</f>
        <v>1210.8467823422545</v>
      </c>
      <c r="V22" s="133">
        <f>IF(SER_hh_emi_in!V22=0,0,1000000*SER_hh_emi_in!V22/SER_hh_num_in!V22)</f>
        <v>1083.6624777345141</v>
      </c>
      <c r="W22" s="133">
        <f>IF(SER_hh_emi_in!W22=0,0,1000000*SER_hh_emi_in!W22/SER_hh_num_in!W22)</f>
        <v>1209.2029443892739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1030.0768574725726</v>
      </c>
      <c r="G23" s="133">
        <f>IF(SER_hh_emi_in!G23=0,0,1000000*SER_hh_emi_in!G23/SER_hh_num_in!G23)</f>
        <v>929.53040080409198</v>
      </c>
      <c r="H23" s="133">
        <f>IF(SER_hh_emi_in!H23=0,0,1000000*SER_hh_emi_in!H23/SER_hh_num_in!H23)</f>
        <v>1532.8231673274429</v>
      </c>
      <c r="I23" s="133">
        <f>IF(SER_hh_emi_in!I23=0,0,1000000*SER_hh_emi_in!I23/SER_hh_num_in!I23)</f>
        <v>1357.1549485965718</v>
      </c>
      <c r="J23" s="133">
        <f>IF(SER_hh_emi_in!J23=0,0,1000000*SER_hh_emi_in!J23/SER_hh_num_in!J23)</f>
        <v>1260.1676679130735</v>
      </c>
      <c r="K23" s="133">
        <f>IF(SER_hh_emi_in!K23=0,0,1000000*SER_hh_emi_in!K23/SER_hh_num_in!K23)</f>
        <v>869.8311643946106</v>
      </c>
      <c r="L23" s="133">
        <f>IF(SER_hh_emi_in!L23=0,0,1000000*SER_hh_emi_in!L23/SER_hh_num_in!L23)</f>
        <v>1262.5003264362083</v>
      </c>
      <c r="M23" s="133">
        <f>IF(SER_hh_emi_in!M23=0,0,1000000*SER_hh_emi_in!M23/SER_hh_num_in!M23)</f>
        <v>1149.9142689559101</v>
      </c>
      <c r="N23" s="133">
        <f>IF(SER_hh_emi_in!N23=0,0,1000000*SER_hh_emi_in!N23/SER_hh_num_in!N23)</f>
        <v>1145.2619165744454</v>
      </c>
      <c r="O23" s="133">
        <f>IF(SER_hh_emi_in!O23=0,0,1000000*SER_hh_emi_in!O23/SER_hh_num_in!O23)</f>
        <v>1124.0087229363539</v>
      </c>
      <c r="P23" s="133">
        <f>IF(SER_hh_emi_in!P23=0,0,1000000*SER_hh_emi_in!P23/SER_hh_num_in!P23)</f>
        <v>908.80983847477353</v>
      </c>
      <c r="Q23" s="133">
        <f>IF(SER_hh_emi_in!Q23=0,0,1000000*SER_hh_emi_in!Q23/SER_hh_num_in!Q23)</f>
        <v>934.9864440150734</v>
      </c>
      <c r="R23" s="133">
        <f>IF(SER_hh_emi_in!R23=0,0,1000000*SER_hh_emi_in!R23/SER_hh_num_in!R23)</f>
        <v>909.44837230662745</v>
      </c>
      <c r="S23" s="133">
        <f>IF(SER_hh_emi_in!S23=0,0,1000000*SER_hh_emi_in!S23/SER_hh_num_in!S23)</f>
        <v>886.69513985549713</v>
      </c>
      <c r="T23" s="133">
        <f>IF(SER_hh_emi_in!T23=0,0,1000000*SER_hh_emi_in!T23/SER_hh_num_in!T23)</f>
        <v>883.27546326439972</v>
      </c>
      <c r="U23" s="133">
        <f>IF(SER_hh_emi_in!U23=0,0,1000000*SER_hh_emi_in!U23/SER_hh_num_in!U23)</f>
        <v>869.41095739150762</v>
      </c>
      <c r="V23" s="133">
        <f>IF(SER_hh_emi_in!V23=0,0,1000000*SER_hh_emi_in!V23/SER_hh_num_in!V23)</f>
        <v>754.2135734583884</v>
      </c>
      <c r="W23" s="133">
        <f>IF(SER_hh_emi_in!W23=0,0,1000000*SER_hh_emi_in!W23/SER_hh_num_in!W23)</f>
        <v>873.44552838392462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585.81876969375742</v>
      </c>
      <c r="D29" s="131">
        <f>IF(SER_hh_emi_in!D29=0,0,1000000*SER_hh_emi_in!D29/SER_hh_num_in!D29)</f>
        <v>470.13036450833596</v>
      </c>
      <c r="E29" s="131">
        <f>IF(SER_hh_emi_in!E29=0,0,1000000*SER_hh_emi_in!E29/SER_hh_num_in!E29)</f>
        <v>452.86469874969902</v>
      </c>
      <c r="F29" s="131">
        <f>IF(SER_hh_emi_in!F29=0,0,1000000*SER_hh_emi_in!F29/SER_hh_num_in!F29)</f>
        <v>690.25450754150995</v>
      </c>
      <c r="G29" s="131">
        <f>IF(SER_hh_emi_in!G29=0,0,1000000*SER_hh_emi_in!G29/SER_hh_num_in!G29)</f>
        <v>541.84255496823585</v>
      </c>
      <c r="H29" s="131">
        <f>IF(SER_hh_emi_in!H29=0,0,1000000*SER_hh_emi_in!H29/SER_hh_num_in!H29)</f>
        <v>497.67181673631899</v>
      </c>
      <c r="I29" s="131">
        <f>IF(SER_hh_emi_in!I29=0,0,1000000*SER_hh_emi_in!I29/SER_hh_num_in!I29)</f>
        <v>449.22618769089246</v>
      </c>
      <c r="J29" s="131">
        <f>IF(SER_hh_emi_in!J29=0,0,1000000*SER_hh_emi_in!J29/SER_hh_num_in!J29)</f>
        <v>501.89673851569898</v>
      </c>
      <c r="K29" s="131">
        <f>IF(SER_hh_emi_in!K29=0,0,1000000*SER_hh_emi_in!K29/SER_hh_num_in!K29)</f>
        <v>589.83984943350629</v>
      </c>
      <c r="L29" s="131">
        <f>IF(SER_hh_emi_in!L29=0,0,1000000*SER_hh_emi_in!L29/SER_hh_num_in!L29)</f>
        <v>569.05755094629217</v>
      </c>
      <c r="M29" s="131">
        <f>IF(SER_hh_emi_in!M29=0,0,1000000*SER_hh_emi_in!M29/SER_hh_num_in!M29)</f>
        <v>806.20706274785846</v>
      </c>
      <c r="N29" s="131">
        <f>IF(SER_hh_emi_in!N29=0,0,1000000*SER_hh_emi_in!N29/SER_hh_num_in!N29)</f>
        <v>1165.3916783929342</v>
      </c>
      <c r="O29" s="131">
        <f>IF(SER_hh_emi_in!O29=0,0,1000000*SER_hh_emi_in!O29/SER_hh_num_in!O29)</f>
        <v>1440.1193576207133</v>
      </c>
      <c r="P29" s="131">
        <f>IF(SER_hh_emi_in!P29=0,0,1000000*SER_hh_emi_in!P29/SER_hh_num_in!P29)</f>
        <v>1842.2992762181777</v>
      </c>
      <c r="Q29" s="131">
        <f>IF(SER_hh_emi_in!Q29=0,0,1000000*SER_hh_emi_in!Q29/SER_hh_num_in!Q29)</f>
        <v>1806.2828861372652</v>
      </c>
      <c r="R29" s="131">
        <f>IF(SER_hh_emi_in!R29=0,0,1000000*SER_hh_emi_in!R29/SER_hh_num_in!R29)</f>
        <v>1426.052592288984</v>
      </c>
      <c r="S29" s="131">
        <f>IF(SER_hh_emi_in!S29=0,0,1000000*SER_hh_emi_in!S29/SER_hh_num_in!S29)</f>
        <v>777.65284644496899</v>
      </c>
      <c r="T29" s="131">
        <f>IF(SER_hh_emi_in!T29=0,0,1000000*SER_hh_emi_in!T29/SER_hh_num_in!T29)</f>
        <v>228.83028828119683</v>
      </c>
      <c r="U29" s="131">
        <f>IF(SER_hh_emi_in!U29=0,0,1000000*SER_hh_emi_in!U29/SER_hh_num_in!U29)</f>
        <v>493.11031196209677</v>
      </c>
      <c r="V29" s="131">
        <f>IF(SER_hh_emi_in!V29=0,0,1000000*SER_hh_emi_in!V29/SER_hh_num_in!V29)</f>
        <v>920.54957597475914</v>
      </c>
      <c r="W29" s="131">
        <f>IF(SER_hh_emi_in!W29=0,0,1000000*SER_hh_emi_in!W29/SER_hh_num_in!W29)</f>
        <v>797.89617907085915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1785.9143012446052</v>
      </c>
      <c r="D30" s="133">
        <f>IF(SER_hh_emi_in!D30=0,0,1000000*SER_hh_emi_in!D30/SER_hh_num_in!D30)</f>
        <v>1727.784114150872</v>
      </c>
      <c r="E30" s="133">
        <f>IF(SER_hh_emi_in!E30=0,0,1000000*SER_hh_emi_in!E30/SER_hh_num_in!E30)</f>
        <v>1678.4985336217883</v>
      </c>
      <c r="F30" s="133">
        <f>IF(SER_hh_emi_in!F30=0,0,1000000*SER_hh_emi_in!F30/SER_hh_num_in!F30)</f>
        <v>1817.4814552639668</v>
      </c>
      <c r="G30" s="133">
        <f>IF(SER_hh_emi_in!G30=0,0,1000000*SER_hh_emi_in!G30/SER_hh_num_in!G30)</f>
        <v>1770.915789402874</v>
      </c>
      <c r="H30" s="133">
        <f>IF(SER_hh_emi_in!H30=0,0,1000000*SER_hh_emi_in!H30/SER_hh_num_in!H30)</f>
        <v>1721.7150931151468</v>
      </c>
      <c r="I30" s="133">
        <f>IF(SER_hh_emi_in!I30=0,0,1000000*SER_hh_emi_in!I30/SER_hh_num_in!I30)</f>
        <v>1856.4996118290719</v>
      </c>
      <c r="J30" s="133">
        <f>IF(SER_hh_emi_in!J30=0,0,1000000*SER_hh_emi_in!J30/SER_hh_num_in!J30)</f>
        <v>2001.1074080312883</v>
      </c>
      <c r="K30" s="133">
        <f>IF(SER_hh_emi_in!K30=0,0,1000000*SER_hh_emi_in!K30/SER_hh_num_in!K30)</f>
        <v>1883.0579669186066</v>
      </c>
      <c r="L30" s="133">
        <f>IF(SER_hh_emi_in!L30=0,0,1000000*SER_hh_emi_in!L30/SER_hh_num_in!L30)</f>
        <v>1966.2490557984411</v>
      </c>
      <c r="M30" s="133">
        <f>IF(SER_hh_emi_in!M30=0,0,1000000*SER_hh_emi_in!M30/SER_hh_num_in!M30)</f>
        <v>1944.0169296308543</v>
      </c>
      <c r="N30" s="133">
        <f>IF(SER_hh_emi_in!N30=0,0,1000000*SER_hh_emi_in!N30/SER_hh_num_in!N30)</f>
        <v>1978.7830979689795</v>
      </c>
      <c r="O30" s="133">
        <f>IF(SER_hh_emi_in!O30=0,0,1000000*SER_hh_emi_in!O30/SER_hh_num_in!O30)</f>
        <v>1984.6399340646472</v>
      </c>
      <c r="P30" s="133">
        <f>IF(SER_hh_emi_in!P30=0,0,1000000*SER_hh_emi_in!P30/SER_hh_num_in!P30)</f>
        <v>1372.8488234151168</v>
      </c>
      <c r="Q30" s="133">
        <f>IF(SER_hh_emi_in!Q30=0,0,1000000*SER_hh_emi_in!Q30/SER_hh_num_in!Q30)</f>
        <v>1890.7389260278569</v>
      </c>
      <c r="R30" s="133">
        <f>IF(SER_hh_emi_in!R30=0,0,1000000*SER_hh_emi_in!R30/SER_hh_num_in!R30)</f>
        <v>2342.9551623659518</v>
      </c>
      <c r="S30" s="133">
        <f>IF(SER_hh_emi_in!S30=0,0,1000000*SER_hh_emi_in!S30/SER_hh_num_in!S30)</f>
        <v>1808.1770035350851</v>
      </c>
      <c r="T30" s="133">
        <f>IF(SER_hh_emi_in!T30=0,0,1000000*SER_hh_emi_in!T30/SER_hh_num_in!T30)</f>
        <v>2108.9921371383984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1637.4938304819129</v>
      </c>
      <c r="D31" s="133">
        <f>IF(SER_hh_emi_in!D31=0,0,1000000*SER_hh_emi_in!D31/SER_hh_num_in!D31)</f>
        <v>1412.4447856162558</v>
      </c>
      <c r="E31" s="133">
        <f>IF(SER_hh_emi_in!E31=0,0,1000000*SER_hh_emi_in!E31/SER_hh_num_in!E31)</f>
        <v>1136.7239871955176</v>
      </c>
      <c r="F31" s="133">
        <f>IF(SER_hh_emi_in!F31=0,0,1000000*SER_hh_emi_in!F31/SER_hh_num_in!F31)</f>
        <v>1563.7910933006547</v>
      </c>
      <c r="G31" s="133">
        <f>IF(SER_hh_emi_in!G31=0,0,1000000*SER_hh_emi_in!G31/SER_hh_num_in!G31)</f>
        <v>1550.5116630471091</v>
      </c>
      <c r="H31" s="133">
        <f>IF(SER_hh_emi_in!H31=0,0,1000000*SER_hh_emi_in!H31/SER_hh_num_in!H31)</f>
        <v>1643.0675869651348</v>
      </c>
      <c r="I31" s="133">
        <f>IF(SER_hh_emi_in!I31=0,0,1000000*SER_hh_emi_in!I31/SER_hh_num_in!I31)</f>
        <v>1612.7432338197746</v>
      </c>
      <c r="J31" s="133">
        <f>IF(SER_hh_emi_in!J31=0,0,1000000*SER_hh_emi_in!J31/SER_hh_num_in!J31)</f>
        <v>1675.7098304402789</v>
      </c>
      <c r="K31" s="133">
        <f>IF(SER_hh_emi_in!K31=0,0,1000000*SER_hh_emi_in!K31/SER_hh_num_in!K31)</f>
        <v>1670.856644908185</v>
      </c>
      <c r="L31" s="133">
        <f>IF(SER_hh_emi_in!L31=0,0,1000000*SER_hh_emi_in!L31/SER_hh_num_in!L31)</f>
        <v>1705.9108615818504</v>
      </c>
      <c r="M31" s="133">
        <f>IF(SER_hh_emi_in!M31=0,0,1000000*SER_hh_emi_in!M31/SER_hh_num_in!M31)</f>
        <v>1665.5499240714137</v>
      </c>
      <c r="N31" s="133">
        <f>IF(SER_hh_emi_in!N31=0,0,1000000*SER_hh_emi_in!N31/SER_hh_num_in!N31)</f>
        <v>1522.870475172605</v>
      </c>
      <c r="O31" s="133">
        <f>IF(SER_hh_emi_in!O31=0,0,1000000*SER_hh_emi_in!O31/SER_hh_num_in!O31)</f>
        <v>1399.6008750929345</v>
      </c>
      <c r="P31" s="133">
        <f>IF(SER_hh_emi_in!P31=0,0,1000000*SER_hh_emi_in!P31/SER_hh_num_in!P31)</f>
        <v>1875.8045178562809</v>
      </c>
      <c r="Q31" s="133">
        <f>IF(SER_hh_emi_in!Q31=0,0,1000000*SER_hh_emi_in!Q31/SER_hh_num_in!Q31)</f>
        <v>1788.1357992326352</v>
      </c>
      <c r="R31" s="133">
        <f>IF(SER_hh_emi_in!R31=0,0,1000000*SER_hh_emi_in!R31/SER_hh_num_in!R31)</f>
        <v>1724.3166936985508</v>
      </c>
      <c r="S31" s="133">
        <f>IF(SER_hh_emi_in!S31=0,0,1000000*SER_hh_emi_in!S31/SER_hh_num_in!S31)</f>
        <v>1713.4409821222173</v>
      </c>
      <c r="T31" s="133">
        <f>IF(SER_hh_emi_in!T31=0,0,1000000*SER_hh_emi_in!T31/SER_hh_num_in!T31)</f>
        <v>1533.2435378763826</v>
      </c>
      <c r="U31" s="133">
        <f>IF(SER_hh_emi_in!U31=0,0,1000000*SER_hh_emi_in!U31/SER_hh_num_in!U31)</f>
        <v>1574.5816796350846</v>
      </c>
      <c r="V31" s="133">
        <f>IF(SER_hh_emi_in!V31=0,0,1000000*SER_hh_emi_in!V31/SER_hh_num_in!V31)</f>
        <v>1604.2780984128151</v>
      </c>
      <c r="W31" s="133">
        <f>IF(SER_hh_emi_in!W31=0,0,1000000*SER_hh_emi_in!W31/SER_hh_num_in!W31)</f>
        <v>1541.8402637386014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34.76612838203426</v>
      </c>
      <c r="D3" s="126">
        <f>IF(SER_hh_fech_in!D3=0,0,SER_hh_fech_in!D3/SER_summary!D$27)</f>
        <v>31.473913842175797</v>
      </c>
      <c r="E3" s="126">
        <f>IF(SER_hh_fech_in!E3=0,0,SER_hh_fech_in!E3/SER_summary!E$27)</f>
        <v>28.760561742276813</v>
      </c>
      <c r="F3" s="126">
        <f>IF(SER_hh_fech_in!F3=0,0,SER_hh_fech_in!F3/SER_summary!F$27)</f>
        <v>29.931923799277328</v>
      </c>
      <c r="G3" s="126">
        <f>IF(SER_hh_fech_in!G3=0,0,SER_hh_fech_in!G3/SER_summary!G$27)</f>
        <v>28.702042619865747</v>
      </c>
      <c r="H3" s="126">
        <f>IF(SER_hh_fech_in!H3=0,0,SER_hh_fech_in!H3/SER_summary!H$27)</f>
        <v>47.438458916351166</v>
      </c>
      <c r="I3" s="126">
        <f>IF(SER_hh_fech_in!I3=0,0,SER_hh_fech_in!I3/SER_summary!I$27)</f>
        <v>31.230173741956051</v>
      </c>
      <c r="J3" s="126">
        <f>IF(SER_hh_fech_in!J3=0,0,SER_hh_fech_in!J3/SER_summary!J$27)</f>
        <v>31.103744809867504</v>
      </c>
      <c r="K3" s="126">
        <f>IF(SER_hh_fech_in!K3=0,0,SER_hh_fech_in!K3/SER_summary!K$27)</f>
        <v>31.488784025063602</v>
      </c>
      <c r="L3" s="126">
        <f>IF(SER_hh_fech_in!L3=0,0,SER_hh_fech_in!L3/SER_summary!L$27)</f>
        <v>35.479314002071412</v>
      </c>
      <c r="M3" s="126">
        <f>IF(SER_hh_fech_in!M3=0,0,SER_hh_fech_in!M3/SER_summary!M$27)</f>
        <v>33.039804710345358</v>
      </c>
      <c r="N3" s="126">
        <f>IF(SER_hh_fech_in!N3=0,0,SER_hh_fech_in!N3/SER_summary!N$27)</f>
        <v>31.110690966494136</v>
      </c>
      <c r="O3" s="126">
        <f>IF(SER_hh_fech_in!O3=0,0,SER_hh_fech_in!O3/SER_summary!O$27)</f>
        <v>28.045998646014421</v>
      </c>
      <c r="P3" s="126">
        <f>IF(SER_hh_fech_in!P3=0,0,SER_hh_fech_in!P3/SER_summary!P$27)</f>
        <v>23.761638729739389</v>
      </c>
      <c r="Q3" s="126">
        <f>IF(SER_hh_fech_in!Q3=0,0,SER_hh_fech_in!Q3/SER_summary!Q$27)</f>
        <v>23.94979233614788</v>
      </c>
      <c r="R3" s="126">
        <f>IF(SER_hh_fech_in!R3=0,0,SER_hh_fech_in!R3/SER_summary!R$27)</f>
        <v>23.285066867945854</v>
      </c>
      <c r="S3" s="126">
        <f>IF(SER_hh_fech_in!S3=0,0,SER_hh_fech_in!S3/SER_summary!S$27)</f>
        <v>23.728795104499607</v>
      </c>
      <c r="T3" s="126">
        <f>IF(SER_hh_fech_in!T3=0,0,SER_hh_fech_in!T3/SER_summary!T$27)</f>
        <v>23.0065016137318</v>
      </c>
      <c r="U3" s="126">
        <f>IF(SER_hh_fech_in!U3=0,0,SER_hh_fech_in!U3/SER_summary!U$27)</f>
        <v>22.66883932618407</v>
      </c>
      <c r="V3" s="126">
        <f>IF(SER_hh_fech_in!V3=0,0,SER_hh_fech_in!V3/SER_summary!V$27)</f>
        <v>21.092986133661014</v>
      </c>
      <c r="W3" s="126">
        <f>IF(SER_hh_fech_in!W3=0,0,SER_hh_fech_in!W3/SER_summary!W$27)</f>
        <v>24.27822216872832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13.174223026568916</v>
      </c>
      <c r="D4" s="131">
        <f>IF(SER_hh_fech_in!D4=0,0,SER_hh_fech_in!D4/SER_summary!D$27)</f>
        <v>10.955116085442068</v>
      </c>
      <c r="E4" s="131">
        <f>IF(SER_hh_fech_in!E4=0,0,SER_hh_fech_in!E4/SER_summary!E$27)</f>
        <v>10.931614882167475</v>
      </c>
      <c r="F4" s="131">
        <f>IF(SER_hh_fech_in!F4=0,0,SER_hh_fech_in!F4/SER_summary!F$27)</f>
        <v>8.2442337811396431</v>
      </c>
      <c r="G4" s="131">
        <f>IF(SER_hh_fech_in!G4=0,0,SER_hh_fech_in!G4/SER_summary!G$27)</f>
        <v>7.5687345960315993</v>
      </c>
      <c r="H4" s="131">
        <f>IF(SER_hh_fech_in!H4=0,0,SER_hh_fech_in!H4/SER_summary!H$27)</f>
        <v>23.894033804045112</v>
      </c>
      <c r="I4" s="131">
        <f>IF(SER_hh_fech_in!I4=0,0,SER_hh_fech_in!I4/SER_summary!I$27)</f>
        <v>10.781468603107601</v>
      </c>
      <c r="J4" s="131">
        <f>IF(SER_hh_fech_in!J4=0,0,SER_hh_fech_in!J4/SER_summary!J$27)</f>
        <v>10.814614711831648</v>
      </c>
      <c r="K4" s="131">
        <f>IF(SER_hh_fech_in!K4=0,0,SER_hh_fech_in!K4/SER_summary!K$27)</f>
        <v>10.64190305411106</v>
      </c>
      <c r="L4" s="131">
        <f>IF(SER_hh_fech_in!L4=0,0,SER_hh_fech_in!L4/SER_summary!L$27)</f>
        <v>14.269321944771386</v>
      </c>
      <c r="M4" s="131">
        <f>IF(SER_hh_fech_in!M4=0,0,SER_hh_fech_in!M4/SER_summary!M$27)</f>
        <v>12.726280523569406</v>
      </c>
      <c r="N4" s="131">
        <f>IF(SER_hh_fech_in!N4=0,0,SER_hh_fech_in!N4/SER_summary!N$27)</f>
        <v>9.8310231418826195</v>
      </c>
      <c r="O4" s="131">
        <f>IF(SER_hh_fech_in!O4=0,0,SER_hh_fech_in!O4/SER_summary!O$27)</f>
        <v>8.0589363757879067</v>
      </c>
      <c r="P4" s="131">
        <f>IF(SER_hh_fech_in!P4=0,0,SER_hh_fech_in!P4/SER_summary!P$27)</f>
        <v>2.5317285635830786</v>
      </c>
      <c r="Q4" s="131">
        <f>IF(SER_hh_fech_in!Q4=0,0,SER_hh_fech_in!Q4/SER_summary!Q$27)</f>
        <v>2.150882241372702</v>
      </c>
      <c r="R4" s="131">
        <f>IF(SER_hh_fech_in!R4=0,0,SER_hh_fech_in!R4/SER_summary!R$27)</f>
        <v>3.0635703370237088</v>
      </c>
      <c r="S4" s="131">
        <f>IF(SER_hh_fech_in!S4=0,0,SER_hh_fech_in!S4/SER_summary!S$27)</f>
        <v>4.5739180223421814</v>
      </c>
      <c r="T4" s="131">
        <f>IF(SER_hh_fech_in!T4=0,0,SER_hh_fech_in!T4/SER_summary!T$27)</f>
        <v>5.458814998143068</v>
      </c>
      <c r="U4" s="131">
        <f>IF(SER_hh_fech_in!U4=0,0,SER_hh_fech_in!U4/SER_summary!U$27)</f>
        <v>5.0949920004351883</v>
      </c>
      <c r="V4" s="131">
        <f>IF(SER_hh_fech_in!V4=0,0,SER_hh_fech_in!V4/SER_summary!V$27)</f>
        <v>4.1206795528226721</v>
      </c>
      <c r="W4" s="131">
        <f>IF(SER_hh_fech_in!W4=0,0,SER_hh_fech_in!W4/SER_summary!W$27)</f>
        <v>7.2016467653850649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13.17184738621151</v>
      </c>
      <c r="D7" s="133">
        <f>IF(SER_hh_fech_in!D7=0,0,SER_hh_fech_in!D7/SER_summary!D$27)</f>
        <v>10.95663265565026</v>
      </c>
      <c r="E7" s="133">
        <f>IF(SER_hh_fech_in!E7=0,0,SER_hh_fech_in!E7/SER_summary!E$27)</f>
        <v>10.998694435325584</v>
      </c>
      <c r="F7" s="133">
        <f>IF(SER_hh_fech_in!F7=0,0,SER_hh_fech_in!F7/SER_summary!F$27)</f>
        <v>12.107627152897072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15.087173571825812</v>
      </c>
      <c r="M7" s="133">
        <f>IF(SER_hh_fech_in!M7=0,0,SER_hh_fech_in!M7/SER_summary!M$27)</f>
        <v>12.773577982075166</v>
      </c>
      <c r="N7" s="133">
        <f>IF(SER_hh_fech_in!N7=0,0,SER_hh_fech_in!N7/SER_summary!N$27)</f>
        <v>12.361094037037908</v>
      </c>
      <c r="O7" s="133">
        <f>IF(SER_hh_fech_in!O7=0,0,SER_hh_fech_in!O7/SER_summary!O$27)</f>
        <v>11.595918635673705</v>
      </c>
      <c r="P7" s="133">
        <f>IF(SER_hh_fech_in!P7=0,0,SER_hh_fech_in!P7/SER_summary!P$27)</f>
        <v>8.0977122712126519</v>
      </c>
      <c r="Q7" s="133">
        <f>IF(SER_hh_fech_in!Q7=0,0,SER_hh_fech_in!Q7/SER_summary!Q$27)</f>
        <v>5.4409108569321827</v>
      </c>
      <c r="R7" s="133">
        <f>IF(SER_hh_fech_in!R7=0,0,SER_hh_fech_in!R7/SER_summary!R$27)</f>
        <v>6.9684092300852294</v>
      </c>
      <c r="S7" s="133">
        <f>IF(SER_hh_fech_in!S7=0,0,SER_hh_fech_in!S7/SER_summary!S$27)</f>
        <v>8.0966302823174932</v>
      </c>
      <c r="T7" s="133">
        <f>IF(SER_hh_fech_in!T7=0,0,SER_hh_fech_in!T7/SER_summary!T$27)</f>
        <v>8.9831302005373601</v>
      </c>
      <c r="U7" s="133">
        <f>IF(SER_hh_fech_in!U7=0,0,SER_hh_fech_in!U7/SER_summary!U$27)</f>
        <v>8.8802236455629426</v>
      </c>
      <c r="V7" s="133">
        <f>IF(SER_hh_fech_in!V7=0,0,SER_hh_fech_in!V7/SER_summary!V$27)</f>
        <v>0</v>
      </c>
      <c r="W7" s="133">
        <f>IF(SER_hh_fech_in!W7=0,0,SER_hh_fech_in!W7/SER_summary!W$27)</f>
        <v>9.5348680791265092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4.6328324978904085</v>
      </c>
      <c r="D8" s="133">
        <f>IF(SER_hh_fech_in!D8=0,0,SER_hh_fech_in!D8/SER_summary!D$27)</f>
        <v>3.9668025912725864</v>
      </c>
      <c r="E8" s="133">
        <f>IF(SER_hh_fech_in!E8=0,0,SER_hh_fech_in!E8/SER_summary!E$27)</f>
        <v>2.5841349703007772</v>
      </c>
      <c r="F8" s="133">
        <f>IF(SER_hh_fech_in!F8=0,0,SER_hh_fech_in!F8/SER_summary!F$27)</f>
        <v>2.6025974863406955</v>
      </c>
      <c r="G8" s="133">
        <f>IF(SER_hh_fech_in!G8=0,0,SER_hh_fech_in!G8/SER_summary!G$27)</f>
        <v>3.6712648406093193</v>
      </c>
      <c r="H8" s="133">
        <f>IF(SER_hh_fech_in!H8=0,0,SER_hh_fech_in!H8/SER_summary!H$27)</f>
        <v>5.2821943215630061</v>
      </c>
      <c r="I8" s="133">
        <f>IF(SER_hh_fech_in!I8=0,0,SER_hh_fech_in!I8/SER_summary!I$27)</f>
        <v>4.266556266294149</v>
      </c>
      <c r="J8" s="133">
        <f>IF(SER_hh_fech_in!J8=0,0,SER_hh_fech_in!J8/SER_summary!J$27)</f>
        <v>3.7950902721636877</v>
      </c>
      <c r="K8" s="133">
        <f>IF(SER_hh_fech_in!K8=0,0,SER_hh_fech_in!K8/SER_summary!K$27)</f>
        <v>3.2694477801750157</v>
      </c>
      <c r="L8" s="133">
        <f>IF(SER_hh_fech_in!L8=0,0,SER_hh_fech_in!L8/SER_summary!L$27)</f>
        <v>2.6882312531353429</v>
      </c>
      <c r="M8" s="133">
        <f>IF(SER_hh_fech_in!M8=0,0,SER_hh_fech_in!M8/SER_summary!M$27)</f>
        <v>2.557138327309326</v>
      </c>
      <c r="N8" s="133">
        <f>IF(SER_hh_fech_in!N8=0,0,SER_hh_fech_in!N8/SER_summary!N$27)</f>
        <v>1.8830276283850731</v>
      </c>
      <c r="O8" s="133">
        <f>IF(SER_hh_fech_in!O8=0,0,SER_hh_fech_in!O8/SER_summary!O$27)</f>
        <v>1.6666771041200235</v>
      </c>
      <c r="P8" s="133">
        <f>IF(SER_hh_fech_in!P8=0,0,SER_hh_fech_in!P8/SER_summary!P$27)</f>
        <v>1.6415628611913131</v>
      </c>
      <c r="Q8" s="133">
        <f>IF(SER_hh_fech_in!Q8=0,0,SER_hh_fech_in!Q8/SER_summary!Q$27)</f>
        <v>1.5132189179120443</v>
      </c>
      <c r="R8" s="133">
        <f>IF(SER_hh_fech_in!R8=0,0,SER_hh_fech_in!R8/SER_summary!R$27)</f>
        <v>1.6509095920195413</v>
      </c>
      <c r="S8" s="133">
        <f>IF(SER_hh_fech_in!S8=0,0,SER_hh_fech_in!S8/SER_summary!S$27)</f>
        <v>1.7971945638431719</v>
      </c>
      <c r="T8" s="133">
        <f>IF(SER_hh_fech_in!T8=0,0,SER_hh_fech_in!T8/SER_summary!T$27)</f>
        <v>1.9794630050332327</v>
      </c>
      <c r="U8" s="133">
        <f>IF(SER_hh_fech_in!U8=0,0,SER_hh_fech_in!U8/SER_summary!U$27)</f>
        <v>2.092505597208163</v>
      </c>
      <c r="V8" s="133">
        <f>IF(SER_hh_fech_in!V8=0,0,SER_hh_fech_in!V8/SER_summary!V$27)</f>
        <v>2.0917010268127467</v>
      </c>
      <c r="W8" s="133">
        <f>IF(SER_hh_fech_in!W8=0,0,SER_hh_fech_in!W8/SER_summary!W$27)</f>
        <v>2.2087234182204658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10.57616751071348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1.5528162733837059</v>
      </c>
      <c r="G9" s="133">
        <f>IF(SER_hh_fech_in!G9=0,0,SER_hh_fech_in!G9/SER_summary!G$27)</f>
        <v>8.2477040456064845</v>
      </c>
      <c r="H9" s="133">
        <f>IF(SER_hh_fech_in!H9=0,0,SER_hh_fech_in!H9/SER_summary!H$27)</f>
        <v>26.892339275640143</v>
      </c>
      <c r="I9" s="133">
        <f>IF(SER_hh_fech_in!I9=0,0,SER_hh_fech_in!I9/SER_summary!I$27)</f>
        <v>12.26054582569464</v>
      </c>
      <c r="J9" s="133">
        <f>IF(SER_hh_fech_in!J9=0,0,SER_hh_fech_in!J9/SER_summary!J$27)</f>
        <v>9.0644407056316236</v>
      </c>
      <c r="K9" s="133">
        <f>IF(SER_hh_fech_in!K9=0,0,SER_hh_fech_in!K9/SER_summary!K$27)</f>
        <v>11.662057660322521</v>
      </c>
      <c r="L9" s="133">
        <f>IF(SER_hh_fech_in!L9=0,0,SER_hh_fech_in!L9/SER_summary!L$27)</f>
        <v>15.247256405415099</v>
      </c>
      <c r="M9" s="133">
        <f>IF(SER_hh_fech_in!M9=0,0,SER_hh_fech_in!M9/SER_summary!M$27)</f>
        <v>16.610529401205262</v>
      </c>
      <c r="N9" s="133">
        <f>IF(SER_hh_fech_in!N9=0,0,SER_hh_fech_in!N9/SER_summary!N$27)</f>
        <v>11.930795328894314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0</v>
      </c>
      <c r="S9" s="133">
        <f>IF(SER_hh_fech_in!S9=0,0,SER_hh_fech_in!S9/SER_summary!S$27)</f>
        <v>0</v>
      </c>
      <c r="T9" s="133">
        <f>IF(SER_hh_fech_in!T9=0,0,SER_hh_fech_in!T9/SER_summary!T$27)</f>
        <v>9.181483143676596</v>
      </c>
      <c r="U9" s="133">
        <f>IF(SER_hh_fech_in!U9=0,0,SER_hh_fech_in!U9/SER_summary!U$27)</f>
        <v>9.2497619344272746</v>
      </c>
      <c r="V9" s="133">
        <f>IF(SER_hh_fech_in!V9=0,0,SER_hh_fech_in!V9/SER_summary!V$27)</f>
        <v>7.9681761316805542</v>
      </c>
      <c r="W9" s="133">
        <f>IF(SER_hh_fech_in!W9=0,0,SER_hh_fech_in!W9/SER_summary!W$27)</f>
        <v>9.8556727361962579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12.266819513103639</v>
      </c>
      <c r="D10" s="133">
        <f>IF(SER_hh_fech_in!D10=0,0,SER_hh_fech_in!D10/SER_summary!D$27)</f>
        <v>11.191626974816582</v>
      </c>
      <c r="E10" s="133">
        <f>IF(SER_hh_fech_in!E10=0,0,SER_hh_fech_in!E10/SER_summary!E$27)</f>
        <v>10.904449066058445</v>
      </c>
      <c r="F10" s="133">
        <f>IF(SER_hh_fech_in!F10=0,0,SER_hh_fech_in!F10/SER_summary!F$27)</f>
        <v>10.879474424776891</v>
      </c>
      <c r="G10" s="133">
        <f>IF(SER_hh_fech_in!G10=0,0,SER_hh_fech_in!G10/SER_summary!G$27)</f>
        <v>11.355108902086995</v>
      </c>
      <c r="H10" s="133">
        <f>IF(SER_hh_fech_in!H10=0,0,SER_hh_fech_in!H10/SER_summary!H$27)</f>
        <v>17.219673894124004</v>
      </c>
      <c r="I10" s="133">
        <f>IF(SER_hh_fech_in!I10=0,0,SER_hh_fech_in!I10/SER_summary!I$27)</f>
        <v>15.655443700614795</v>
      </c>
      <c r="J10" s="133">
        <f>IF(SER_hh_fech_in!J10=0,0,SER_hh_fech_in!J10/SER_summary!J$27)</f>
        <v>17.859860826886628</v>
      </c>
      <c r="K10" s="133">
        <f>IF(SER_hh_fech_in!K10=0,0,SER_hh_fech_in!K10/SER_summary!K$27)</f>
        <v>13.78844585699586</v>
      </c>
      <c r="L10" s="133">
        <f>IF(SER_hh_fech_in!L10=0,0,SER_hh_fech_in!L10/SER_summary!L$27)</f>
        <v>0</v>
      </c>
      <c r="M10" s="133">
        <f>IF(SER_hh_fech_in!M10=0,0,SER_hh_fech_in!M10/SER_summary!M$27)</f>
        <v>16.002927223921656</v>
      </c>
      <c r="N10" s="133">
        <f>IF(SER_hh_fech_in!N10=0,0,SER_hh_fech_in!N10/SER_summary!N$27)</f>
        <v>13.92868233357586</v>
      </c>
      <c r="O10" s="133">
        <f>IF(SER_hh_fech_in!O10=0,0,SER_hh_fech_in!O10/SER_summary!O$27)</f>
        <v>11.487236766928632</v>
      </c>
      <c r="P10" s="133">
        <f>IF(SER_hh_fech_in!P10=0,0,SER_hh_fech_in!P10/SER_summary!P$27)</f>
        <v>8.8898490971572457</v>
      </c>
      <c r="Q10" s="133">
        <f>IF(SER_hh_fech_in!Q10=0,0,SER_hh_fech_in!Q10/SER_summary!Q$27)</f>
        <v>8.658697861653275</v>
      </c>
      <c r="R10" s="133">
        <f>IF(SER_hh_fech_in!R10=0,0,SER_hh_fech_in!R10/SER_summary!R$27)</f>
        <v>10.291490081720744</v>
      </c>
      <c r="S10" s="133">
        <f>IF(SER_hh_fech_in!S10=0,0,SER_hh_fech_in!S10/SER_summary!S$27)</f>
        <v>11.032204662425526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12.352048576538625</v>
      </c>
      <c r="W10" s="133">
        <f>IF(SER_hh_fech_in!W10=0,0,SER_hh_fech_in!W10/SER_summary!W$27)</f>
        <v>13.128373943324746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10.181433044303507</v>
      </c>
      <c r="N11" s="133">
        <f>IF(SER_hh_fech_in!N11=0,0,SER_hh_fech_in!N11/SER_summary!N$27)</f>
        <v>8.5823391973118852</v>
      </c>
      <c r="O11" s="133">
        <f>IF(SER_hh_fech_in!O11=0,0,SER_hh_fech_in!O11/SER_summary!O$27)</f>
        <v>7.6816350497646395</v>
      </c>
      <c r="P11" s="133">
        <f>IF(SER_hh_fech_in!P11=0,0,SER_hh_fech_in!P11/SER_summary!P$27)</f>
        <v>6.1302256233613805</v>
      </c>
      <c r="Q11" s="133">
        <f>IF(SER_hh_fech_in!Q11=0,0,SER_hh_fech_in!Q11/SER_summary!Q$27)</f>
        <v>5.7291897173698132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4.4458151074336723</v>
      </c>
      <c r="D13" s="133">
        <f>IF(SER_hh_fech_in!D13=0,0,SER_hh_fech_in!D13/SER_summary!D$27)</f>
        <v>3.2471608330181541</v>
      </c>
      <c r="E13" s="133">
        <f>IF(SER_hh_fech_in!E13=0,0,SER_hh_fech_in!E13/SER_summary!E$27)</f>
        <v>3.1151951823977257</v>
      </c>
      <c r="F13" s="133">
        <f>IF(SER_hh_fech_in!F13=0,0,SER_hh_fech_in!F13/SER_summary!F$27)</f>
        <v>2.7650043598855549</v>
      </c>
      <c r="G13" s="133">
        <f>IF(SER_hh_fech_in!G13=0,0,SER_hh_fech_in!G13/SER_summary!G$27)</f>
        <v>3.2915044576364987</v>
      </c>
      <c r="H13" s="133">
        <f>IF(SER_hh_fech_in!H13=0,0,SER_hh_fech_in!H13/SER_summary!H$27)</f>
        <v>3.1624742587750498</v>
      </c>
      <c r="I13" s="133">
        <f>IF(SER_hh_fech_in!I13=0,0,SER_hh_fech_in!I13/SER_summary!I$27)</f>
        <v>3.2216644881138112</v>
      </c>
      <c r="J13" s="133">
        <f>IF(SER_hh_fech_in!J13=0,0,SER_hh_fech_in!J13/SER_summary!J$27)</f>
        <v>3.5077375884421085</v>
      </c>
      <c r="K13" s="133">
        <f>IF(SER_hh_fech_in!K13=0,0,SER_hh_fech_in!K13/SER_summary!K$27)</f>
        <v>3.2971414828720222</v>
      </c>
      <c r="L13" s="133">
        <f>IF(SER_hh_fech_in!L13=0,0,SER_hh_fech_in!L13/SER_summary!L$27)</f>
        <v>3.0617606022877304</v>
      </c>
      <c r="M13" s="133">
        <f>IF(SER_hh_fech_in!M13=0,0,SER_hh_fech_in!M13/SER_summary!M$27)</f>
        <v>2.6162512613828639</v>
      </c>
      <c r="N13" s="133">
        <f>IF(SER_hh_fech_in!N13=0,0,SER_hh_fech_in!N13/SER_summary!N$27)</f>
        <v>2.2482883024753053</v>
      </c>
      <c r="O13" s="133">
        <f>IF(SER_hh_fech_in!O13=0,0,SER_hh_fech_in!O13/SER_summary!O$27)</f>
        <v>1.6828067648047991</v>
      </c>
      <c r="P13" s="133">
        <f>IF(SER_hh_fech_in!P13=0,0,SER_hh_fech_in!P13/SER_summary!P$27)</f>
        <v>1.2515330485383134</v>
      </c>
      <c r="Q13" s="133">
        <f>IF(SER_hh_fech_in!Q13=0,0,SER_hh_fech_in!Q13/SER_summary!Q$27)</f>
        <v>1.2827881063320083</v>
      </c>
      <c r="R13" s="133">
        <f>IF(SER_hh_fech_in!R13=0,0,SER_hh_fech_in!R13/SER_summary!R$27)</f>
        <v>1.3740881534658669</v>
      </c>
      <c r="S13" s="133">
        <f>IF(SER_hh_fech_in!S13=0,0,SER_hh_fech_in!S13/SER_summary!S$27)</f>
        <v>1.5191699530644578</v>
      </c>
      <c r="T13" s="133">
        <f>IF(SER_hh_fech_in!T13=0,0,SER_hh_fech_in!T13/SER_summary!T$27)</f>
        <v>1.6626196287938824</v>
      </c>
      <c r="U13" s="133">
        <f>IF(SER_hh_fech_in!U13=0,0,SER_hh_fech_in!U13/SER_summary!U$27)</f>
        <v>1.7557083551630845</v>
      </c>
      <c r="V13" s="133">
        <f>IF(SER_hh_fech_in!V13=0,0,SER_hh_fech_in!V13/SER_summary!V$27)</f>
        <v>1.7612129242952153</v>
      </c>
      <c r="W13" s="133">
        <f>IF(SER_hh_fech_in!W13=0,0,SER_hh_fech_in!W13/SER_summary!W$27)</f>
        <v>1.8375517134215753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8.7036283860331825</v>
      </c>
      <c r="G14" s="65">
        <f>IF(SER_hh_fech_in!G14=0,0,SER_hh_fech_in!G14/SER_summary!G$27)</f>
        <v>4.8554803936295281</v>
      </c>
      <c r="H14" s="65">
        <f>IF(SER_hh_fech_in!H14=0,0,SER_hh_fech_in!H14/SER_summary!H$27)</f>
        <v>18.090196810467077</v>
      </c>
      <c r="I14" s="65">
        <f>IF(SER_hh_fech_in!I14=0,0,SER_hh_fech_in!I14/SER_summary!I$27)</f>
        <v>10.149154404639107</v>
      </c>
      <c r="J14" s="65">
        <f>IF(SER_hh_fech_in!J14=0,0,SER_hh_fech_in!J14/SER_summary!J$27)</f>
        <v>13.634254028475331</v>
      </c>
      <c r="K14" s="65">
        <f>IF(SER_hh_fech_in!K14=0,0,SER_hh_fech_in!K14/SER_summary!K$27)</f>
        <v>10.771892278098877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8.2597064682416583</v>
      </c>
      <c r="T14" s="65">
        <f>IF(SER_hh_fech_in!T14=0,0,SER_hh_fech_in!T14/SER_summary!T$27)</f>
        <v>9.0956082632529451</v>
      </c>
      <c r="U14" s="65">
        <f>IF(SER_hh_fech_in!U14=0,0,SER_hh_fech_in!U14/SER_summary!U$27)</f>
        <v>8.963912614089578</v>
      </c>
      <c r="V14" s="65">
        <f>IF(SER_hh_fech_in!V14=0,0,SER_hh_fech_in!V14/SER_summary!V$27)</f>
        <v>0</v>
      </c>
      <c r="W14" s="65">
        <f>IF(SER_hh_fech_in!W14=0,0,SER_hh_fech_in!W14/SER_summary!W$27)</f>
        <v>9.1376329642231333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0.1211868003763263</v>
      </c>
      <c r="D15" s="135">
        <f>IF(SER_hh_fech_in!D15=0,0,SER_hh_fech_in!D15/SER_summary!D$27)</f>
        <v>0.10029965056648632</v>
      </c>
      <c r="E15" s="135">
        <f>IF(SER_hh_fech_in!E15=0,0,SER_hh_fech_in!E15/SER_summary!E$27)</f>
        <v>9.9850002805493096E-2</v>
      </c>
      <c r="F15" s="135">
        <f>IF(SER_hh_fech_in!F15=0,0,SER_hh_fech_in!F15/SER_summary!F$27)</f>
        <v>7.3739212128134099E-2</v>
      </c>
      <c r="G15" s="135">
        <f>IF(SER_hh_fech_in!G15=0,0,SER_hh_fech_in!G15/SER_summary!G$27)</f>
        <v>8.5769138820341234E-2</v>
      </c>
      <c r="H15" s="135">
        <f>IF(SER_hh_fech_in!H15=0,0,SER_hh_fech_in!H15/SER_summary!H$27)</f>
        <v>0.27767321662926331</v>
      </c>
      <c r="I15" s="135">
        <f>IF(SER_hh_fech_in!I15=0,0,SER_hh_fech_in!I15/SER_summary!I$27)</f>
        <v>0.12199826794654006</v>
      </c>
      <c r="J15" s="135">
        <f>IF(SER_hh_fech_in!J15=0,0,SER_hh_fech_in!J15/SER_summary!J$27)</f>
        <v>9.2602709227555563E-2</v>
      </c>
      <c r="K15" s="135">
        <f>IF(SER_hh_fech_in!K15=0,0,SER_hh_fech_in!K15/SER_summary!K$27)</f>
        <v>0.11946320396664822</v>
      </c>
      <c r="L15" s="135">
        <f>IF(SER_hh_fech_in!L15=0,0,SER_hh_fech_in!L15/SER_summary!L$27)</f>
        <v>0.15078253139781306</v>
      </c>
      <c r="M15" s="135">
        <f>IF(SER_hh_fech_in!M15=0,0,SER_hh_fech_in!M15/SER_summary!M$27)</f>
        <v>0.13075282683740716</v>
      </c>
      <c r="N15" s="135">
        <f>IF(SER_hh_fech_in!N15=0,0,SER_hh_fech_in!N15/SER_summary!N$27)</f>
        <v>0.11183698213123024</v>
      </c>
      <c r="O15" s="135">
        <f>IF(SER_hh_fech_in!O15=0,0,SER_hh_fech_in!O15/SER_summary!O$27)</f>
        <v>0.10402129599421317</v>
      </c>
      <c r="P15" s="135">
        <f>IF(SER_hh_fech_in!P15=0,0,SER_hh_fech_in!P15/SER_summary!P$27)</f>
        <v>4.4458280366994236E-2</v>
      </c>
      <c r="Q15" s="135">
        <f>IF(SER_hh_fech_in!Q15=0,0,SER_hh_fech_in!Q15/SER_summary!Q$27)</f>
        <v>3.7476551104095264E-2</v>
      </c>
      <c r="R15" s="135">
        <f>IF(SER_hh_fech_in!R15=0,0,SER_hh_fech_in!R15/SER_summary!R$27)</f>
        <v>6.3105915806203838E-2</v>
      </c>
      <c r="S15" s="135">
        <f>IF(SER_hh_fech_in!S15=0,0,SER_hh_fech_in!S15/SER_summary!S$27)</f>
        <v>8.1680288386922845E-2</v>
      </c>
      <c r="T15" s="135">
        <f>IF(SER_hh_fech_in!T15=0,0,SER_hh_fech_in!T15/SER_summary!T$27)</f>
        <v>9.5709717317172802E-2</v>
      </c>
      <c r="U15" s="135">
        <f>IF(SER_hh_fech_in!U15=0,0,SER_hh_fech_in!U15/SER_summary!U$27)</f>
        <v>9.8742119587523769E-2</v>
      </c>
      <c r="V15" s="135">
        <f>IF(SER_hh_fech_in!V15=0,0,SER_hh_fech_in!V15/SER_summary!V$27)</f>
        <v>8.5011812176328097E-2</v>
      </c>
      <c r="W15" s="135">
        <f>IF(SER_hh_fech_in!W15=0,0,SER_hh_fech_in!W15/SER_summary!W$27)</f>
        <v>0.10815459593930071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8.2628126970452502</v>
      </c>
      <c r="D16" s="131">
        <f>IF(SER_hh_fech_in!D16=0,0,SER_hh_fech_in!D16/SER_summary!D$27)</f>
        <v>7.0770446119951291</v>
      </c>
      <c r="E16" s="131">
        <f>IF(SER_hh_fech_in!E16=0,0,SER_hh_fech_in!E16/SER_summary!E$27)</f>
        <v>10.472247984575803</v>
      </c>
      <c r="F16" s="131">
        <f>IF(SER_hh_fech_in!F16=0,0,SER_hh_fech_in!F16/SER_summary!F$27)</f>
        <v>7.6559817211588266</v>
      </c>
      <c r="G16" s="131">
        <f>IF(SER_hh_fech_in!G16=0,0,SER_hh_fech_in!G16/SER_summary!G$27)</f>
        <v>7.7420799150004811</v>
      </c>
      <c r="H16" s="131">
        <f>IF(SER_hh_fech_in!H16=0,0,SER_hh_fech_in!H16/SER_summary!H$27)</f>
        <v>8.3859112648021661</v>
      </c>
      <c r="I16" s="131">
        <f>IF(SER_hh_fech_in!I16=0,0,SER_hh_fech_in!I16/SER_summary!I$27)</f>
        <v>6.061485794479279</v>
      </c>
      <c r="J16" s="131">
        <f>IF(SER_hh_fech_in!J16=0,0,SER_hh_fech_in!J16/SER_summary!J$27)</f>
        <v>6.1704934427099367</v>
      </c>
      <c r="K16" s="131">
        <f>IF(SER_hh_fech_in!K16=0,0,SER_hh_fech_in!K16/SER_summary!K$27)</f>
        <v>7.6059111660549448</v>
      </c>
      <c r="L16" s="131">
        <f>IF(SER_hh_fech_in!L16=0,0,SER_hh_fech_in!L16/SER_summary!L$27)</f>
        <v>6.9263030604622333</v>
      </c>
      <c r="M16" s="131">
        <f>IF(SER_hh_fech_in!M16=0,0,SER_hh_fech_in!M16/SER_summary!M$27)</f>
        <v>5.9647423513654259</v>
      </c>
      <c r="N16" s="131">
        <f>IF(SER_hh_fech_in!N16=0,0,SER_hh_fech_in!N16/SER_summary!N$27)</f>
        <v>6.8533562829634977</v>
      </c>
      <c r="O16" s="131">
        <f>IF(SER_hh_fech_in!O16=0,0,SER_hh_fech_in!O16/SER_summary!O$27)</f>
        <v>5.3018311234785651</v>
      </c>
      <c r="P16" s="131">
        <f>IF(SER_hh_fech_in!P16=0,0,SER_hh_fech_in!P16/SER_summary!P$27)</f>
        <v>4.6412547726665592</v>
      </c>
      <c r="Q16" s="131">
        <f>IF(SER_hh_fech_in!Q16=0,0,SER_hh_fech_in!Q16/SER_summary!Q$27)</f>
        <v>6.5233201485422478</v>
      </c>
      <c r="R16" s="131">
        <f>IF(SER_hh_fech_in!R16=0,0,SER_hh_fech_in!R16/SER_summary!R$27)</f>
        <v>6.1986234645028135</v>
      </c>
      <c r="S16" s="131">
        <f>IF(SER_hh_fech_in!S16=0,0,SER_hh_fech_in!S16/SER_summary!S$27)</f>
        <v>7.0011198218373769</v>
      </c>
      <c r="T16" s="131">
        <f>IF(SER_hh_fech_in!T16=0,0,SER_hh_fech_in!T16/SER_summary!T$27)</f>
        <v>4.9035961118680875</v>
      </c>
      <c r="U16" s="131">
        <f>IF(SER_hh_fech_in!U16=0,0,SER_hh_fech_in!U16/SER_summary!U$27)</f>
        <v>4.9318205464685478</v>
      </c>
      <c r="V16" s="131">
        <f>IF(SER_hh_fech_in!V16=0,0,SER_hh_fech_in!V16/SER_summary!V$27)</f>
        <v>5.5625027710742687</v>
      </c>
      <c r="W16" s="131">
        <f>IF(SER_hh_fech_in!W16=0,0,SER_hh_fech_in!W16/SER_summary!W$27)</f>
        <v>4.4293684940462308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14.480700226098344</v>
      </c>
      <c r="D17" s="133">
        <f>IF(SER_hh_fech_in!D17=0,0,SER_hh_fech_in!D17/SER_summary!D$27)</f>
        <v>12.756026804018569</v>
      </c>
      <c r="E17" s="133">
        <f>IF(SER_hh_fech_in!E17=0,0,SER_hh_fech_in!E17/SER_summary!E$27)</f>
        <v>19.471928371473226</v>
      </c>
      <c r="F17" s="133">
        <f>IF(SER_hh_fech_in!F17=0,0,SER_hh_fech_in!F17/SER_summary!F$27)</f>
        <v>14.665389744840317</v>
      </c>
      <c r="G17" s="133">
        <f>IF(SER_hh_fech_in!G17=0,0,SER_hh_fech_in!G17/SER_summary!G$27)</f>
        <v>15.240748936796617</v>
      </c>
      <c r="H17" s="133">
        <f>IF(SER_hh_fech_in!H17=0,0,SER_hh_fech_in!H17/SER_summary!H$27)</f>
        <v>16.958249277893806</v>
      </c>
      <c r="I17" s="133">
        <f>IF(SER_hh_fech_in!I17=0,0,SER_hh_fech_in!I17/SER_summary!I$27)</f>
        <v>12.582994682834531</v>
      </c>
      <c r="J17" s="133">
        <f>IF(SER_hh_fech_in!J17=0,0,SER_hh_fech_in!J17/SER_summary!J$27)</f>
        <v>13.153626073825434</v>
      </c>
      <c r="K17" s="133">
        <f>IF(SER_hh_fech_in!K17=0,0,SER_hh_fech_in!K17/SER_summary!K$27)</f>
        <v>16.632842753307258</v>
      </c>
      <c r="L17" s="133">
        <f>IF(SER_hh_fech_in!L17=0,0,SER_hh_fech_in!L17/SER_summary!L$27)</f>
        <v>15.542566225070257</v>
      </c>
      <c r="M17" s="133">
        <f>IF(SER_hh_fech_in!M17=0,0,SER_hh_fech_in!M17/SER_summary!M$27)</f>
        <v>13.741070130067484</v>
      </c>
      <c r="N17" s="133">
        <f>IF(SER_hh_fech_in!N17=0,0,SER_hh_fech_in!N17/SER_summary!N$27)</f>
        <v>16.23442679231826</v>
      </c>
      <c r="O17" s="133">
        <f>IF(SER_hh_fech_in!O17=0,0,SER_hh_fech_in!O17/SER_summary!O$27)</f>
        <v>12.830469607439987</v>
      </c>
      <c r="P17" s="133">
        <f>IF(SER_hh_fech_in!P17=0,0,SER_hh_fech_in!P17/SER_summary!P$27)</f>
        <v>11.516189589098342</v>
      </c>
      <c r="Q17" s="133">
        <f>IF(SER_hh_fech_in!Q17=0,0,SER_hh_fech_in!Q17/SER_summary!Q$27)</f>
        <v>16.371680997657023</v>
      </c>
      <c r="R17" s="133">
        <f>IF(SER_hh_fech_in!R17=0,0,SER_hh_fech_in!R17/SER_summary!R$27)</f>
        <v>15.603561461699931</v>
      </c>
      <c r="S17" s="133">
        <f>IF(SER_hh_fech_in!S17=0,0,SER_hh_fech_in!S17/SER_summary!S$27)</f>
        <v>17.622481339809891</v>
      </c>
      <c r="T17" s="133">
        <f>IF(SER_hh_fech_in!T17=0,0,SER_hh_fech_in!T17/SER_summary!T$27)</f>
        <v>12.185593364346593</v>
      </c>
      <c r="U17" s="133">
        <f>IF(SER_hh_fech_in!U17=0,0,SER_hh_fech_in!U17/SER_summary!U$27)</f>
        <v>12.181591518371455</v>
      </c>
      <c r="V17" s="133">
        <f>IF(SER_hh_fech_in!V17=0,0,SER_hh_fech_in!V17/SER_summary!V$27)</f>
        <v>12.036440841168126</v>
      </c>
      <c r="W17" s="133">
        <f>IF(SER_hh_fech_in!W17=0,0,SER_hh_fech_in!W17/SER_summary!W$27)</f>
        <v>10.862894562720069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8.2578971773543905</v>
      </c>
      <c r="D18" s="133">
        <f>IF(SER_hh_fech_in!D18=0,0,SER_hh_fech_in!D18/SER_summary!D$27)</f>
        <v>7.0743648291019454</v>
      </c>
      <c r="E18" s="133">
        <f>IF(SER_hh_fech_in!E18=0,0,SER_hh_fech_in!E18/SER_summary!E$27)</f>
        <v>10.428140839666069</v>
      </c>
      <c r="F18" s="133">
        <f>IF(SER_hh_fech_in!F18=0,0,SER_hh_fech_in!F18/SER_summary!F$27)</f>
        <v>7.6491400345893581</v>
      </c>
      <c r="G18" s="133">
        <f>IF(SER_hh_fech_in!G18=0,0,SER_hh_fech_in!G18/SER_summary!G$27)</f>
        <v>7.7327672499380897</v>
      </c>
      <c r="H18" s="133">
        <f>IF(SER_hh_fech_in!H18=0,0,SER_hh_fech_in!H18/SER_summary!H$27)</f>
        <v>8.3773299310232101</v>
      </c>
      <c r="I18" s="133">
        <f>IF(SER_hh_fech_in!I18=0,0,SER_hh_fech_in!I18/SER_summary!I$27)</f>
        <v>6.0499131488841691</v>
      </c>
      <c r="J18" s="133">
        <f>IF(SER_hh_fech_in!J18=0,0,SER_hh_fech_in!J18/SER_summary!J$27)</f>
        <v>6.155997925766278</v>
      </c>
      <c r="K18" s="133">
        <f>IF(SER_hh_fech_in!K18=0,0,SER_hh_fech_in!K18/SER_summary!K$27)</f>
        <v>7.5878551700576571</v>
      </c>
      <c r="L18" s="133">
        <f>IF(SER_hh_fech_in!L18=0,0,SER_hh_fech_in!L18/SER_summary!L$27)</f>
        <v>6.903043255594028</v>
      </c>
      <c r="M18" s="133">
        <f>IF(SER_hh_fech_in!M18=0,0,SER_hh_fech_in!M18/SER_summary!M$27)</f>
        <v>5.9400488394500464</v>
      </c>
      <c r="N18" s="133">
        <f>IF(SER_hh_fech_in!N18=0,0,SER_hh_fech_in!N18/SER_summary!N$27)</f>
        <v>6.8240524596496721</v>
      </c>
      <c r="O18" s="133">
        <f>IF(SER_hh_fech_in!O18=0,0,SER_hh_fech_in!O18/SER_summary!O$27)</f>
        <v>5.2532334409991934</v>
      </c>
      <c r="P18" s="133">
        <f>IF(SER_hh_fech_in!P18=0,0,SER_hh_fech_in!P18/SER_summary!P$27)</f>
        <v>4.6143942253884402</v>
      </c>
      <c r="Q18" s="133">
        <f>IF(SER_hh_fech_in!Q18=0,0,SER_hh_fech_in!Q18/SER_summary!Q$27)</f>
        <v>6.4657756547611163</v>
      </c>
      <c r="R18" s="133">
        <f>IF(SER_hh_fech_in!R18=0,0,SER_hh_fech_in!R18/SER_summary!R$27)</f>
        <v>6.1353076074790946</v>
      </c>
      <c r="S18" s="133">
        <f>IF(SER_hh_fech_in!S18=0,0,SER_hh_fech_in!S18/SER_summary!S$27)</f>
        <v>6.9456947888169189</v>
      </c>
      <c r="T18" s="133">
        <f>IF(SER_hh_fech_in!T18=0,0,SER_hh_fech_in!T18/SER_summary!T$27)</f>
        <v>4.8340283908955284</v>
      </c>
      <c r="U18" s="133">
        <f>IF(SER_hh_fech_in!U18=0,0,SER_hh_fech_in!U18/SER_summary!U$27)</f>
        <v>4.8890258339542694</v>
      </c>
      <c r="V18" s="133">
        <f>IF(SER_hh_fech_in!V18=0,0,SER_hh_fech_in!V18/SER_summary!V$27)</f>
        <v>5.5017306659351055</v>
      </c>
      <c r="W18" s="133">
        <f>IF(SER_hh_fech_in!W18=0,0,SER_hh_fech_in!W18/SER_summary!W$27)</f>
        <v>4.4160182805355799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6.0257670278808995</v>
      </c>
      <c r="D19" s="131">
        <f>IF(SER_hh_fech_in!D19=0,0,SER_hh_fech_in!D19/SER_summary!D$27)</f>
        <v>6.5319570306624293</v>
      </c>
      <c r="E19" s="131">
        <f>IF(SER_hh_fech_in!E19=0,0,SER_hh_fech_in!E19/SER_summary!E$27)</f>
        <v>6.4902214198118306</v>
      </c>
      <c r="F19" s="131">
        <f>IF(SER_hh_fech_in!F19=0,0,SER_hh_fech_in!F19/SER_summary!F$27)</f>
        <v>6.6023420994859201</v>
      </c>
      <c r="G19" s="131">
        <f>IF(SER_hh_fech_in!G19=0,0,SER_hh_fech_in!G19/SER_summary!G$27)</f>
        <v>6.1917956820700448</v>
      </c>
      <c r="H19" s="131">
        <f>IF(SER_hh_fech_in!H19=0,0,SER_hh_fech_in!H19/SER_summary!H$27)</f>
        <v>7.63284112623134</v>
      </c>
      <c r="I19" s="131">
        <f>IF(SER_hh_fech_in!I19=0,0,SER_hh_fech_in!I19/SER_summary!I$27)</f>
        <v>6.8840307291679022</v>
      </c>
      <c r="J19" s="131">
        <f>IF(SER_hh_fech_in!J19=0,0,SER_hh_fech_in!J19/SER_summary!J$27)</f>
        <v>6.422604511833061</v>
      </c>
      <c r="K19" s="131">
        <f>IF(SER_hh_fech_in!K19=0,0,SER_hh_fech_in!K19/SER_summary!K$27)</f>
        <v>5.4229134361378577</v>
      </c>
      <c r="L19" s="131">
        <f>IF(SER_hh_fech_in!L19=0,0,SER_hh_fech_in!L19/SER_summary!L$27)</f>
        <v>6.3513384108294666</v>
      </c>
      <c r="M19" s="131">
        <f>IF(SER_hh_fech_in!M19=0,0,SER_hh_fech_in!M19/SER_summary!M$27)</f>
        <v>6.0859844439339534</v>
      </c>
      <c r="N19" s="131">
        <f>IF(SER_hh_fech_in!N19=0,0,SER_hh_fech_in!N19/SER_summary!N$27)</f>
        <v>6.1961797371342922</v>
      </c>
      <c r="O19" s="131">
        <f>IF(SER_hh_fech_in!O19=0,0,SER_hh_fech_in!O19/SER_summary!O$27)</f>
        <v>6.6332212367154213</v>
      </c>
      <c r="P19" s="131">
        <f>IF(SER_hh_fech_in!P19=0,0,SER_hh_fech_in!P19/SER_summary!P$27)</f>
        <v>6.2609329723729177</v>
      </c>
      <c r="Q19" s="131">
        <f>IF(SER_hh_fech_in!Q19=0,0,SER_hh_fech_in!Q19/SER_summary!Q$27)</f>
        <v>5.4895402141940774</v>
      </c>
      <c r="R19" s="131">
        <f>IF(SER_hh_fech_in!R19=0,0,SER_hh_fech_in!R19/SER_summary!R$27)</f>
        <v>5.0787424115469433</v>
      </c>
      <c r="S19" s="131">
        <f>IF(SER_hh_fech_in!S19=0,0,SER_hh_fech_in!S19/SER_summary!S$27)</f>
        <v>4.5176663931903409</v>
      </c>
      <c r="T19" s="131">
        <f>IF(SER_hh_fech_in!T19=0,0,SER_hh_fech_in!T19/SER_summary!T$27)</f>
        <v>5.0198783587940268</v>
      </c>
      <c r="U19" s="131">
        <f>IF(SER_hh_fech_in!U19=0,0,SER_hh_fech_in!U19/SER_summary!U$27)</f>
        <v>4.7207561008353283</v>
      </c>
      <c r="V19" s="131">
        <f>IF(SER_hh_fech_in!V19=0,0,SER_hh_fech_in!V19/SER_summary!V$27)</f>
        <v>4.4299566973145303</v>
      </c>
      <c r="W19" s="131">
        <f>IF(SER_hh_fech_in!W19=0,0,SER_hh_fech_in!W19/SER_summary!W$27)</f>
        <v>4.7651593967655534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6.8875932982686159</v>
      </c>
      <c r="D21" s="133">
        <f>IF(SER_hh_fech_in!D21=0,0,SER_hh_fech_in!D21/SER_summary!D$27)</f>
        <v>7.4914932983247651</v>
      </c>
      <c r="E21" s="133">
        <f>IF(SER_hh_fech_in!E21=0,0,SER_hh_fech_in!E21/SER_summary!E$27)</f>
        <v>7.6064028732201274</v>
      </c>
      <c r="F21" s="133">
        <f>IF(SER_hh_fech_in!F21=0,0,SER_hh_fech_in!F21/SER_summary!F$27)</f>
        <v>7.4280845535642461</v>
      </c>
      <c r="G21" s="133">
        <f>IF(SER_hh_fech_in!G21=0,0,SER_hh_fech_in!G21/SER_summary!G$27)</f>
        <v>7.4150918344632313</v>
      </c>
      <c r="H21" s="133">
        <f>IF(SER_hh_fech_in!H21=0,0,SER_hh_fech_in!H21/SER_summary!H$27)</f>
        <v>7.5393584529018236</v>
      </c>
      <c r="I21" s="133">
        <f>IF(SER_hh_fech_in!I21=0,0,SER_hh_fech_in!I21/SER_summary!I$27)</f>
        <v>7.7084361121701122</v>
      </c>
      <c r="J21" s="133">
        <f>IF(SER_hh_fech_in!J21=0,0,SER_hh_fech_in!J21/SER_summary!J$27)</f>
        <v>7.546462262941013</v>
      </c>
      <c r="K21" s="133">
        <f>IF(SER_hh_fech_in!K21=0,0,SER_hh_fech_in!K21/SER_summary!K$27)</f>
        <v>5.9683538929237807</v>
      </c>
      <c r="L21" s="133">
        <f>IF(SER_hh_fech_in!L21=0,0,SER_hh_fech_in!L21/SER_summary!L$27)</f>
        <v>7.7116154462011153</v>
      </c>
      <c r="M21" s="133">
        <f>IF(SER_hh_fech_in!M21=0,0,SER_hh_fech_in!M21/SER_summary!M$27)</f>
        <v>7.3564939367805229</v>
      </c>
      <c r="N21" s="133">
        <f>IF(SER_hh_fech_in!N21=0,0,SER_hh_fech_in!N21/SER_summary!N$27)</f>
        <v>7.2431400417870648</v>
      </c>
      <c r="O21" s="133">
        <f>IF(SER_hh_fech_in!O21=0,0,SER_hh_fech_in!O21/SER_summary!O$27)</f>
        <v>6.968382938733761</v>
      </c>
      <c r="P21" s="133">
        <f>IF(SER_hh_fech_in!P21=0,0,SER_hh_fech_in!P21/SER_summary!P$27)</f>
        <v>5.6944584900362587</v>
      </c>
      <c r="Q21" s="133">
        <f>IF(SER_hh_fech_in!Q21=0,0,SER_hh_fech_in!Q21/SER_summary!Q$27)</f>
        <v>5.8311896470274531</v>
      </c>
      <c r="R21" s="133">
        <f>IF(SER_hh_fech_in!R21=0,0,SER_hh_fech_in!R21/SER_summary!R$27)</f>
        <v>5.6654926057745181</v>
      </c>
      <c r="S21" s="133">
        <f>IF(SER_hh_fech_in!S21=0,0,SER_hh_fech_in!S21/SER_summary!S$27)</f>
        <v>5.4077299596686021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5.0621366593805703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7.4816567566459797</v>
      </c>
      <c r="D22" s="133">
        <f>IF(SER_hh_fech_in!D22=0,0,SER_hh_fech_in!D22/SER_summary!D$27)</f>
        <v>7.9220074739034931</v>
      </c>
      <c r="E22" s="133">
        <f>IF(SER_hh_fech_in!E22=0,0,SER_hh_fech_in!E22/SER_summary!E$27)</f>
        <v>7.891711229489573</v>
      </c>
      <c r="F22" s="133">
        <f>IF(SER_hh_fech_in!F22=0,0,SER_hh_fech_in!F22/SER_summary!F$27)</f>
        <v>8.1039573803087279</v>
      </c>
      <c r="G22" s="133">
        <f>IF(SER_hh_fech_in!G22=0,0,SER_hh_fech_in!G22/SER_summary!G$27)</f>
        <v>8.1043440890723293</v>
      </c>
      <c r="H22" s="133">
        <f>IF(SER_hh_fech_in!H22=0,0,SER_hh_fech_in!H22/SER_summary!H$27)</f>
        <v>7.9168057787992883</v>
      </c>
      <c r="I22" s="133">
        <f>IF(SER_hh_fech_in!I22=0,0,SER_hh_fech_in!I22/SER_summary!I$27)</f>
        <v>8.1029483046043129</v>
      </c>
      <c r="J22" s="133">
        <f>IF(SER_hh_fech_in!J22=0,0,SER_hh_fech_in!J22/SER_summary!J$27)</f>
        <v>7.8264068535550235</v>
      </c>
      <c r="K22" s="133">
        <f>IF(SER_hh_fech_in!K22=0,0,SER_hh_fech_in!K22/SER_summary!K$27)</f>
        <v>5.9681413995045833</v>
      </c>
      <c r="L22" s="133">
        <f>IF(SER_hh_fech_in!L22=0,0,SER_hh_fech_in!L22/SER_summary!L$27)</f>
        <v>7.9863729236848586</v>
      </c>
      <c r="M22" s="133">
        <f>IF(SER_hh_fech_in!M22=0,0,SER_hh_fech_in!M22/SER_summary!M$27)</f>
        <v>7.6178978253379848</v>
      </c>
      <c r="N22" s="133">
        <f>IF(SER_hh_fech_in!N22=0,0,SER_hh_fech_in!N22/SER_summary!N$27)</f>
        <v>7.5691315322810926</v>
      </c>
      <c r="O22" s="133">
        <f>IF(SER_hh_fech_in!O22=0,0,SER_hh_fech_in!O22/SER_summary!O$27)</f>
        <v>7.1346575302412161</v>
      </c>
      <c r="P22" s="133">
        <f>IF(SER_hh_fech_in!P22=0,0,SER_hh_fech_in!P22/SER_summary!P$27)</f>
        <v>5.7550028799857857</v>
      </c>
      <c r="Q22" s="133">
        <f>IF(SER_hh_fech_in!Q22=0,0,SER_hh_fech_in!Q22/SER_summary!Q$27)</f>
        <v>6.0596588303706556</v>
      </c>
      <c r="R22" s="133">
        <f>IF(SER_hh_fech_in!R22=0,0,SER_hh_fech_in!R22/SER_summary!R$27)</f>
        <v>5.8775726936907891</v>
      </c>
      <c r="S22" s="133">
        <f>IF(SER_hh_fech_in!S22=0,0,SER_hh_fech_in!S22/SER_summary!S$27)</f>
        <v>5.4653235225078056</v>
      </c>
      <c r="T22" s="133">
        <f>IF(SER_hh_fech_in!T22=0,0,SER_hh_fech_in!T22/SER_summary!T$27)</f>
        <v>5.3998464252156575</v>
      </c>
      <c r="U22" s="133">
        <f>IF(SER_hh_fech_in!U22=0,0,SER_hh_fech_in!U22/SER_summary!U$27)</f>
        <v>5.0751058322667841</v>
      </c>
      <c r="V22" s="133">
        <f>IF(SER_hh_fech_in!V22=0,0,SER_hh_fech_in!V22/SER_summary!V$27)</f>
        <v>4.5176872591169053</v>
      </c>
      <c r="W22" s="133">
        <f>IF(SER_hh_fech_in!W22=0,0,SER_hh_fech_in!W22/SER_summary!W$27)</f>
        <v>5.0472183293719324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5.9204454808684996</v>
      </c>
      <c r="G23" s="133">
        <f>IF(SER_hh_fech_in!G23=0,0,SER_hh_fech_in!G23/SER_summary!G$27)</f>
        <v>5.234497463717859</v>
      </c>
      <c r="H23" s="133">
        <f>IF(SER_hh_fech_in!H23=0,0,SER_hh_fech_in!H23/SER_summary!H$27)</f>
        <v>8.5918613874314271</v>
      </c>
      <c r="I23" s="133">
        <f>IF(SER_hh_fech_in!I23=0,0,SER_hh_fech_in!I23/SER_summary!I$27)</f>
        <v>7.700562978008775</v>
      </c>
      <c r="J23" s="133">
        <f>IF(SER_hh_fech_in!J23=0,0,SER_hh_fech_in!J23/SER_summary!J$27)</f>
        <v>7.0034641102185873</v>
      </c>
      <c r="K23" s="133">
        <f>IF(SER_hh_fech_in!K23=0,0,SER_hh_fech_in!K23/SER_summary!K$27)</f>
        <v>4.7966125228047485</v>
      </c>
      <c r="L23" s="133">
        <f>IF(SER_hh_fech_in!L23=0,0,SER_hh_fech_in!L23/SER_summary!L$27)</f>
        <v>6.9672281288513052</v>
      </c>
      <c r="M23" s="133">
        <f>IF(SER_hh_fech_in!M23=0,0,SER_hh_fech_in!M23/SER_summary!M$27)</f>
        <v>6.3716811113201679</v>
      </c>
      <c r="N23" s="133">
        <f>IF(SER_hh_fech_in!N23=0,0,SER_hh_fech_in!N23/SER_summary!N$27)</f>
        <v>6.357538117768418</v>
      </c>
      <c r="O23" s="133">
        <f>IF(SER_hh_fech_in!O23=0,0,SER_hh_fech_in!O23/SER_summary!O$27)</f>
        <v>6.3675767616313594</v>
      </c>
      <c r="P23" s="133">
        <f>IF(SER_hh_fech_in!P23=0,0,SER_hh_fech_in!P23/SER_summary!P$27)</f>
        <v>5.1286073692342748</v>
      </c>
      <c r="Q23" s="133">
        <f>IF(SER_hh_fech_in!Q23=0,0,SER_hh_fech_in!Q23/SER_summary!Q$27)</f>
        <v>5.1773910697120131</v>
      </c>
      <c r="R23" s="133">
        <f>IF(SER_hh_fech_in!R23=0,0,SER_hh_fech_in!R23/SER_summary!R$27)</f>
        <v>5.1475611968652801</v>
      </c>
      <c r="S23" s="133">
        <f>IF(SER_hh_fech_in!S23=0,0,SER_hh_fech_in!S23/SER_summary!S$27)</f>
        <v>5.0173343302176532</v>
      </c>
      <c r="T23" s="133">
        <f>IF(SER_hh_fech_in!T23=0,0,SER_hh_fech_in!T23/SER_summary!T$27)</f>
        <v>4.991940162331832</v>
      </c>
      <c r="U23" s="133">
        <f>IF(SER_hh_fech_in!U23=0,0,SER_hh_fech_in!U23/SER_summary!U$27)</f>
        <v>4.908934684951034</v>
      </c>
      <c r="V23" s="133">
        <f>IF(SER_hh_fech_in!V23=0,0,SER_hh_fech_in!V23/SER_summary!V$27)</f>
        <v>4.2615857086004798</v>
      </c>
      <c r="W23" s="133">
        <f>IF(SER_hh_fech_in!W23=0,0,SER_hh_fech_in!W23/SER_summary!W$27)</f>
        <v>4.9360715540830302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4.9508251671792358</v>
      </c>
      <c r="D26" s="65">
        <f>IF(SER_hh_fech_in!D26=0,0,SER_hh_fech_in!D26/SER_summary!D$27)</f>
        <v>6.061245884470166</v>
      </c>
      <c r="E26" s="65">
        <f>IF(SER_hh_fech_in!E26=0,0,SER_hh_fech_in!E26/SER_summary!E$27)</f>
        <v>5.4906670384981782</v>
      </c>
      <c r="F26" s="65">
        <f>IF(SER_hh_fech_in!F26=0,0,SER_hh_fech_in!F26/SER_summary!F$27)</f>
        <v>5.7452563259864391</v>
      </c>
      <c r="G26" s="65">
        <f>IF(SER_hh_fech_in!G26=0,0,SER_hh_fech_in!G26/SER_summary!G$27)</f>
        <v>4.8274751438429391</v>
      </c>
      <c r="H26" s="65">
        <f>IF(SER_hh_fech_in!H26=0,0,SER_hh_fech_in!H26/SER_summary!H$27)</f>
        <v>3.7158877623336597</v>
      </c>
      <c r="I26" s="65">
        <f>IF(SER_hh_fech_in!I26=0,0,SER_hh_fech_in!I26/SER_summary!I$27)</f>
        <v>5.3131604311459641</v>
      </c>
      <c r="J26" s="65">
        <f>IF(SER_hh_fech_in!J26=0,0,SER_hh_fech_in!J26/SER_summary!J$27)</f>
        <v>4.5382496760559725</v>
      </c>
      <c r="K26" s="65">
        <f>IF(SER_hh_fech_in!K26=0,0,SER_hh_fech_in!K26/SER_summary!K$27)</f>
        <v>0.49985709213569551</v>
      </c>
      <c r="L26" s="65">
        <f>IF(SER_hh_fech_in!L26=0,0,SER_hh_fech_in!L26/SER_summary!L$27)</f>
        <v>3.558087758423683</v>
      </c>
      <c r="M26" s="65">
        <f>IF(SER_hh_fech_in!M26=0,0,SER_hh_fech_in!M26/SER_summary!M$27)</f>
        <v>0.81144619702319076</v>
      </c>
      <c r="N26" s="65">
        <f>IF(SER_hh_fech_in!N26=0,0,SER_hh_fech_in!N26/SER_summary!N$27)</f>
        <v>0.48044427574744447</v>
      </c>
      <c r="O26" s="65">
        <f>IF(SER_hh_fech_in!O26=0,0,SER_hh_fech_in!O26/SER_summary!O$27)</f>
        <v>5.7422318072845275</v>
      </c>
      <c r="P26" s="65">
        <f>IF(SER_hh_fech_in!P26=0,0,SER_hh_fech_in!P26/SER_summary!P$27)</f>
        <v>0</v>
      </c>
      <c r="Q26" s="65">
        <f>IF(SER_hh_fech_in!Q26=0,0,SER_hh_fech_in!Q26/SER_summary!Q$27)</f>
        <v>5.2329376749816074E-2</v>
      </c>
      <c r="R26" s="65">
        <f>IF(SER_hh_fech_in!R26=0,0,SER_hh_fech_in!R26/SER_summary!R$27)</f>
        <v>0.66397408083453502</v>
      </c>
      <c r="S26" s="65">
        <f>IF(SER_hh_fech_in!S26=0,0,SER_hh_fech_in!S26/SER_summary!S$27)</f>
        <v>4.4409095901001033E-2</v>
      </c>
      <c r="T26" s="65">
        <f>IF(SER_hh_fech_in!T26=0,0,SER_hh_fech_in!T26/SER_summary!T$27)</f>
        <v>4.3462748373471296</v>
      </c>
      <c r="U26" s="65">
        <f>IF(SER_hh_fech_in!U26=0,0,SER_hh_fech_in!U26/SER_summary!U$27)</f>
        <v>0.39088391467296629</v>
      </c>
      <c r="V26" s="65">
        <f>IF(SER_hh_fech_in!V26=0,0,SER_hh_fech_in!V26/SER_summary!V$27)</f>
        <v>3.9125547786413424E-2</v>
      </c>
      <c r="W26" s="65">
        <f>IF(SER_hh_fech_in!W26=0,0,SER_hh_fech_in!W26/SER_summary!W$27)</f>
        <v>4.2496968983727248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0.54142601007252822</v>
      </c>
      <c r="D27" s="146">
        <f>IF(SER_hh_fech_in!D27=0,0,SER_hh_fech_in!D27/SER_summary!D$27)</f>
        <v>0.12795057820855782</v>
      </c>
      <c r="E27" s="146">
        <f>IF(SER_hh_fech_in!E27=0,0,SER_hh_fech_in!E27/SER_summary!E$27)</f>
        <v>0.4971930713768215</v>
      </c>
      <c r="F27" s="146">
        <f>IF(SER_hh_fech_in!F27=0,0,SER_hh_fech_in!F27/SER_summary!F$27)</f>
        <v>0.43456669296898204</v>
      </c>
      <c r="G27" s="146">
        <f>IF(SER_hh_fech_in!G27=0,0,SER_hh_fech_in!G27/SER_summary!G$27)</f>
        <v>0.60987608227727708</v>
      </c>
      <c r="H27" s="146">
        <f>IF(SER_hh_fech_in!H27=0,0,SER_hh_fech_in!H27/SER_summary!H$27)</f>
        <v>0.58448411140944978</v>
      </c>
      <c r="I27" s="146">
        <f>IF(SER_hh_fech_in!I27=0,0,SER_hh_fech_in!I27/SER_summary!I$27)</f>
        <v>0.34534193907531668</v>
      </c>
      <c r="J27" s="146">
        <f>IF(SER_hh_fech_in!J27=0,0,SER_hh_fech_in!J27/SER_summary!J$27)</f>
        <v>0.81122827513796758</v>
      </c>
      <c r="K27" s="146">
        <f>IF(SER_hh_fech_in!K27=0,0,SER_hh_fech_in!K27/SER_summary!K$27)</f>
        <v>2.5958089813289726</v>
      </c>
      <c r="L27" s="146">
        <f>IF(SER_hh_fech_in!L27=0,0,SER_hh_fech_in!L27/SER_summary!L$27)</f>
        <v>1.1270815344064431</v>
      </c>
      <c r="M27" s="146">
        <f>IF(SER_hh_fech_in!M27=0,0,SER_hh_fech_in!M27/SER_summary!M$27)</f>
        <v>1.7095233203728717</v>
      </c>
      <c r="N27" s="146">
        <f>IF(SER_hh_fech_in!N27=0,0,SER_hh_fech_in!N27/SER_summary!N$27)</f>
        <v>1.1470978405879928</v>
      </c>
      <c r="O27" s="146">
        <f>IF(SER_hh_fech_in!O27=0,0,SER_hh_fech_in!O27/SER_summary!O$27)</f>
        <v>5.5021344581277075E-2</v>
      </c>
      <c r="P27" s="146">
        <f>IF(SER_hh_fech_in!P27=0,0,SER_hh_fech_in!P27/SER_summary!P$27)</f>
        <v>0.84071739054062544</v>
      </c>
      <c r="Q27" s="146">
        <f>IF(SER_hh_fech_in!Q27=0,0,SER_hh_fech_in!Q27/SER_summary!Q$27)</f>
        <v>1.219510154010641</v>
      </c>
      <c r="R27" s="146">
        <f>IF(SER_hh_fech_in!R27=0,0,SER_hh_fech_in!R27/SER_summary!R$27)</f>
        <v>1.3393737638807781</v>
      </c>
      <c r="S27" s="146">
        <f>IF(SER_hh_fech_in!S27=0,0,SER_hh_fech_in!S27/SER_summary!S$27)</f>
        <v>1.8808468136318053</v>
      </c>
      <c r="T27" s="146">
        <f>IF(SER_hh_fech_in!T27=0,0,SER_hh_fech_in!T27/SER_summary!T$27)</f>
        <v>0.27778582536170232</v>
      </c>
      <c r="U27" s="146">
        <f>IF(SER_hh_fech_in!U27=0,0,SER_hh_fech_in!U27/SER_summary!U$27)</f>
        <v>1.3186676812996458</v>
      </c>
      <c r="V27" s="146">
        <f>IF(SER_hh_fech_in!V27=0,0,SER_hh_fech_in!V27/SER_summary!V$27)</f>
        <v>0.7383451821833239</v>
      </c>
      <c r="W27" s="146">
        <f>IF(SER_hh_fech_in!W27=0,0,SER_hh_fech_in!W27/SER_summary!W$27)</f>
        <v>2.6017695589464419E-14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2.886031922260893</v>
      </c>
      <c r="D28" s="147">
        <f>IF(SER_hh_fech_in!D28=0,0,SER_hh_fech_in!D28/SER_summary!D$27)</f>
        <v>3.5087093784360519</v>
      </c>
      <c r="E28" s="147">
        <f>IF(SER_hh_fech_in!E28=0,0,SER_hh_fech_in!E28/SER_summary!E$27)</f>
        <v>3.6506971145553386</v>
      </c>
      <c r="F28" s="147">
        <f>IF(SER_hh_fech_in!F28=0,0,SER_hh_fech_in!F28/SER_summary!F$27)</f>
        <v>3.7508940590669226</v>
      </c>
      <c r="G28" s="147">
        <f>IF(SER_hh_fech_in!G28=0,0,SER_hh_fech_in!G28/SER_summary!G$27)</f>
        <v>3.7383574603750755</v>
      </c>
      <c r="H28" s="147">
        <f>IF(SER_hh_fech_in!H28=0,0,SER_hh_fech_in!H28/SER_summary!H$27)</f>
        <v>3.7856702226066044</v>
      </c>
      <c r="I28" s="147">
        <f>IF(SER_hh_fech_in!I28=0,0,SER_hh_fech_in!I28/SER_summary!I$27)</f>
        <v>3.7223249111528331</v>
      </c>
      <c r="J28" s="147">
        <f>IF(SER_hh_fech_in!J28=0,0,SER_hh_fech_in!J28/SER_summary!J$27)</f>
        <v>3.7809963692360689</v>
      </c>
      <c r="K28" s="147">
        <f>IF(SER_hh_fech_in!K28=0,0,SER_hh_fech_in!K28/SER_summary!K$27)</f>
        <v>3.7987995317683541</v>
      </c>
      <c r="L28" s="147">
        <f>IF(SER_hh_fech_in!L28=0,0,SER_hh_fech_in!L28/SER_summary!L$27)</f>
        <v>3.8808970615728771</v>
      </c>
      <c r="M28" s="147">
        <f>IF(SER_hh_fech_in!M28=0,0,SER_hh_fech_in!M28/SER_summary!M$27)</f>
        <v>3.7851276295986342</v>
      </c>
      <c r="N28" s="147">
        <f>IF(SER_hh_fech_in!N28=0,0,SER_hh_fech_in!N28/SER_summary!N$27)</f>
        <v>3.8236789003248797</v>
      </c>
      <c r="O28" s="147">
        <f>IF(SER_hh_fech_in!O28=0,0,SER_hh_fech_in!O28/SER_summary!O$27)</f>
        <v>4.0610747474139739</v>
      </c>
      <c r="P28" s="147">
        <f>IF(SER_hh_fech_in!P28=0,0,SER_hh_fech_in!P28/SER_summary!P$27)</f>
        <v>2.8503164147021032</v>
      </c>
      <c r="Q28" s="147">
        <f>IF(SER_hh_fech_in!Q28=0,0,SER_hh_fech_in!Q28/SER_summary!Q$27)</f>
        <v>4.2049728044766184</v>
      </c>
      <c r="R28" s="147">
        <f>IF(SER_hh_fech_in!R28=0,0,SER_hh_fech_in!R28/SER_summary!R$27)</f>
        <v>4.0178545201875444</v>
      </c>
      <c r="S28" s="147">
        <f>IF(SER_hh_fech_in!S28=0,0,SER_hh_fech_in!S28/SER_summary!S$27)</f>
        <v>3.6899208768199614</v>
      </c>
      <c r="T28" s="147">
        <f>IF(SER_hh_fech_in!T28=0,0,SER_hh_fech_in!T28/SER_summary!T$27)</f>
        <v>3.8956401927604101</v>
      </c>
      <c r="U28" s="147">
        <f>IF(SER_hh_fech_in!U28=0,0,SER_hh_fech_in!U28/SER_summary!U$27)</f>
        <v>3.6898687037386431</v>
      </c>
      <c r="V28" s="147">
        <f>IF(SER_hh_fech_in!V28=0,0,SER_hh_fech_in!V28/SER_summary!V$27)</f>
        <v>3.2356899393964929</v>
      </c>
      <c r="W28" s="147">
        <f>IF(SER_hh_fech_in!W28=0,0,SER_hh_fech_in!W28/SER_summary!W$27)</f>
        <v>3.9975996111897185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7.3033256305391916</v>
      </c>
      <c r="D29" s="131">
        <f>IF(SER_hh_fech_in!D29=0,0,SER_hh_fech_in!D29/SER_summary!D$27)</f>
        <v>6.9097961140761717</v>
      </c>
      <c r="E29" s="131">
        <f>IF(SER_hh_fech_in!E29=0,0,SER_hh_fech_in!E29/SER_summary!E$27)</f>
        <v>6.6296928067126268</v>
      </c>
      <c r="F29" s="131">
        <f>IF(SER_hh_fech_in!F29=0,0,SER_hh_fech_in!F29/SER_summary!F$27)</f>
        <v>7.4293661974929348</v>
      </c>
      <c r="G29" s="131">
        <f>IF(SER_hh_fech_in!G29=0,0,SER_hh_fech_in!G29/SER_summary!G$27)</f>
        <v>7.1994324267636189</v>
      </c>
      <c r="H29" s="131">
        <f>IF(SER_hh_fech_in!H29=0,0,SER_hh_fech_in!H29/SER_summary!H$27)</f>
        <v>7.5256727212725467</v>
      </c>
      <c r="I29" s="131">
        <f>IF(SER_hh_fech_in!I29=0,0,SER_hh_fech_in!I29/SER_summary!I$27)</f>
        <v>7.5031886152012746</v>
      </c>
      <c r="J29" s="131">
        <f>IF(SER_hh_fech_in!J29=0,0,SER_hh_fech_in!J29/SER_summary!J$27)</f>
        <v>7.6960321434928529</v>
      </c>
      <c r="K29" s="131">
        <f>IF(SER_hh_fech_in!K29=0,0,SER_hh_fech_in!K29/SER_summary!K$27)</f>
        <v>7.818056368759736</v>
      </c>
      <c r="L29" s="131">
        <f>IF(SER_hh_fech_in!L29=0,0,SER_hh_fech_in!L29/SER_summary!L$27)</f>
        <v>7.9323505860083241</v>
      </c>
      <c r="M29" s="131">
        <f>IF(SER_hh_fech_in!M29=0,0,SER_hh_fech_in!M29/SER_summary!M$27)</f>
        <v>8.2627973914765729</v>
      </c>
      <c r="N29" s="131">
        <f>IF(SER_hh_fech_in!N29=0,0,SER_hh_fech_in!N29/SER_summary!N$27)</f>
        <v>8.2301318045137233</v>
      </c>
      <c r="O29" s="131">
        <f>IF(SER_hh_fech_in!O29=0,0,SER_hh_fech_in!O29/SER_summary!O$27)</f>
        <v>8.0520099100325258</v>
      </c>
      <c r="P29" s="131">
        <f>IF(SER_hh_fech_in!P29=0,0,SER_hh_fech_in!P29/SER_summary!P$27)</f>
        <v>10.327722421116833</v>
      </c>
      <c r="Q29" s="131">
        <f>IF(SER_hh_fech_in!Q29=0,0,SER_hh_fech_in!Q29/SER_summary!Q$27)</f>
        <v>9.7860497320388564</v>
      </c>
      <c r="R29" s="131">
        <f>IF(SER_hh_fech_in!R29=0,0,SER_hh_fech_in!R29/SER_summary!R$27)</f>
        <v>8.9441306548723887</v>
      </c>
      <c r="S29" s="131">
        <f>IF(SER_hh_fech_in!S29=0,0,SER_hh_fech_in!S29/SER_summary!S$27)</f>
        <v>7.6360908671297043</v>
      </c>
      <c r="T29" s="131">
        <f>IF(SER_hh_fech_in!T29=0,0,SER_hh_fech_in!T29/SER_summary!T$27)</f>
        <v>7.6242121449266138</v>
      </c>
      <c r="U29" s="131">
        <f>IF(SER_hh_fech_in!U29=0,0,SER_hh_fech_in!U29/SER_summary!U$27)</f>
        <v>7.9212706784450075</v>
      </c>
      <c r="V29" s="131">
        <f>IF(SER_hh_fech_in!V29=0,0,SER_hh_fech_in!V29/SER_summary!V$27)</f>
        <v>6.9798471124495434</v>
      </c>
      <c r="W29" s="131">
        <f>IF(SER_hh_fech_in!W29=0,0,SER_hh_fech_in!W29/SER_summary!W$27)</f>
        <v>7.8820475125314768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8.7354693766733451</v>
      </c>
      <c r="D30" s="133">
        <f>IF(SER_hh_fech_in!D30=0,0,SER_hh_fech_in!D30/SER_summary!D$27)</f>
        <v>8.4511363216864837</v>
      </c>
      <c r="E30" s="133">
        <f>IF(SER_hh_fech_in!E30=0,0,SER_hh_fech_in!E30/SER_summary!E$27)</f>
        <v>8.2100650232914063</v>
      </c>
      <c r="F30" s="133">
        <f>IF(SER_hh_fech_in!F30=0,0,SER_hh_fech_in!F30/SER_summary!F$27)</f>
        <v>8.8898742700395541</v>
      </c>
      <c r="G30" s="133">
        <f>IF(SER_hh_fech_in!G30=0,0,SER_hh_fech_in!G30/SER_summary!G$27)</f>
        <v>8.662106931007381</v>
      </c>
      <c r="H30" s="133">
        <f>IF(SER_hh_fech_in!H30=0,0,SER_hh_fech_in!H30/SER_summary!H$27)</f>
        <v>8.421450828173711</v>
      </c>
      <c r="I30" s="133">
        <f>IF(SER_hh_fech_in!I30=0,0,SER_hh_fech_in!I30/SER_summary!I$27)</f>
        <v>9.0807243637821191</v>
      </c>
      <c r="J30" s="133">
        <f>IF(SER_hh_fech_in!J30=0,0,SER_hh_fech_in!J30/SER_summary!J$27)</f>
        <v>9.7880466437326987</v>
      </c>
      <c r="K30" s="133">
        <f>IF(SER_hh_fech_in!K30=0,0,SER_hh_fech_in!K30/SER_summary!K$27)</f>
        <v>9.2106296439054542</v>
      </c>
      <c r="L30" s="133">
        <f>IF(SER_hh_fech_in!L30=0,0,SER_hh_fech_in!L30/SER_summary!L$27)</f>
        <v>9.617543463239036</v>
      </c>
      <c r="M30" s="133">
        <f>IF(SER_hh_fech_in!M30=0,0,SER_hh_fech_in!M30/SER_summary!M$27)</f>
        <v>9.5087991314533777</v>
      </c>
      <c r="N30" s="133">
        <f>IF(SER_hh_fech_in!N30=0,0,SER_hh_fech_in!N30/SER_summary!N$27)</f>
        <v>9.6788514114817676</v>
      </c>
      <c r="O30" s="133">
        <f>IF(SER_hh_fech_in!O30=0,0,SER_hh_fech_in!O30/SER_summary!O$27)</f>
        <v>9.7074990416184743</v>
      </c>
      <c r="P30" s="133">
        <f>IF(SER_hh_fech_in!P30=0,0,SER_hh_fech_in!P30/SER_summary!P$27)</f>
        <v>6.7150360167826726</v>
      </c>
      <c r="Q30" s="133">
        <f>IF(SER_hh_fech_in!Q30=0,0,SER_hh_fech_in!Q30/SER_summary!Q$27)</f>
        <v>9.2481996342658945</v>
      </c>
      <c r="R30" s="133">
        <f>IF(SER_hh_fech_in!R30=0,0,SER_hh_fech_in!R30/SER_summary!R$27)</f>
        <v>11.460131685771906</v>
      </c>
      <c r="S30" s="133">
        <f>IF(SER_hh_fech_in!S30=0,0,SER_hh_fech_in!S30/SER_summary!S$27)</f>
        <v>8.8443632659069706</v>
      </c>
      <c r="T30" s="133">
        <f>IF(SER_hh_fech_in!T30=0,0,SER_hh_fech_in!T30/SER_summary!T$27)</f>
        <v>10.31574483544833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9.1749744963033422</v>
      </c>
      <c r="D31" s="133">
        <f>IF(SER_hh_fech_in!D31=0,0,SER_hh_fech_in!D31/SER_summary!D$27)</f>
        <v>7.9505577352827075</v>
      </c>
      <c r="E31" s="133">
        <f>IF(SER_hh_fech_in!E31=0,0,SER_hh_fech_in!E31/SER_summary!E$27)</f>
        <v>6.7211899634282606</v>
      </c>
      <c r="F31" s="133">
        <f>IF(SER_hh_fech_in!F31=0,0,SER_hh_fech_in!F31/SER_summary!F$27)</f>
        <v>8.9880088502044533</v>
      </c>
      <c r="G31" s="133">
        <f>IF(SER_hh_fech_in!G31=0,0,SER_hh_fech_in!G31/SER_summary!G$27)</f>
        <v>8.7314512367364845</v>
      </c>
      <c r="H31" s="133">
        <f>IF(SER_hh_fech_in!H31=0,0,SER_hh_fech_in!H31/SER_summary!H$27)</f>
        <v>9.2098092319413531</v>
      </c>
      <c r="I31" s="133">
        <f>IF(SER_hh_fech_in!I31=0,0,SER_hh_fech_in!I31/SER_summary!I$27)</f>
        <v>9.1507833001892482</v>
      </c>
      <c r="J31" s="133">
        <f>IF(SER_hh_fech_in!J31=0,0,SER_hh_fech_in!J31/SER_summary!J$27)</f>
        <v>9.3128668156232237</v>
      </c>
      <c r="K31" s="133">
        <f>IF(SER_hh_fech_in!K31=0,0,SER_hh_fech_in!K31/SER_summary!K$27)</f>
        <v>9.213801752384974</v>
      </c>
      <c r="L31" s="133">
        <f>IF(SER_hh_fech_in!L31=0,0,SER_hh_fech_in!L31/SER_summary!L$27)</f>
        <v>9.4142313401822157</v>
      </c>
      <c r="M31" s="133">
        <f>IF(SER_hh_fech_in!M31=0,0,SER_hh_fech_in!M31/SER_summary!M$27)</f>
        <v>9.2288210327212354</v>
      </c>
      <c r="N31" s="133">
        <f>IF(SER_hh_fech_in!N31=0,0,SER_hh_fech_in!N31/SER_summary!N$27)</f>
        <v>8.4537056146008656</v>
      </c>
      <c r="O31" s="133">
        <f>IF(SER_hh_fech_in!O31=0,0,SER_hh_fech_in!O31/SER_summary!O$27)</f>
        <v>7.9288228159999106</v>
      </c>
      <c r="P31" s="133">
        <f>IF(SER_hh_fech_in!P31=0,0,SER_hh_fech_in!P31/SER_summary!P$27)</f>
        <v>10.585564181023891</v>
      </c>
      <c r="Q31" s="133">
        <f>IF(SER_hh_fech_in!Q31=0,0,SER_hh_fech_in!Q31/SER_summary!Q$27)</f>
        <v>9.9016176947161689</v>
      </c>
      <c r="R31" s="133">
        <f>IF(SER_hh_fech_in!R31=0,0,SER_hh_fech_in!R31/SER_summary!R$27)</f>
        <v>9.7597906311905245</v>
      </c>
      <c r="S31" s="133">
        <f>IF(SER_hh_fech_in!S31=0,0,SER_hh_fech_in!S31/SER_summary!S$27)</f>
        <v>9.6954475963459945</v>
      </c>
      <c r="T31" s="133">
        <f>IF(SER_hh_fech_in!T31=0,0,SER_hh_fech_in!T31/SER_summary!T$27)</f>
        <v>8.6653148578064307</v>
      </c>
      <c r="U31" s="133">
        <f>IF(SER_hh_fech_in!U31=0,0,SER_hh_fech_in!U31/SER_summary!U$27)</f>
        <v>8.8905235846578101</v>
      </c>
      <c r="V31" s="133">
        <f>IF(SER_hh_fech_in!V31=0,0,SER_hh_fech_in!V31/SER_summary!V$27)</f>
        <v>9.0647647528634767</v>
      </c>
      <c r="W31" s="133">
        <f>IF(SER_hh_fech_in!W31=0,0,SER_hh_fech_in!W31/SER_summary!W$27)</f>
        <v>8.7133468767782372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6.441735576236665</v>
      </c>
      <c r="D33" s="68">
        <f>IF(SER_hh_fech_in!D33=0,0,SER_hh_fech_in!D33/SER_summary!D$27)</f>
        <v>6.3559616466970015</v>
      </c>
      <c r="E33" s="68">
        <f>IF(SER_hh_fech_in!E33=0,0,SER_hh_fech_in!E33/SER_summary!E$27)</f>
        <v>6.295424248229164</v>
      </c>
      <c r="F33" s="68">
        <f>IF(SER_hh_fech_in!F33=0,0,SER_hh_fech_in!F33/SER_summary!F$27)</f>
        <v>6.27783623681065</v>
      </c>
      <c r="G33" s="68">
        <f>IF(SER_hh_fech_in!G33=0,0,SER_hh_fech_in!G33/SER_summary!G$27)</f>
        <v>6.4027660845986905</v>
      </c>
      <c r="H33" s="68">
        <f>IF(SER_hh_fech_in!H33=0,0,SER_hh_fech_in!H33/SER_summary!H$27)</f>
        <v>6.8429865311333602</v>
      </c>
      <c r="I33" s="68">
        <f>IF(SER_hh_fech_in!I33=0,0,SER_hh_fech_in!I33/SER_summary!I$27)</f>
        <v>6.9106826735627651</v>
      </c>
      <c r="J33" s="68">
        <f>IF(SER_hh_fech_in!J33=0,0,SER_hh_fech_in!J33/SER_summary!J$27)</f>
        <v>7.0011051430924116</v>
      </c>
      <c r="K33" s="68">
        <f>IF(SER_hh_fech_in!K33=0,0,SER_hh_fech_in!K33/SER_summary!K$27)</f>
        <v>7.1004368804253639</v>
      </c>
      <c r="L33" s="68">
        <f>IF(SER_hh_fech_in!L33=0,0,SER_hh_fech_in!L33/SER_summary!L$27)</f>
        <v>7.2049686924656093</v>
      </c>
      <c r="M33" s="68">
        <f>IF(SER_hh_fech_in!M33=0,0,SER_hh_fech_in!M33/SER_summary!M$27)</f>
        <v>7.357723433440885</v>
      </c>
      <c r="N33" s="68">
        <f>IF(SER_hh_fech_in!N33=0,0,SER_hh_fech_in!N33/SER_summary!N$27)</f>
        <v>7.3682831469409367</v>
      </c>
      <c r="O33" s="68">
        <f>IF(SER_hh_fech_in!O33=0,0,SER_hh_fech_in!O33/SER_summary!O$27)</f>
        <v>0</v>
      </c>
      <c r="P33" s="68">
        <f>IF(SER_hh_fech_in!P33=0,0,SER_hh_fech_in!P33/SER_summary!P$27)</f>
        <v>0</v>
      </c>
      <c r="Q33" s="68">
        <f>IF(SER_hh_fech_in!Q33=0,0,SER_hh_fech_in!Q33/SER_summary!Q$27)</f>
        <v>0</v>
      </c>
      <c r="R33" s="68">
        <f>IF(SER_hh_fech_in!R33=0,0,SER_hh_fech_in!R33/SER_summary!R$27)</f>
        <v>5.0377406443599</v>
      </c>
      <c r="S33" s="68">
        <f>IF(SER_hh_fech_in!S33=0,0,SER_hh_fech_in!S33/SER_summary!S$27)</f>
        <v>6.1126376542142413</v>
      </c>
      <c r="T33" s="68">
        <f>IF(SER_hh_fech_in!T33=0,0,SER_hh_fech_in!T33/SER_summary!T$27)</f>
        <v>7.3984577528537727</v>
      </c>
      <c r="U33" s="68">
        <f>IF(SER_hh_fech_in!U33=0,0,SER_hh_fech_in!U33/SER_summary!U$27)</f>
        <v>7.4793277687763293</v>
      </c>
      <c r="V33" s="68">
        <f>IF(SER_hh_fech_in!V33=0,0,SER_hh_fech_in!V33/SER_summary!V$27)</f>
        <v>4.1727826316793672</v>
      </c>
      <c r="W33" s="68">
        <f>IF(SER_hh_fech_in!W33=0,0,SER_hh_fech_in!W33/SER_summary!W$27)</f>
        <v>6.9904608999532458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32.57990312540408</v>
      </c>
      <c r="D3" s="126">
        <f>IF(SER_hh_tesh_in!D3=0,0,SER_hh_tesh_in!D3/SER_summary!D$27)</f>
        <v>29.520354527747887</v>
      </c>
      <c r="E3" s="126">
        <f>IF(SER_hh_tesh_in!E3=0,0,SER_hh_tesh_in!E3/SER_summary!E$27)</f>
        <v>24.513027037036622</v>
      </c>
      <c r="F3" s="126">
        <f>IF(SER_hh_tesh_in!F3=0,0,SER_hh_tesh_in!F3/SER_summary!F$27)</f>
        <v>31.376867157426499</v>
      </c>
      <c r="G3" s="126">
        <f>IF(SER_hh_tesh_in!G3=0,0,SER_hh_tesh_in!G3/SER_summary!G$27)</f>
        <v>31.857149053846399</v>
      </c>
      <c r="H3" s="126">
        <f>IF(SER_hh_tesh_in!H3=0,0,SER_hh_tesh_in!H3/SER_summary!H$27)</f>
        <v>45.036277460256272</v>
      </c>
      <c r="I3" s="126">
        <f>IF(SER_hh_tesh_in!I3=0,0,SER_hh_tesh_in!I3/SER_summary!I$27)</f>
        <v>31.917270694802976</v>
      </c>
      <c r="J3" s="126">
        <f>IF(SER_hh_tesh_in!J3=0,0,SER_hh_tesh_in!J3/SER_summary!J$27)</f>
        <v>33.159314076236747</v>
      </c>
      <c r="K3" s="126">
        <f>IF(SER_hh_tesh_in!K3=0,0,SER_hh_tesh_in!K3/SER_summary!K$27)</f>
        <v>37.301491836068912</v>
      </c>
      <c r="L3" s="126">
        <f>IF(SER_hh_tesh_in!L3=0,0,SER_hh_tesh_in!L3/SER_summary!L$27)</f>
        <v>37.7805333578888</v>
      </c>
      <c r="M3" s="126">
        <f>IF(SER_hh_tesh_in!M3=0,0,SER_hh_tesh_in!M3/SER_summary!M$27)</f>
        <v>34.640779725244244</v>
      </c>
      <c r="N3" s="126">
        <f>IF(SER_hh_tesh_in!N3=0,0,SER_hh_tesh_in!N3/SER_summary!N$27)</f>
        <v>36.586055527977535</v>
      </c>
      <c r="O3" s="126">
        <f>IF(SER_hh_tesh_in!O3=0,0,SER_hh_tesh_in!O3/SER_summary!O$27)</f>
        <v>31.419956562456299</v>
      </c>
      <c r="P3" s="126">
        <f>IF(SER_hh_tesh_in!P3=0,0,SER_hh_tesh_in!P3/SER_summary!P$27)</f>
        <v>29.532922523449589</v>
      </c>
      <c r="Q3" s="126">
        <f>IF(SER_hh_tesh_in!Q3=0,0,SER_hh_tesh_in!Q3/SER_summary!Q$27)</f>
        <v>35.935474955081276</v>
      </c>
      <c r="R3" s="126">
        <f>IF(SER_hh_tesh_in!R3=0,0,SER_hh_tesh_in!R3/SER_summary!R$27)</f>
        <v>35.434451357823065</v>
      </c>
      <c r="S3" s="126">
        <f>IF(SER_hh_tesh_in!S3=0,0,SER_hh_tesh_in!S3/SER_summary!S$27)</f>
        <v>39.048672790729796</v>
      </c>
      <c r="T3" s="126">
        <f>IF(SER_hh_tesh_in!T3=0,0,SER_hh_tesh_in!T3/SER_summary!T$27)</f>
        <v>33.425199417512481</v>
      </c>
      <c r="U3" s="126">
        <f>IF(SER_hh_tesh_in!U3=0,0,SER_hh_tesh_in!U3/SER_summary!U$27)</f>
        <v>34.074293231207278</v>
      </c>
      <c r="V3" s="126">
        <f>IF(SER_hh_tesh_in!V3=0,0,SER_hh_tesh_in!V3/SER_summary!V$27)</f>
        <v>34.601511509546079</v>
      </c>
      <c r="W3" s="126">
        <f>IF(SER_hh_tesh_in!W3=0,0,SER_hh_tesh_in!W3/SER_summary!W$27)</f>
        <v>32.831594518693862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6.3453808144682204</v>
      </c>
      <c r="D4" s="131">
        <f>IF(SER_hh_tesh_in!D4=0,0,SER_hh_tesh_in!D4/SER_summary!D$27)</f>
        <v>5.3524420208962562</v>
      </c>
      <c r="E4" s="131">
        <f>IF(SER_hh_tesh_in!E4=0,0,SER_hh_tesh_in!E4/SER_summary!E$27)</f>
        <v>5.4332179779991385</v>
      </c>
      <c r="F4" s="131">
        <f>IF(SER_hh_tesh_in!F4=0,0,SER_hh_tesh_in!F4/SER_summary!F$27)</f>
        <v>4.55884178567592</v>
      </c>
      <c r="G4" s="131">
        <f>IF(SER_hh_tesh_in!G4=0,0,SER_hh_tesh_in!G4/SER_summary!G$27)</f>
        <v>4.5454024025345108</v>
      </c>
      <c r="H4" s="131">
        <f>IF(SER_hh_tesh_in!H4=0,0,SER_hh_tesh_in!H4/SER_summary!H$27)</f>
        <v>14.496796295835583</v>
      </c>
      <c r="I4" s="131">
        <f>IF(SER_hh_tesh_in!I4=0,0,SER_hh_tesh_in!I4/SER_summary!I$27)</f>
        <v>7.1375903802312788</v>
      </c>
      <c r="J4" s="131">
        <f>IF(SER_hh_tesh_in!J4=0,0,SER_hh_tesh_in!J4/SER_summary!J$27)</f>
        <v>7.5738307011632031</v>
      </c>
      <c r="K4" s="131">
        <f>IF(SER_hh_tesh_in!K4=0,0,SER_hh_tesh_in!K4/SER_summary!K$27)</f>
        <v>7.2881123390993849</v>
      </c>
      <c r="L4" s="131">
        <f>IF(SER_hh_tesh_in!L4=0,0,SER_hh_tesh_in!L4/SER_summary!L$27)</f>
        <v>8.9771757291663441</v>
      </c>
      <c r="M4" s="131">
        <f>IF(SER_hh_tesh_in!M4=0,0,SER_hh_tesh_in!M4/SER_summary!M$27)</f>
        <v>7.977708327089819</v>
      </c>
      <c r="N4" s="131">
        <f>IF(SER_hh_tesh_in!N4=0,0,SER_hh_tesh_in!N4/SER_summary!N$27)</f>
        <v>7.0444265968550104</v>
      </c>
      <c r="O4" s="131">
        <f>IF(SER_hh_tesh_in!O4=0,0,SER_hh_tesh_in!O4/SER_summary!O$27)</f>
        <v>6.2951456881214725</v>
      </c>
      <c r="P4" s="131">
        <f>IF(SER_hh_tesh_in!P4=0,0,SER_hh_tesh_in!P4/SER_summary!P$27)</f>
        <v>4.3021858454115431</v>
      </c>
      <c r="Q4" s="131">
        <f>IF(SER_hh_tesh_in!Q4=0,0,SER_hh_tesh_in!Q4/SER_summary!Q$27)</f>
        <v>4.4476664768115537</v>
      </c>
      <c r="R4" s="131">
        <f>IF(SER_hh_tesh_in!R4=0,0,SER_hh_tesh_in!R4/SER_summary!R$27)</f>
        <v>4.8751008008422003</v>
      </c>
      <c r="S4" s="131">
        <f>IF(SER_hh_tesh_in!S4=0,0,SER_hh_tesh_in!S4/SER_summary!S$27)</f>
        <v>5.5679572171598437</v>
      </c>
      <c r="T4" s="131">
        <f>IF(SER_hh_tesh_in!T4=0,0,SER_hh_tesh_in!T4/SER_summary!T$27)</f>
        <v>6.2078128426710144</v>
      </c>
      <c r="U4" s="131">
        <f>IF(SER_hh_tesh_in!U4=0,0,SER_hh_tesh_in!U4/SER_summary!U$27)</f>
        <v>6.4850224329552173</v>
      </c>
      <c r="V4" s="131">
        <f>IF(SER_hh_tesh_in!V4=0,0,SER_hh_tesh_in!V4/SER_summary!V$27)</f>
        <v>6.1956465322638614</v>
      </c>
      <c r="W4" s="131">
        <f>IF(SER_hh_tesh_in!W4=0,0,SER_hh_tesh_in!W4/SER_summary!W$27)</f>
        <v>6.9938414732307397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6.2298628836229666</v>
      </c>
      <c r="D7" s="133">
        <f>IF(SER_hh_tesh_in!D7=0,0,SER_hh_tesh_in!D7/SER_summary!D$27)</f>
        <v>5.2479507942157984</v>
      </c>
      <c r="E7" s="133">
        <f>IF(SER_hh_tesh_in!E7=0,0,SER_hh_tesh_in!E7/SER_summary!E$27)</f>
        <v>5.3365088822005724</v>
      </c>
      <c r="F7" s="133">
        <f>IF(SER_hh_tesh_in!F7=0,0,SER_hh_tesh_in!F7/SER_summary!F$27)</f>
        <v>5.949507389699165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8.0572820597364885</v>
      </c>
      <c r="M7" s="133">
        <f>IF(SER_hh_tesh_in!M7=0,0,SER_hh_tesh_in!M7/SER_summary!M$27)</f>
        <v>6.9909421757353538</v>
      </c>
      <c r="N7" s="133">
        <f>IF(SER_hh_tesh_in!N7=0,0,SER_hh_tesh_in!N7/SER_summary!N$27)</f>
        <v>7.006397860878935</v>
      </c>
      <c r="O7" s="133">
        <f>IF(SER_hh_tesh_in!O7=0,0,SER_hh_tesh_in!O7/SER_summary!O$27)</f>
        <v>6.8800164625495679</v>
      </c>
      <c r="P7" s="133">
        <f>IF(SER_hh_tesh_in!P7=0,0,SER_hh_tesh_in!P7/SER_summary!P$27)</f>
        <v>5.0505091614430775</v>
      </c>
      <c r="Q7" s="133">
        <f>IF(SER_hh_tesh_in!Q7=0,0,SER_hh_tesh_in!Q7/SER_summary!Q$27)</f>
        <v>3.5302817598579539</v>
      </c>
      <c r="R7" s="133">
        <f>IF(SER_hh_tesh_in!R7=0,0,SER_hh_tesh_in!R7/SER_summary!R$27)</f>
        <v>4.6070875615129108</v>
      </c>
      <c r="S7" s="133">
        <f>IF(SER_hh_tesh_in!S7=0,0,SER_hh_tesh_in!S7/SER_summary!S$27)</f>
        <v>5.4242463031498964</v>
      </c>
      <c r="T7" s="133">
        <f>IF(SER_hh_tesh_in!T7=0,0,SER_hh_tesh_in!T7/SER_summary!T$27)</f>
        <v>6.0760571742535454</v>
      </c>
      <c r="U7" s="133">
        <f>IF(SER_hh_tesh_in!U7=0,0,SER_hh_tesh_in!U7/SER_summary!U$27)</f>
        <v>6.0510454831771927</v>
      </c>
      <c r="V7" s="133">
        <f>IF(SER_hh_tesh_in!V7=0,0,SER_hh_tesh_in!V7/SER_summary!V$27)</f>
        <v>0</v>
      </c>
      <c r="W7" s="133">
        <f>IF(SER_hh_tesh_in!W7=0,0,SER_hh_tesh_in!W7/SER_summary!W$27)</f>
        <v>6.5655120391779311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5.9357216422692591</v>
      </c>
      <c r="D8" s="133">
        <f>IF(SER_hh_tesh_in!D8=0,0,SER_hh_tesh_in!D8/SER_summary!D$27)</f>
        <v>5.4693103869793571</v>
      </c>
      <c r="E8" s="133">
        <f>IF(SER_hh_tesh_in!E8=0,0,SER_hh_tesh_in!E8/SER_summary!E$27)</f>
        <v>3.8207240405670118</v>
      </c>
      <c r="F8" s="133">
        <f>IF(SER_hh_tesh_in!F8=0,0,SER_hh_tesh_in!F8/SER_summary!F$27)</f>
        <v>4.112327908450891</v>
      </c>
      <c r="G8" s="133">
        <f>IF(SER_hh_tesh_in!G8=0,0,SER_hh_tesh_in!G8/SER_summary!G$27)</f>
        <v>6.1816719612677842</v>
      </c>
      <c r="H8" s="133">
        <f>IF(SER_hh_tesh_in!H8=0,0,SER_hh_tesh_in!H8/SER_summary!H$27)</f>
        <v>9.4530500370700317</v>
      </c>
      <c r="I8" s="133">
        <f>IF(SER_hh_tesh_in!I8=0,0,SER_hh_tesh_in!I8/SER_summary!I$27)</f>
        <v>8.0961165003433422</v>
      </c>
      <c r="J8" s="133">
        <f>IF(SER_hh_tesh_in!J8=0,0,SER_hh_tesh_in!J8/SER_summary!J$27)</f>
        <v>7.6206465047042578</v>
      </c>
      <c r="K8" s="133">
        <f>IF(SER_hh_tesh_in!K8=0,0,SER_hh_tesh_in!K8/SER_summary!K$27)</f>
        <v>6.9351531325772795</v>
      </c>
      <c r="L8" s="133">
        <f>IF(SER_hh_tesh_in!L8=0,0,SER_hh_tesh_in!L8/SER_summary!L$27)</f>
        <v>6.0138470652868463</v>
      </c>
      <c r="M8" s="133">
        <f>IF(SER_hh_tesh_in!M8=0,0,SER_hh_tesh_in!M8/SER_summary!M$27)</f>
        <v>6.0466901383920506</v>
      </c>
      <c r="N8" s="133">
        <f>IF(SER_hh_tesh_in!N8=0,0,SER_hh_tesh_in!N8/SER_summary!N$27)</f>
        <v>4.7190367764813397</v>
      </c>
      <c r="O8" s="133">
        <f>IF(SER_hh_tesh_in!O8=0,0,SER_hh_tesh_in!O8/SER_summary!O$27)</f>
        <v>4.4337728822347824</v>
      </c>
      <c r="P8" s="133">
        <f>IF(SER_hh_tesh_in!P8=0,0,SER_hh_tesh_in!P8/SER_summary!P$27)</f>
        <v>4.6215586207846568</v>
      </c>
      <c r="Q8" s="133">
        <f>IF(SER_hh_tesh_in!Q8=0,0,SER_hh_tesh_in!Q8/SER_summary!Q$27)</f>
        <v>4.4526052724859095</v>
      </c>
      <c r="R8" s="133">
        <f>IF(SER_hh_tesh_in!R8=0,0,SER_hh_tesh_in!R8/SER_summary!R$27)</f>
        <v>4.9396571668829612</v>
      </c>
      <c r="S8" s="133">
        <f>IF(SER_hh_tesh_in!S8=0,0,SER_hh_tesh_in!S8/SER_summary!S$27)</f>
        <v>5.4347027640908561</v>
      </c>
      <c r="T8" s="133">
        <f>IF(SER_hh_tesh_in!T8=0,0,SER_hh_tesh_in!T8/SER_summary!T$27)</f>
        <v>6.0272711030141535</v>
      </c>
      <c r="U8" s="133">
        <f>IF(SER_hh_tesh_in!U8=0,0,SER_hh_tesh_in!U8/SER_summary!U$27)</f>
        <v>6.4064713153302089</v>
      </c>
      <c r="V8" s="133">
        <f>IF(SER_hh_tesh_in!V8=0,0,SER_hh_tesh_in!V8/SER_summary!V$27)</f>
        <v>6.4448957932398239</v>
      </c>
      <c r="W8" s="133">
        <f>IF(SER_hh_tesh_in!W8=0,0,SER_hh_tesh_in!W8/SER_summary!W$27)</f>
        <v>6.8531812267578553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5.7140465149175617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0.87304491352537994</v>
      </c>
      <c r="G9" s="133">
        <f>IF(SER_hh_tesh_in!G9=0,0,SER_hh_tesh_in!G9/SER_summary!G$27)</f>
        <v>4.6969675488523119</v>
      </c>
      <c r="H9" s="133">
        <f>IF(SER_hh_tesh_in!H9=0,0,SER_hh_tesh_in!H9/SER_summary!H$27)</f>
        <v>15.509567156374402</v>
      </c>
      <c r="I9" s="133">
        <f>IF(SER_hh_tesh_in!I9=0,0,SER_hh_tesh_in!I9/SER_summary!I$27)</f>
        <v>7.1598628373771875</v>
      </c>
      <c r="J9" s="133">
        <f>IF(SER_hh_tesh_in!J9=0,0,SER_hh_tesh_in!J9/SER_summary!J$27)</f>
        <v>5.3599808854352879</v>
      </c>
      <c r="K9" s="133">
        <f>IF(SER_hh_tesh_in!K9=0,0,SER_hh_tesh_in!K9/SER_summary!K$27)</f>
        <v>6.9836517594490175</v>
      </c>
      <c r="L9" s="133">
        <f>IF(SER_hh_tesh_in!L9=0,0,SER_hh_tesh_in!L9/SER_summary!L$27)</f>
        <v>9.2481546730981421</v>
      </c>
      <c r="M9" s="133">
        <f>IF(SER_hh_tesh_in!M9=0,0,SER_hh_tesh_in!M9/SER_summary!M$27)</f>
        <v>10.238746966228639</v>
      </c>
      <c r="N9" s="133">
        <f>IF(SER_hh_tesh_in!N9=0,0,SER_hh_tesh_in!N9/SER_summary!N$27)</f>
        <v>7.5050401095924366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0</v>
      </c>
      <c r="S9" s="133">
        <f>IF(SER_hh_tesh_in!S9=0,0,SER_hh_tesh_in!S9/SER_summary!S$27)</f>
        <v>0</v>
      </c>
      <c r="T9" s="133">
        <f>IF(SER_hh_tesh_in!T9=0,0,SER_hh_tesh_in!T9/SER_summary!T$27)</f>
        <v>6.4041941537502503</v>
      </c>
      <c r="U9" s="133">
        <f>IF(SER_hh_tesh_in!U9=0,0,SER_hh_tesh_in!U9/SER_summary!U$27)</f>
        <v>6.4919154114141016</v>
      </c>
      <c r="V9" s="133">
        <f>IF(SER_hh_tesh_in!V9=0,0,SER_hh_tesh_in!V9/SER_summary!V$27)</f>
        <v>5.6224243100756572</v>
      </c>
      <c r="W9" s="133">
        <f>IF(SER_hh_tesh_in!W9=0,0,SER_hh_tesh_in!W9/SER_summary!W$27)</f>
        <v>6.9799199086198023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6.1063219762836161</v>
      </c>
      <c r="D10" s="133">
        <f>IF(SER_hh_tesh_in!D10=0,0,SER_hh_tesh_in!D10/SER_summary!D$27)</f>
        <v>5.5738935259094902</v>
      </c>
      <c r="E10" s="133">
        <f>IF(SER_hh_tesh_in!E10=0,0,SER_hh_tesh_in!E10/SER_summary!E$27)</f>
        <v>5.4336147937231214</v>
      </c>
      <c r="F10" s="133">
        <f>IF(SER_hh_tesh_in!F10=0,0,SER_hh_tesh_in!F10/SER_summary!F$27)</f>
        <v>5.4239347373925586</v>
      </c>
      <c r="G10" s="133">
        <f>IF(SER_hh_tesh_in!G10=0,0,SER_hh_tesh_in!G10/SER_summary!G$27)</f>
        <v>5.6639680835059574</v>
      </c>
      <c r="H10" s="133">
        <f>IF(SER_hh_tesh_in!H10=0,0,SER_hh_tesh_in!H10/SER_summary!H$27)</f>
        <v>8.5936695694080072</v>
      </c>
      <c r="I10" s="133">
        <f>IF(SER_hh_tesh_in!I10=0,0,SER_hh_tesh_in!I10/SER_summary!I$27)</f>
        <v>7.8170752754076771</v>
      </c>
      <c r="J10" s="133">
        <f>IF(SER_hh_tesh_in!J10=0,0,SER_hh_tesh_in!J10/SER_summary!J$27)</f>
        <v>8.9224148186087362</v>
      </c>
      <c r="K10" s="133">
        <f>IF(SER_hh_tesh_in!K10=0,0,SER_hh_tesh_in!K10/SER_summary!K$27)</f>
        <v>6.891986079890704</v>
      </c>
      <c r="L10" s="133">
        <f>IF(SER_hh_tesh_in!L10=0,0,SER_hh_tesh_in!L10/SER_summary!L$27)</f>
        <v>0</v>
      </c>
      <c r="M10" s="133">
        <f>IF(SER_hh_tesh_in!M10=0,0,SER_hh_tesh_in!M10/SER_summary!M$27)</f>
        <v>8.0067668567027397</v>
      </c>
      <c r="N10" s="133">
        <f>IF(SER_hh_tesh_in!N10=0,0,SER_hh_tesh_in!N10/SER_summary!N$27)</f>
        <v>6.9718306421253553</v>
      </c>
      <c r="O10" s="133">
        <f>IF(SER_hh_tesh_in!O10=0,0,SER_hh_tesh_in!O10/SER_summary!O$27)</f>
        <v>5.7517540834869765</v>
      </c>
      <c r="P10" s="133">
        <f>IF(SER_hh_tesh_in!P10=0,0,SER_hh_tesh_in!P10/SER_summary!P$27)</f>
        <v>4.4525485952985457</v>
      </c>
      <c r="Q10" s="133">
        <f>IF(SER_hh_tesh_in!Q10=0,0,SER_hh_tesh_in!Q10/SER_summary!Q$27)</f>
        <v>4.3383145459342165</v>
      </c>
      <c r="R10" s="133">
        <f>IF(SER_hh_tesh_in!R10=0,0,SER_hh_tesh_in!R10/SER_summary!R$27)</f>
        <v>5.1590998548186944</v>
      </c>
      <c r="S10" s="133">
        <f>IF(SER_hh_tesh_in!S10=0,0,SER_hh_tesh_in!S10/SER_summary!S$27)</f>
        <v>5.5336604522797792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6.2055068811770182</v>
      </c>
      <c r="W10" s="133">
        <f>IF(SER_hh_tesh_in!W10=0,0,SER_hh_tesh_in!W10/SER_summary!W$27)</f>
        <v>6.5979303088505032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7.843230763587183</v>
      </c>
      <c r="N11" s="133">
        <f>IF(SER_hh_tesh_in!N11=0,0,SER_hh_tesh_in!N11/SER_summary!N$27)</f>
        <v>6.6485216896930668</v>
      </c>
      <c r="O11" s="133">
        <f>IF(SER_hh_tesh_in!O11=0,0,SER_hh_tesh_in!O11/SER_summary!O$27)</f>
        <v>5.9843374199944455</v>
      </c>
      <c r="P11" s="133">
        <f>IF(SER_hh_tesh_in!P11=0,0,SER_hh_tesh_in!P11/SER_summary!P$27)</f>
        <v>4.8022042667868829</v>
      </c>
      <c r="Q11" s="133">
        <f>IF(SER_hh_tesh_in!Q11=0,0,SER_hh_tesh_in!Q11/SER_summary!Q$27)</f>
        <v>4.5110577687597901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6.3691480646576286</v>
      </c>
      <c r="D13" s="133">
        <f>IF(SER_hh_tesh_in!D13=0,0,SER_hh_tesh_in!D13/SER_summary!D$27)</f>
        <v>5.038412679237755</v>
      </c>
      <c r="E13" s="133">
        <f>IF(SER_hh_tesh_in!E13=0,0,SER_hh_tesh_in!E13/SER_summary!E$27)</f>
        <v>5.2150388707625819</v>
      </c>
      <c r="F13" s="133">
        <f>IF(SER_hh_tesh_in!F13=0,0,SER_hh_tesh_in!F13/SER_summary!F$27)</f>
        <v>4.9753302820683079</v>
      </c>
      <c r="G13" s="133">
        <f>IF(SER_hh_tesh_in!G13=0,0,SER_hh_tesh_in!G13/SER_summary!G$27)</f>
        <v>6.3461664706698508</v>
      </c>
      <c r="H13" s="133">
        <f>IF(SER_hh_tesh_in!H13=0,0,SER_hh_tesh_in!H13/SER_summary!H$27)</f>
        <v>6.5145015520505005</v>
      </c>
      <c r="I13" s="133">
        <f>IF(SER_hh_tesh_in!I13=0,0,SER_hh_tesh_in!I13/SER_summary!I$27)</f>
        <v>7.0720365685789952</v>
      </c>
      <c r="J13" s="133">
        <f>IF(SER_hh_tesh_in!J13=0,0,SER_hh_tesh_in!J13/SER_summary!J$27)</f>
        <v>8.1872408150214078</v>
      </c>
      <c r="K13" s="133">
        <f>IF(SER_hh_tesh_in!K13=0,0,SER_hh_tesh_in!K13/SER_summary!K$27)</f>
        <v>8.1667521225734117</v>
      </c>
      <c r="L13" s="133">
        <f>IF(SER_hh_tesh_in!L13=0,0,SER_hh_tesh_in!L13/SER_summary!L$27)</f>
        <v>8.0332976201482289</v>
      </c>
      <c r="M13" s="133">
        <f>IF(SER_hh_tesh_in!M13=0,0,SER_hh_tesh_in!M13/SER_summary!M$27)</f>
        <v>7.2867949488221679</v>
      </c>
      <c r="N13" s="133">
        <f>IF(SER_hh_tesh_in!N13=0,0,SER_hh_tesh_in!N13/SER_summary!N$27)</f>
        <v>6.6638962034820599</v>
      </c>
      <c r="O13" s="133">
        <f>IF(SER_hh_tesh_in!O13=0,0,SER_hh_tesh_in!O13/SER_summary!O$27)</f>
        <v>5.3147924242502995</v>
      </c>
      <c r="P13" s="133">
        <f>IF(SER_hh_tesh_in!P13=0,0,SER_hh_tesh_in!P13/SER_summary!P$27)</f>
        <v>4.1967944306237195</v>
      </c>
      <c r="Q13" s="133">
        <f>IF(SER_hh_tesh_in!Q13=0,0,SER_hh_tesh_in!Q13/SER_summary!Q$27)</f>
        <v>4.5066890325566682</v>
      </c>
      <c r="R13" s="133">
        <f>IF(SER_hh_tesh_in!R13=0,0,SER_hh_tesh_in!R13/SER_summary!R$27)</f>
        <v>4.9111751038137541</v>
      </c>
      <c r="S13" s="133">
        <f>IF(SER_hh_tesh_in!S13=0,0,SER_hh_tesh_in!S13/SER_summary!S$27)</f>
        <v>5.4883110428849644</v>
      </c>
      <c r="T13" s="133">
        <f>IF(SER_hh_tesh_in!T13=0,0,SER_hh_tesh_in!T13/SER_summary!T$27)</f>
        <v>6.0476810969215746</v>
      </c>
      <c r="U13" s="133">
        <f>IF(SER_hh_tesh_in!U13=0,0,SER_hh_tesh_in!U13/SER_summary!U$27)</f>
        <v>6.4208514910964176</v>
      </c>
      <c r="V13" s="133">
        <f>IF(SER_hh_tesh_in!V13=0,0,SER_hh_tesh_in!V13/SER_summary!V$27)</f>
        <v>6.4828382915192568</v>
      </c>
      <c r="W13" s="133">
        <f>IF(SER_hh_tesh_in!W13=0,0,SER_hh_tesh_in!W13/SER_summary!W$27)</f>
        <v>6.8137571494104749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5.8491767824374659</v>
      </c>
      <c r="G14" s="65">
        <f>IF(SER_hh_tesh_in!G14=0,0,SER_hh_tesh_in!G14/SER_summary!G$27)</f>
        <v>3.2790768729023205</v>
      </c>
      <c r="H14" s="65">
        <f>IF(SER_hh_tesh_in!H14=0,0,SER_hh_tesh_in!H14/SER_summary!H$27)</f>
        <v>12.277774872022039</v>
      </c>
      <c r="I14" s="65">
        <f>IF(SER_hh_tesh_in!I14=0,0,SER_hh_tesh_in!I14/SER_summary!I$27)</f>
        <v>6.9231627047002995</v>
      </c>
      <c r="J14" s="65">
        <f>IF(SER_hh_tesh_in!J14=0,0,SER_hh_tesh_in!J14/SER_summary!J$27)</f>
        <v>9.3494322693438505</v>
      </c>
      <c r="K14" s="65">
        <f>IF(SER_hh_tesh_in!K14=0,0,SER_hh_tesh_in!K14/SER_summary!K$27)</f>
        <v>7.4274286883399334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6.3098928525146123</v>
      </c>
      <c r="T14" s="65">
        <f>IF(SER_hh_tesh_in!T14=0,0,SER_hh_tesh_in!T14/SER_summary!T$27)</f>
        <v>7.0809612501988379</v>
      </c>
      <c r="U14" s="65">
        <f>IF(SER_hh_tesh_in!U14=0,0,SER_hh_tesh_in!U14/SER_summary!U$27)</f>
        <v>7.0938801243035616</v>
      </c>
      <c r="V14" s="65">
        <f>IF(SER_hh_tesh_in!V14=0,0,SER_hh_tesh_in!V14/SER_summary!V$27)</f>
        <v>0</v>
      </c>
      <c r="W14" s="65">
        <f>IF(SER_hh_tesh_in!W14=0,0,SER_hh_tesh_in!W14/SER_summary!W$27)</f>
        <v>7.3594067247350026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0.1211868003763263</v>
      </c>
      <c r="D15" s="135">
        <f>IF(SER_hh_tesh_in!D15=0,0,SER_hh_tesh_in!D15/SER_summary!D$27)</f>
        <v>0.10029965056648632</v>
      </c>
      <c r="E15" s="135">
        <f>IF(SER_hh_tesh_in!E15=0,0,SER_hh_tesh_in!E15/SER_summary!E$27)</f>
        <v>9.9850002805493096E-2</v>
      </c>
      <c r="F15" s="135">
        <f>IF(SER_hh_tesh_in!F15=0,0,SER_hh_tesh_in!F15/SER_summary!F$27)</f>
        <v>7.3739212128134099E-2</v>
      </c>
      <c r="G15" s="135">
        <f>IF(SER_hh_tesh_in!G15=0,0,SER_hh_tesh_in!G15/SER_summary!G$27)</f>
        <v>8.5769138820341234E-2</v>
      </c>
      <c r="H15" s="135">
        <f>IF(SER_hh_tesh_in!H15=0,0,SER_hh_tesh_in!H15/SER_summary!H$27)</f>
        <v>0.27767321662926331</v>
      </c>
      <c r="I15" s="135">
        <f>IF(SER_hh_tesh_in!I15=0,0,SER_hh_tesh_in!I15/SER_summary!I$27)</f>
        <v>0.12199826794654006</v>
      </c>
      <c r="J15" s="135">
        <f>IF(SER_hh_tesh_in!J15=0,0,SER_hh_tesh_in!J15/SER_summary!J$27)</f>
        <v>9.2602709227555563E-2</v>
      </c>
      <c r="K15" s="135">
        <f>IF(SER_hh_tesh_in!K15=0,0,SER_hh_tesh_in!K15/SER_summary!K$27)</f>
        <v>0.11946320396664822</v>
      </c>
      <c r="L15" s="135">
        <f>IF(SER_hh_tesh_in!L15=0,0,SER_hh_tesh_in!L15/SER_summary!L$27)</f>
        <v>0.15078253139781306</v>
      </c>
      <c r="M15" s="135">
        <f>IF(SER_hh_tesh_in!M15=0,0,SER_hh_tesh_in!M15/SER_summary!M$27)</f>
        <v>0.13075282683740716</v>
      </c>
      <c r="N15" s="135">
        <f>IF(SER_hh_tesh_in!N15=0,0,SER_hh_tesh_in!N15/SER_summary!N$27)</f>
        <v>0.11183698213123024</v>
      </c>
      <c r="O15" s="135">
        <f>IF(SER_hh_tesh_in!O15=0,0,SER_hh_tesh_in!O15/SER_summary!O$27)</f>
        <v>0.10402129599421317</v>
      </c>
      <c r="P15" s="135">
        <f>IF(SER_hh_tesh_in!P15=0,0,SER_hh_tesh_in!P15/SER_summary!P$27)</f>
        <v>4.4458280366994236E-2</v>
      </c>
      <c r="Q15" s="135">
        <f>IF(SER_hh_tesh_in!Q15=0,0,SER_hh_tesh_in!Q15/SER_summary!Q$27)</f>
        <v>3.7476551104095264E-2</v>
      </c>
      <c r="R15" s="135">
        <f>IF(SER_hh_tesh_in!R15=0,0,SER_hh_tesh_in!R15/SER_summary!R$27)</f>
        <v>6.3105915806203838E-2</v>
      </c>
      <c r="S15" s="135">
        <f>IF(SER_hh_tesh_in!S15=0,0,SER_hh_tesh_in!S15/SER_summary!S$27)</f>
        <v>8.1680288386922845E-2</v>
      </c>
      <c r="T15" s="135">
        <f>IF(SER_hh_tesh_in!T15=0,0,SER_hh_tesh_in!T15/SER_summary!T$27)</f>
        <v>9.5709717317172802E-2</v>
      </c>
      <c r="U15" s="135">
        <f>IF(SER_hh_tesh_in!U15=0,0,SER_hh_tesh_in!U15/SER_summary!U$27)</f>
        <v>9.8742119587523769E-2</v>
      </c>
      <c r="V15" s="135">
        <f>IF(SER_hh_tesh_in!V15=0,0,SER_hh_tesh_in!V15/SER_summary!V$27)</f>
        <v>8.5011812176328097E-2</v>
      </c>
      <c r="W15" s="135">
        <f>IF(SER_hh_tesh_in!W15=0,0,SER_hh_tesh_in!W15/SER_summary!W$27)</f>
        <v>0.10815459593930071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17.909968966627126</v>
      </c>
      <c r="D16" s="131">
        <f>IF(SER_hh_tesh_in!D16=0,0,SER_hh_tesh_in!D16/SER_summary!D$27)</f>
        <v>15.829050480354088</v>
      </c>
      <c r="E16" s="131">
        <f>IF(SER_hh_tesh_in!E16=0,0,SER_hh_tesh_in!E16/SER_summary!E$27)</f>
        <v>24.05777356083825</v>
      </c>
      <c r="F16" s="131">
        <f>IF(SER_hh_tesh_in!F16=0,0,SER_hh_tesh_in!F16/SER_summary!F$27)</f>
        <v>18.177763184321556</v>
      </c>
      <c r="G16" s="131">
        <f>IF(SER_hh_tesh_in!G16=0,0,SER_hh_tesh_in!G16/SER_summary!G$27)</f>
        <v>18.918996318222572</v>
      </c>
      <c r="H16" s="131">
        <f>IF(SER_hh_tesh_in!H16=0,0,SER_hh_tesh_in!H16/SER_summary!H$27)</f>
        <v>21.088553530877924</v>
      </c>
      <c r="I16" s="131">
        <f>IF(SER_hh_tesh_in!I16=0,0,SER_hh_tesh_in!I16/SER_summary!I$27)</f>
        <v>15.66203874299717</v>
      </c>
      <c r="J16" s="131">
        <f>IF(SER_hh_tesh_in!J16=0,0,SER_hh_tesh_in!J16/SER_summary!J$27)</f>
        <v>16.384672279604594</v>
      </c>
      <c r="K16" s="131">
        <f>IF(SER_hh_tesh_in!K16=0,0,SER_hh_tesh_in!K16/SER_summary!K$27)</f>
        <v>20.761476773288969</v>
      </c>
      <c r="L16" s="131">
        <f>IF(SER_hh_tesh_in!L16=0,0,SER_hh_tesh_in!L16/SER_summary!L$27)</f>
        <v>19.415821083440289</v>
      </c>
      <c r="M16" s="131">
        <f>IF(SER_hh_tesh_in!M16=0,0,SER_hh_tesh_in!M16/SER_summary!M$27)</f>
        <v>17.249943920178527</v>
      </c>
      <c r="N16" s="131">
        <f>IF(SER_hh_tesh_in!N16=0,0,SER_hh_tesh_in!N16/SER_summary!N$27)</f>
        <v>20.571025602573737</v>
      </c>
      <c r="O16" s="131">
        <f>IF(SER_hh_tesh_in!O16=0,0,SER_hh_tesh_in!O16/SER_summary!O$27)</f>
        <v>16.528939975154604</v>
      </c>
      <c r="P16" s="131">
        <f>IF(SER_hh_tesh_in!P16=0,0,SER_hh_tesh_in!P16/SER_summary!P$27)</f>
        <v>15.179032421987021</v>
      </c>
      <c r="Q16" s="131">
        <f>IF(SER_hh_tesh_in!Q16=0,0,SER_hh_tesh_in!Q16/SER_summary!Q$27)</f>
        <v>22.064449858627281</v>
      </c>
      <c r="R16" s="131">
        <f>IF(SER_hh_tesh_in!R16=0,0,SER_hh_tesh_in!R16/SER_summary!R$27)</f>
        <v>21.41029942573774</v>
      </c>
      <c r="S16" s="131">
        <f>IF(SER_hh_tesh_in!S16=0,0,SER_hh_tesh_in!S16/SER_summary!S$27)</f>
        <v>24.664479040538065</v>
      </c>
      <c r="T16" s="131">
        <f>IF(SER_hh_tesh_in!T16=0,0,SER_hh_tesh_in!T16/SER_summary!T$27)</f>
        <v>17.414368161220306</v>
      </c>
      <c r="U16" s="131">
        <f>IF(SER_hh_tesh_in!U16=0,0,SER_hh_tesh_in!U16/SER_summary!U$27)</f>
        <v>17.840294973258562</v>
      </c>
      <c r="V16" s="131">
        <f>IF(SER_hh_tesh_in!V16=0,0,SER_hh_tesh_in!V16/SER_summary!V$27)</f>
        <v>20.316631959709738</v>
      </c>
      <c r="W16" s="131">
        <f>IF(SER_hh_tesh_in!W16=0,0,SER_hh_tesh_in!W16/SER_summary!W$27)</f>
        <v>16.53019459409445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17.908469675798177</v>
      </c>
      <c r="D17" s="133">
        <f>IF(SER_hh_tesh_in!D17=0,0,SER_hh_tesh_in!D17/SER_summary!D$27)</f>
        <v>15.815872334250972</v>
      </c>
      <c r="E17" s="133">
        <f>IF(SER_hh_tesh_in!E17=0,0,SER_hh_tesh_in!E17/SER_summary!E$27)</f>
        <v>24.190487608574699</v>
      </c>
      <c r="F17" s="133">
        <f>IF(SER_hh_tesh_in!F17=0,0,SER_hh_tesh_in!F17/SER_summary!F$27)</f>
        <v>18.246822600674729</v>
      </c>
      <c r="G17" s="133">
        <f>IF(SER_hh_tesh_in!G17=0,0,SER_hh_tesh_in!G17/SER_summary!G$27)</f>
        <v>18.983058369425471</v>
      </c>
      <c r="H17" s="133">
        <f>IF(SER_hh_tesh_in!H17=0,0,SER_hh_tesh_in!H17/SER_summary!H$27)</f>
        <v>21.139610057639462</v>
      </c>
      <c r="I17" s="133">
        <f>IF(SER_hh_tesh_in!I17=0,0,SER_hh_tesh_in!I17/SER_summary!I$27)</f>
        <v>15.695308519853713</v>
      </c>
      <c r="J17" s="133">
        <f>IF(SER_hh_tesh_in!J17=0,0,SER_hh_tesh_in!J17/SER_summary!J$27)</f>
        <v>16.417106654620252</v>
      </c>
      <c r="K17" s="133">
        <f>IF(SER_hh_tesh_in!K17=0,0,SER_hh_tesh_in!K17/SER_summary!K$27)</f>
        <v>20.777716288305861</v>
      </c>
      <c r="L17" s="133">
        <f>IF(SER_hh_tesh_in!L17=0,0,SER_hh_tesh_in!L17/SER_summary!L$27)</f>
        <v>19.441305298871949</v>
      </c>
      <c r="M17" s="133">
        <f>IF(SER_hh_tesh_in!M17=0,0,SER_hh_tesh_in!M17/SER_summary!M$27)</f>
        <v>17.257542491547952</v>
      </c>
      <c r="N17" s="133">
        <f>IF(SER_hh_tesh_in!N17=0,0,SER_hh_tesh_in!N17/SER_summary!N$27)</f>
        <v>20.59240074441313</v>
      </c>
      <c r="O17" s="133">
        <f>IF(SER_hh_tesh_in!O17=0,0,SER_hh_tesh_in!O17/SER_summary!O$27)</f>
        <v>16.550067484895536</v>
      </c>
      <c r="P17" s="133">
        <f>IF(SER_hh_tesh_in!P17=0,0,SER_hh_tesh_in!P17/SER_summary!P$27)</f>
        <v>15.20058649679007</v>
      </c>
      <c r="Q17" s="133">
        <f>IF(SER_hh_tesh_in!Q17=0,0,SER_hh_tesh_in!Q17/SER_summary!Q$27)</f>
        <v>22.138101961384191</v>
      </c>
      <c r="R17" s="133">
        <f>IF(SER_hh_tesh_in!R17=0,0,SER_hh_tesh_in!R17/SER_summary!R$27)</f>
        <v>21.518050254345187</v>
      </c>
      <c r="S17" s="133">
        <f>IF(SER_hh_tesh_in!S17=0,0,SER_hh_tesh_in!S17/SER_summary!S$27)</f>
        <v>24.772089185041771</v>
      </c>
      <c r="T17" s="133">
        <f>IF(SER_hh_tesh_in!T17=0,0,SER_hh_tesh_in!T17/SER_summary!T$27)</f>
        <v>17.510857001085498</v>
      </c>
      <c r="U17" s="133">
        <f>IF(SER_hh_tesh_in!U17=0,0,SER_hh_tesh_in!U17/SER_summary!U$27)</f>
        <v>17.909613963977982</v>
      </c>
      <c r="V17" s="133">
        <f>IF(SER_hh_tesh_in!V17=0,0,SER_hh_tesh_in!V17/SER_summary!V$27)</f>
        <v>18.082824123824764</v>
      </c>
      <c r="W17" s="133">
        <f>IF(SER_hh_tesh_in!W17=0,0,SER_hh_tesh_in!W17/SER_summary!W$27)</f>
        <v>16.604205243456494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17.909970151883947</v>
      </c>
      <c r="D18" s="133">
        <f>IF(SER_hh_tesh_in!D18=0,0,SER_hh_tesh_in!D18/SER_summary!D$27)</f>
        <v>15.829056698822344</v>
      </c>
      <c r="E18" s="133">
        <f>IF(SER_hh_tesh_in!E18=0,0,SER_hh_tesh_in!E18/SER_summary!E$27)</f>
        <v>24.057123133547126</v>
      </c>
      <c r="F18" s="133">
        <f>IF(SER_hh_tesh_in!F18=0,0,SER_hh_tesh_in!F18/SER_summary!F$27)</f>
        <v>18.17769577736226</v>
      </c>
      <c r="G18" s="133">
        <f>IF(SER_hh_tesh_in!G18=0,0,SER_hh_tesh_in!G18/SER_summary!G$27)</f>
        <v>18.918916758980213</v>
      </c>
      <c r="H18" s="133">
        <f>IF(SER_hh_tesh_in!H18=0,0,SER_hh_tesh_in!H18/SER_summary!H$27)</f>
        <v>21.088502420772713</v>
      </c>
      <c r="I18" s="133">
        <f>IF(SER_hh_tesh_in!I18=0,0,SER_hh_tesh_in!I18/SER_summary!I$27)</f>
        <v>15.661979704614613</v>
      </c>
      <c r="J18" s="133">
        <f>IF(SER_hh_tesh_in!J18=0,0,SER_hh_tesh_in!J18/SER_summary!J$27)</f>
        <v>16.384604952653007</v>
      </c>
      <c r="K18" s="133">
        <f>IF(SER_hh_tesh_in!K18=0,0,SER_hh_tesh_in!K18/SER_summary!K$27)</f>
        <v>20.76144429042197</v>
      </c>
      <c r="L18" s="133">
        <f>IF(SER_hh_tesh_in!L18=0,0,SER_hh_tesh_in!L18/SER_summary!L$27)</f>
        <v>19.415752288201933</v>
      </c>
      <c r="M18" s="133">
        <f>IF(SER_hh_tesh_in!M18=0,0,SER_hh_tesh_in!M18/SER_summary!M$27)</f>
        <v>17.249919791127134</v>
      </c>
      <c r="N18" s="133">
        <f>IF(SER_hh_tesh_in!N18=0,0,SER_hh_tesh_in!N18/SER_summary!N$27)</f>
        <v>20.570958832648152</v>
      </c>
      <c r="O18" s="133">
        <f>IF(SER_hh_tesh_in!O18=0,0,SER_hh_tesh_in!O18/SER_summary!O$27)</f>
        <v>16.528803596178225</v>
      </c>
      <c r="P18" s="133">
        <f>IF(SER_hh_tesh_in!P18=0,0,SER_hh_tesh_in!P18/SER_summary!P$27)</f>
        <v>15.178948209661996</v>
      </c>
      <c r="Q18" s="133">
        <f>IF(SER_hh_tesh_in!Q18=0,0,SER_hh_tesh_in!Q18/SER_summary!Q$27)</f>
        <v>22.06401950549197</v>
      </c>
      <c r="R18" s="133">
        <f>IF(SER_hh_tesh_in!R18=0,0,SER_hh_tesh_in!R18/SER_summary!R$27)</f>
        <v>21.409574026371974</v>
      </c>
      <c r="S18" s="133">
        <f>IF(SER_hh_tesh_in!S18=0,0,SER_hh_tesh_in!S18/SER_summary!S$27)</f>
        <v>24.663917502753822</v>
      </c>
      <c r="T18" s="133">
        <f>IF(SER_hh_tesh_in!T18=0,0,SER_hh_tesh_in!T18/SER_summary!T$27)</f>
        <v>17.413446366216</v>
      </c>
      <c r="U18" s="133">
        <f>IF(SER_hh_tesh_in!U18=0,0,SER_hh_tesh_in!U18/SER_summary!U$27)</f>
        <v>17.839885789811099</v>
      </c>
      <c r="V18" s="133">
        <f>IF(SER_hh_tesh_in!V18=0,0,SER_hh_tesh_in!V18/SER_summary!V$27)</f>
        <v>20.337601144646829</v>
      </c>
      <c r="W18" s="133">
        <f>IF(SER_hh_tesh_in!W18=0,0,SER_hh_tesh_in!W18/SER_summary!W$27)</f>
        <v>16.530041014554939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3.6724911053633797</v>
      </c>
      <c r="D19" s="131">
        <f>IF(SER_hh_tesh_in!D19=0,0,SER_hh_tesh_in!D19/SER_summary!D$27)</f>
        <v>3.8486690755082567</v>
      </c>
      <c r="E19" s="131">
        <f>IF(SER_hh_tesh_in!E19=0,0,SER_hh_tesh_in!E19/SER_summary!E$27)</f>
        <v>3.9617931558033206</v>
      </c>
      <c r="F19" s="131">
        <f>IF(SER_hh_tesh_in!F19=0,0,SER_hh_tesh_in!F19/SER_summary!F$27)</f>
        <v>3.9938731417803108</v>
      </c>
      <c r="G19" s="131">
        <f>IF(SER_hh_tesh_in!G19=0,0,SER_hh_tesh_in!G19/SER_summary!G$27)</f>
        <v>3.7537925742506393</v>
      </c>
      <c r="H19" s="131">
        <f>IF(SER_hh_tesh_in!H19=0,0,SER_hh_tesh_in!H19/SER_summary!H$27)</f>
        <v>4.5223632492188965</v>
      </c>
      <c r="I19" s="131">
        <f>IF(SER_hh_tesh_in!I19=0,0,SER_hh_tesh_in!I19/SER_summary!I$27)</f>
        <v>4.1404703214801692</v>
      </c>
      <c r="J19" s="131">
        <f>IF(SER_hh_tesh_in!J19=0,0,SER_hh_tesh_in!J19/SER_summary!J$27)</f>
        <v>4.1106443793409406</v>
      </c>
      <c r="K19" s="131">
        <f>IF(SER_hh_tesh_in!K19=0,0,SER_hh_tesh_in!K19/SER_summary!K$27)</f>
        <v>4.1412939307422185</v>
      </c>
      <c r="L19" s="131">
        <f>IF(SER_hh_tesh_in!L19=0,0,SER_hh_tesh_in!L19/SER_summary!L$27)</f>
        <v>4.1645693934498116</v>
      </c>
      <c r="M19" s="131">
        <f>IF(SER_hh_tesh_in!M19=0,0,SER_hh_tesh_in!M19/SER_summary!M$27)</f>
        <v>4.1795589823165455</v>
      </c>
      <c r="N19" s="131">
        <f>IF(SER_hh_tesh_in!N19=0,0,SER_hh_tesh_in!N19/SER_summary!N$27)</f>
        <v>4.1094341801743743</v>
      </c>
      <c r="O19" s="131">
        <f>IF(SER_hh_tesh_in!O19=0,0,SER_hh_tesh_in!O19/SER_summary!O$27)</f>
        <v>4.1663276181736428</v>
      </c>
      <c r="P19" s="131">
        <f>IF(SER_hh_tesh_in!P19=0,0,SER_hh_tesh_in!P19/SER_summary!P$27)</f>
        <v>4.3691204745063379</v>
      </c>
      <c r="Q19" s="131">
        <f>IF(SER_hh_tesh_in!Q19=0,0,SER_hh_tesh_in!Q19/SER_summary!Q$27)</f>
        <v>4.0421274312555813</v>
      </c>
      <c r="R19" s="131">
        <f>IF(SER_hh_tesh_in!R19=0,0,SER_hh_tesh_in!R19/SER_summary!R$27)</f>
        <v>3.9378487944701304</v>
      </c>
      <c r="S19" s="131">
        <f>IF(SER_hh_tesh_in!S19=0,0,SER_hh_tesh_in!S19/SER_summary!S$27)</f>
        <v>3.7702269029933504</v>
      </c>
      <c r="T19" s="131">
        <f>IF(SER_hh_tesh_in!T19=0,0,SER_hh_tesh_in!T19/SER_summary!T$27)</f>
        <v>3.9450949596810325</v>
      </c>
      <c r="U19" s="131">
        <f>IF(SER_hh_tesh_in!U19=0,0,SER_hh_tesh_in!U19/SER_summary!U$27)</f>
        <v>3.9120049616821002</v>
      </c>
      <c r="V19" s="131">
        <f>IF(SER_hh_tesh_in!V19=0,0,SER_hh_tesh_in!V19/SER_summary!V$27)</f>
        <v>3.5778128369786453</v>
      </c>
      <c r="W19" s="131">
        <f>IF(SER_hh_tesh_in!W19=0,0,SER_hh_tesh_in!W19/SER_summary!W$27)</f>
        <v>3.793998503454048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3.5100767120345746</v>
      </c>
      <c r="D21" s="133">
        <f>IF(SER_hh_tesh_in!D21=0,0,SER_hh_tesh_in!D21/SER_summary!D$27)</f>
        <v>3.8328750015867952</v>
      </c>
      <c r="E21" s="133">
        <f>IF(SER_hh_tesh_in!E21=0,0,SER_hh_tesh_in!E21/SER_summary!E$27)</f>
        <v>3.9094612108415205</v>
      </c>
      <c r="F21" s="133">
        <f>IF(SER_hh_tesh_in!F21=0,0,SER_hh_tesh_in!F21/SER_summary!F$27)</f>
        <v>3.8355253728294403</v>
      </c>
      <c r="G21" s="133">
        <f>IF(SER_hh_tesh_in!G21=0,0,SER_hh_tesh_in!G21/SER_summary!G$27)</f>
        <v>3.8487690161059569</v>
      </c>
      <c r="H21" s="133">
        <f>IF(SER_hh_tesh_in!H21=0,0,SER_hh_tesh_in!H21/SER_summary!H$27)</f>
        <v>3.9356224599388732</v>
      </c>
      <c r="I21" s="133">
        <f>IF(SER_hh_tesh_in!I21=0,0,SER_hh_tesh_in!I21/SER_summary!I$27)</f>
        <v>4.0493455308595205</v>
      </c>
      <c r="J21" s="133">
        <f>IF(SER_hh_tesh_in!J21=0,0,SER_hh_tesh_in!J21/SER_summary!J$27)</f>
        <v>3.9937253811337916</v>
      </c>
      <c r="K21" s="133">
        <f>IF(SER_hh_tesh_in!K21=0,0,SER_hh_tesh_in!K21/SER_summary!K$27)</f>
        <v>3.1867918126628352</v>
      </c>
      <c r="L21" s="133">
        <f>IF(SER_hh_tesh_in!L21=0,0,SER_hh_tesh_in!L21/SER_summary!L$27)</f>
        <v>4.1609044819958809</v>
      </c>
      <c r="M21" s="133">
        <f>IF(SER_hh_tesh_in!M21=0,0,SER_hh_tesh_in!M21/SER_summary!M$27)</f>
        <v>4.0561728211870225</v>
      </c>
      <c r="N21" s="133">
        <f>IF(SER_hh_tesh_in!N21=0,0,SER_hh_tesh_in!N21/SER_summary!N$27)</f>
        <v>4.1362887961628321</v>
      </c>
      <c r="O21" s="133">
        <f>IF(SER_hh_tesh_in!O21=0,0,SER_hh_tesh_in!O21/SER_summary!O$27)</f>
        <v>4.1813058208823257</v>
      </c>
      <c r="P21" s="133">
        <f>IF(SER_hh_tesh_in!P21=0,0,SER_hh_tesh_in!P21/SER_summary!P$27)</f>
        <v>3.6179536670292469</v>
      </c>
      <c r="Q21" s="133">
        <f>IF(SER_hh_tesh_in!Q21=0,0,SER_hh_tesh_in!Q21/SER_summary!Q$27)</f>
        <v>3.8917549354227119</v>
      </c>
      <c r="R21" s="133">
        <f>IF(SER_hh_tesh_in!R21=0,0,SER_hh_tesh_in!R21/SER_summary!R$27)</f>
        <v>3.9037380517951781</v>
      </c>
      <c r="S21" s="133">
        <f>IF(SER_hh_tesh_in!S21=0,0,SER_hh_tesh_in!S21/SER_summary!S$27)</f>
        <v>3.8388688718703623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3.8536714630432116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3.5951336413652166</v>
      </c>
      <c r="D22" s="133">
        <f>IF(SER_hh_tesh_in!D22=0,0,SER_hh_tesh_in!D22/SER_summary!D$27)</f>
        <v>3.8238045483775474</v>
      </c>
      <c r="E22" s="133">
        <f>IF(SER_hh_tesh_in!E22=0,0,SER_hh_tesh_in!E22/SER_summary!E$27)</f>
        <v>3.8290017470961675</v>
      </c>
      <c r="F22" s="133">
        <f>IF(SER_hh_tesh_in!F22=0,0,SER_hh_tesh_in!F22/SER_summary!F$27)</f>
        <v>3.9527299681907229</v>
      </c>
      <c r="G22" s="133">
        <f>IF(SER_hh_tesh_in!G22=0,0,SER_hh_tesh_in!G22/SER_summary!G$27)</f>
        <v>3.9763299307872764</v>
      </c>
      <c r="H22" s="133">
        <f>IF(SER_hh_tesh_in!H22=0,0,SER_hh_tesh_in!H22/SER_summary!H$27)</f>
        <v>3.909515049868892</v>
      </c>
      <c r="I22" s="133">
        <f>IF(SER_hh_tesh_in!I22=0,0,SER_hh_tesh_in!I22/SER_summary!I$27)</f>
        <v>4.0301718168387097</v>
      </c>
      <c r="J22" s="133">
        <f>IF(SER_hh_tesh_in!J22=0,0,SER_hh_tesh_in!J22/SER_summary!J$27)</f>
        <v>3.9254362246800456</v>
      </c>
      <c r="K22" s="133">
        <f>IF(SER_hh_tesh_in!K22=0,0,SER_hh_tesh_in!K22/SER_summary!K$27)</f>
        <v>3.0237047815714124</v>
      </c>
      <c r="L22" s="133">
        <f>IF(SER_hh_tesh_in!L22=0,0,SER_hh_tesh_in!L22/SER_summary!L$27)</f>
        <v>4.0943664885297419</v>
      </c>
      <c r="M22" s="133">
        <f>IF(SER_hh_tesh_in!M22=0,0,SER_hh_tesh_in!M22/SER_summary!M$27)</f>
        <v>4.0020449309565151</v>
      </c>
      <c r="N22" s="133">
        <f>IF(SER_hh_tesh_in!N22=0,0,SER_hh_tesh_in!N22/SER_summary!N$27)</f>
        <v>4.1364242288726762</v>
      </c>
      <c r="O22" s="133">
        <f>IF(SER_hh_tesh_in!O22=0,0,SER_hh_tesh_in!O22/SER_summary!O$27)</f>
        <v>4.120937465008379</v>
      </c>
      <c r="P22" s="133">
        <f>IF(SER_hh_tesh_in!P22=0,0,SER_hh_tesh_in!P22/SER_summary!P$27)</f>
        <v>3.5421948898329045</v>
      </c>
      <c r="Q22" s="133">
        <f>IF(SER_hh_tesh_in!Q22=0,0,SER_hh_tesh_in!Q22/SER_summary!Q$27)</f>
        <v>3.9382537830812252</v>
      </c>
      <c r="R22" s="133">
        <f>IF(SER_hh_tesh_in!R22=0,0,SER_hh_tesh_in!R22/SER_summary!R$27)</f>
        <v>3.9564258799351832</v>
      </c>
      <c r="S22" s="133">
        <f>IF(SER_hh_tesh_in!S22=0,0,SER_hh_tesh_in!S22/SER_summary!S$27)</f>
        <v>3.8012462441576735</v>
      </c>
      <c r="T22" s="133">
        <f>IF(SER_hh_tesh_in!T22=0,0,SER_hh_tesh_in!T22/SER_summary!T$27)</f>
        <v>3.8651601091353402</v>
      </c>
      <c r="U22" s="133">
        <f>IF(SER_hh_tesh_in!U22=0,0,SER_hh_tesh_in!U22/SER_summary!U$27)</f>
        <v>3.718440528411723</v>
      </c>
      <c r="V22" s="133">
        <f>IF(SER_hh_tesh_in!V22=0,0,SER_hh_tesh_in!V22/SER_summary!V$27)</f>
        <v>3.3653552694124973</v>
      </c>
      <c r="W22" s="133">
        <f>IF(SER_hh_tesh_in!W22=0,0,SER_hh_tesh_in!W22/SER_summary!W$27)</f>
        <v>3.7888930631734512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3.2261955288014637</v>
      </c>
      <c r="G23" s="133">
        <f>IF(SER_hh_tesh_in!G23=0,0,SER_hh_tesh_in!G23/SER_summary!G$27)</f>
        <v>2.8889600735856016</v>
      </c>
      <c r="H23" s="133">
        <f>IF(SER_hh_tesh_in!H23=0,0,SER_hh_tesh_in!H23/SER_summary!H$27)</f>
        <v>4.8038546685245844</v>
      </c>
      <c r="I23" s="133">
        <f>IF(SER_hh_tesh_in!I23=0,0,SER_hh_tesh_in!I23/SER_summary!I$27)</f>
        <v>4.363123208479136</v>
      </c>
      <c r="J23" s="133">
        <f>IF(SER_hh_tesh_in!J23=0,0,SER_hh_tesh_in!J23/SER_summary!J$27)</f>
        <v>4.0238181618102002</v>
      </c>
      <c r="K23" s="133">
        <f>IF(SER_hh_tesh_in!K23=0,0,SER_hh_tesh_in!K23/SER_summary!K$27)</f>
        <v>2.7970332488169936</v>
      </c>
      <c r="L23" s="133">
        <f>IF(SER_hh_tesh_in!L23=0,0,SER_hh_tesh_in!L23/SER_summary!L$27)</f>
        <v>4.1272177721874765</v>
      </c>
      <c r="M23" s="133">
        <f>IF(SER_hh_tesh_in!M23=0,0,SER_hh_tesh_in!M23/SER_summary!M$27)</f>
        <v>3.8635506505746067</v>
      </c>
      <c r="N23" s="133">
        <f>IF(SER_hh_tesh_in!N23=0,0,SER_hh_tesh_in!N23/SER_summary!N$27)</f>
        <v>3.9819812265159671</v>
      </c>
      <c r="O23" s="133">
        <f>IF(SER_hh_tesh_in!O23=0,0,SER_hh_tesh_in!O23/SER_summary!O$27)</f>
        <v>4.159507919332194</v>
      </c>
      <c r="P23" s="133">
        <f>IF(SER_hh_tesh_in!P23=0,0,SER_hh_tesh_in!P23/SER_summary!P$27)</f>
        <v>3.5106651619093343</v>
      </c>
      <c r="Q23" s="133">
        <f>IF(SER_hh_tesh_in!Q23=0,0,SER_hh_tesh_in!Q23/SER_summary!Q$27)</f>
        <v>3.6880329947209987</v>
      </c>
      <c r="R23" s="133">
        <f>IF(SER_hh_tesh_in!R23=0,0,SER_hh_tesh_in!R23/SER_summary!R$27)</f>
        <v>3.7609053525207354</v>
      </c>
      <c r="S23" s="133">
        <f>IF(SER_hh_tesh_in!S23=0,0,SER_hh_tesh_in!S23/SER_summary!S$27)</f>
        <v>3.7494660330700462</v>
      </c>
      <c r="T23" s="133">
        <f>IF(SER_hh_tesh_in!T23=0,0,SER_hh_tesh_in!T23/SER_summary!T$27)</f>
        <v>3.8036176048238386</v>
      </c>
      <c r="U23" s="133">
        <f>IF(SER_hh_tesh_in!U23=0,0,SER_hh_tesh_in!U23/SER_summary!U$27)</f>
        <v>3.799929656997842</v>
      </c>
      <c r="V23" s="133">
        <f>IF(SER_hh_tesh_in!V23=0,0,SER_hh_tesh_in!V23/SER_summary!V$27)</f>
        <v>3.3375492012033829</v>
      </c>
      <c r="W23" s="133">
        <f>IF(SER_hh_tesh_in!W23=0,0,SER_hh_tesh_in!W23/SER_summary!W$27)</f>
        <v>3.8889349838754219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3.0056567859792866</v>
      </c>
      <c r="D26" s="65">
        <f>IF(SER_hh_tesh_in!D26=0,0,SER_hh_tesh_in!D26/SER_summary!D$27)</f>
        <v>3.6965809743032922</v>
      </c>
      <c r="E26" s="65">
        <f>IF(SER_hh_tesh_in!E26=0,0,SER_hh_tesh_in!E26/SER_summary!E$27)</f>
        <v>3.3649759543183424</v>
      </c>
      <c r="F26" s="65">
        <f>IF(SER_hh_tesh_in!F26=0,0,SER_hh_tesh_in!F26/SER_summary!F$27)</f>
        <v>3.5383005460813601</v>
      </c>
      <c r="G26" s="65">
        <f>IF(SER_hh_tesh_in!G26=0,0,SER_hh_tesh_in!G26/SER_summary!G$27)</f>
        <v>2.9885619174338673</v>
      </c>
      <c r="H26" s="65">
        <f>IF(SER_hh_tesh_in!H26=0,0,SER_hh_tesh_in!H26/SER_summary!H$27)</f>
        <v>2.3129959364947723</v>
      </c>
      <c r="I26" s="65">
        <f>IF(SER_hh_tesh_in!I26=0,0,SER_hh_tesh_in!I26/SER_summary!I$27)</f>
        <v>3.3264202509121357</v>
      </c>
      <c r="J26" s="65">
        <f>IF(SER_hh_tesh_in!J26=0,0,SER_hh_tesh_in!J26/SER_summary!J$27)</f>
        <v>2.8594690429542196</v>
      </c>
      <c r="K26" s="65">
        <f>IF(SER_hh_tesh_in!K26=0,0,SER_hh_tesh_in!K26/SER_summary!K$27)</f>
        <v>0.31723314599899005</v>
      </c>
      <c r="L26" s="65">
        <f>IF(SER_hh_tesh_in!L26=0,0,SER_hh_tesh_in!L26/SER_summary!L$27)</f>
        <v>2.2765495483759475</v>
      </c>
      <c r="M26" s="65">
        <f>IF(SER_hh_tesh_in!M26=0,0,SER_hh_tesh_in!M26/SER_summary!M$27)</f>
        <v>0.52678858530736605</v>
      </c>
      <c r="N26" s="65">
        <f>IF(SER_hh_tesh_in!N26=0,0,SER_hh_tesh_in!N26/SER_summary!N$27)</f>
        <v>0.31918002544959029</v>
      </c>
      <c r="O26" s="65">
        <f>IF(SER_hh_tesh_in!O26=0,0,SER_hh_tesh_in!O26/SER_summary!O$27)</f>
        <v>3.9465425345905842</v>
      </c>
      <c r="P26" s="65">
        <f>IF(SER_hh_tesh_in!P26=0,0,SER_hh_tesh_in!P26/SER_summary!P$27)</f>
        <v>0</v>
      </c>
      <c r="Q26" s="65">
        <f>IF(SER_hh_tesh_in!Q26=0,0,SER_hh_tesh_in!Q26/SER_summary!Q$27)</f>
        <v>3.9059094248351973E-2</v>
      </c>
      <c r="R26" s="65">
        <f>IF(SER_hh_tesh_in!R26=0,0,SER_hh_tesh_in!R26/SER_summary!R$27)</f>
        <v>0.50953362468368968</v>
      </c>
      <c r="S26" s="65">
        <f>IF(SER_hh_tesh_in!S26=0,0,SER_hh_tesh_in!S26/SER_summary!S$27)</f>
        <v>3.5002549993367743E-2</v>
      </c>
      <c r="T26" s="65">
        <f>IF(SER_hh_tesh_in!T26=0,0,SER_hh_tesh_in!T26/SER_summary!T$27)</f>
        <v>3.5132064226471216</v>
      </c>
      <c r="U26" s="65">
        <f>IF(SER_hh_tesh_in!U26=0,0,SER_hh_tesh_in!U26/SER_summary!U$27)</f>
        <v>0.32335729228165849</v>
      </c>
      <c r="V26" s="65">
        <f>IF(SER_hh_tesh_in!V26=0,0,SER_hh_tesh_in!V26/SER_summary!V$27)</f>
        <v>3.30242429764111E-2</v>
      </c>
      <c r="W26" s="65">
        <f>IF(SER_hh_tesh_in!W26=0,0,SER_hh_tesh_in!W26/SER_summary!W$27)</f>
        <v>3.6432334332633571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0.54142601007252822</v>
      </c>
      <c r="D27" s="146">
        <f>IF(SER_hh_tesh_in!D27=0,0,SER_hh_tesh_in!D27/SER_summary!D$27)</f>
        <v>0.12795057820855782</v>
      </c>
      <c r="E27" s="146">
        <f>IF(SER_hh_tesh_in!E27=0,0,SER_hh_tesh_in!E27/SER_summary!E$27)</f>
        <v>0.4971930713768215</v>
      </c>
      <c r="F27" s="146">
        <f>IF(SER_hh_tesh_in!F27=0,0,SER_hh_tesh_in!F27/SER_summary!F$27)</f>
        <v>0.43456669296898204</v>
      </c>
      <c r="G27" s="146">
        <f>IF(SER_hh_tesh_in!G27=0,0,SER_hh_tesh_in!G27/SER_summary!G$27)</f>
        <v>0.60987608227727708</v>
      </c>
      <c r="H27" s="146">
        <f>IF(SER_hh_tesh_in!H27=0,0,SER_hh_tesh_in!H27/SER_summary!H$27)</f>
        <v>0.58448411140944978</v>
      </c>
      <c r="I27" s="146">
        <f>IF(SER_hh_tesh_in!I27=0,0,SER_hh_tesh_in!I27/SER_summary!I$27)</f>
        <v>0.34534193907531668</v>
      </c>
      <c r="J27" s="146">
        <f>IF(SER_hh_tesh_in!J27=0,0,SER_hh_tesh_in!J27/SER_summary!J$27)</f>
        <v>0.81122827513796758</v>
      </c>
      <c r="K27" s="146">
        <f>IF(SER_hh_tesh_in!K27=0,0,SER_hh_tesh_in!K27/SER_summary!K$27)</f>
        <v>2.5958089813289726</v>
      </c>
      <c r="L27" s="146">
        <f>IF(SER_hh_tesh_in!L27=0,0,SER_hh_tesh_in!L27/SER_summary!L$27)</f>
        <v>1.1270815344064431</v>
      </c>
      <c r="M27" s="146">
        <f>IF(SER_hh_tesh_in!M27=0,0,SER_hh_tesh_in!M27/SER_summary!M$27)</f>
        <v>1.7095233203728717</v>
      </c>
      <c r="N27" s="146">
        <f>IF(SER_hh_tesh_in!N27=0,0,SER_hh_tesh_in!N27/SER_summary!N$27)</f>
        <v>1.1470978405879928</v>
      </c>
      <c r="O27" s="146">
        <f>IF(SER_hh_tesh_in!O27=0,0,SER_hh_tesh_in!O27/SER_summary!O$27)</f>
        <v>5.5021344581277075E-2</v>
      </c>
      <c r="P27" s="146">
        <f>IF(SER_hh_tesh_in!P27=0,0,SER_hh_tesh_in!P27/SER_summary!P$27)</f>
        <v>0.84071739054062544</v>
      </c>
      <c r="Q27" s="146">
        <f>IF(SER_hh_tesh_in!Q27=0,0,SER_hh_tesh_in!Q27/SER_summary!Q$27)</f>
        <v>1.219510154010641</v>
      </c>
      <c r="R27" s="146">
        <f>IF(SER_hh_tesh_in!R27=0,0,SER_hh_tesh_in!R27/SER_summary!R$27)</f>
        <v>1.3393737638807781</v>
      </c>
      <c r="S27" s="146">
        <f>IF(SER_hh_tesh_in!S27=0,0,SER_hh_tesh_in!S27/SER_summary!S$27)</f>
        <v>1.8808468136318053</v>
      </c>
      <c r="T27" s="146">
        <f>IF(SER_hh_tesh_in!T27=0,0,SER_hh_tesh_in!T27/SER_summary!T$27)</f>
        <v>0.27778582536170232</v>
      </c>
      <c r="U27" s="146">
        <f>IF(SER_hh_tesh_in!U27=0,0,SER_hh_tesh_in!U27/SER_summary!U$27)</f>
        <v>1.3186676812996458</v>
      </c>
      <c r="V27" s="146">
        <f>IF(SER_hh_tesh_in!V27=0,0,SER_hh_tesh_in!V27/SER_summary!V$27)</f>
        <v>0.7383451821833239</v>
      </c>
      <c r="W27" s="146">
        <f>IF(SER_hh_tesh_in!W27=0,0,SER_hh_tesh_in!W27/SER_summary!W$27)</f>
        <v>2.6017695589464419E-14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2.886031922260893</v>
      </c>
      <c r="D28" s="147">
        <f>IF(SER_hh_tesh_in!D28=0,0,SER_hh_tesh_in!D28/SER_summary!D$27)</f>
        <v>3.5087093784360519</v>
      </c>
      <c r="E28" s="147">
        <f>IF(SER_hh_tesh_in!E28=0,0,SER_hh_tesh_in!E28/SER_summary!E$27)</f>
        <v>3.6506971145553386</v>
      </c>
      <c r="F28" s="147">
        <f>IF(SER_hh_tesh_in!F28=0,0,SER_hh_tesh_in!F28/SER_summary!F$27)</f>
        <v>3.7508940590669226</v>
      </c>
      <c r="G28" s="147">
        <f>IF(SER_hh_tesh_in!G28=0,0,SER_hh_tesh_in!G28/SER_summary!G$27)</f>
        <v>3.7383574603750755</v>
      </c>
      <c r="H28" s="147">
        <f>IF(SER_hh_tesh_in!H28=0,0,SER_hh_tesh_in!H28/SER_summary!H$27)</f>
        <v>3.7856702226066044</v>
      </c>
      <c r="I28" s="147">
        <f>IF(SER_hh_tesh_in!I28=0,0,SER_hh_tesh_in!I28/SER_summary!I$27)</f>
        <v>3.7223249111528331</v>
      </c>
      <c r="J28" s="147">
        <f>IF(SER_hh_tesh_in!J28=0,0,SER_hh_tesh_in!J28/SER_summary!J$27)</f>
        <v>3.7809963692360689</v>
      </c>
      <c r="K28" s="147">
        <f>IF(SER_hh_tesh_in!K28=0,0,SER_hh_tesh_in!K28/SER_summary!K$27)</f>
        <v>3.7987995317683541</v>
      </c>
      <c r="L28" s="147">
        <f>IF(SER_hh_tesh_in!L28=0,0,SER_hh_tesh_in!L28/SER_summary!L$27)</f>
        <v>3.8808970615728771</v>
      </c>
      <c r="M28" s="147">
        <f>IF(SER_hh_tesh_in!M28=0,0,SER_hh_tesh_in!M28/SER_summary!M$27)</f>
        <v>3.7851276295986342</v>
      </c>
      <c r="N28" s="147">
        <f>IF(SER_hh_tesh_in!N28=0,0,SER_hh_tesh_in!N28/SER_summary!N$27)</f>
        <v>3.8236789003248797</v>
      </c>
      <c r="O28" s="147">
        <f>IF(SER_hh_tesh_in!O28=0,0,SER_hh_tesh_in!O28/SER_summary!O$27)</f>
        <v>4.0610747474139739</v>
      </c>
      <c r="P28" s="147">
        <f>IF(SER_hh_tesh_in!P28=0,0,SER_hh_tesh_in!P28/SER_summary!P$27)</f>
        <v>2.8503164147021032</v>
      </c>
      <c r="Q28" s="147">
        <f>IF(SER_hh_tesh_in!Q28=0,0,SER_hh_tesh_in!Q28/SER_summary!Q$27)</f>
        <v>4.2049728044766184</v>
      </c>
      <c r="R28" s="147">
        <f>IF(SER_hh_tesh_in!R28=0,0,SER_hh_tesh_in!R28/SER_summary!R$27)</f>
        <v>4.0178545201875444</v>
      </c>
      <c r="S28" s="147">
        <f>IF(SER_hh_tesh_in!S28=0,0,SER_hh_tesh_in!S28/SER_summary!S$27)</f>
        <v>3.6899208768199614</v>
      </c>
      <c r="T28" s="147">
        <f>IF(SER_hh_tesh_in!T28=0,0,SER_hh_tesh_in!T28/SER_summary!T$27)</f>
        <v>3.8956401927604101</v>
      </c>
      <c r="U28" s="147">
        <f>IF(SER_hh_tesh_in!U28=0,0,SER_hh_tesh_in!U28/SER_summary!U$27)</f>
        <v>3.6898687037386431</v>
      </c>
      <c r="V28" s="147">
        <f>IF(SER_hh_tesh_in!V28=0,0,SER_hh_tesh_in!V28/SER_summary!V$27)</f>
        <v>3.2356899393964929</v>
      </c>
      <c r="W28" s="147">
        <f>IF(SER_hh_tesh_in!W28=0,0,SER_hh_tesh_in!W28/SER_summary!W$27)</f>
        <v>3.9975996111897185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4.6520622389453479</v>
      </c>
      <c r="D29" s="131">
        <f>IF(SER_hh_tesh_in!D29=0,0,SER_hh_tesh_in!D29/SER_summary!D$27)</f>
        <v>4.4901929509892904</v>
      </c>
      <c r="E29" s="131">
        <f>IF(SER_hh_tesh_in!E29=0,0,SER_hh_tesh_in!E29/SER_summary!E$27)</f>
        <v>4.3000099740161044</v>
      </c>
      <c r="F29" s="131">
        <f>IF(SER_hh_tesh_in!F29=0,0,SER_hh_tesh_in!F29/SER_summary!F$27)</f>
        <v>4.6463890456487036</v>
      </c>
      <c r="G29" s="131">
        <f>IF(SER_hh_tesh_in!G29=0,0,SER_hh_tesh_in!G29/SER_summary!G$27)</f>
        <v>4.6389577588386652</v>
      </c>
      <c r="H29" s="131">
        <f>IF(SER_hh_tesh_in!H29=0,0,SER_hh_tesh_in!H29/SER_summary!H$27)</f>
        <v>4.9285643843238649</v>
      </c>
      <c r="I29" s="131">
        <f>IF(SER_hh_tesh_in!I29=0,0,SER_hh_tesh_in!I29/SER_summary!I$27)</f>
        <v>4.9771712500943623</v>
      </c>
      <c r="J29" s="131">
        <f>IF(SER_hh_tesh_in!J29=0,0,SER_hh_tesh_in!J29/SER_summary!J$27)</f>
        <v>5.0901667161280066</v>
      </c>
      <c r="K29" s="131">
        <f>IF(SER_hh_tesh_in!K29=0,0,SER_hh_tesh_in!K29/SER_summary!K$27)</f>
        <v>5.1106087929383399</v>
      </c>
      <c r="L29" s="131">
        <f>IF(SER_hh_tesh_in!L29=0,0,SER_hh_tesh_in!L29/SER_summary!L$27)</f>
        <v>5.2229671518323499</v>
      </c>
      <c r="M29" s="131">
        <f>IF(SER_hh_tesh_in!M29=0,0,SER_hh_tesh_in!M29/SER_summary!M$27)</f>
        <v>5.2335684956593571</v>
      </c>
      <c r="N29" s="131">
        <f>IF(SER_hh_tesh_in!N29=0,0,SER_hh_tesh_in!N29/SER_summary!N$27)</f>
        <v>4.8611691483744046</v>
      </c>
      <c r="O29" s="131">
        <f>IF(SER_hh_tesh_in!O29=0,0,SER_hh_tesh_in!O29/SER_summary!O$27)</f>
        <v>4.429543281006584</v>
      </c>
      <c r="P29" s="131">
        <f>IF(SER_hh_tesh_in!P29=0,0,SER_hh_tesh_in!P29/SER_summary!P$27)</f>
        <v>5.6825837815446842</v>
      </c>
      <c r="Q29" s="131">
        <f>IF(SER_hh_tesh_in!Q29=0,0,SER_hh_tesh_in!Q29/SER_summary!Q$27)</f>
        <v>5.3812311883868613</v>
      </c>
      <c r="R29" s="131">
        <f>IF(SER_hh_tesh_in!R29=0,0,SER_hh_tesh_in!R29/SER_summary!R$27)</f>
        <v>5.2112023367729865</v>
      </c>
      <c r="S29" s="131">
        <f>IF(SER_hh_tesh_in!S29=0,0,SER_hh_tesh_in!S29/SER_summary!S$27)</f>
        <v>5.046009630038542</v>
      </c>
      <c r="T29" s="131">
        <f>IF(SER_hh_tesh_in!T29=0,0,SER_hh_tesh_in!T29/SER_summary!T$27)</f>
        <v>5.8579234539401224</v>
      </c>
      <c r="U29" s="131">
        <f>IF(SER_hh_tesh_in!U29=0,0,SER_hh_tesh_in!U29/SER_summary!U$27)</f>
        <v>5.8369708633114081</v>
      </c>
      <c r="V29" s="131">
        <f>IF(SER_hh_tesh_in!V29=0,0,SER_hh_tesh_in!V29/SER_summary!V$27)</f>
        <v>4.5114201805938308</v>
      </c>
      <c r="W29" s="131">
        <f>IF(SER_hh_tesh_in!W29=0,0,SER_hh_tesh_in!W29/SER_summary!W$27)</f>
        <v>5.513559947914632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4.6861613544581422</v>
      </c>
      <c r="D30" s="133">
        <f>IF(SER_hh_tesh_in!D30=0,0,SER_hh_tesh_in!D30/SER_summary!D$27)</f>
        <v>4.544167099677443</v>
      </c>
      <c r="E30" s="133">
        <f>IF(SER_hh_tesh_in!E30=0,0,SER_hh_tesh_in!E30/SER_summary!E$27)</f>
        <v>4.4246352125005988</v>
      </c>
      <c r="F30" s="133">
        <f>IF(SER_hh_tesh_in!F30=0,0,SER_hh_tesh_in!F30/SER_summary!F$27)</f>
        <v>4.8019097657822822</v>
      </c>
      <c r="G30" s="133">
        <f>IF(SER_hh_tesh_in!G30=0,0,SER_hh_tesh_in!G30/SER_summary!G$27)</f>
        <v>4.6893666172131185</v>
      </c>
      <c r="H30" s="133">
        <f>IF(SER_hh_tesh_in!H30=0,0,SER_hh_tesh_in!H30/SER_summary!H$27)</f>
        <v>4.5691566996465811</v>
      </c>
      <c r="I30" s="133">
        <f>IF(SER_hh_tesh_in!I30=0,0,SER_hh_tesh_in!I30/SER_summary!I$27)</f>
        <v>4.9375522691154847</v>
      </c>
      <c r="J30" s="133">
        <f>IF(SER_hh_tesh_in!J30=0,0,SER_hh_tesh_in!J30/SER_summary!J$27)</f>
        <v>5.33337244290174</v>
      </c>
      <c r="K30" s="133">
        <f>IF(SER_hh_tesh_in!K30=0,0,SER_hh_tesh_in!K30/SER_summary!K$27)</f>
        <v>5.0289024844433845</v>
      </c>
      <c r="L30" s="133">
        <f>IF(SER_hh_tesh_in!L30=0,0,SER_hh_tesh_in!L30/SER_summary!L$27)</f>
        <v>5.2612278448874088</v>
      </c>
      <c r="M30" s="133">
        <f>IF(SER_hh_tesh_in!M30=0,0,SER_hh_tesh_in!M30/SER_summary!M$27)</f>
        <v>5.2071427028404891</v>
      </c>
      <c r="N30" s="133">
        <f>IF(SER_hh_tesh_in!N30=0,0,SER_hh_tesh_in!N30/SER_summary!N$27)</f>
        <v>5.3002655542973258</v>
      </c>
      <c r="O30" s="133">
        <f>IF(SER_hh_tesh_in!O30=0,0,SER_hh_tesh_in!O30/SER_summary!O$27)</f>
        <v>5.3159533710403029</v>
      </c>
      <c r="P30" s="133">
        <f>IF(SER_hh_tesh_in!P30=0,0,SER_hh_tesh_in!P30/SER_summary!P$27)</f>
        <v>3.6772415013415616</v>
      </c>
      <c r="Q30" s="133">
        <f>IF(SER_hh_tesh_in!Q30=0,0,SER_hh_tesh_in!Q30/SER_summary!Q$27)</f>
        <v>5.0644350116394987</v>
      </c>
      <c r="R30" s="133">
        <f>IF(SER_hh_tesh_in!R30=0,0,SER_hh_tesh_in!R30/SER_summary!R$27)</f>
        <v>6.3168564432299963</v>
      </c>
      <c r="S30" s="133">
        <f>IF(SER_hh_tesh_in!S30=0,0,SER_hh_tesh_in!S30/SER_summary!S$27)</f>
        <v>4.9269539058553899</v>
      </c>
      <c r="T30" s="133">
        <f>IF(SER_hh_tesh_in!T30=0,0,SER_hh_tesh_in!T30/SER_summary!T$27)</f>
        <v>5.8172659952081025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4.9477492860026588</v>
      </c>
      <c r="D31" s="133">
        <f>IF(SER_hh_tesh_in!D31=0,0,SER_hh_tesh_in!D31/SER_summary!D$27)</f>
        <v>4.297303076827804</v>
      </c>
      <c r="E31" s="133">
        <f>IF(SER_hh_tesh_in!E31=0,0,SER_hh_tesh_in!E31/SER_summary!E$27)</f>
        <v>3.6410266588358828</v>
      </c>
      <c r="F31" s="133">
        <f>IF(SER_hh_tesh_in!F31=0,0,SER_hh_tesh_in!F31/SER_summary!F$27)</f>
        <v>4.879961242006206</v>
      </c>
      <c r="G31" s="133">
        <f>IF(SER_hh_tesh_in!G31=0,0,SER_hh_tesh_in!G31/SER_summary!G$27)</f>
        <v>4.7511582176377152</v>
      </c>
      <c r="H31" s="133">
        <f>IF(SER_hh_tesh_in!H31=0,0,SER_hh_tesh_in!H31/SER_summary!H$27)</f>
        <v>5.0223883242781762</v>
      </c>
      <c r="I31" s="133">
        <f>IF(SER_hh_tesh_in!I31=0,0,SER_hh_tesh_in!I31/SER_summary!I$27)</f>
        <v>5.0009019218636999</v>
      </c>
      <c r="J31" s="133">
        <f>IF(SER_hh_tesh_in!J31=0,0,SER_hh_tesh_in!J31/SER_summary!J$27)</f>
        <v>5.1000780880940653</v>
      </c>
      <c r="K31" s="133">
        <f>IF(SER_hh_tesh_in!K31=0,0,SER_hh_tesh_in!K31/SER_summary!K$27)</f>
        <v>5.0559117183628395</v>
      </c>
      <c r="L31" s="133">
        <f>IF(SER_hh_tesh_in!L31=0,0,SER_hh_tesh_in!L31/SER_summary!L$27)</f>
        <v>5.175761025741922</v>
      </c>
      <c r="M31" s="133">
        <f>IF(SER_hh_tesh_in!M31=0,0,SER_hh_tesh_in!M31/SER_summary!M$27)</f>
        <v>5.0790312785762195</v>
      </c>
      <c r="N31" s="133">
        <f>IF(SER_hh_tesh_in!N31=0,0,SER_hh_tesh_in!N31/SER_summary!N$27)</f>
        <v>4.6524507392872021</v>
      </c>
      <c r="O31" s="133">
        <f>IF(SER_hh_tesh_in!O31=0,0,SER_hh_tesh_in!O31/SER_summary!O$27)</f>
        <v>4.3635843562217165</v>
      </c>
      <c r="P31" s="133">
        <f>IF(SER_hh_tesh_in!P31=0,0,SER_hh_tesh_in!P31/SER_summary!P$27)</f>
        <v>5.8257074642765385</v>
      </c>
      <c r="Q31" s="133">
        <f>IF(SER_hh_tesh_in!Q31=0,0,SER_hh_tesh_in!Q31/SER_summary!Q$27)</f>
        <v>5.4493012489525272</v>
      </c>
      <c r="R31" s="133">
        <f>IF(SER_hh_tesh_in!R31=0,0,SER_hh_tesh_in!R31/SER_summary!R$27)</f>
        <v>5.4060245676152014</v>
      </c>
      <c r="S31" s="133">
        <f>IF(SER_hh_tesh_in!S31=0,0,SER_hh_tesh_in!S31/SER_summary!S$27)</f>
        <v>5.4268779290055473</v>
      </c>
      <c r="T31" s="133">
        <f>IF(SER_hh_tesh_in!T31=0,0,SER_hh_tesh_in!T31/SER_summary!T$27)</f>
        <v>4.9091832184724886</v>
      </c>
      <c r="U31" s="133">
        <f>IF(SER_hh_tesh_in!U31=0,0,SER_hh_tesh_in!U31/SER_summary!U$27)</f>
        <v>5.0993670011594396</v>
      </c>
      <c r="V31" s="133">
        <f>IF(SER_hh_tesh_in!V31=0,0,SER_hh_tesh_in!V31/SER_summary!V$27)</f>
        <v>5.2587280175881865</v>
      </c>
      <c r="W31" s="133">
        <f>IF(SER_hh_tesh_in!W31=0,0,SER_hh_tesh_in!W31/SER_summary!W$27)</f>
        <v>5.1077469276850476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4.5653695441413449</v>
      </c>
      <c r="D33" s="68">
        <f>IF(SER_hh_tesh_in!D33=0,0,SER_hh_tesh_in!D33/SER_summary!D$27)</f>
        <v>4.5157022684566943</v>
      </c>
      <c r="E33" s="68">
        <f>IF(SER_hh_tesh_in!E33=0,0,SER_hh_tesh_in!E33/SER_summary!E$27)</f>
        <v>4.4841160471082535</v>
      </c>
      <c r="F33" s="68">
        <f>IF(SER_hh_tesh_in!F33=0,0,SER_hh_tesh_in!F33/SER_summary!F$27)</f>
        <v>4.4830355195787703</v>
      </c>
      <c r="G33" s="68">
        <f>IF(SER_hh_tesh_in!G33=0,0,SER_hh_tesh_in!G33/SER_summary!G$27)</f>
        <v>4.5843050115999811</v>
      </c>
      <c r="H33" s="68">
        <f>IF(SER_hh_tesh_in!H33=0,0,SER_hh_tesh_in!H33/SER_summary!H$27)</f>
        <v>4.9127482968636622</v>
      </c>
      <c r="I33" s="68">
        <f>IF(SER_hh_tesh_in!I33=0,0,SER_hh_tesh_in!I33/SER_summary!I$27)</f>
        <v>4.9751860661589662</v>
      </c>
      <c r="J33" s="68">
        <f>IF(SER_hh_tesh_in!J33=0,0,SER_hh_tesh_in!J33/SER_summary!J$27)</f>
        <v>5.0551217765706706</v>
      </c>
      <c r="K33" s="68">
        <f>IF(SER_hh_tesh_in!K33=0,0,SER_hh_tesh_in!K33/SER_summary!K$27)</f>
        <v>5.1430336216613064</v>
      </c>
      <c r="L33" s="68">
        <f>IF(SER_hh_tesh_in!L33=0,0,SER_hh_tesh_in!L33/SER_summary!L$27)</f>
        <v>5.2364187029315756</v>
      </c>
      <c r="M33" s="68">
        <f>IF(SER_hh_tesh_in!M33=0,0,SER_hh_tesh_in!M33/SER_summary!M$27)</f>
        <v>5.3719878203345131</v>
      </c>
      <c r="N33" s="68">
        <f>IF(SER_hh_tesh_in!N33=0,0,SER_hh_tesh_in!N33/SER_summary!N$27)</f>
        <v>5.4122852866807989</v>
      </c>
      <c r="O33" s="68">
        <f>IF(SER_hh_tesh_in!O33=0,0,SER_hh_tesh_in!O33/SER_summary!O$27)</f>
        <v>0</v>
      </c>
      <c r="P33" s="68">
        <f>IF(SER_hh_tesh_in!P33=0,0,SER_hh_tesh_in!P33/SER_summary!P$27)</f>
        <v>0</v>
      </c>
      <c r="Q33" s="68">
        <f>IF(SER_hh_tesh_in!Q33=0,0,SER_hh_tesh_in!Q33/SER_summary!Q$27)</f>
        <v>0</v>
      </c>
      <c r="R33" s="68">
        <f>IF(SER_hh_tesh_in!R33=0,0,SER_hh_tesh_in!R33/SER_summary!R$27)</f>
        <v>3.8901652924487</v>
      </c>
      <c r="S33" s="68">
        <f>IF(SER_hh_tesh_in!S33=0,0,SER_hh_tesh_in!S33/SER_summary!S$27)</f>
        <v>4.8249957084059263</v>
      </c>
      <c r="T33" s="68">
        <f>IF(SER_hh_tesh_in!T33=0,0,SER_hh_tesh_in!T33/SER_summary!T$27)</f>
        <v>5.9763211037846853</v>
      </c>
      <c r="U33" s="68">
        <f>IF(SER_hh_tesh_in!U33=0,0,SER_hh_tesh_in!U33/SER_summary!U$27)</f>
        <v>6.1732905121180375</v>
      </c>
      <c r="V33" s="68">
        <f>IF(SER_hh_tesh_in!V33=0,0,SER_hh_tesh_in!V33/SER_summary!V$27)</f>
        <v>3.5052695083727605</v>
      </c>
      <c r="W33" s="68">
        <f>IF(SER_hh_tesh_in!W33=0,0,SER_hh_tesh_in!W33/SER_summary!W$27)</f>
        <v>5.9488032208052317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4.4988266332306273</v>
      </c>
      <c r="D3" s="126">
        <f>IF(SER_hh_emih_in!D3=0,0,SER_hh_emih_in!D3/SER_summary!D$27)</f>
        <v>3.7484464551768886</v>
      </c>
      <c r="E3" s="126">
        <f>IF(SER_hh_emih_in!E3=0,0,SER_hh_emih_in!E3/SER_summary!E$27)</f>
        <v>3.7983072864130869</v>
      </c>
      <c r="F3" s="126">
        <f>IF(SER_hh_emih_in!F3=0,0,SER_hh_emih_in!F3/SER_summary!F$27)</f>
        <v>2.8492378739459472</v>
      </c>
      <c r="G3" s="126">
        <f>IF(SER_hh_emih_in!G3=0,0,SER_hh_emih_in!G3/SER_summary!G$27)</f>
        <v>2.6316186632025889</v>
      </c>
      <c r="H3" s="126">
        <f>IF(SER_hh_emih_in!H3=0,0,SER_hh_emih_in!H3/SER_summary!H$27)</f>
        <v>5.3938516837213308</v>
      </c>
      <c r="I3" s="126">
        <f>IF(SER_hh_emih_in!I3=0,0,SER_hh_emih_in!I3/SER_summary!I$27)</f>
        <v>2.413657019025091</v>
      </c>
      <c r="J3" s="126">
        <f>IF(SER_hh_emih_in!J3=0,0,SER_hh_emih_in!J3/SER_summary!J$27)</f>
        <v>1.9705403432893824</v>
      </c>
      <c r="K3" s="126">
        <f>IF(SER_hh_emih_in!K3=0,0,SER_hh_emih_in!K3/SER_summary!K$27)</f>
        <v>2.8534570532503309</v>
      </c>
      <c r="L3" s="126">
        <f>IF(SER_hh_emih_in!L3=0,0,SER_hh_emih_in!L3/SER_summary!L$27)</f>
        <v>4.4389492716463925</v>
      </c>
      <c r="M3" s="126">
        <f>IF(SER_hh_emih_in!M3=0,0,SER_hh_emih_in!M3/SER_summary!M$27)</f>
        <v>4.7935856005497559</v>
      </c>
      <c r="N3" s="126">
        <f>IF(SER_hh_emih_in!N3=0,0,SER_hh_emih_in!N3/SER_summary!N$27)</f>
        <v>4.5809587234957752</v>
      </c>
      <c r="O3" s="126">
        <f>IF(SER_hh_emih_in!O3=0,0,SER_hh_emih_in!O3/SER_summary!O$27)</f>
        <v>4.7075382258048775</v>
      </c>
      <c r="P3" s="126">
        <f>IF(SER_hh_emih_in!P3=0,0,SER_hh_emih_in!P3/SER_summary!P$27)</f>
        <v>3.4357701261429798</v>
      </c>
      <c r="Q3" s="126">
        <f>IF(SER_hh_emih_in!Q3=0,0,SER_hh_emih_in!Q3/SER_summary!Q$27)</f>
        <v>3.1948986926509484</v>
      </c>
      <c r="R3" s="126">
        <f>IF(SER_hh_emih_in!R3=0,0,SER_hh_emih_in!R3/SER_summary!R$27)</f>
        <v>2.8893560727824044</v>
      </c>
      <c r="S3" s="126">
        <f>IF(SER_hh_emih_in!S3=0,0,SER_hh_emih_in!S3/SER_summary!S$27)</f>
        <v>2.2655119226684124</v>
      </c>
      <c r="T3" s="126">
        <f>IF(SER_hh_emih_in!T3=0,0,SER_hh_emih_in!T3/SER_summary!T$27)</f>
        <v>1.8543759926898002</v>
      </c>
      <c r="U3" s="126">
        <f>IF(SER_hh_emih_in!U3=0,0,SER_hh_emih_in!U3/SER_summary!U$27)</f>
        <v>2.0946907947689239</v>
      </c>
      <c r="V3" s="126">
        <f>IF(SER_hh_emih_in!V3=0,0,SER_hh_emih_in!V3/SER_summary!V$27)</f>
        <v>2.4596706585648436</v>
      </c>
      <c r="W3" s="126">
        <f>IF(SER_hh_emih_in!W3=0,0,SER_hh_emih_in!W3/SER_summary!W$27)</f>
        <v>2.899012064056691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3.420711978552998</v>
      </c>
      <c r="D4" s="131">
        <f>IF(SER_hh_emih_in!D4=0,0,SER_hh_emih_in!D4/SER_summary!D$27)</f>
        <v>2.8311106112561673</v>
      </c>
      <c r="E4" s="131">
        <f>IF(SER_hh_emih_in!E4=0,0,SER_hh_emih_in!E4/SER_summary!E$27)</f>
        <v>2.8456308686645659</v>
      </c>
      <c r="F4" s="131">
        <f>IF(SER_hh_emih_in!F4=0,0,SER_hh_emih_in!F4/SER_summary!F$27)</f>
        <v>1.5353233054784492</v>
      </c>
      <c r="G4" s="131">
        <f>IF(SER_hh_emih_in!G4=0,0,SER_hh_emih_in!G4/SER_summary!G$27)</f>
        <v>1.2715466324245992</v>
      </c>
      <c r="H4" s="131">
        <f>IF(SER_hh_emih_in!H4=0,0,SER_hh_emih_in!H4/SER_summary!H$27)</f>
        <v>3.5819345925289832</v>
      </c>
      <c r="I4" s="131">
        <f>IF(SER_hh_emih_in!I4=0,0,SER_hh_emih_in!I4/SER_summary!I$27)</f>
        <v>1.0857080459913473</v>
      </c>
      <c r="J4" s="131">
        <f>IF(SER_hh_emih_in!J4=0,0,SER_hh_emih_in!J4/SER_summary!J$27)</f>
        <v>0.77104524001725394</v>
      </c>
      <c r="K4" s="131">
        <f>IF(SER_hh_emih_in!K4=0,0,SER_hh_emih_in!K4/SER_summary!K$27)</f>
        <v>1.5795035669702255</v>
      </c>
      <c r="L4" s="131">
        <f>IF(SER_hh_emih_in!L4=0,0,SER_hh_emih_in!L4/SER_summary!L$27)</f>
        <v>3.0417490327073007</v>
      </c>
      <c r="M4" s="131">
        <f>IF(SER_hh_emih_in!M4=0,0,SER_hh_emih_in!M4/SER_summary!M$27)</f>
        <v>2.9244150864946867</v>
      </c>
      <c r="N4" s="131">
        <f>IF(SER_hh_emih_in!N4=0,0,SER_hh_emih_in!N4/SER_summary!N$27)</f>
        <v>2.131653557711858</v>
      </c>
      <c r="O4" s="131">
        <f>IF(SER_hh_emih_in!O4=0,0,SER_hh_emih_in!O4/SER_summary!O$27)</f>
        <v>1.789103098405681</v>
      </c>
      <c r="P4" s="131">
        <f>IF(SER_hh_emih_in!P4=0,0,SER_hh_emih_in!P4/SER_summary!P$27)</f>
        <v>0.13335310139251233</v>
      </c>
      <c r="Q4" s="131">
        <f>IF(SER_hh_emih_in!Q4=0,0,SER_hh_emih_in!Q4/SER_summary!Q$27)</f>
        <v>9.169482653761224E-2</v>
      </c>
      <c r="R4" s="131">
        <f>IF(SER_hh_emih_in!R4=0,0,SER_hh_emih_in!R4/SER_summary!R$27)</f>
        <v>0.43181781317760093</v>
      </c>
      <c r="S4" s="131">
        <f>IF(SER_hh_emih_in!S4=0,0,SER_hh_emih_in!S4/SER_summary!S$27)</f>
        <v>0.76249180126186666</v>
      </c>
      <c r="T4" s="131">
        <f>IF(SER_hh_emih_in!T4=0,0,SER_hh_emih_in!T4/SER_summary!T$27)</f>
        <v>1.0089003064055519</v>
      </c>
      <c r="U4" s="131">
        <f>IF(SER_hh_emih_in!U4=0,0,SER_hh_emih_in!U4/SER_summary!U$27)</f>
        <v>0.81154101113275978</v>
      </c>
      <c r="V4" s="131">
        <f>IF(SER_hh_emih_in!V4=0,0,SER_hh_emih_in!V4/SER_summary!V$27)</f>
        <v>0.59494368082246452</v>
      </c>
      <c r="W4" s="131">
        <f>IF(SER_hh_emih_in!W4=0,0,SER_hh_emih_in!W4/SER_summary!W$27)</f>
        <v>1.227102617749263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3.5445935955881005</v>
      </c>
      <c r="D7" s="133">
        <f>IF(SER_hh_emih_in!D7=0,0,SER_hh_emih_in!D7/SER_summary!D$27)</f>
        <v>2.9479372898048037</v>
      </c>
      <c r="E7" s="133">
        <f>IF(SER_hh_emih_in!E7=0,0,SER_hh_emih_in!E7/SER_summary!E$27)</f>
        <v>2.9585062323431681</v>
      </c>
      <c r="F7" s="133">
        <f>IF(SER_hh_emih_in!F7=0,0,SER_hh_emih_in!F7/SER_summary!F$27)</f>
        <v>3.2511045664000875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4.0385863084791236</v>
      </c>
      <c r="M7" s="133">
        <f>IF(SER_hh_emih_in!M7=0,0,SER_hh_emih_in!M7/SER_summary!M$27)</f>
        <v>3.41481801200948</v>
      </c>
      <c r="N7" s="133">
        <f>IF(SER_hh_emih_in!N7=0,0,SER_hh_emih_in!N7/SER_summary!N$27)</f>
        <v>3.280410777372877</v>
      </c>
      <c r="O7" s="133">
        <f>IF(SER_hh_emih_in!O7=0,0,SER_hh_emih_in!O7/SER_summary!O$27)</f>
        <v>3.0917401752497935</v>
      </c>
      <c r="P7" s="133">
        <f>IF(SER_hh_emih_in!P7=0,0,SER_hh_emih_in!P7/SER_summary!P$27)</f>
        <v>2.1588921149879226</v>
      </c>
      <c r="Q7" s="133">
        <f>IF(SER_hh_emih_in!Q7=0,0,SER_hh_emih_in!Q7/SER_summary!Q$27)</f>
        <v>1.4466230442928805</v>
      </c>
      <c r="R7" s="133">
        <f>IF(SER_hh_emih_in!R7=0,0,SER_hh_emih_in!R7/SER_summary!R$27)</f>
        <v>1.8521119026494579</v>
      </c>
      <c r="S7" s="133">
        <f>IF(SER_hh_emih_in!S7=0,0,SER_hh_emih_in!S7/SER_summary!S$27)</f>
        <v>2.151701412207351</v>
      </c>
      <c r="T7" s="133">
        <f>IF(SER_hh_emih_in!T7=0,0,SER_hh_emih_in!T7/SER_summary!T$27)</f>
        <v>2.3836016865154095</v>
      </c>
      <c r="U7" s="133">
        <f>IF(SER_hh_emih_in!U7=0,0,SER_hh_emih_in!U7/SER_summary!U$27)</f>
        <v>2.3541031202292242</v>
      </c>
      <c r="V7" s="133">
        <f>IF(SER_hh_emih_in!V7=0,0,SER_hh_emih_in!V7/SER_summary!V$27)</f>
        <v>0</v>
      </c>
      <c r="W7" s="133">
        <f>IF(SER_hh_emih_in!W7=0,0,SER_hh_emih_in!W7/SER_summary!W$27)</f>
        <v>2.5381616837112118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0.91871095615193987</v>
      </c>
      <c r="D8" s="133">
        <f>IF(SER_hh_emih_in!D8=0,0,SER_hh_emih_in!D8/SER_summary!D$27)</f>
        <v>0.78301839138036666</v>
      </c>
      <c r="E8" s="133">
        <f>IF(SER_hh_emih_in!E8=0,0,SER_hh_emih_in!E8/SER_summary!E$27)</f>
        <v>0.48560319805720364</v>
      </c>
      <c r="F8" s="133">
        <f>IF(SER_hh_emih_in!F8=0,0,SER_hh_emih_in!F8/SER_summary!F$27)</f>
        <v>0.5031294517464755</v>
      </c>
      <c r="G8" s="133">
        <f>IF(SER_hh_emih_in!G8=0,0,SER_hh_emih_in!G8/SER_summary!G$27)</f>
        <v>0.72437225931389682</v>
      </c>
      <c r="H8" s="133">
        <f>IF(SER_hh_emih_in!H8=0,0,SER_hh_emih_in!H8/SER_summary!H$27)</f>
        <v>1.0470722705949278</v>
      </c>
      <c r="I8" s="133">
        <f>IF(SER_hh_emih_in!I8=0,0,SER_hh_emih_in!I8/SER_summary!I$27)</f>
        <v>0.83549128764321734</v>
      </c>
      <c r="J8" s="133">
        <f>IF(SER_hh_emih_in!J8=0,0,SER_hh_emih_in!J8/SER_summary!J$27)</f>
        <v>0.75874357516782232</v>
      </c>
      <c r="K8" s="133">
        <f>IF(SER_hh_emih_in!K8=0,0,SER_hh_emih_in!K8/SER_summary!K$27)</f>
        <v>0.65876758650825229</v>
      </c>
      <c r="L8" s="133">
        <f>IF(SER_hh_emih_in!L8=0,0,SER_hh_emih_in!L8/SER_summary!L$27)</f>
        <v>0.54124710268209864</v>
      </c>
      <c r="M8" s="133">
        <f>IF(SER_hh_emih_in!M8=0,0,SER_hh_emih_in!M8/SER_summary!M$27)</f>
        <v>0.51277063111907917</v>
      </c>
      <c r="N8" s="133">
        <f>IF(SER_hh_emih_in!N8=0,0,SER_hh_emih_in!N8/SER_summary!N$27)</f>
        <v>0.37690337756854558</v>
      </c>
      <c r="O8" s="133">
        <f>IF(SER_hh_emih_in!O8=0,0,SER_hh_emih_in!O8/SER_summary!O$27)</f>
        <v>0.32689212055210948</v>
      </c>
      <c r="P8" s="133">
        <f>IF(SER_hh_emih_in!P8=0,0,SER_hh_emih_in!P8/SER_summary!P$27)</f>
        <v>0.32321281854644784</v>
      </c>
      <c r="Q8" s="133">
        <f>IF(SER_hh_emih_in!Q8=0,0,SER_hh_emih_in!Q8/SER_summary!Q$27)</f>
        <v>0.30363623429135028</v>
      </c>
      <c r="R8" s="133">
        <f>IF(SER_hh_emih_in!R8=0,0,SER_hh_emih_in!R8/SER_summary!R$27)</f>
        <v>0.32408379292355011</v>
      </c>
      <c r="S8" s="133">
        <f>IF(SER_hh_emih_in!S8=0,0,SER_hh_emih_in!S8/SER_summary!S$27)</f>
        <v>0.3529018000957605</v>
      </c>
      <c r="T8" s="133">
        <f>IF(SER_hh_emih_in!T8=0,0,SER_hh_emih_in!T8/SER_summary!T$27)</f>
        <v>0.38916311893199917</v>
      </c>
      <c r="U8" s="133">
        <f>IF(SER_hh_emih_in!U8=0,0,SER_hh_emih_in!U8/SER_summary!U$27)</f>
        <v>0.41177689511805948</v>
      </c>
      <c r="V8" s="133">
        <f>IF(SER_hh_emih_in!V8=0,0,SER_hh_emih_in!V8/SER_summary!V$27)</f>
        <v>0.41132036912280601</v>
      </c>
      <c r="W8" s="133">
        <f>IF(SER_hh_emih_in!W8=0,0,SER_hh_emih_in!W8/SER_summary!W$27)</f>
        <v>0.43426337725003272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2.0973002953625262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0.30018764115115903</v>
      </c>
      <c r="G9" s="133">
        <f>IF(SER_hh_emih_in!G9=0,0,SER_hh_emih_in!G9/SER_summary!G$27)</f>
        <v>1.627343238107759</v>
      </c>
      <c r="H9" s="133">
        <f>IF(SER_hh_emih_in!H9=0,0,SER_hh_emih_in!H9/SER_summary!H$27)</f>
        <v>5.3307813065501977</v>
      </c>
      <c r="I9" s="133">
        <f>IF(SER_hh_emih_in!I9=0,0,SER_hh_emih_in!I9/SER_summary!I$27)</f>
        <v>2.4009010030039213</v>
      </c>
      <c r="J9" s="133">
        <f>IF(SER_hh_emih_in!J9=0,0,SER_hh_emih_in!J9/SER_summary!J$27)</f>
        <v>1.8122325569785653</v>
      </c>
      <c r="K9" s="133">
        <f>IF(SER_hh_emih_in!K9=0,0,SER_hh_emih_in!K9/SER_summary!K$27)</f>
        <v>2.3498113734055379</v>
      </c>
      <c r="L9" s="133">
        <f>IF(SER_hh_emih_in!L9=0,0,SER_hh_emih_in!L9/SER_summary!L$27)</f>
        <v>3.0698747898481136</v>
      </c>
      <c r="M9" s="133">
        <f>IF(SER_hh_emih_in!M9=0,0,SER_hh_emih_in!M9/SER_summary!M$27)</f>
        <v>3.3308294484171368</v>
      </c>
      <c r="N9" s="133">
        <f>IF(SER_hh_emih_in!N9=0,0,SER_hh_emih_in!N9/SER_summary!N$27)</f>
        <v>2.3880462446511279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1.8050827964601306</v>
      </c>
      <c r="U9" s="133">
        <f>IF(SER_hh_emih_in!U9=0,0,SER_hh_emih_in!U9/SER_summary!U$27)</f>
        <v>1.8202284643928597</v>
      </c>
      <c r="V9" s="133">
        <f>IF(SER_hh_emih_in!V9=0,0,SER_hh_emih_in!V9/SER_summary!V$27)</f>
        <v>1.5668936935564186</v>
      </c>
      <c r="W9" s="133">
        <f>IF(SER_hh_emih_in!W9=0,0,SER_hh_emih_in!W9/SER_summary!W$27)</f>
        <v>1.9377517765171131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8.1135462947605874E-2</v>
      </c>
      <c r="R10" s="133">
        <f>IF(SER_hh_emih_in!R10=0,0,SER_hh_emih_in!R10/SER_summary!R$27)</f>
        <v>0.1775600290720111</v>
      </c>
      <c r="S10" s="133">
        <f>IF(SER_hh_emih_in!S10=0,0,SER_hh_emih_in!S10/SER_summary!S$27)</f>
        <v>0.21773506601399356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0.15682820866006233</v>
      </c>
      <c r="W10" s="133">
        <f>IF(SER_hh_emih_in!W10=0,0,SER_hh_emih_in!W10/SER_summary!W$27)</f>
        <v>0.19049014011807211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2.2683248187653779E-3</v>
      </c>
      <c r="D16" s="131">
        <f>IF(SER_hh_emih_in!D16=0,0,SER_hh_emih_in!D16/SER_summary!D$27)</f>
        <v>1.1876022613415177E-3</v>
      </c>
      <c r="E16" s="131">
        <f>IF(SER_hh_emih_in!E16=0,0,SER_hh_emih_in!E16/SER_summary!E$27)</f>
        <v>1.7845712987047353E-2</v>
      </c>
      <c r="F16" s="131">
        <f>IF(SER_hh_emih_in!F16=0,0,SER_hh_emih_in!F16/SER_summary!F$27)</f>
        <v>2.7645502020286696E-3</v>
      </c>
      <c r="G16" s="131">
        <f>IF(SER_hh_emih_in!G16=0,0,SER_hh_emih_in!G16/SER_summary!G$27)</f>
        <v>3.7299514831091105E-3</v>
      </c>
      <c r="H16" s="131">
        <f>IF(SER_hh_emih_in!H16=0,0,SER_hh_emih_in!H16/SER_summary!H$27)</f>
        <v>3.3617411781550451E-3</v>
      </c>
      <c r="I16" s="131">
        <f>IF(SER_hh_emih_in!I16=0,0,SER_hh_emih_in!I16/SER_summary!I$27)</f>
        <v>4.3647868101691877E-3</v>
      </c>
      <c r="J16" s="131">
        <f>IF(SER_hh_emih_in!J16=0,0,SER_hh_emih_in!J16/SER_summary!J$27)</f>
        <v>5.4475503760832945E-3</v>
      </c>
      <c r="K16" s="131">
        <f>IF(SER_hh_emih_in!K16=0,0,SER_hh_emih_in!K16/SER_summary!K$27)</f>
        <v>6.6901795533497845E-3</v>
      </c>
      <c r="L16" s="131">
        <f>IF(SER_hh_emih_in!L16=0,0,SER_hh_emih_in!L16/SER_summary!L$27)</f>
        <v>8.4249627360020139E-3</v>
      </c>
      <c r="M16" s="131">
        <f>IF(SER_hh_emih_in!M16=0,0,SER_hh_emih_in!M16/SER_summary!M$27)</f>
        <v>8.7220962344855824E-3</v>
      </c>
      <c r="N16" s="131">
        <f>IF(SER_hh_emih_in!N16=0,0,SER_hh_emih_in!N16/SER_summary!N$27)</f>
        <v>1.0118769054594228E-2</v>
      </c>
      <c r="O16" s="131">
        <f>IF(SER_hh_emih_in!O16=0,0,SER_hh_emih_in!O16/SER_summary!O$27)</f>
        <v>1.6139878868874382E-2</v>
      </c>
      <c r="P16" s="131">
        <f>IF(SER_hh_emih_in!P16=0,0,SER_hh_emih_in!P16/SER_summary!P$27)</f>
        <v>8.8245515215930829E-3</v>
      </c>
      <c r="Q16" s="131">
        <f>IF(SER_hh_emih_in!Q16=0,0,SER_hh_emih_in!Q16/SER_summary!Q$27)</f>
        <v>1.9083354086426668E-2</v>
      </c>
      <c r="R16" s="131">
        <f>IF(SER_hh_emih_in!R16=0,0,SER_hh_emih_in!R16/SER_summary!R$27)</f>
        <v>2.0483320221128976E-2</v>
      </c>
      <c r="S16" s="131">
        <f>IF(SER_hh_emih_in!S16=0,0,SER_hh_emih_in!S16/SER_summary!S$27)</f>
        <v>1.7963511519544388E-2</v>
      </c>
      <c r="T16" s="131">
        <f>IF(SER_hh_emih_in!T16=0,0,SER_hh_emih_in!T16/SER_summary!T$27)</f>
        <v>2.2670387511897188E-2</v>
      </c>
      <c r="U16" s="131">
        <f>IF(SER_hh_emih_in!U16=0,0,SER_hh_emih_in!U16/SER_summary!U$27)</f>
        <v>1.4067247946521194E-2</v>
      </c>
      <c r="V16" s="131">
        <f>IF(SER_hh_emih_in!V16=0,0,SER_hh_emih_in!V16/SER_summary!V$27)</f>
        <v>2.201185497137776E-2</v>
      </c>
      <c r="W16" s="131">
        <f>IF(SER_hh_emih_in!W16=0,0,SER_hh_emih_in!W16/SER_summary!W$27)</f>
        <v>4.4227899016446685E-3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2.8715862178324589</v>
      </c>
      <c r="D17" s="133">
        <f>IF(SER_hh_emih_in!D17=0,0,SER_hh_emih_in!D17/SER_summary!D$27)</f>
        <v>2.5179482363106827</v>
      </c>
      <c r="E17" s="133">
        <f>IF(SER_hh_emih_in!E17=0,0,SER_hh_emih_in!E17/SER_summary!E$27)</f>
        <v>3.6591086759015607</v>
      </c>
      <c r="F17" s="133">
        <f>IF(SER_hh_emih_in!F17=0,0,SER_hh_emih_in!F17/SER_summary!F$27)</f>
        <v>2.835086693464973</v>
      </c>
      <c r="G17" s="133">
        <f>IF(SER_hh_emih_in!G17=0,0,SER_hh_emih_in!G17/SER_summary!G$27)</f>
        <v>3.0071313893962857</v>
      </c>
      <c r="H17" s="133">
        <f>IF(SER_hh_emih_in!H17=0,0,SER_hh_emih_in!H17/SER_summary!H$27)</f>
        <v>3.3615788242082116</v>
      </c>
      <c r="I17" s="133">
        <f>IF(SER_hh_emih_in!I17=0,0,SER_hh_emih_in!I17/SER_summary!I$27)</f>
        <v>2.4640440143780316</v>
      </c>
      <c r="J17" s="133">
        <f>IF(SER_hh_emih_in!J17=0,0,SER_hh_emih_in!J17/SER_summary!J$27)</f>
        <v>2.6297738809741111</v>
      </c>
      <c r="K17" s="133">
        <f>IF(SER_hh_emih_in!K17=0,0,SER_hh_emih_in!K17/SER_summary!K$27)</f>
        <v>3.3513848252321532</v>
      </c>
      <c r="L17" s="133">
        <f>IF(SER_hh_emih_in!L17=0,0,SER_hh_emih_in!L17/SER_summary!L$27)</f>
        <v>3.1293323175795944</v>
      </c>
      <c r="M17" s="133">
        <f>IF(SER_hh_emih_in!M17=0,0,SER_hh_emih_in!M17/SER_summary!M$27)</f>
        <v>2.755430602872468</v>
      </c>
      <c r="N17" s="133">
        <f>IF(SER_hh_emih_in!N17=0,0,SER_hh_emih_in!N17/SER_summary!N$27)</f>
        <v>3.2494532733763823</v>
      </c>
      <c r="O17" s="133">
        <f>IF(SER_hh_emih_in!O17=0,0,SER_hh_emih_in!O17/SER_summary!O$27)</f>
        <v>2.516491891133227</v>
      </c>
      <c r="P17" s="133">
        <f>IF(SER_hh_emih_in!P17=0,0,SER_hh_emih_in!P17/SER_summary!P$27)</f>
        <v>2.2674612005454837</v>
      </c>
      <c r="Q17" s="133">
        <f>IF(SER_hh_emih_in!Q17=0,0,SER_hh_emih_in!Q17/SER_summary!Q$27)</f>
        <v>3.285073632311525</v>
      </c>
      <c r="R17" s="133">
        <f>IF(SER_hh_emih_in!R17=0,0,SER_hh_emih_in!R17/SER_summary!R$27)</f>
        <v>3.0630758983218693</v>
      </c>
      <c r="S17" s="133">
        <f>IF(SER_hh_emih_in!S17=0,0,SER_hh_emih_in!S17/SER_summary!S$27)</f>
        <v>3.4603962821220442</v>
      </c>
      <c r="T17" s="133">
        <f>IF(SER_hh_emih_in!T17=0,0,SER_hh_emih_in!T17/SER_summary!T$27)</f>
        <v>2.3956919162662391</v>
      </c>
      <c r="U17" s="133">
        <f>IF(SER_hh_emih_in!U17=0,0,SER_hh_emih_in!U17/SER_summary!U$27)</f>
        <v>2.397173006239028</v>
      </c>
      <c r="V17" s="133">
        <f>IF(SER_hh_emih_in!V17=0,0,SER_hh_emih_in!V17/SER_summary!V$27)</f>
        <v>2.3668933687229572</v>
      </c>
      <c r="W17" s="133">
        <f>IF(SER_hh_emih_in!W17=0,0,SER_hh_emih_in!W17/SER_summary!W$27)</f>
        <v>2.1357845172477665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0.42493658575468962</v>
      </c>
      <c r="D19" s="131">
        <f>IF(SER_hh_emih_in!D19=0,0,SER_hh_emih_in!D19/SER_summary!D$27)</f>
        <v>0.39378116998344986</v>
      </c>
      <c r="E19" s="131">
        <f>IF(SER_hh_emih_in!E19=0,0,SER_hh_emih_in!E19/SER_summary!E$27)</f>
        <v>0.44146877677352925</v>
      </c>
      <c r="F19" s="131">
        <f>IF(SER_hh_emih_in!F19=0,0,SER_hh_emih_in!F19/SER_summary!F$27)</f>
        <v>0.54420056544156858</v>
      </c>
      <c r="G19" s="131">
        <f>IF(SER_hh_emih_in!G19=0,0,SER_hh_emih_in!G19/SER_summary!G$27)</f>
        <v>0.75429479599684102</v>
      </c>
      <c r="H19" s="131">
        <f>IF(SER_hh_emih_in!H19=0,0,SER_hh_emih_in!H19/SER_summary!H$27)</f>
        <v>1.255586664751615</v>
      </c>
      <c r="I19" s="131">
        <f>IF(SER_hh_emih_in!I19=0,0,SER_hh_emih_in!I19/SER_summary!I$27)</f>
        <v>0.82444397767813826</v>
      </c>
      <c r="J19" s="131">
        <f>IF(SER_hh_emih_in!J19=0,0,SER_hh_emih_in!J19/SER_summary!J$27)</f>
        <v>0.63638451010082375</v>
      </c>
      <c r="K19" s="131">
        <f>IF(SER_hh_emih_in!K19=0,0,SER_hh_emih_in!K19/SER_summary!K$27)</f>
        <v>0.61188569624508138</v>
      </c>
      <c r="L19" s="131">
        <f>IF(SER_hh_emih_in!L19=0,0,SER_hh_emih_in!L19/SER_summary!L$27)</f>
        <v>0.75648910848498763</v>
      </c>
      <c r="M19" s="131">
        <f>IF(SER_hh_emih_in!M19=0,0,SER_hh_emih_in!M19/SER_summary!M$27)</f>
        <v>0.96466279254518539</v>
      </c>
      <c r="N19" s="131">
        <f>IF(SER_hh_emih_in!N19=0,0,SER_hh_emih_in!N19/SER_summary!N$27)</f>
        <v>1.1443067540705072</v>
      </c>
      <c r="O19" s="131">
        <f>IF(SER_hh_emih_in!O19=0,0,SER_hh_emih_in!O19/SER_summary!O$27)</f>
        <v>1.3021626289517521</v>
      </c>
      <c r="P19" s="131">
        <f>IF(SER_hh_emih_in!P19=0,0,SER_hh_emih_in!P19/SER_summary!P$27)</f>
        <v>1.2465932774308985</v>
      </c>
      <c r="Q19" s="131">
        <f>IF(SER_hh_emih_in!Q19=0,0,SER_hh_emih_in!Q19/SER_summary!Q$27)</f>
        <v>1.077139527429948</v>
      </c>
      <c r="R19" s="131">
        <f>IF(SER_hh_emih_in!R19=0,0,SER_hh_emih_in!R19/SER_summary!R$27)</f>
        <v>0.85255205906258158</v>
      </c>
      <c r="S19" s="131">
        <f>IF(SER_hh_emih_in!S19=0,0,SER_hh_emih_in!S19/SER_summary!S$27)</f>
        <v>0.62099789161481378</v>
      </c>
      <c r="T19" s="131">
        <f>IF(SER_hh_emih_in!T19=0,0,SER_hh_emih_in!T19/SER_summary!T$27)</f>
        <v>0.56854942290435395</v>
      </c>
      <c r="U19" s="131">
        <f>IF(SER_hh_emih_in!U19=0,0,SER_hh_emih_in!U19/SER_summary!U$27)</f>
        <v>0.72118218906509113</v>
      </c>
      <c r="V19" s="131">
        <f>IF(SER_hh_emih_in!V19=0,0,SER_hh_emih_in!V19/SER_summary!V$27)</f>
        <v>0.81988226057682445</v>
      </c>
      <c r="W19" s="131">
        <f>IF(SER_hh_emih_in!W19=0,0,SER_hh_emih_in!W19/SER_summary!W$27)</f>
        <v>0.78093534632705186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1.5645856936346993</v>
      </c>
      <c r="D21" s="133">
        <f>IF(SER_hh_emih_in!D21=0,0,SER_hh_emih_in!D21/SER_summary!D$27)</f>
        <v>1.7017676176474539</v>
      </c>
      <c r="E21" s="133">
        <f>IF(SER_hh_emih_in!E21=0,0,SER_hh_emih_in!E21/SER_summary!E$27)</f>
        <v>1.7278704766806843</v>
      </c>
      <c r="F21" s="133">
        <f>IF(SER_hh_emih_in!F21=0,0,SER_hh_emih_in!F21/SER_summary!F$27)</f>
        <v>1.6873636871876545</v>
      </c>
      <c r="G21" s="133">
        <f>IF(SER_hh_emih_in!G21=0,0,SER_hh_emih_in!G21/SER_summary!G$27)</f>
        <v>1.6844122611166681</v>
      </c>
      <c r="H21" s="133">
        <f>IF(SER_hh_emih_in!H21=0,0,SER_hh_emih_in!H21/SER_summary!H$27)</f>
        <v>1.7126406661611786</v>
      </c>
      <c r="I21" s="133">
        <f>IF(SER_hh_emih_in!I21=0,0,SER_hh_emih_in!I21/SER_summary!I$27)</f>
        <v>1.7510483472405631</v>
      </c>
      <c r="J21" s="133">
        <f>IF(SER_hh_emih_in!J21=0,0,SER_hh_emih_in!J21/SER_summary!J$27)</f>
        <v>1.7142543676496811</v>
      </c>
      <c r="K21" s="133">
        <f>IF(SER_hh_emih_in!K21=0,0,SER_hh_emih_in!K21/SER_summary!K$27)</f>
        <v>1.3557712703165661</v>
      </c>
      <c r="L21" s="133">
        <f>IF(SER_hh_emih_in!L21=0,0,SER_hh_emih_in!L21/SER_summary!L$27)</f>
        <v>1.7517705647590458</v>
      </c>
      <c r="M21" s="133">
        <f>IF(SER_hh_emih_in!M21=0,0,SER_hh_emih_in!M21/SER_summary!M$27)</f>
        <v>1.6711011626790637</v>
      </c>
      <c r="N21" s="133">
        <f>IF(SER_hh_emih_in!N21=0,0,SER_hh_emih_in!N21/SER_summary!N$27)</f>
        <v>1.6453516918923494</v>
      </c>
      <c r="O21" s="133">
        <f>IF(SER_hh_emih_in!O21=0,0,SER_hh_emih_in!O21/SER_summary!O$27)</f>
        <v>1.5829378683627613</v>
      </c>
      <c r="P21" s="133">
        <f>IF(SER_hh_emih_in!P21=0,0,SER_hh_emih_in!P21/SER_summary!P$27)</f>
        <v>1.2935531905966369</v>
      </c>
      <c r="Q21" s="133">
        <f>IF(SER_hh_emih_in!Q21=0,0,SER_hh_emih_in!Q21/SER_summary!Q$27)</f>
        <v>1.3246130402187566</v>
      </c>
      <c r="R21" s="133">
        <f>IF(SER_hh_emih_in!R21=0,0,SER_hh_emih_in!R21/SER_summary!R$27)</f>
        <v>1.2869733003277399</v>
      </c>
      <c r="S21" s="133">
        <f>IF(SER_hh_emih_in!S21=0,0,SER_hh_emih_in!S21/SER_summary!S$27)</f>
        <v>1.22841993763832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1.1499149635448902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2.0133419289200631</v>
      </c>
      <c r="D22" s="133">
        <f>IF(SER_hh_emih_in!D22=0,0,SER_hh_emih_in!D22/SER_summary!D$27)</f>
        <v>2.1314560756391865</v>
      </c>
      <c r="E22" s="133">
        <f>IF(SER_hh_emih_in!E22=0,0,SER_hh_emih_in!E22/SER_summary!E$27)</f>
        <v>2.1227680242947247</v>
      </c>
      <c r="F22" s="133">
        <f>IF(SER_hh_emih_in!F22=0,0,SER_hh_emih_in!F22/SER_summary!F$27)</f>
        <v>2.1760508902629376</v>
      </c>
      <c r="G22" s="133">
        <f>IF(SER_hh_emih_in!G22=0,0,SER_hh_emih_in!G22/SER_summary!G$27)</f>
        <v>2.1734764205776513</v>
      </c>
      <c r="H22" s="133">
        <f>IF(SER_hh_emih_in!H22=0,0,SER_hh_emih_in!H22/SER_summary!H$27)</f>
        <v>2.1203877113873366</v>
      </c>
      <c r="I22" s="133">
        <f>IF(SER_hh_emih_in!I22=0,0,SER_hh_emih_in!I22/SER_summary!I$27)</f>
        <v>2.1697431525678459</v>
      </c>
      <c r="J22" s="133">
        <f>IF(SER_hh_emih_in!J22=0,0,SER_hh_emih_in!J22/SER_summary!J$27)</f>
        <v>2.095997197712371</v>
      </c>
      <c r="K22" s="133">
        <f>IF(SER_hh_emih_in!K22=0,0,SER_hh_emih_in!K22/SER_summary!K$27)</f>
        <v>1.5979329221982581</v>
      </c>
      <c r="L22" s="133">
        <f>IF(SER_hh_emih_in!L22=0,0,SER_hh_emih_in!L22/SER_summary!L$27)</f>
        <v>2.1378196645283771</v>
      </c>
      <c r="M22" s="133">
        <f>IF(SER_hh_emih_in!M22=0,0,SER_hh_emih_in!M22/SER_summary!M$27)</f>
        <v>2.0365268638212726</v>
      </c>
      <c r="N22" s="133">
        <f>IF(SER_hh_emih_in!N22=0,0,SER_hh_emih_in!N22/SER_summary!N$27)</f>
        <v>2.0087106027548485</v>
      </c>
      <c r="O22" s="133">
        <f>IF(SER_hh_emih_in!O22=0,0,SER_hh_emih_in!O22/SER_summary!O$27)</f>
        <v>1.9022647550349661</v>
      </c>
      <c r="P22" s="133">
        <f>IF(SER_hh_emih_in!P22=0,0,SER_hh_emih_in!P22/SER_summary!P$27)</f>
        <v>1.5343136336793441</v>
      </c>
      <c r="Q22" s="133">
        <f>IF(SER_hh_emih_in!Q22=0,0,SER_hh_emih_in!Q22/SER_summary!Q$27)</f>
        <v>1.6111350351197817</v>
      </c>
      <c r="R22" s="133">
        <f>IF(SER_hh_emih_in!R22=0,0,SER_hh_emih_in!R22/SER_summary!R$27)</f>
        <v>1.5621818388153135</v>
      </c>
      <c r="S22" s="133">
        <f>IF(SER_hh_emih_in!S22=0,0,SER_hh_emih_in!S22/SER_summary!S$27)</f>
        <v>1.4524245187819191</v>
      </c>
      <c r="T22" s="133">
        <f>IF(SER_hh_emih_in!T22=0,0,SER_hh_emih_in!T22/SER_summary!T$27)</f>
        <v>1.4328060218139007</v>
      </c>
      <c r="U22" s="133">
        <f>IF(SER_hh_emih_in!U22=0,0,SER_hh_emih_in!U22/SER_summary!U$27)</f>
        <v>1.3453853137136162</v>
      </c>
      <c r="V22" s="133">
        <f>IF(SER_hh_emih_in!V22=0,0,SER_hh_emih_in!V22/SER_summary!V$27)</f>
        <v>1.2040694197050157</v>
      </c>
      <c r="W22" s="133">
        <f>IF(SER_hh_emih_in!W22=0,0,SER_hh_emih_in!W22/SER_summary!W$27)</f>
        <v>1.3435588270991932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1.1445298416361918</v>
      </c>
      <c r="G23" s="133">
        <f>IF(SER_hh_emih_in!G23=0,0,SER_hh_emih_in!G23/SER_summary!G$27)</f>
        <v>1.0328115564489908</v>
      </c>
      <c r="H23" s="133">
        <f>IF(SER_hh_emih_in!H23=0,0,SER_hh_emih_in!H23/SER_summary!H$27)</f>
        <v>1.7031368525860475</v>
      </c>
      <c r="I23" s="133">
        <f>IF(SER_hh_emih_in!I23=0,0,SER_hh_emih_in!I23/SER_summary!I$27)</f>
        <v>1.5079499428850798</v>
      </c>
      <c r="J23" s="133">
        <f>IF(SER_hh_emih_in!J23=0,0,SER_hh_emih_in!J23/SER_summary!J$27)</f>
        <v>1.4001862976811927</v>
      </c>
      <c r="K23" s="133">
        <f>IF(SER_hh_emih_in!K23=0,0,SER_hh_emih_in!K23/SER_summary!K$27)</f>
        <v>0.96647907154956736</v>
      </c>
      <c r="L23" s="133">
        <f>IF(SER_hh_emih_in!L23=0,0,SER_hh_emih_in!L23/SER_summary!L$27)</f>
        <v>1.4027781404846762</v>
      </c>
      <c r="M23" s="133">
        <f>IF(SER_hh_emih_in!M23=0,0,SER_hh_emih_in!M23/SER_summary!M$27)</f>
        <v>1.2776825210621223</v>
      </c>
      <c r="N23" s="133">
        <f>IF(SER_hh_emih_in!N23=0,0,SER_hh_emih_in!N23/SER_summary!N$27)</f>
        <v>1.2725132406382724</v>
      </c>
      <c r="O23" s="133">
        <f>IF(SER_hh_emih_in!O23=0,0,SER_hh_emih_in!O23/SER_summary!O$27)</f>
        <v>1.2488985810403934</v>
      </c>
      <c r="P23" s="133">
        <f>IF(SER_hh_emih_in!P23=0,0,SER_hh_emih_in!P23/SER_summary!P$27)</f>
        <v>1.0097887094164149</v>
      </c>
      <c r="Q23" s="133">
        <f>IF(SER_hh_emih_in!Q23=0,0,SER_hh_emih_in!Q23/SER_summary!Q$27)</f>
        <v>1.0388738266834148</v>
      </c>
      <c r="R23" s="133">
        <f>IF(SER_hh_emih_in!R23=0,0,SER_hh_emih_in!R23/SER_summary!R$27)</f>
        <v>1.0104981914518083</v>
      </c>
      <c r="S23" s="133">
        <f>IF(SER_hh_emih_in!S23=0,0,SER_hh_emih_in!S23/SER_summary!S$27)</f>
        <v>0.9852168220616635</v>
      </c>
      <c r="T23" s="133">
        <f>IF(SER_hh_emih_in!T23=0,0,SER_hh_emih_in!T23/SER_summary!T$27)</f>
        <v>0.98141718140488854</v>
      </c>
      <c r="U23" s="133">
        <f>IF(SER_hh_emih_in!U23=0,0,SER_hh_emih_in!U23/SER_summary!U$27)</f>
        <v>0.9660121748794529</v>
      </c>
      <c r="V23" s="133">
        <f>IF(SER_hh_emih_in!V23=0,0,SER_hh_emih_in!V23/SER_summary!V$27)</f>
        <v>0.83801508162043159</v>
      </c>
      <c r="W23" s="133">
        <f>IF(SER_hh_emih_in!W23=0,0,SER_hh_emih_in!W23/SER_summary!W$27)</f>
        <v>0.97049503153769401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0.6509097441041749</v>
      </c>
      <c r="D29" s="131">
        <f>IF(SER_hh_emih_in!D29=0,0,SER_hh_emih_in!D29/SER_summary!D$27)</f>
        <v>0.52236707167592888</v>
      </c>
      <c r="E29" s="131">
        <f>IF(SER_hh_emih_in!E29=0,0,SER_hh_emih_in!E29/SER_summary!E$27)</f>
        <v>0.50318299861077664</v>
      </c>
      <c r="F29" s="131">
        <f>IF(SER_hh_emih_in!F29=0,0,SER_hh_emih_in!F29/SER_summary!F$27)</f>
        <v>0.76694945282389992</v>
      </c>
      <c r="G29" s="131">
        <f>IF(SER_hh_emih_in!G29=0,0,SER_hh_emih_in!G29/SER_summary!G$27)</f>
        <v>0.60204728329803969</v>
      </c>
      <c r="H29" s="131">
        <f>IF(SER_hh_emih_in!H29=0,0,SER_hh_emih_in!H29/SER_summary!H$27)</f>
        <v>0.55296868526257659</v>
      </c>
      <c r="I29" s="131">
        <f>IF(SER_hh_emih_in!I29=0,0,SER_hh_emih_in!I29/SER_summary!I$27)</f>
        <v>0.49914020854543606</v>
      </c>
      <c r="J29" s="131">
        <f>IF(SER_hh_emih_in!J29=0,0,SER_hh_emih_in!J29/SER_summary!J$27)</f>
        <v>0.55766304279522105</v>
      </c>
      <c r="K29" s="131">
        <f>IF(SER_hh_emih_in!K29=0,0,SER_hh_emih_in!K29/SER_summary!K$27)</f>
        <v>0.65537761048167364</v>
      </c>
      <c r="L29" s="131">
        <f>IF(SER_hh_emih_in!L29=0,0,SER_hh_emih_in!L29/SER_summary!L$27)</f>
        <v>0.63228616771810253</v>
      </c>
      <c r="M29" s="131">
        <f>IF(SER_hh_emih_in!M29=0,0,SER_hh_emih_in!M29/SER_summary!M$27)</f>
        <v>0.89578562527539829</v>
      </c>
      <c r="N29" s="131">
        <f>IF(SER_hh_emih_in!N29=0,0,SER_hh_emih_in!N29/SER_summary!N$27)</f>
        <v>1.2948796426588156</v>
      </c>
      <c r="O29" s="131">
        <f>IF(SER_hh_emih_in!O29=0,0,SER_hh_emih_in!O29/SER_summary!O$27)</f>
        <v>1.6001326195785706</v>
      </c>
      <c r="P29" s="131">
        <f>IF(SER_hh_emih_in!P29=0,0,SER_hh_emih_in!P29/SER_summary!P$27)</f>
        <v>2.0469991957979752</v>
      </c>
      <c r="Q29" s="131">
        <f>IF(SER_hh_emih_in!Q29=0,0,SER_hh_emih_in!Q29/SER_summary!Q$27)</f>
        <v>2.0069809845969613</v>
      </c>
      <c r="R29" s="131">
        <f>IF(SER_hh_emih_in!R29=0,0,SER_hh_emih_in!R29/SER_summary!R$27)</f>
        <v>1.5845028803210932</v>
      </c>
      <c r="S29" s="131">
        <f>IF(SER_hh_emih_in!S29=0,0,SER_hh_emih_in!S29/SER_summary!S$27)</f>
        <v>0.86405871827218772</v>
      </c>
      <c r="T29" s="131">
        <f>IF(SER_hh_emih_in!T29=0,0,SER_hh_emih_in!T29/SER_summary!T$27)</f>
        <v>0.25425587586799647</v>
      </c>
      <c r="U29" s="131">
        <f>IF(SER_hh_emih_in!U29=0,0,SER_hh_emih_in!U29/SER_summary!U$27)</f>
        <v>0.547900346624552</v>
      </c>
      <c r="V29" s="131">
        <f>IF(SER_hh_emih_in!V29=0,0,SER_hh_emih_in!V29/SER_summary!V$27)</f>
        <v>1.0228328621941769</v>
      </c>
      <c r="W29" s="131">
        <f>IF(SER_hh_emih_in!W29=0,0,SER_hh_emih_in!W29/SER_summary!W$27)</f>
        <v>0.88655131007873234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1.984349223605117</v>
      </c>
      <c r="D30" s="133">
        <f>IF(SER_hh_emih_in!D30=0,0,SER_hh_emih_in!D30/SER_summary!D$27)</f>
        <v>1.9197601268343023</v>
      </c>
      <c r="E30" s="133">
        <f>IF(SER_hh_emih_in!E30=0,0,SER_hh_emih_in!E30/SER_summary!E$27)</f>
        <v>1.8649983706908759</v>
      </c>
      <c r="F30" s="133">
        <f>IF(SER_hh_emih_in!F30=0,0,SER_hh_emih_in!F30/SER_summary!F$27)</f>
        <v>2.0194238391821853</v>
      </c>
      <c r="G30" s="133">
        <f>IF(SER_hh_emih_in!G30=0,0,SER_hh_emih_in!G30/SER_summary!G$27)</f>
        <v>1.9676842104476373</v>
      </c>
      <c r="H30" s="133">
        <f>IF(SER_hh_emih_in!H30=0,0,SER_hh_emih_in!H30/SER_summary!H$27)</f>
        <v>1.9130167701279406</v>
      </c>
      <c r="I30" s="133">
        <f>IF(SER_hh_emih_in!I30=0,0,SER_hh_emih_in!I30/SER_summary!I$27)</f>
        <v>2.0627773464767465</v>
      </c>
      <c r="J30" s="133">
        <f>IF(SER_hh_emih_in!J30=0,0,SER_hh_emih_in!J30/SER_summary!J$27)</f>
        <v>2.2234526755903201</v>
      </c>
      <c r="K30" s="133">
        <f>IF(SER_hh_emih_in!K30=0,0,SER_hh_emih_in!K30/SER_summary!K$27)</f>
        <v>2.0922866299095628</v>
      </c>
      <c r="L30" s="133">
        <f>IF(SER_hh_emih_in!L30=0,0,SER_hh_emih_in!L30/SER_summary!L$27)</f>
        <v>2.1847211731093794</v>
      </c>
      <c r="M30" s="133">
        <f>IF(SER_hh_emih_in!M30=0,0,SER_hh_emih_in!M30/SER_summary!M$27)</f>
        <v>2.160018810700949</v>
      </c>
      <c r="N30" s="133">
        <f>IF(SER_hh_emih_in!N30=0,0,SER_hh_emih_in!N30/SER_summary!N$27)</f>
        <v>2.198647886632199</v>
      </c>
      <c r="O30" s="133">
        <f>IF(SER_hh_emih_in!O30=0,0,SER_hh_emih_in!O30/SER_summary!O$27)</f>
        <v>2.2051554822940527</v>
      </c>
      <c r="P30" s="133">
        <f>IF(SER_hh_emih_in!P30=0,0,SER_hh_emih_in!P30/SER_summary!P$27)</f>
        <v>1.5253875815723519</v>
      </c>
      <c r="Q30" s="133">
        <f>IF(SER_hh_emih_in!Q30=0,0,SER_hh_emih_in!Q30/SER_summary!Q$27)</f>
        <v>2.1008210289198406</v>
      </c>
      <c r="R30" s="133">
        <f>IF(SER_hh_emih_in!R30=0,0,SER_hh_emih_in!R30/SER_summary!R$27)</f>
        <v>2.6032835137399464</v>
      </c>
      <c r="S30" s="133">
        <f>IF(SER_hh_emih_in!S30=0,0,SER_hh_emih_in!S30/SER_summary!S$27)</f>
        <v>2.0090855594834278</v>
      </c>
      <c r="T30" s="133">
        <f>IF(SER_hh_emih_in!T30=0,0,SER_hh_emih_in!T30/SER_summary!T$27)</f>
        <v>2.3433245968204428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1.8194375894243477</v>
      </c>
      <c r="D31" s="133">
        <f>IF(SER_hh_emih_in!D31=0,0,SER_hh_emih_in!D31/SER_summary!D$27)</f>
        <v>1.5693830951291732</v>
      </c>
      <c r="E31" s="133">
        <f>IF(SER_hh_emih_in!E31=0,0,SER_hh_emih_in!E31/SER_summary!E$27)</f>
        <v>1.263026652439464</v>
      </c>
      <c r="F31" s="133">
        <f>IF(SER_hh_emih_in!F31=0,0,SER_hh_emih_in!F31/SER_summary!F$27)</f>
        <v>1.7375456592229497</v>
      </c>
      <c r="G31" s="133">
        <f>IF(SER_hh_emih_in!G31=0,0,SER_hh_emih_in!G31/SER_summary!G$27)</f>
        <v>1.7227907367190096</v>
      </c>
      <c r="H31" s="133">
        <f>IF(SER_hh_emih_in!H31=0,0,SER_hh_emih_in!H31/SER_summary!H$27)</f>
        <v>1.8256306521834829</v>
      </c>
      <c r="I31" s="133">
        <f>IF(SER_hh_emih_in!I31=0,0,SER_hh_emih_in!I31/SER_summary!I$27)</f>
        <v>1.7919369264664162</v>
      </c>
      <c r="J31" s="133">
        <f>IF(SER_hh_emih_in!J31=0,0,SER_hh_emih_in!J31/SER_summary!J$27)</f>
        <v>1.8618998116003098</v>
      </c>
      <c r="K31" s="133">
        <f>IF(SER_hh_emih_in!K31=0,0,SER_hh_emih_in!K31/SER_summary!K$27)</f>
        <v>1.8565073832313166</v>
      </c>
      <c r="L31" s="133">
        <f>IF(SER_hh_emih_in!L31=0,0,SER_hh_emih_in!L31/SER_summary!L$27)</f>
        <v>1.8954565128687233</v>
      </c>
      <c r="M31" s="133">
        <f>IF(SER_hh_emih_in!M31=0,0,SER_hh_emih_in!M31/SER_summary!M$27)</f>
        <v>1.8506110267460152</v>
      </c>
      <c r="N31" s="133">
        <f>IF(SER_hh_emih_in!N31=0,0,SER_hh_emih_in!N31/SER_summary!N$27)</f>
        <v>1.6920783057473388</v>
      </c>
      <c r="O31" s="133">
        <f>IF(SER_hh_emih_in!O31=0,0,SER_hh_emih_in!O31/SER_summary!O$27)</f>
        <v>1.5551120834365941</v>
      </c>
      <c r="P31" s="133">
        <f>IF(SER_hh_emih_in!P31=0,0,SER_hh_emih_in!P31/SER_summary!P$27)</f>
        <v>2.0842272420625338</v>
      </c>
      <c r="Q31" s="133">
        <f>IF(SER_hh_emih_in!Q31=0,0,SER_hh_emih_in!Q31/SER_summary!Q$27)</f>
        <v>1.9868175547029279</v>
      </c>
      <c r="R31" s="133">
        <f>IF(SER_hh_emih_in!R31=0,0,SER_hh_emih_in!R31/SER_summary!R$27)</f>
        <v>1.9159074374428342</v>
      </c>
      <c r="S31" s="133">
        <f>IF(SER_hh_emih_in!S31=0,0,SER_hh_emih_in!S31/SER_summary!S$27)</f>
        <v>1.9038233134691303</v>
      </c>
      <c r="T31" s="133">
        <f>IF(SER_hh_emih_in!T31=0,0,SER_hh_emih_in!T31/SER_summary!T$27)</f>
        <v>1.7036039309737585</v>
      </c>
      <c r="U31" s="133">
        <f>IF(SER_hh_emih_in!U31=0,0,SER_hh_emih_in!U31/SER_summary!U$27)</f>
        <v>1.7495351995945385</v>
      </c>
      <c r="V31" s="133">
        <f>IF(SER_hh_emih_in!V31=0,0,SER_hh_emih_in!V31/SER_summary!V$27)</f>
        <v>1.7825312204586834</v>
      </c>
      <c r="W31" s="133">
        <f>IF(SER_hh_emih_in!W31=0,0,SER_hh_emih_in!W31/SER_summary!W$27)</f>
        <v>1.7131558485984459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2788.0281210774569</v>
      </c>
      <c r="C3" s="180">
        <f t="shared" ref="C3:W3" si="1">SUM(C4:C9)</f>
        <v>2973.9541445080708</v>
      </c>
      <c r="D3" s="180">
        <f t="shared" si="1"/>
        <v>3136.01588830726</v>
      </c>
      <c r="E3" s="180">
        <f t="shared" si="1"/>
        <v>3321.6348463916861</v>
      </c>
      <c r="F3" s="180">
        <f t="shared" si="1"/>
        <v>3514.6237531980019</v>
      </c>
      <c r="G3" s="180">
        <f t="shared" si="1"/>
        <v>3702.255782647685</v>
      </c>
      <c r="H3" s="180">
        <f t="shared" si="1"/>
        <v>3873.0546631034917</v>
      </c>
      <c r="I3" s="180">
        <f t="shared" si="1"/>
        <v>4013.9972342578922</v>
      </c>
      <c r="J3" s="180">
        <f t="shared" si="1"/>
        <v>4131.7703553984302</v>
      </c>
      <c r="K3" s="180">
        <f t="shared" si="1"/>
        <v>4142.5205934728465</v>
      </c>
      <c r="L3" s="180">
        <f t="shared" si="1"/>
        <v>4224.3240498147225</v>
      </c>
      <c r="M3" s="180">
        <f t="shared" si="1"/>
        <v>4244.5731778310501</v>
      </c>
      <c r="N3" s="180">
        <f t="shared" si="1"/>
        <v>4297.7411801455701</v>
      </c>
      <c r="O3" s="180">
        <f t="shared" si="1"/>
        <v>4304.0750891110856</v>
      </c>
      <c r="P3" s="180">
        <f t="shared" si="1"/>
        <v>4337.1531864449898</v>
      </c>
      <c r="Q3" s="180">
        <f t="shared" si="1"/>
        <v>4443.6283121125216</v>
      </c>
      <c r="R3" s="180">
        <f t="shared" si="1"/>
        <v>4532.2883782976905</v>
      </c>
      <c r="S3" s="180">
        <f t="shared" si="1"/>
        <v>4477.0210846303999</v>
      </c>
      <c r="T3" s="180">
        <f t="shared" si="1"/>
        <v>4479.797654705586</v>
      </c>
      <c r="U3" s="180">
        <f t="shared" si="1"/>
        <v>4428.3922064297776</v>
      </c>
      <c r="V3" s="180">
        <f t="shared" si="1"/>
        <v>4067.3298661118811</v>
      </c>
      <c r="W3" s="180">
        <f t="shared" si="1"/>
        <v>4045.3089811471859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231.49948577188124</v>
      </c>
      <c r="C4" s="181">
        <f t="shared" ref="C4:R9" si="3">C12*C44/11630</f>
        <v>240.86196508868633</v>
      </c>
      <c r="D4" s="181">
        <f t="shared" si="3"/>
        <v>248.63226619213961</v>
      </c>
      <c r="E4" s="181">
        <f t="shared" si="3"/>
        <v>258.76966382941151</v>
      </c>
      <c r="F4" s="181">
        <f t="shared" si="3"/>
        <v>269.87337398582991</v>
      </c>
      <c r="G4" s="181">
        <f t="shared" si="3"/>
        <v>281.37987873084472</v>
      </c>
      <c r="H4" s="181">
        <f t="shared" si="3"/>
        <v>292.31663773197465</v>
      </c>
      <c r="I4" s="181">
        <f t="shared" si="3"/>
        <v>302.86830878142661</v>
      </c>
      <c r="J4" s="181">
        <f t="shared" si="3"/>
        <v>312.36019905901941</v>
      </c>
      <c r="K4" s="181">
        <f t="shared" si="3"/>
        <v>313.10562269584165</v>
      </c>
      <c r="L4" s="181">
        <f t="shared" si="3"/>
        <v>320.12977543795517</v>
      </c>
      <c r="M4" s="181">
        <f t="shared" si="3"/>
        <v>324.35103474518377</v>
      </c>
      <c r="N4" s="181">
        <f t="shared" si="3"/>
        <v>330.89498652896589</v>
      </c>
      <c r="O4" s="181">
        <f t="shared" si="3"/>
        <v>332.86994184500202</v>
      </c>
      <c r="P4" s="181">
        <f t="shared" si="3"/>
        <v>337.87411390954679</v>
      </c>
      <c r="Q4" s="181">
        <f t="shared" si="3"/>
        <v>345.10353468721917</v>
      </c>
      <c r="R4" s="181">
        <f t="shared" si="3"/>
        <v>350.98592561350495</v>
      </c>
      <c r="S4" s="181">
        <f t="shared" ref="D4:W9" si="4">S12*S44/11630</f>
        <v>356.62979474441096</v>
      </c>
      <c r="T4" s="181">
        <f t="shared" si="4"/>
        <v>361.94472047763571</v>
      </c>
      <c r="U4" s="181">
        <f t="shared" si="4"/>
        <v>367.1550874431033</v>
      </c>
      <c r="V4" s="181">
        <f t="shared" si="4"/>
        <v>372.02098069407378</v>
      </c>
      <c r="W4" s="181">
        <f t="shared" si="4"/>
        <v>375.72526266556423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282.53462391933249</v>
      </c>
      <c r="C5" s="181">
        <f t="shared" si="3"/>
        <v>285.25159397703663</v>
      </c>
      <c r="D5" s="181">
        <f t="shared" si="4"/>
        <v>291.21837069062332</v>
      </c>
      <c r="E5" s="181">
        <f t="shared" si="4"/>
        <v>299.00769934338473</v>
      </c>
      <c r="F5" s="181">
        <f t="shared" si="4"/>
        <v>306.85280266982113</v>
      </c>
      <c r="G5" s="181">
        <f t="shared" si="4"/>
        <v>311.80489568140638</v>
      </c>
      <c r="H5" s="181">
        <f t="shared" si="4"/>
        <v>314.67216502572455</v>
      </c>
      <c r="I5" s="181">
        <f t="shared" si="4"/>
        <v>314.94128970760465</v>
      </c>
      <c r="J5" s="181">
        <f t="shared" si="4"/>
        <v>317.43224567331498</v>
      </c>
      <c r="K5" s="181">
        <f t="shared" si="4"/>
        <v>319.43122978154264</v>
      </c>
      <c r="L5" s="181">
        <f t="shared" si="4"/>
        <v>320.08036965241729</v>
      </c>
      <c r="M5" s="181">
        <f t="shared" si="4"/>
        <v>320.21342827530481</v>
      </c>
      <c r="N5" s="181">
        <f t="shared" si="4"/>
        <v>321.17508772265461</v>
      </c>
      <c r="O5" s="181">
        <f t="shared" si="4"/>
        <v>321.30335263766187</v>
      </c>
      <c r="P5" s="181">
        <f t="shared" si="4"/>
        <v>321.72443541110783</v>
      </c>
      <c r="Q5" s="181">
        <f t="shared" si="4"/>
        <v>324.67624068409378</v>
      </c>
      <c r="R5" s="181">
        <f t="shared" si="4"/>
        <v>331.3365371207442</v>
      </c>
      <c r="S5" s="181">
        <f t="shared" si="4"/>
        <v>323.65354269877633</v>
      </c>
      <c r="T5" s="181">
        <f t="shared" si="4"/>
        <v>319.18427678660373</v>
      </c>
      <c r="U5" s="181">
        <f t="shared" si="4"/>
        <v>312.69361780194203</v>
      </c>
      <c r="V5" s="181">
        <f t="shared" si="4"/>
        <v>303.46974404245628</v>
      </c>
      <c r="W5" s="181">
        <f t="shared" si="4"/>
        <v>295.25552018787681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1383.2406086147012</v>
      </c>
      <c r="C6" s="181">
        <f t="shared" si="3"/>
        <v>1462.5097468929459</v>
      </c>
      <c r="D6" s="181">
        <f t="shared" si="4"/>
        <v>1514.4715292868996</v>
      </c>
      <c r="E6" s="181">
        <f t="shared" si="4"/>
        <v>1572.2562748957073</v>
      </c>
      <c r="F6" s="181">
        <f t="shared" si="4"/>
        <v>1630.9932747007451</v>
      </c>
      <c r="G6" s="181">
        <f t="shared" si="4"/>
        <v>1689.8613251534139</v>
      </c>
      <c r="H6" s="181">
        <f t="shared" si="4"/>
        <v>1748.4881056491993</v>
      </c>
      <c r="I6" s="181">
        <f t="shared" si="4"/>
        <v>1806.878200173682</v>
      </c>
      <c r="J6" s="181">
        <f t="shared" si="4"/>
        <v>1841.7460672206782</v>
      </c>
      <c r="K6" s="181">
        <f t="shared" si="4"/>
        <v>1818.3418518099636</v>
      </c>
      <c r="L6" s="181">
        <f t="shared" si="4"/>
        <v>1847.8296050539348</v>
      </c>
      <c r="M6" s="181">
        <f t="shared" si="4"/>
        <v>1862.0307746563653</v>
      </c>
      <c r="N6" s="181">
        <f t="shared" si="4"/>
        <v>1886.652746897696</v>
      </c>
      <c r="O6" s="181">
        <f t="shared" si="4"/>
        <v>1874.7737439012969</v>
      </c>
      <c r="P6" s="181">
        <f t="shared" si="4"/>
        <v>1887.9342336967318</v>
      </c>
      <c r="Q6" s="181">
        <f t="shared" si="4"/>
        <v>1924.718149814923</v>
      </c>
      <c r="R6" s="181">
        <f t="shared" si="4"/>
        <v>1926.9284997878462</v>
      </c>
      <c r="S6" s="181">
        <f t="shared" si="4"/>
        <v>1851.3960016879985</v>
      </c>
      <c r="T6" s="181">
        <f t="shared" si="4"/>
        <v>1790.6394388504418</v>
      </c>
      <c r="U6" s="181">
        <f t="shared" si="4"/>
        <v>1706.4802518436409</v>
      </c>
      <c r="V6" s="181">
        <f t="shared" si="4"/>
        <v>1458.9740630626861</v>
      </c>
      <c r="W6" s="181">
        <f t="shared" si="4"/>
        <v>1411.2607438889036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312.85588680738954</v>
      </c>
      <c r="C7" s="181">
        <f t="shared" si="3"/>
        <v>334.3643316077551</v>
      </c>
      <c r="D7" s="181">
        <f t="shared" si="4"/>
        <v>355.60739218908873</v>
      </c>
      <c r="E7" s="181">
        <f t="shared" si="4"/>
        <v>388.61844309072279</v>
      </c>
      <c r="F7" s="181">
        <f t="shared" si="4"/>
        <v>421.25517871002415</v>
      </c>
      <c r="G7" s="181">
        <f t="shared" si="4"/>
        <v>448.81076536957818</v>
      </c>
      <c r="H7" s="181">
        <f t="shared" si="4"/>
        <v>474.57166488206485</v>
      </c>
      <c r="I7" s="181">
        <f t="shared" si="4"/>
        <v>492.26116271106349</v>
      </c>
      <c r="J7" s="181">
        <f t="shared" si="4"/>
        <v>505.71628995408679</v>
      </c>
      <c r="K7" s="181">
        <f t="shared" si="4"/>
        <v>514.22483995641994</v>
      </c>
      <c r="L7" s="181">
        <f t="shared" si="4"/>
        <v>518.02985651608481</v>
      </c>
      <c r="M7" s="181">
        <f t="shared" si="4"/>
        <v>518.95851432234565</v>
      </c>
      <c r="N7" s="181">
        <f t="shared" si="4"/>
        <v>520.9788117915873</v>
      </c>
      <c r="O7" s="181">
        <f t="shared" si="4"/>
        <v>522.12804699551396</v>
      </c>
      <c r="P7" s="181">
        <f t="shared" si="4"/>
        <v>523.44555247640938</v>
      </c>
      <c r="Q7" s="181">
        <f t="shared" si="4"/>
        <v>529.30420619576557</v>
      </c>
      <c r="R7" s="181">
        <f t="shared" si="4"/>
        <v>529.53500658583584</v>
      </c>
      <c r="S7" s="181">
        <f t="shared" si="4"/>
        <v>530.94028551313818</v>
      </c>
      <c r="T7" s="181">
        <f t="shared" si="4"/>
        <v>532.75122015810064</v>
      </c>
      <c r="U7" s="181">
        <f t="shared" si="4"/>
        <v>534.45462912240816</v>
      </c>
      <c r="V7" s="181">
        <f t="shared" si="4"/>
        <v>535.61891267137776</v>
      </c>
      <c r="W7" s="181">
        <f t="shared" si="4"/>
        <v>533.03103321814444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270.59336688532233</v>
      </c>
      <c r="C8" s="55">
        <f t="shared" si="3"/>
        <v>301.56321325145626</v>
      </c>
      <c r="D8" s="55">
        <f t="shared" si="4"/>
        <v>332.06016080334803</v>
      </c>
      <c r="E8" s="55">
        <f t="shared" si="4"/>
        <v>366.37826400016741</v>
      </c>
      <c r="F8" s="55">
        <f t="shared" si="4"/>
        <v>402.50457241897192</v>
      </c>
      <c r="G8" s="55">
        <f t="shared" si="4"/>
        <v>448.36408636426114</v>
      </c>
      <c r="H8" s="55">
        <f t="shared" si="4"/>
        <v>486.0833374743342</v>
      </c>
      <c r="I8" s="55">
        <f t="shared" si="4"/>
        <v>522.26813645829088</v>
      </c>
      <c r="J8" s="55">
        <f t="shared" si="4"/>
        <v>558.58089164694059</v>
      </c>
      <c r="K8" s="55">
        <f t="shared" si="4"/>
        <v>574.26749865843192</v>
      </c>
      <c r="L8" s="55">
        <f t="shared" si="4"/>
        <v>596.68442737628845</v>
      </c>
      <c r="M8" s="55">
        <f t="shared" si="4"/>
        <v>604.20726279940573</v>
      </c>
      <c r="N8" s="55">
        <f t="shared" si="4"/>
        <v>614.83260958642609</v>
      </c>
      <c r="O8" s="55">
        <f t="shared" si="4"/>
        <v>614.44191231167974</v>
      </c>
      <c r="P8" s="55">
        <f t="shared" si="4"/>
        <v>614.43091644667732</v>
      </c>
      <c r="Q8" s="55">
        <f t="shared" si="4"/>
        <v>615.38179356812861</v>
      </c>
      <c r="R8" s="55">
        <f t="shared" si="4"/>
        <v>655.41096991751169</v>
      </c>
      <c r="S8" s="55">
        <f t="shared" si="4"/>
        <v>669.09636243533066</v>
      </c>
      <c r="T8" s="55">
        <f t="shared" si="4"/>
        <v>695.32337041468679</v>
      </c>
      <c r="U8" s="55">
        <f t="shared" si="4"/>
        <v>716.19217125748912</v>
      </c>
      <c r="V8" s="55">
        <f t="shared" si="4"/>
        <v>659.13923697053849</v>
      </c>
      <c r="W8" s="55">
        <f t="shared" si="4"/>
        <v>689.67982331174676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307.30414907882999</v>
      </c>
      <c r="C9" s="63">
        <f t="shared" si="3"/>
        <v>349.40329369019076</v>
      </c>
      <c r="D9" s="63">
        <f t="shared" si="4"/>
        <v>394.02616914516051</v>
      </c>
      <c r="E9" s="63">
        <f t="shared" si="4"/>
        <v>436.60450123229231</v>
      </c>
      <c r="F9" s="63">
        <f t="shared" si="4"/>
        <v>483.14455071260966</v>
      </c>
      <c r="G9" s="63">
        <f t="shared" si="4"/>
        <v>522.03483134818021</v>
      </c>
      <c r="H9" s="63">
        <f t="shared" si="4"/>
        <v>556.92275234019417</v>
      </c>
      <c r="I9" s="63">
        <f t="shared" si="4"/>
        <v>574.78013642582448</v>
      </c>
      <c r="J9" s="63">
        <f t="shared" si="4"/>
        <v>595.93466184439046</v>
      </c>
      <c r="K9" s="63">
        <f t="shared" si="4"/>
        <v>603.14955057064685</v>
      </c>
      <c r="L9" s="63">
        <f t="shared" si="4"/>
        <v>621.57001577804203</v>
      </c>
      <c r="M9" s="63">
        <f t="shared" si="4"/>
        <v>614.81216303244514</v>
      </c>
      <c r="N9" s="63">
        <f t="shared" si="4"/>
        <v>623.20693761823952</v>
      </c>
      <c r="O9" s="63">
        <f t="shared" si="4"/>
        <v>638.55809141993086</v>
      </c>
      <c r="P9" s="63">
        <f t="shared" si="4"/>
        <v>651.74393450451669</v>
      </c>
      <c r="Q9" s="63">
        <f t="shared" si="4"/>
        <v>704.44438716239119</v>
      </c>
      <c r="R9" s="63">
        <f t="shared" si="4"/>
        <v>738.09143927224795</v>
      </c>
      <c r="S9" s="63">
        <f t="shared" si="4"/>
        <v>745.30509755074524</v>
      </c>
      <c r="T9" s="63">
        <f t="shared" si="4"/>
        <v>779.95462801811686</v>
      </c>
      <c r="U9" s="63">
        <f t="shared" si="4"/>
        <v>791.41644896119385</v>
      </c>
      <c r="V9" s="63">
        <f t="shared" si="4"/>
        <v>738.10692867074874</v>
      </c>
      <c r="W9" s="63">
        <f t="shared" si="4"/>
        <v>740.3565978749499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15103.764807880252</v>
      </c>
      <c r="C11" s="180">
        <f t="shared" ref="C11:W11" si="6">SUM(C12:C17)</f>
        <v>16200.903733667585</v>
      </c>
      <c r="D11" s="180">
        <f t="shared" si="6"/>
        <v>17146.382186562772</v>
      </c>
      <c r="E11" s="180">
        <f t="shared" si="6"/>
        <v>18179.48494791922</v>
      </c>
      <c r="F11" s="180">
        <f t="shared" si="6"/>
        <v>19256.813739122452</v>
      </c>
      <c r="G11" s="180">
        <f t="shared" si="6"/>
        <v>20395.658800513178</v>
      </c>
      <c r="H11" s="180">
        <f t="shared" si="6"/>
        <v>21364.086469605238</v>
      </c>
      <c r="I11" s="180">
        <f t="shared" si="6"/>
        <v>22180.017478214006</v>
      </c>
      <c r="J11" s="180">
        <f t="shared" si="6"/>
        <v>22930.432200935138</v>
      </c>
      <c r="K11" s="180">
        <f t="shared" si="6"/>
        <v>23037.027908017528</v>
      </c>
      <c r="L11" s="180">
        <f t="shared" si="6"/>
        <v>23553.768211147875</v>
      </c>
      <c r="M11" s="180">
        <f t="shared" si="6"/>
        <v>23619.504156917683</v>
      </c>
      <c r="N11" s="180">
        <f t="shared" si="6"/>
        <v>23893.587592704676</v>
      </c>
      <c r="O11" s="180">
        <f t="shared" si="6"/>
        <v>23864.910294766698</v>
      </c>
      <c r="P11" s="180">
        <f t="shared" si="6"/>
        <v>23941.647456668048</v>
      </c>
      <c r="Q11" s="180">
        <f t="shared" si="6"/>
        <v>24393.757559366873</v>
      </c>
      <c r="R11" s="180">
        <f t="shared" si="6"/>
        <v>24636.961027703626</v>
      </c>
      <c r="S11" s="180">
        <f t="shared" si="6"/>
        <v>24880.210933615792</v>
      </c>
      <c r="T11" s="180">
        <f t="shared" si="6"/>
        <v>25048.979835813112</v>
      </c>
      <c r="U11" s="180">
        <f t="shared" si="6"/>
        <v>24970.009877659621</v>
      </c>
      <c r="V11" s="180">
        <f t="shared" si="6"/>
        <v>24696.98216877033</v>
      </c>
      <c r="W11" s="180">
        <f t="shared" si="6"/>
        <v>24313.634970400566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307.34463693230367</v>
      </c>
      <c r="C12" s="181">
        <f t="shared" ref="C12:W12" si="7">C20*C52</f>
        <v>319.77450387915792</v>
      </c>
      <c r="D12" s="181">
        <f t="shared" si="7"/>
        <v>330.09055431673323</v>
      </c>
      <c r="E12" s="181">
        <f t="shared" si="7"/>
        <v>343.5492226411024</v>
      </c>
      <c r="F12" s="181">
        <f t="shared" si="7"/>
        <v>358.2907921752514</v>
      </c>
      <c r="G12" s="181">
        <f t="shared" si="7"/>
        <v>373.56712210499148</v>
      </c>
      <c r="H12" s="181">
        <f t="shared" si="7"/>
        <v>388.08704301630866</v>
      </c>
      <c r="I12" s="181">
        <f t="shared" si="7"/>
        <v>402.09571131598079</v>
      </c>
      <c r="J12" s="181">
        <f t="shared" si="7"/>
        <v>414.69738756351546</v>
      </c>
      <c r="K12" s="181">
        <f t="shared" si="7"/>
        <v>415.68703104482171</v>
      </c>
      <c r="L12" s="181">
        <f t="shared" si="7"/>
        <v>425.01247583828979</v>
      </c>
      <c r="M12" s="181">
        <f t="shared" si="7"/>
        <v>430.61672763544374</v>
      </c>
      <c r="N12" s="181">
        <f t="shared" si="7"/>
        <v>439.30464535751975</v>
      </c>
      <c r="O12" s="181">
        <f t="shared" si="7"/>
        <v>441.92664653622995</v>
      </c>
      <c r="P12" s="181">
        <f t="shared" si="7"/>
        <v>448.57031332968387</v>
      </c>
      <c r="Q12" s="181">
        <f t="shared" si="7"/>
        <v>458.16827721602289</v>
      </c>
      <c r="R12" s="181">
        <f t="shared" si="7"/>
        <v>465.97788982706214</v>
      </c>
      <c r="S12" s="181">
        <f t="shared" si="7"/>
        <v>473.47083480336772</v>
      </c>
      <c r="T12" s="181">
        <f t="shared" si="7"/>
        <v>480.52706611357377</v>
      </c>
      <c r="U12" s="181">
        <f t="shared" si="7"/>
        <v>487.44448253005618</v>
      </c>
      <c r="V12" s="181">
        <f t="shared" si="7"/>
        <v>493.90456683471234</v>
      </c>
      <c r="W12" s="181">
        <f t="shared" si="7"/>
        <v>498.82246630142851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884.55993973108411</v>
      </c>
      <c r="C13" s="181">
        <f t="shared" ref="C13:W13" si="8">C21*C53/1000</f>
        <v>895.6883020201102</v>
      </c>
      <c r="D13" s="181">
        <f t="shared" si="8"/>
        <v>915.83903612804863</v>
      </c>
      <c r="E13" s="181">
        <f t="shared" si="8"/>
        <v>942.19604583169371</v>
      </c>
      <c r="F13" s="181">
        <f t="shared" si="8"/>
        <v>968.41888884405819</v>
      </c>
      <c r="G13" s="181">
        <f t="shared" si="8"/>
        <v>986.1549294020723</v>
      </c>
      <c r="H13" s="181">
        <f t="shared" si="8"/>
        <v>996.63820317372586</v>
      </c>
      <c r="I13" s="181">
        <f t="shared" si="8"/>
        <v>999.77204708842555</v>
      </c>
      <c r="J13" s="181">
        <f t="shared" si="8"/>
        <v>1010.3284007392004</v>
      </c>
      <c r="K13" s="181">
        <f t="shared" si="8"/>
        <v>1019.8997316494645</v>
      </c>
      <c r="L13" s="181">
        <f t="shared" si="8"/>
        <v>1024.6036008201729</v>
      </c>
      <c r="M13" s="181">
        <f t="shared" si="8"/>
        <v>1027.7707984849715</v>
      </c>
      <c r="N13" s="181">
        <f t="shared" si="8"/>
        <v>1035.364990889826</v>
      </c>
      <c r="O13" s="181">
        <f t="shared" si="8"/>
        <v>1039.6537997881846</v>
      </c>
      <c r="P13" s="181">
        <f t="shared" si="8"/>
        <v>1045.4111714923738</v>
      </c>
      <c r="Q13" s="181">
        <f t="shared" si="8"/>
        <v>1059.195530442013</v>
      </c>
      <c r="R13" s="181">
        <f t="shared" si="8"/>
        <v>1061.2323073040145</v>
      </c>
      <c r="S13" s="181">
        <f t="shared" si="8"/>
        <v>1057.3324170953717</v>
      </c>
      <c r="T13" s="181">
        <f t="shared" si="8"/>
        <v>1046.6033194138724</v>
      </c>
      <c r="U13" s="181">
        <f t="shared" si="8"/>
        <v>1028.9261769480497</v>
      </c>
      <c r="V13" s="181">
        <f t="shared" si="8"/>
        <v>1004.7360682458417</v>
      </c>
      <c r="W13" s="181">
        <f t="shared" si="8"/>
        <v>976.26922356447687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7460.0638525724289</v>
      </c>
      <c r="C14" s="181">
        <f t="shared" ref="C14:W14" si="9">C22*C54</f>
        <v>7811.1068242493702</v>
      </c>
      <c r="D14" s="181">
        <f t="shared" si="9"/>
        <v>8024.0282041789887</v>
      </c>
      <c r="E14" s="181">
        <f t="shared" si="9"/>
        <v>8267.2129732162321</v>
      </c>
      <c r="F14" s="181">
        <f t="shared" si="9"/>
        <v>8513.6388098749885</v>
      </c>
      <c r="G14" s="181">
        <f t="shared" si="9"/>
        <v>8754.0568429238938</v>
      </c>
      <c r="H14" s="181">
        <f t="shared" si="9"/>
        <v>8984.4880045532936</v>
      </c>
      <c r="I14" s="181">
        <f t="shared" si="9"/>
        <v>9212.7048856131623</v>
      </c>
      <c r="J14" s="181">
        <f t="shared" si="9"/>
        <v>9345.9011417020956</v>
      </c>
      <c r="K14" s="181">
        <f t="shared" si="9"/>
        <v>9209.7537006000057</v>
      </c>
      <c r="L14" s="181">
        <f t="shared" si="9"/>
        <v>9349.5913399595502</v>
      </c>
      <c r="M14" s="181">
        <f t="shared" si="9"/>
        <v>9396.3222641280463</v>
      </c>
      <c r="N14" s="181">
        <f t="shared" si="9"/>
        <v>9498.8902610595887</v>
      </c>
      <c r="O14" s="181">
        <f t="shared" si="9"/>
        <v>9421.2902018301684</v>
      </c>
      <c r="P14" s="181">
        <f t="shared" si="9"/>
        <v>9456.7453862868097</v>
      </c>
      <c r="Q14" s="181">
        <f t="shared" si="9"/>
        <v>9611.2727286927038</v>
      </c>
      <c r="R14" s="181">
        <f t="shared" si="9"/>
        <v>9404.2357774579177</v>
      </c>
      <c r="S14" s="181">
        <f t="shared" si="9"/>
        <v>9186.8047978111608</v>
      </c>
      <c r="T14" s="181">
        <f t="shared" si="9"/>
        <v>8861.389533791491</v>
      </c>
      <c r="U14" s="181">
        <f t="shared" si="9"/>
        <v>8458.4126637001118</v>
      </c>
      <c r="V14" s="181">
        <f t="shared" si="9"/>
        <v>8026.5119161423045</v>
      </c>
      <c r="W14" s="181">
        <f t="shared" si="9"/>
        <v>7550.2781300988327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415.35547529337219</v>
      </c>
      <c r="C15" s="181">
        <f t="shared" ref="C15:W15" si="10">C23*C55/1000</f>
        <v>443.91063659796714</v>
      </c>
      <c r="D15" s="181">
        <f t="shared" si="10"/>
        <v>472.11346702729475</v>
      </c>
      <c r="E15" s="181">
        <f t="shared" si="10"/>
        <v>515.93978232250061</v>
      </c>
      <c r="F15" s="181">
        <f t="shared" si="10"/>
        <v>559.26914707734954</v>
      </c>
      <c r="G15" s="181">
        <f t="shared" si="10"/>
        <v>595.85264854431443</v>
      </c>
      <c r="H15" s="181">
        <f t="shared" si="10"/>
        <v>630.05347746328937</v>
      </c>
      <c r="I15" s="181">
        <f t="shared" si="10"/>
        <v>653.53850711525922</v>
      </c>
      <c r="J15" s="181">
        <f t="shared" si="10"/>
        <v>671.40187810114458</v>
      </c>
      <c r="K15" s="181">
        <f t="shared" si="10"/>
        <v>682.69804665447066</v>
      </c>
      <c r="L15" s="181">
        <f t="shared" si="10"/>
        <v>687.749683936309</v>
      </c>
      <c r="M15" s="181">
        <f t="shared" si="10"/>
        <v>688.98259378640205</v>
      </c>
      <c r="N15" s="181">
        <f t="shared" si="10"/>
        <v>691.66479236714144</v>
      </c>
      <c r="O15" s="181">
        <f t="shared" si="10"/>
        <v>693.19054641071079</v>
      </c>
      <c r="P15" s="181">
        <f t="shared" si="10"/>
        <v>694.93970037678537</v>
      </c>
      <c r="Q15" s="181">
        <f t="shared" si="10"/>
        <v>702.71779886492629</v>
      </c>
      <c r="R15" s="181">
        <f t="shared" si="10"/>
        <v>703.02421536452891</v>
      </c>
      <c r="S15" s="181">
        <f t="shared" si="10"/>
        <v>704.88989960248841</v>
      </c>
      <c r="T15" s="181">
        <f t="shared" si="10"/>
        <v>707.29414274414512</v>
      </c>
      <c r="U15" s="181">
        <f t="shared" si="10"/>
        <v>709.55563204264934</v>
      </c>
      <c r="V15" s="181">
        <f t="shared" si="10"/>
        <v>711.10136465389553</v>
      </c>
      <c r="W15" s="181">
        <f t="shared" si="10"/>
        <v>707.66562971769633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3894.5423615792292</v>
      </c>
      <c r="C16" s="55">
        <f t="shared" ref="C16:W16" si="11">C24*C56</f>
        <v>4319.6445704438293</v>
      </c>
      <c r="D16" s="55">
        <f t="shared" si="11"/>
        <v>4735.8397369573868</v>
      </c>
      <c r="E16" s="55">
        <f t="shared" si="11"/>
        <v>5204.4137854881683</v>
      </c>
      <c r="F16" s="55">
        <f t="shared" si="11"/>
        <v>5696.4422926889129</v>
      </c>
      <c r="G16" s="55">
        <f t="shared" si="11"/>
        <v>6323.6167529814311</v>
      </c>
      <c r="H16" s="55">
        <f t="shared" si="11"/>
        <v>6833.5129316201628</v>
      </c>
      <c r="I16" s="55">
        <f t="shared" si="11"/>
        <v>7319.988014482562</v>
      </c>
      <c r="J16" s="55">
        <f t="shared" si="11"/>
        <v>7806.5965505146005</v>
      </c>
      <c r="K16" s="55">
        <f t="shared" si="11"/>
        <v>8004.1615067828261</v>
      </c>
      <c r="L16" s="55">
        <f t="shared" si="11"/>
        <v>8295.307496291296</v>
      </c>
      <c r="M16" s="55">
        <f t="shared" si="11"/>
        <v>8386.2425149252158</v>
      </c>
      <c r="N16" s="55">
        <f t="shared" si="11"/>
        <v>8520.4969106582666</v>
      </c>
      <c r="O16" s="55">
        <f t="shared" si="11"/>
        <v>8502.4748632864921</v>
      </c>
      <c r="P16" s="55">
        <f t="shared" si="11"/>
        <v>8490.2694048086432</v>
      </c>
      <c r="Q16" s="55">
        <f t="shared" si="11"/>
        <v>8491.8457210935594</v>
      </c>
      <c r="R16" s="55">
        <f t="shared" si="11"/>
        <v>8863.3848219968822</v>
      </c>
      <c r="S16" s="55">
        <f t="shared" si="11"/>
        <v>9233.579141633445</v>
      </c>
      <c r="T16" s="55">
        <f t="shared" si="11"/>
        <v>9574.9758623878806</v>
      </c>
      <c r="U16" s="55">
        <f t="shared" si="11"/>
        <v>9873.4253365865443</v>
      </c>
      <c r="V16" s="55">
        <f t="shared" si="11"/>
        <v>10085.725008156727</v>
      </c>
      <c r="W16" s="55">
        <f t="shared" si="11"/>
        <v>10262.516869061399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2141.8985417718336</v>
      </c>
      <c r="C17" s="63">
        <f t="shared" ref="C17:W17" si="12">C25*C57/1000</f>
        <v>2410.778896477148</v>
      </c>
      <c r="D17" s="63">
        <f t="shared" si="12"/>
        <v>2668.4711879543211</v>
      </c>
      <c r="E17" s="63">
        <f t="shared" si="12"/>
        <v>2906.1731384195232</v>
      </c>
      <c r="F17" s="63">
        <f t="shared" si="12"/>
        <v>3160.7538084618909</v>
      </c>
      <c r="G17" s="63">
        <f t="shared" si="12"/>
        <v>3362.4105045564752</v>
      </c>
      <c r="H17" s="63">
        <f t="shared" si="12"/>
        <v>3531.3068097784562</v>
      </c>
      <c r="I17" s="63">
        <f t="shared" si="12"/>
        <v>3591.9183125986174</v>
      </c>
      <c r="J17" s="63">
        <f t="shared" si="12"/>
        <v>3681.5068423145804</v>
      </c>
      <c r="K17" s="63">
        <f t="shared" si="12"/>
        <v>3704.827891285941</v>
      </c>
      <c r="L17" s="63">
        <f t="shared" si="12"/>
        <v>3771.5036143022562</v>
      </c>
      <c r="M17" s="63">
        <f t="shared" si="12"/>
        <v>3689.5692579576043</v>
      </c>
      <c r="N17" s="63">
        <f t="shared" si="12"/>
        <v>3707.8659923723344</v>
      </c>
      <c r="O17" s="63">
        <f t="shared" si="12"/>
        <v>3766.3742369149104</v>
      </c>
      <c r="P17" s="63">
        <f t="shared" si="12"/>
        <v>3805.7114803737504</v>
      </c>
      <c r="Q17" s="63">
        <f t="shared" si="12"/>
        <v>4070.5575030576497</v>
      </c>
      <c r="R17" s="63">
        <f t="shared" si="12"/>
        <v>4139.1060157532183</v>
      </c>
      <c r="S17" s="63">
        <f t="shared" si="12"/>
        <v>4224.1338426699558</v>
      </c>
      <c r="T17" s="63">
        <f t="shared" si="12"/>
        <v>4378.1899113621503</v>
      </c>
      <c r="U17" s="63">
        <f t="shared" si="12"/>
        <v>4412.2455858522098</v>
      </c>
      <c r="V17" s="63">
        <f t="shared" si="12"/>
        <v>4375.0032447368521</v>
      </c>
      <c r="W17" s="63">
        <f t="shared" si="12"/>
        <v>4318.0826516567313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453.06841839776814</v>
      </c>
      <c r="C20" s="182">
        <v>476.00243707258755</v>
      </c>
      <c r="D20" s="182">
        <v>496.03195062668345</v>
      </c>
      <c r="E20" s="182">
        <v>522.02563726984965</v>
      </c>
      <c r="F20" s="182">
        <v>551.0176508682415</v>
      </c>
      <c r="G20" s="182">
        <v>581.82414778720283</v>
      </c>
      <c r="H20" s="182">
        <v>612.20396921755548</v>
      </c>
      <c r="I20" s="182">
        <v>641.97565320440287</v>
      </c>
      <c r="J20" s="182">
        <v>670.08842705343477</v>
      </c>
      <c r="K20" s="182">
        <v>677.91983880010696</v>
      </c>
      <c r="L20" s="182">
        <v>702.09267976794172</v>
      </c>
      <c r="M20" s="182">
        <v>719.98936637214706</v>
      </c>
      <c r="N20" s="182">
        <v>745.17143530953967</v>
      </c>
      <c r="O20" s="182">
        <v>759.87090316053775</v>
      </c>
      <c r="P20" s="182">
        <v>784.35759074149769</v>
      </c>
      <c r="Q20" s="182">
        <v>816.28906345020516</v>
      </c>
      <c r="R20" s="182">
        <v>845.23514929017108</v>
      </c>
      <c r="S20" s="182">
        <v>874.4957300626287</v>
      </c>
      <c r="T20" s="182">
        <v>903.82658675055552</v>
      </c>
      <c r="U20" s="182">
        <v>931.79222504494112</v>
      </c>
      <c r="V20" s="182">
        <v>957.9812445648829</v>
      </c>
      <c r="W20" s="182">
        <v>982.25695983682351</v>
      </c>
      <c r="DA20" s="191" t="s">
        <v>921</v>
      </c>
    </row>
    <row r="21" spans="1:105" ht="12" customHeight="1" x14ac:dyDescent="0.25">
      <c r="A21" s="132" t="s">
        <v>163</v>
      </c>
      <c r="B21" s="182">
        <v>4500.5526942955985</v>
      </c>
      <c r="C21" s="182">
        <v>4604.2076450944824</v>
      </c>
      <c r="D21" s="182">
        <v>4773.0252838662436</v>
      </c>
      <c r="E21" s="182">
        <v>4992.3674680430959</v>
      </c>
      <c r="F21" s="182">
        <v>5231.2141665432555</v>
      </c>
      <c r="G21" s="182">
        <v>5442.6741450683667</v>
      </c>
      <c r="H21" s="182">
        <v>5631.1021044793915</v>
      </c>
      <c r="I21" s="182">
        <v>5790.1298388832192</v>
      </c>
      <c r="J21" s="182">
        <v>5939.8793689234435</v>
      </c>
      <c r="K21" s="182">
        <v>6094.7190769900544</v>
      </c>
      <c r="L21" s="182">
        <v>6230.1192166099027</v>
      </c>
      <c r="M21" s="182">
        <v>6364.5672703760229</v>
      </c>
      <c r="N21" s="182">
        <v>6543.846444178268</v>
      </c>
      <c r="O21" s="182">
        <v>6726.1753508469965</v>
      </c>
      <c r="P21" s="182">
        <v>6964.4951943253782</v>
      </c>
      <c r="Q21" s="182">
        <v>7293.6109682040997</v>
      </c>
      <c r="R21" s="182">
        <v>7605.8881926000604</v>
      </c>
      <c r="S21" s="182">
        <v>7924.5017976610825</v>
      </c>
      <c r="T21" s="182">
        <v>8233.7210949970304</v>
      </c>
      <c r="U21" s="182">
        <v>8515.4486395796594</v>
      </c>
      <c r="V21" s="182">
        <v>8748.4262128363225</v>
      </c>
      <c r="W21" s="182">
        <v>8909.2186592200815</v>
      </c>
      <c r="DA21" s="191" t="s">
        <v>922</v>
      </c>
    </row>
    <row r="22" spans="1:105" ht="12" customHeight="1" x14ac:dyDescent="0.25">
      <c r="A22" s="132" t="s">
        <v>167</v>
      </c>
      <c r="B22" s="182">
        <v>196.14687767596473</v>
      </c>
      <c r="C22" s="182">
        <v>207.31507975719549</v>
      </c>
      <c r="D22" s="182">
        <v>215.64824831314777</v>
      </c>
      <c r="E22" s="182">
        <v>225.68152001490452</v>
      </c>
      <c r="F22" s="182">
        <v>236.68198840313977</v>
      </c>
      <c r="G22" s="182">
        <v>248.51707838746634</v>
      </c>
      <c r="H22" s="182">
        <v>261.62051033995346</v>
      </c>
      <c r="I22" s="182">
        <v>274.85076560081188</v>
      </c>
      <c r="J22" s="182">
        <v>284.80152507221567</v>
      </c>
      <c r="K22" s="182">
        <v>286.98510548586955</v>
      </c>
      <c r="L22" s="182">
        <v>298.91184591392079</v>
      </c>
      <c r="M22" s="182">
        <v>309.25302400223069</v>
      </c>
      <c r="N22" s="182">
        <v>323.51563969993572</v>
      </c>
      <c r="O22" s="182">
        <v>334.70815591593191</v>
      </c>
      <c r="P22" s="182">
        <v>351.61493479592241</v>
      </c>
      <c r="Q22" s="182">
        <v>374.43802697535034</v>
      </c>
      <c r="R22" s="182">
        <v>388.57036755213244</v>
      </c>
      <c r="S22" s="182">
        <v>402.97753446078394</v>
      </c>
      <c r="T22" s="182">
        <v>417.10762107670286</v>
      </c>
      <c r="U22" s="182">
        <v>430.01357606434897</v>
      </c>
      <c r="V22" s="182">
        <v>440.97333600355739</v>
      </c>
      <c r="W22" s="182">
        <v>448.77961762462149</v>
      </c>
      <c r="DA22" s="191" t="s">
        <v>923</v>
      </c>
    </row>
    <row r="23" spans="1:105" ht="12" customHeight="1" x14ac:dyDescent="0.25">
      <c r="A23" s="132" t="s">
        <v>180</v>
      </c>
      <c r="B23" s="182">
        <v>636.45376042957309</v>
      </c>
      <c r="C23" s="182">
        <v>690.97465013694159</v>
      </c>
      <c r="D23" s="182">
        <v>748.67005463973794</v>
      </c>
      <c r="E23" s="182">
        <v>836.34754961228998</v>
      </c>
      <c r="F23" s="182">
        <v>925.816322723996</v>
      </c>
      <c r="G23" s="182">
        <v>1005.4919677288934</v>
      </c>
      <c r="H23" s="182">
        <v>1083.5468657985871</v>
      </c>
      <c r="I23" s="182">
        <v>1143.6686745622271</v>
      </c>
      <c r="J23" s="182">
        <v>1195.4726555442369</v>
      </c>
      <c r="K23" s="182">
        <v>1236.7198728970905</v>
      </c>
      <c r="L23" s="182">
        <v>1267.7981606053888</v>
      </c>
      <c r="M23" s="182">
        <v>1293.986985238668</v>
      </c>
      <c r="N23" s="182">
        <v>1321.2238133435594</v>
      </c>
      <c r="O23" s="182">
        <v>1353.1546557896295</v>
      </c>
      <c r="P23" s="182">
        <v>1389.3569270775652</v>
      </c>
      <c r="Q23" s="182">
        <v>1437.376852290824</v>
      </c>
      <c r="R23" s="182">
        <v>1468.2075442386667</v>
      </c>
      <c r="S23" s="182">
        <v>1499.8160679381656</v>
      </c>
      <c r="T23" s="182">
        <v>1531.4756107608787</v>
      </c>
      <c r="U23" s="182">
        <v>1561.1410887850479</v>
      </c>
      <c r="V23" s="182">
        <v>1587.390719317176</v>
      </c>
      <c r="W23" s="182">
        <v>1608.8142653982916</v>
      </c>
      <c r="DA23" s="191" t="s">
        <v>924</v>
      </c>
    </row>
    <row r="24" spans="1:105" ht="12" customHeight="1" x14ac:dyDescent="0.25">
      <c r="A24" s="60" t="s">
        <v>166</v>
      </c>
      <c r="B24" s="36">
        <v>84.602979328701636</v>
      </c>
      <c r="C24" s="36">
        <v>94.602350738779194</v>
      </c>
      <c r="D24" s="36">
        <v>104.52674230304422</v>
      </c>
      <c r="E24" s="36">
        <v>115.82278217320871</v>
      </c>
      <c r="F24" s="36">
        <v>127.8408361906403</v>
      </c>
      <c r="G24" s="36">
        <v>143.29348097008307</v>
      </c>
      <c r="H24" s="36">
        <v>156.1429081639653</v>
      </c>
      <c r="I24" s="36">
        <v>168.62708127819923</v>
      </c>
      <c r="J24" s="36">
        <v>181.36804049705631</v>
      </c>
      <c r="K24" s="36">
        <v>187.17348094573194</v>
      </c>
      <c r="L24" s="36">
        <v>195.58223363472453</v>
      </c>
      <c r="M24" s="36">
        <v>199.27564462604914</v>
      </c>
      <c r="N24" s="36">
        <v>204.56201188647071</v>
      </c>
      <c r="O24" s="36">
        <v>206.29483163933639</v>
      </c>
      <c r="P24" s="36">
        <v>208.81385788087405</v>
      </c>
      <c r="Q24" s="36">
        <v>212.52538617933118</v>
      </c>
      <c r="R24" s="36">
        <v>226.91177103810244</v>
      </c>
      <c r="S24" s="36">
        <v>241.59184412292657</v>
      </c>
      <c r="T24" s="36">
        <v>256.14681346149752</v>
      </c>
      <c r="U24" s="36">
        <v>269.94251241392311</v>
      </c>
      <c r="V24" s="36">
        <v>282.43300511336105</v>
      </c>
      <c r="W24" s="36">
        <v>293.1326722132103</v>
      </c>
      <c r="DA24" s="89" t="s">
        <v>925</v>
      </c>
    </row>
    <row r="25" spans="1:105" ht="12" customHeight="1" x14ac:dyDescent="0.25">
      <c r="A25" s="62" t="s">
        <v>164</v>
      </c>
      <c r="B25" s="38">
        <v>5570.9766948311708</v>
      </c>
      <c r="C25" s="38">
        <v>6470.6993089635062</v>
      </c>
      <c r="D25" s="38">
        <v>7445.2010873318141</v>
      </c>
      <c r="E25" s="38">
        <v>8460.5781340161484</v>
      </c>
      <c r="F25" s="38">
        <v>9642.0008916848019</v>
      </c>
      <c r="G25" s="38">
        <v>10743.852336903394</v>
      </c>
      <c r="H25" s="38">
        <v>11961.9590801552</v>
      </c>
      <c r="I25" s="38">
        <v>12846.193321326629</v>
      </c>
      <c r="J25" s="38">
        <v>13954.902730287382</v>
      </c>
      <c r="K25" s="38">
        <v>14930.133841614301</v>
      </c>
      <c r="L25" s="38">
        <v>16250.566840717389</v>
      </c>
      <c r="M25" s="38">
        <v>17270.528961467338</v>
      </c>
      <c r="N25" s="38">
        <v>18636.925436971433</v>
      </c>
      <c r="O25" s="38">
        <v>20203.666507401616</v>
      </c>
      <c r="P25" s="38">
        <v>21415.30593462555</v>
      </c>
      <c r="Q25" s="38">
        <v>23725.033121717017</v>
      </c>
      <c r="R25" s="38">
        <v>24775.860015071139</v>
      </c>
      <c r="S25" s="38">
        <v>25866.183290746521</v>
      </c>
      <c r="T25" s="38">
        <v>27415.904492055583</v>
      </c>
      <c r="U25" s="38">
        <v>28188.10555067144</v>
      </c>
      <c r="V25" s="38">
        <v>28741.440287604237</v>
      </c>
      <c r="W25" s="38">
        <v>29056.763358822682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42.585103405617815</v>
      </c>
      <c r="D28" s="183">
        <v>40.236440895103158</v>
      </c>
      <c r="E28" s="183">
        <v>46.772178932948123</v>
      </c>
      <c r="F28" s="183">
        <v>50.35823789120434</v>
      </c>
      <c r="G28" s="183">
        <v>52.777077563798002</v>
      </c>
      <c r="H28" s="183">
        <v>52.971853005798266</v>
      </c>
      <c r="I28" s="183">
        <v>53.002744601801169</v>
      </c>
      <c r="J28" s="183">
        <v>52.000938819649946</v>
      </c>
      <c r="K28" s="183">
        <v>32.395267660170248</v>
      </c>
      <c r="L28" s="183">
        <v>49.431500144093775</v>
      </c>
      <c r="M28" s="183">
        <v>43.86980196643276</v>
      </c>
      <c r="N28" s="183">
        <v>51.889849303408255</v>
      </c>
      <c r="O28" s="183">
        <v>42.162693657043974</v>
      </c>
      <c r="P28" s="183">
        <v>52.726727050266959</v>
      </c>
      <c r="Q28" s="183">
        <v>60.970298477399751</v>
      </c>
      <c r="R28" s="183">
        <v>58.806292053238508</v>
      </c>
      <c r="S28" s="183">
        <v>59.965400664330105</v>
      </c>
      <c r="T28" s="183">
        <v>60.904180658250652</v>
      </c>
      <c r="U28" s="183">
        <v>70.550741700003414</v>
      </c>
      <c r="V28" s="183">
        <v>66.425460415044881</v>
      </c>
      <c r="W28" s="183">
        <v>71.047894204888735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668.22421623070659</v>
      </c>
      <c r="D29" s="183">
        <v>757.6887213386417</v>
      </c>
      <c r="E29" s="183">
        <v>833.56115271786166</v>
      </c>
      <c r="F29" s="183">
        <v>879.50464976359945</v>
      </c>
      <c r="G29" s="183">
        <v>879.69497538953055</v>
      </c>
      <c r="H29" s="183">
        <v>885.42705253673103</v>
      </c>
      <c r="I29" s="183">
        <v>886.02907090614826</v>
      </c>
      <c r="J29" s="183">
        <v>817.97374627093086</v>
      </c>
      <c r="K29" s="183">
        <v>912.52842940525261</v>
      </c>
      <c r="L29" s="183">
        <v>968.96129233770989</v>
      </c>
      <c r="M29" s="183">
        <v>1013.9527035297197</v>
      </c>
      <c r="N29" s="183">
        <v>1058.9741491917757</v>
      </c>
      <c r="O29" s="183">
        <v>1067.7559592054595</v>
      </c>
      <c r="P29" s="183">
        <v>1124.34891438453</v>
      </c>
      <c r="Q29" s="183">
        <v>1147.0895201496523</v>
      </c>
      <c r="R29" s="183">
        <v>1224.8056538012133</v>
      </c>
      <c r="S29" s="183">
        <v>1287.574897398732</v>
      </c>
      <c r="T29" s="183">
        <v>1323.1720008656675</v>
      </c>
      <c r="U29" s="183">
        <v>1340.7016937744047</v>
      </c>
      <c r="V29" s="183">
        <v>1300.7335324621226</v>
      </c>
      <c r="W29" s="183">
        <v>1285.1413607682889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41.799694453909638</v>
      </c>
      <c r="D30" s="183">
        <v>39.760416622382309</v>
      </c>
      <c r="E30" s="183">
        <v>42.276947883523974</v>
      </c>
      <c r="F30" s="183">
        <v>44.081782142372134</v>
      </c>
      <c r="G30" s="183">
        <v>45.775801754607869</v>
      </c>
      <c r="H30" s="183">
        <v>47.925867483157532</v>
      </c>
      <c r="I30" s="183">
        <v>55.029949714768065</v>
      </c>
      <c r="J30" s="183">
        <v>49.711176093786094</v>
      </c>
      <c r="K30" s="183">
        <v>44.460528297177859</v>
      </c>
      <c r="L30" s="183">
        <v>56.008522570423366</v>
      </c>
      <c r="M30" s="183">
        <v>56.116979842917772</v>
      </c>
      <c r="N30" s="183">
        <v>62.18848318086259</v>
      </c>
      <c r="O30" s="183">
        <v>66.222465930764258</v>
      </c>
      <c r="P30" s="183">
        <v>66.617954973776591</v>
      </c>
      <c r="Q30" s="183">
        <v>67.28362047660579</v>
      </c>
      <c r="R30" s="183">
        <v>70.140863147205437</v>
      </c>
      <c r="S30" s="183">
        <v>70.524146751569276</v>
      </c>
      <c r="T30" s="183">
        <v>76.318569796781503</v>
      </c>
      <c r="U30" s="183">
        <v>79.12842091841037</v>
      </c>
      <c r="V30" s="183">
        <v>77.577714912985016</v>
      </c>
      <c r="W30" s="183">
        <v>75.089902097669892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112.36378197710121</v>
      </c>
      <c r="D31" s="183">
        <v>116.75671016744081</v>
      </c>
      <c r="E31" s="183">
        <v>147.98287891750113</v>
      </c>
      <c r="F31" s="183">
        <v>151.04444083225167</v>
      </c>
      <c r="G31" s="183">
        <v>142.54835399373735</v>
      </c>
      <c r="H31" s="183">
        <v>142.25196944430718</v>
      </c>
      <c r="I31" s="183">
        <v>125.67113913858464</v>
      </c>
      <c r="J31" s="183">
        <v>118.73405459129845</v>
      </c>
      <c r="K31" s="183">
        <v>109.58711842767957</v>
      </c>
      <c r="L31" s="183">
        <v>100.85771311548683</v>
      </c>
      <c r="M31" s="183">
        <v>138.55260661038051</v>
      </c>
      <c r="N31" s="183">
        <v>143.99353827233222</v>
      </c>
      <c r="O31" s="183">
        <v>179.91372136357131</v>
      </c>
      <c r="P31" s="183">
        <v>187.24671212018734</v>
      </c>
      <c r="Q31" s="183">
        <v>190.56827920699607</v>
      </c>
      <c r="R31" s="183">
        <v>173.08266139214993</v>
      </c>
      <c r="S31" s="183">
        <v>157.2796628380836</v>
      </c>
      <c r="T31" s="183">
        <v>150.39359741401154</v>
      </c>
      <c r="U31" s="183">
        <v>139.25259645184883</v>
      </c>
      <c r="V31" s="183">
        <v>127.10734364761493</v>
      </c>
      <c r="W31" s="183">
        <v>159.97615269149605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12.409071923179582</v>
      </c>
      <c r="D32" s="41">
        <v>12.60525923305687</v>
      </c>
      <c r="E32" s="41">
        <v>14.278589534944842</v>
      </c>
      <c r="F32" s="41">
        <v>15.336234398520759</v>
      </c>
      <c r="G32" s="41">
        <v>19.144224896770297</v>
      </c>
      <c r="H32" s="41">
        <v>16.95642627094108</v>
      </c>
      <c r="I32" s="41">
        <v>17.053338859761112</v>
      </c>
      <c r="J32" s="41">
        <v>17.824299930257951</v>
      </c>
      <c r="K32" s="41">
        <v>11.460816993831799</v>
      </c>
      <c r="L32" s="41">
        <v>14.700537104656632</v>
      </c>
      <c r="M32" s="41">
        <v>10.693219194564193</v>
      </c>
      <c r="N32" s="41">
        <v>13.073874213164004</v>
      </c>
      <c r="O32" s="41">
        <v>10.396666358111872</v>
      </c>
      <c r="P32" s="41">
        <v>12.157828293945727</v>
      </c>
      <c r="Q32" s="41">
        <v>14.434998973624516</v>
      </c>
      <c r="R32" s="41">
        <v>26.795456781950833</v>
      </c>
      <c r="S32" s="41">
        <v>27.285332317881</v>
      </c>
      <c r="T32" s="41">
        <v>28.833558873515784</v>
      </c>
      <c r="U32" s="41">
        <v>29.131933350946355</v>
      </c>
      <c r="V32" s="41">
        <v>31.634717596208247</v>
      </c>
      <c r="W32" s="41">
        <v>27.656093370790359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2013.9179530985693</v>
      </c>
      <c r="D33" s="42">
        <v>2088.6971173345419</v>
      </c>
      <c r="E33" s="42">
        <v>2129.5723856505683</v>
      </c>
      <c r="F33" s="42">
        <v>2295.6180966348875</v>
      </c>
      <c r="G33" s="42">
        <v>2216.0467841848258</v>
      </c>
      <c r="H33" s="42">
        <v>3232.024696350376</v>
      </c>
      <c r="I33" s="42">
        <v>2972.9313585059699</v>
      </c>
      <c r="J33" s="42">
        <v>3238.2817946113209</v>
      </c>
      <c r="K33" s="42">
        <v>3270.8492079618063</v>
      </c>
      <c r="L33" s="42">
        <v>3536.479783287914</v>
      </c>
      <c r="M33" s="42">
        <v>4251.9868171003254</v>
      </c>
      <c r="N33" s="42">
        <v>4339.3278340100642</v>
      </c>
      <c r="O33" s="42">
        <v>4805.0228650415047</v>
      </c>
      <c r="P33" s="42">
        <v>4482.4886351857385</v>
      </c>
      <c r="Q33" s="42">
        <v>5846.2069703793823</v>
      </c>
      <c r="R33" s="42">
        <v>5302.8137104544476</v>
      </c>
      <c r="S33" s="42">
        <v>5429.6511096854447</v>
      </c>
      <c r="T33" s="42">
        <v>6354.7440663505658</v>
      </c>
      <c r="U33" s="42">
        <v>5254.6896938015961</v>
      </c>
      <c r="V33" s="42">
        <v>6399.5417073121789</v>
      </c>
      <c r="W33" s="42">
        <v>5618.1367816728925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19.651084730798402</v>
      </c>
      <c r="D36" s="183">
        <v>20.206927341007315</v>
      </c>
      <c r="E36" s="183">
        <v>20.778492289781866</v>
      </c>
      <c r="F36" s="183">
        <v>21.36622429281249</v>
      </c>
      <c r="G36" s="183">
        <v>21.970580644836673</v>
      </c>
      <c r="H36" s="183">
        <v>22.592031575445617</v>
      </c>
      <c r="I36" s="183">
        <v>23.231060614953776</v>
      </c>
      <c r="J36" s="183">
        <v>23.88816497061805</v>
      </c>
      <c r="K36" s="183">
        <v>24.56385591349806</v>
      </c>
      <c r="L36" s="183">
        <v>25.258659176259016</v>
      </c>
      <c r="M36" s="183">
        <v>25.973115362227418</v>
      </c>
      <c r="N36" s="183">
        <v>26.707780366015641</v>
      </c>
      <c r="O36" s="183">
        <v>27.463225806045898</v>
      </c>
      <c r="P36" s="183">
        <v>28.240039469307021</v>
      </c>
      <c r="Q36" s="183">
        <v>29.038825768692277</v>
      </c>
      <c r="R36" s="183">
        <v>29.860206213272591</v>
      </c>
      <c r="S36" s="183">
        <v>30.704819891872489</v>
      </c>
      <c r="T36" s="183">
        <v>31.573323970323827</v>
      </c>
      <c r="U36" s="183">
        <v>42.585103405617815</v>
      </c>
      <c r="V36" s="183">
        <v>40.236440895103101</v>
      </c>
      <c r="W36" s="183">
        <v>46.772178932948123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564.56926543182271</v>
      </c>
      <c r="D37" s="183">
        <v>588.87108256688043</v>
      </c>
      <c r="E37" s="183">
        <v>614.21896854100942</v>
      </c>
      <c r="F37" s="183">
        <v>640.65795126343983</v>
      </c>
      <c r="G37" s="183">
        <v>668.23499686441937</v>
      </c>
      <c r="H37" s="183">
        <v>696.99909312570617</v>
      </c>
      <c r="I37" s="183">
        <v>727.00133650232056</v>
      </c>
      <c r="J37" s="183">
        <v>668.22421623070659</v>
      </c>
      <c r="K37" s="183">
        <v>757.6887213386417</v>
      </c>
      <c r="L37" s="183">
        <v>833.56115271786166</v>
      </c>
      <c r="M37" s="183">
        <v>879.50464976359945</v>
      </c>
      <c r="N37" s="183">
        <v>879.69497538953055</v>
      </c>
      <c r="O37" s="183">
        <v>885.42705253673103</v>
      </c>
      <c r="P37" s="183">
        <v>886.02907090614826</v>
      </c>
      <c r="Q37" s="183">
        <v>817.97374627093086</v>
      </c>
      <c r="R37" s="183">
        <v>912.5284294052517</v>
      </c>
      <c r="S37" s="183">
        <v>968.9612923377108</v>
      </c>
      <c r="T37" s="183">
        <v>1013.9527035297197</v>
      </c>
      <c r="U37" s="183">
        <v>1058.9741491917757</v>
      </c>
      <c r="V37" s="183">
        <v>1067.7559592054604</v>
      </c>
      <c r="W37" s="183">
        <v>1124.3489143845291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30.631492372678878</v>
      </c>
      <c r="D38" s="183">
        <v>31.427248066430025</v>
      </c>
      <c r="E38" s="183">
        <v>32.243676181767256</v>
      </c>
      <c r="F38" s="183">
        <v>33.081313754136886</v>
      </c>
      <c r="G38" s="183">
        <v>33.940711770281297</v>
      </c>
      <c r="H38" s="183">
        <v>34.822435530670418</v>
      </c>
      <c r="I38" s="183">
        <v>41.799694453909638</v>
      </c>
      <c r="J38" s="183">
        <v>39.760416622382309</v>
      </c>
      <c r="K38" s="183">
        <v>42.276947883523974</v>
      </c>
      <c r="L38" s="183">
        <v>44.081782142372106</v>
      </c>
      <c r="M38" s="183">
        <v>45.775801754607869</v>
      </c>
      <c r="N38" s="183">
        <v>47.92586748315756</v>
      </c>
      <c r="O38" s="183">
        <v>55.029949714768065</v>
      </c>
      <c r="P38" s="183">
        <v>49.711176093786094</v>
      </c>
      <c r="Q38" s="183">
        <v>44.460528297177859</v>
      </c>
      <c r="R38" s="183">
        <v>56.008522570423338</v>
      </c>
      <c r="S38" s="183">
        <v>56.116979842917772</v>
      </c>
      <c r="T38" s="183">
        <v>62.18848318086259</v>
      </c>
      <c r="U38" s="183">
        <v>66.222465930764258</v>
      </c>
      <c r="V38" s="183">
        <v>66.617954973776591</v>
      </c>
      <c r="W38" s="183">
        <v>67.28362047660579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57.842892269732715</v>
      </c>
      <c r="D39" s="183">
        <v>59.061305664644465</v>
      </c>
      <c r="E39" s="183">
        <v>60.305383944949085</v>
      </c>
      <c r="F39" s="183">
        <v>61.575667720545653</v>
      </c>
      <c r="G39" s="183">
        <v>62.872708988839918</v>
      </c>
      <c r="H39" s="183">
        <v>64.197071374613643</v>
      </c>
      <c r="I39" s="183">
        <v>65.549330374944702</v>
      </c>
      <c r="J39" s="183">
        <v>66.930073609288684</v>
      </c>
      <c r="K39" s="183">
        <v>68.339901074826003</v>
      </c>
      <c r="L39" s="183">
        <v>69.779425407188455</v>
      </c>
      <c r="M39" s="183">
        <v>112.36378197710133</v>
      </c>
      <c r="N39" s="183">
        <v>116.75671016744081</v>
      </c>
      <c r="O39" s="183">
        <v>147.98287891750124</v>
      </c>
      <c r="P39" s="183">
        <v>151.04444083225167</v>
      </c>
      <c r="Q39" s="183">
        <v>142.54835399373724</v>
      </c>
      <c r="R39" s="183">
        <v>142.25196944430718</v>
      </c>
      <c r="S39" s="183">
        <v>125.67113913858475</v>
      </c>
      <c r="T39" s="183">
        <v>118.73405459129845</v>
      </c>
      <c r="U39" s="183">
        <v>109.58711842767957</v>
      </c>
      <c r="V39" s="183">
        <v>100.85771311548683</v>
      </c>
      <c r="W39" s="183">
        <v>138.55260661038051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2.4097005131020239</v>
      </c>
      <c r="D40" s="41">
        <v>2.6808676687918478</v>
      </c>
      <c r="E40" s="41">
        <v>2.9825496647803504</v>
      </c>
      <c r="F40" s="41">
        <v>3.3181803810891637</v>
      </c>
      <c r="G40" s="41">
        <v>3.6915801173275327</v>
      </c>
      <c r="H40" s="41">
        <v>4.1069990770588447</v>
      </c>
      <c r="I40" s="41">
        <v>4.5691657455271866</v>
      </c>
      <c r="J40" s="41">
        <v>5.0833407114008651</v>
      </c>
      <c r="K40" s="41">
        <v>5.6553765451561731</v>
      </c>
      <c r="L40" s="41">
        <v>6.2917844156640399</v>
      </c>
      <c r="M40" s="41">
        <v>6.9998082032395814</v>
      </c>
      <c r="N40" s="41">
        <v>7.787506952742433</v>
      </c>
      <c r="O40" s="41">
        <v>8.6638466052461922</v>
      </c>
      <c r="P40" s="41">
        <v>9.6388020524080673</v>
      </c>
      <c r="Q40" s="41">
        <v>10.723470675167391</v>
      </c>
      <c r="R40" s="41">
        <v>12.409071923179567</v>
      </c>
      <c r="S40" s="41">
        <v>12.60525923305687</v>
      </c>
      <c r="T40" s="41">
        <v>14.278589534944842</v>
      </c>
      <c r="U40" s="41">
        <v>15.33623439852073</v>
      </c>
      <c r="V40" s="41">
        <v>19.144224896770311</v>
      </c>
      <c r="W40" s="41">
        <v>16.956426270941108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1114.195338966234</v>
      </c>
      <c r="D41" s="42">
        <v>1114.195338966234</v>
      </c>
      <c r="E41" s="42">
        <v>1114.195338966234</v>
      </c>
      <c r="F41" s="42">
        <v>1114.195338966234</v>
      </c>
      <c r="G41" s="42">
        <v>1114.195338966234</v>
      </c>
      <c r="H41" s="42">
        <v>2013.9179530985693</v>
      </c>
      <c r="I41" s="42">
        <v>2088.697117334541</v>
      </c>
      <c r="J41" s="42">
        <v>2129.5723856505683</v>
      </c>
      <c r="K41" s="42">
        <v>2295.6180966348875</v>
      </c>
      <c r="L41" s="42">
        <v>2216.0467841848276</v>
      </c>
      <c r="M41" s="42">
        <v>3232.0246963503741</v>
      </c>
      <c r="N41" s="42">
        <v>2972.9313585059717</v>
      </c>
      <c r="O41" s="42">
        <v>3238.2817946113209</v>
      </c>
      <c r="P41" s="42">
        <v>3270.8492079618045</v>
      </c>
      <c r="Q41" s="42">
        <v>3536.4797832879158</v>
      </c>
      <c r="R41" s="42">
        <v>4251.9868171003254</v>
      </c>
      <c r="S41" s="42">
        <v>4339.3278340100624</v>
      </c>
      <c r="T41" s="42">
        <v>4805.0228650415047</v>
      </c>
      <c r="U41" s="42">
        <v>4482.4886351857385</v>
      </c>
      <c r="V41" s="42">
        <v>5846.2069703793823</v>
      </c>
      <c r="W41" s="42">
        <v>5302.8137104544512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8760.0000000000018</v>
      </c>
      <c r="E44" s="185">
        <v>8759.9999999999964</v>
      </c>
      <c r="F44" s="185">
        <v>8759.9999999999982</v>
      </c>
      <c r="G44" s="185">
        <v>8759.9999999999964</v>
      </c>
      <c r="H44" s="185">
        <v>8760.0000000000036</v>
      </c>
      <c r="I44" s="185">
        <v>8760</v>
      </c>
      <c r="J44" s="185">
        <v>8760</v>
      </c>
      <c r="K44" s="185">
        <v>8760</v>
      </c>
      <c r="L44" s="185">
        <v>8760</v>
      </c>
      <c r="M44" s="185">
        <v>8760</v>
      </c>
      <c r="N44" s="185">
        <v>8760</v>
      </c>
      <c r="O44" s="185">
        <v>8759.9999999999982</v>
      </c>
      <c r="P44" s="185">
        <v>8759.9999999999964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8759.9999999999945</v>
      </c>
      <c r="U44" s="185">
        <v>8759.9999999999982</v>
      </c>
      <c r="V44" s="185">
        <v>8759.9999999999964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3714.7032423611449</v>
      </c>
      <c r="C45" s="185">
        <v>3703.828698522459</v>
      </c>
      <c r="D45" s="185">
        <v>3698.1057997383855</v>
      </c>
      <c r="E45" s="185">
        <v>3690.8025232624987</v>
      </c>
      <c r="F45" s="185">
        <v>3685.07691884217</v>
      </c>
      <c r="G45" s="185">
        <v>3677.2020588828341</v>
      </c>
      <c r="H45" s="185">
        <v>3671.9817357947081</v>
      </c>
      <c r="I45" s="185">
        <v>3663.6023281169873</v>
      </c>
      <c r="J45" s="185">
        <v>3653.9970711301562</v>
      </c>
      <c r="K45" s="185">
        <v>3642.5004214396313</v>
      </c>
      <c r="L45" s="185">
        <v>3633.1462197456704</v>
      </c>
      <c r="M45" s="185">
        <v>3623.4559070285263</v>
      </c>
      <c r="N45" s="185">
        <v>3607.6806759752085</v>
      </c>
      <c r="O45" s="185">
        <v>3594.2329955772984</v>
      </c>
      <c r="P45" s="185">
        <v>3579.1230148131999</v>
      </c>
      <c r="Q45" s="185">
        <v>3564.9552614522972</v>
      </c>
      <c r="R45" s="185">
        <v>3631.1031055053877</v>
      </c>
      <c r="S45" s="185">
        <v>3559.9879855449913</v>
      </c>
      <c r="T45" s="185">
        <v>3546.8195735391801</v>
      </c>
      <c r="U45" s="185">
        <v>3534.3903736839211</v>
      </c>
      <c r="V45" s="185">
        <v>3512.716657396034</v>
      </c>
      <c r="W45" s="185">
        <v>3517.2897156869385</v>
      </c>
      <c r="DA45" s="194" t="s">
        <v>940</v>
      </c>
    </row>
    <row r="46" spans="1:105" ht="12" customHeight="1" x14ac:dyDescent="0.25">
      <c r="A46" s="132" t="s">
        <v>5</v>
      </c>
      <c r="B46" s="185">
        <v>2156.4276923235338</v>
      </c>
      <c r="C46" s="185">
        <v>2177.5388224830081</v>
      </c>
      <c r="D46" s="185">
        <v>2195.0700368218386</v>
      </c>
      <c r="E46" s="185">
        <v>2211.7901808356878</v>
      </c>
      <c r="F46" s="185">
        <v>2228.0075780015609</v>
      </c>
      <c r="G46" s="185">
        <v>2245.0262277449392</v>
      </c>
      <c r="H46" s="185">
        <v>2263.3361698957751</v>
      </c>
      <c r="I46" s="185">
        <v>2280.9797696696014</v>
      </c>
      <c r="J46" s="185">
        <v>2291.8610455016565</v>
      </c>
      <c r="K46" s="185">
        <v>2296.1868931600366</v>
      </c>
      <c r="L46" s="185">
        <v>2298.5238097978981</v>
      </c>
      <c r="M46" s="185">
        <v>2304.6695611884802</v>
      </c>
      <c r="N46" s="185">
        <v>2309.9299858605409</v>
      </c>
      <c r="O46" s="185">
        <v>2314.292222665696</v>
      </c>
      <c r="P46" s="185">
        <v>2321.8003912564127</v>
      </c>
      <c r="Q46" s="185">
        <v>2328.9810532087795</v>
      </c>
      <c r="R46" s="185">
        <v>2382.9877283861979</v>
      </c>
      <c r="S46" s="185">
        <v>2343.7676072927502</v>
      </c>
      <c r="T46" s="185">
        <v>2350.0983219863333</v>
      </c>
      <c r="U46" s="185">
        <v>2346.34630846443</v>
      </c>
      <c r="V46" s="185">
        <v>2113.9778437623154</v>
      </c>
      <c r="W46" s="185">
        <v>2173.822231263036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8760</v>
      </c>
      <c r="E47" s="185">
        <v>8760.0000000000018</v>
      </c>
      <c r="F47" s="185">
        <v>8759.9999999999982</v>
      </c>
      <c r="G47" s="185">
        <v>8760</v>
      </c>
      <c r="H47" s="185">
        <v>8759.9999999999982</v>
      </c>
      <c r="I47" s="185">
        <v>8759.9999999999964</v>
      </c>
      <c r="J47" s="185">
        <v>8760.0000000000036</v>
      </c>
      <c r="K47" s="185">
        <v>8760.0000000000018</v>
      </c>
      <c r="L47" s="185">
        <v>8760</v>
      </c>
      <c r="M47" s="185">
        <v>8759.9999999999964</v>
      </c>
      <c r="N47" s="185">
        <v>8760.0000000000018</v>
      </c>
      <c r="O47" s="185">
        <v>8760.0000000000018</v>
      </c>
      <c r="P47" s="185">
        <v>8760.0000000000018</v>
      </c>
      <c r="Q47" s="185">
        <v>8759.9999999999982</v>
      </c>
      <c r="R47" s="185">
        <v>8759.9999999999964</v>
      </c>
      <c r="S47" s="185">
        <v>8759.9999999999982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808.0540830476923</v>
      </c>
      <c r="C48" s="44">
        <v>811.9140621224966</v>
      </c>
      <c r="D48" s="44">
        <v>815.45404503574878</v>
      </c>
      <c r="E48" s="44">
        <v>818.72414184343563</v>
      </c>
      <c r="F48" s="44">
        <v>821.76346861981347</v>
      </c>
      <c r="G48" s="44">
        <v>824.60315482557655</v>
      </c>
      <c r="H48" s="44">
        <v>827.26838617194176</v>
      </c>
      <c r="I48" s="44">
        <v>829.77983228832966</v>
      </c>
      <c r="J48" s="44">
        <v>832.15466917214928</v>
      </c>
      <c r="K48" s="44">
        <v>834.40732720571953</v>
      </c>
      <c r="L48" s="44">
        <v>836.55004874608346</v>
      </c>
      <c r="M48" s="44">
        <v>837.91166948142461</v>
      </c>
      <c r="N48" s="44">
        <v>839.21199954260771</v>
      </c>
      <c r="O48" s="44">
        <v>840.45640299872434</v>
      </c>
      <c r="P48" s="44">
        <v>841.64956582268928</v>
      </c>
      <c r="Q48" s="44">
        <v>842.79560583864316</v>
      </c>
      <c r="R48" s="44">
        <v>859.99081989800823</v>
      </c>
      <c r="S48" s="44">
        <v>842.74911989830105</v>
      </c>
      <c r="T48" s="44">
        <v>844.55678156729118</v>
      </c>
      <c r="U48" s="44">
        <v>843.60945343454853</v>
      </c>
      <c r="V48" s="44">
        <v>760.06328942815048</v>
      </c>
      <c r="W48" s="44">
        <v>781.57984512518578</v>
      </c>
      <c r="DA48" s="95" t="s">
        <v>943</v>
      </c>
    </row>
    <row r="49" spans="1:105" ht="12" customHeight="1" x14ac:dyDescent="0.25">
      <c r="A49" s="62" t="s">
        <v>3</v>
      </c>
      <c r="B49" s="186">
        <v>1668.5884901113623</v>
      </c>
      <c r="C49" s="186">
        <v>1685.579839592493</v>
      </c>
      <c r="D49" s="186">
        <v>1717.284551485538</v>
      </c>
      <c r="E49" s="186">
        <v>1747.2153610548453</v>
      </c>
      <c r="F49" s="186">
        <v>1777.7313467897061</v>
      </c>
      <c r="G49" s="186">
        <v>1805.6287536432669</v>
      </c>
      <c r="H49" s="186">
        <v>1834.1684703750809</v>
      </c>
      <c r="I49" s="186">
        <v>1861.037029485288</v>
      </c>
      <c r="J49" s="186">
        <v>1882.5770028700763</v>
      </c>
      <c r="K49" s="186">
        <v>1893.3752063451059</v>
      </c>
      <c r="L49" s="186">
        <v>1916.7048537579085</v>
      </c>
      <c r="M49" s="186">
        <v>1937.9675393396556</v>
      </c>
      <c r="N49" s="186">
        <v>1954.7353381730065</v>
      </c>
      <c r="O49" s="186">
        <v>1971.7718251218946</v>
      </c>
      <c r="P49" s="186">
        <v>1991.6859166483991</v>
      </c>
      <c r="Q49" s="186">
        <v>2012.6698164918614</v>
      </c>
      <c r="R49" s="186">
        <v>2073.8786119674105</v>
      </c>
      <c r="S49" s="186">
        <v>2051.9942329849173</v>
      </c>
      <c r="T49" s="186">
        <v>2071.8316261956193</v>
      </c>
      <c r="U49" s="186">
        <v>2086.0519031242752</v>
      </c>
      <c r="V49" s="186">
        <v>1962.0976489029163</v>
      </c>
      <c r="W49" s="186">
        <v>1994.0209412115146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0.67836252639104211</v>
      </c>
      <c r="C52" s="181">
        <v>0.67179173670994086</v>
      </c>
      <c r="D52" s="181">
        <v>0.66546228302370247</v>
      </c>
      <c r="E52" s="181">
        <v>0.65810795124514587</v>
      </c>
      <c r="F52" s="181">
        <v>0.65023469141268098</v>
      </c>
      <c r="G52" s="181">
        <v>0.64206190740921332</v>
      </c>
      <c r="H52" s="181">
        <v>0.63391788117988557</v>
      </c>
      <c r="I52" s="181">
        <v>0.62634106030179137</v>
      </c>
      <c r="J52" s="181">
        <v>0.61886964588696936</v>
      </c>
      <c r="K52" s="181">
        <v>0.61318021284134772</v>
      </c>
      <c r="L52" s="181">
        <v>0.60535095733908872</v>
      </c>
      <c r="M52" s="181">
        <v>0.59808762149532524</v>
      </c>
      <c r="N52" s="181">
        <v>0.58953500435109307</v>
      </c>
      <c r="O52" s="181">
        <v>0.58158121951784247</v>
      </c>
      <c r="P52" s="181">
        <v>0.57189516443083688</v>
      </c>
      <c r="Q52" s="181">
        <v>0.56128190089854346</v>
      </c>
      <c r="R52" s="181">
        <v>0.55129970661820038</v>
      </c>
      <c r="S52" s="181">
        <v>0.54142155133159908</v>
      </c>
      <c r="T52" s="181">
        <v>0.53165847647961817</v>
      </c>
      <c r="U52" s="181">
        <v>0.5231257241994548</v>
      </c>
      <c r="V52" s="181">
        <v>0.51556809659571656</v>
      </c>
      <c r="W52" s="181">
        <v>0.50783296703165626</v>
      </c>
      <c r="DA52" s="190" t="s">
        <v>945</v>
      </c>
    </row>
    <row r="53" spans="1:105" ht="12" customHeight="1" x14ac:dyDescent="0.25">
      <c r="A53" s="132" t="s">
        <v>100</v>
      </c>
      <c r="B53" s="181">
        <v>196.54473568374263</v>
      </c>
      <c r="C53" s="181">
        <v>194.5369042976188</v>
      </c>
      <c r="D53" s="181">
        <v>191.87810280908488</v>
      </c>
      <c r="E53" s="181">
        <v>188.72730259998568</v>
      </c>
      <c r="F53" s="181">
        <v>185.12315841275938</v>
      </c>
      <c r="G53" s="181">
        <v>181.1894122479539</v>
      </c>
      <c r="H53" s="181">
        <v>176.98812500326122</v>
      </c>
      <c r="I53" s="181">
        <v>172.66832953805718</v>
      </c>
      <c r="J53" s="181">
        <v>170.09241063464805</v>
      </c>
      <c r="K53" s="181">
        <v>167.34154909616498</v>
      </c>
      <c r="L53" s="181">
        <v>164.4597101911811</v>
      </c>
      <c r="M53" s="181">
        <v>161.48321713382566</v>
      </c>
      <c r="N53" s="181">
        <v>158.21963423529573</v>
      </c>
      <c r="O53" s="181">
        <v>154.56834613407244</v>
      </c>
      <c r="P53" s="181">
        <v>150.10580700007768</v>
      </c>
      <c r="Q53" s="181">
        <v>145.22237819640904</v>
      </c>
      <c r="R53" s="181">
        <v>139.52772910026619</v>
      </c>
      <c r="S53" s="181">
        <v>133.4257274580269</v>
      </c>
      <c r="T53" s="181">
        <v>127.11182554505145</v>
      </c>
      <c r="U53" s="181">
        <v>120.83053054487564</v>
      </c>
      <c r="V53" s="181">
        <v>114.84763588353987</v>
      </c>
      <c r="W53" s="181">
        <v>109.57966808392825</v>
      </c>
      <c r="DA53" s="190" t="s">
        <v>946</v>
      </c>
    </row>
    <row r="54" spans="1:105" ht="12" customHeight="1" x14ac:dyDescent="0.25">
      <c r="A54" s="132" t="s">
        <v>140</v>
      </c>
      <c r="B54" s="181">
        <v>38.033049217823788</v>
      </c>
      <c r="C54" s="181">
        <v>37.677465784918439</v>
      </c>
      <c r="D54" s="181">
        <v>37.208872629130347</v>
      </c>
      <c r="E54" s="181">
        <v>36.632210615518041</v>
      </c>
      <c r="F54" s="181">
        <v>35.970792992383231</v>
      </c>
      <c r="G54" s="181">
        <v>35.225172047432991</v>
      </c>
      <c r="H54" s="181">
        <v>34.34168060018964</v>
      </c>
      <c r="I54" s="181">
        <v>33.518934777112911</v>
      </c>
      <c r="J54" s="181">
        <v>32.815488397866915</v>
      </c>
      <c r="K54" s="181">
        <v>32.091399604198173</v>
      </c>
      <c r="L54" s="181">
        <v>31.278758161535027</v>
      </c>
      <c r="M54" s="181">
        <v>30.38393009880566</v>
      </c>
      <c r="N54" s="181">
        <v>29.361456125799396</v>
      </c>
      <c r="O54" s="181">
        <v>28.147776011160296</v>
      </c>
      <c r="P54" s="181">
        <v>26.895175518569804</v>
      </c>
      <c r="Q54" s="181">
        <v>25.66852732969193</v>
      </c>
      <c r="R54" s="181">
        <v>24.20214345396835</v>
      </c>
      <c r="S54" s="181">
        <v>22.797312535310034</v>
      </c>
      <c r="T54" s="181">
        <v>21.244851654633159</v>
      </c>
      <c r="U54" s="181">
        <v>19.67010609552095</v>
      </c>
      <c r="V54" s="181">
        <v>18.201807821046017</v>
      </c>
      <c r="W54" s="181">
        <v>16.824021933220259</v>
      </c>
      <c r="DA54" s="190" t="s">
        <v>947</v>
      </c>
    </row>
    <row r="55" spans="1:105" ht="12" customHeight="1" x14ac:dyDescent="0.25">
      <c r="A55" s="132" t="s">
        <v>181</v>
      </c>
      <c r="B55" s="181">
        <v>652.60903637843057</v>
      </c>
      <c r="C55" s="181">
        <v>642.44127698460454</v>
      </c>
      <c r="D55" s="181">
        <v>630.6028458083274</v>
      </c>
      <c r="E55" s="181">
        <v>616.89638782546501</v>
      </c>
      <c r="F55" s="181">
        <v>604.08218493257084</v>
      </c>
      <c r="G55" s="181">
        <v>592.59811879966378</v>
      </c>
      <c r="H55" s="181">
        <v>581.47321297351766</v>
      </c>
      <c r="I55" s="181">
        <v>571.44041946013806</v>
      </c>
      <c r="J55" s="181">
        <v>561.62043940309957</v>
      </c>
      <c r="K55" s="181">
        <v>552.0231878017853</v>
      </c>
      <c r="L55" s="181">
        <v>542.47569156268548</v>
      </c>
      <c r="M55" s="181">
        <v>532.44939991365015</v>
      </c>
      <c r="N55" s="181">
        <v>523.50312292417561</v>
      </c>
      <c r="O55" s="181">
        <v>512.27739818565044</v>
      </c>
      <c r="P55" s="181">
        <v>500.18802716056001</v>
      </c>
      <c r="Q55" s="181">
        <v>488.88904656073146</v>
      </c>
      <c r="R55" s="181">
        <v>478.83163257349923</v>
      </c>
      <c r="S55" s="181">
        <v>469.98422984727591</v>
      </c>
      <c r="T55" s="181">
        <v>461.83833276505277</v>
      </c>
      <c r="U55" s="181">
        <v>454.51089407611346</v>
      </c>
      <c r="V55" s="181">
        <v>447.96870486919516</v>
      </c>
      <c r="W55" s="181">
        <v>439.86782373694371</v>
      </c>
      <c r="DA55" s="190" t="s">
        <v>948</v>
      </c>
    </row>
    <row r="56" spans="1:105" ht="12" customHeight="1" x14ac:dyDescent="0.25">
      <c r="A56" s="60" t="s">
        <v>99</v>
      </c>
      <c r="B56" s="55">
        <v>46.033158554003812</v>
      </c>
      <c r="C56" s="55">
        <v>45.66107011834675</v>
      </c>
      <c r="D56" s="55">
        <v>45.307446043111412</v>
      </c>
      <c r="E56" s="55">
        <v>44.934283979685091</v>
      </c>
      <c r="F56" s="55">
        <v>44.558862898817381</v>
      </c>
      <c r="G56" s="55">
        <v>44.130526456410678</v>
      </c>
      <c r="H56" s="55">
        <v>43.764478399776614</v>
      </c>
      <c r="I56" s="55">
        <v>43.409326420150279</v>
      </c>
      <c r="J56" s="55">
        <v>43.04284552625635</v>
      </c>
      <c r="K56" s="55">
        <v>42.763330928826981</v>
      </c>
      <c r="L56" s="55">
        <v>42.413399939914122</v>
      </c>
      <c r="M56" s="55">
        <v>42.083630092691081</v>
      </c>
      <c r="N56" s="55">
        <v>41.652391038210133</v>
      </c>
      <c r="O56" s="55">
        <v>41.215161794025462</v>
      </c>
      <c r="P56" s="55">
        <v>40.659511255485</v>
      </c>
      <c r="Q56" s="55">
        <v>39.956853502329601</v>
      </c>
      <c r="R56" s="55">
        <v>39.06093007624785</v>
      </c>
      <c r="S56" s="55">
        <v>38.219746925460043</v>
      </c>
      <c r="T56" s="55">
        <v>37.380811937475592</v>
      </c>
      <c r="U56" s="55">
        <v>36.576029645330117</v>
      </c>
      <c r="V56" s="55">
        <v>35.710150108372027</v>
      </c>
      <c r="W56" s="55">
        <v>35.009802188126436</v>
      </c>
      <c r="DA56" s="101" t="s">
        <v>949</v>
      </c>
    </row>
    <row r="57" spans="1:105" ht="12" customHeight="1" x14ac:dyDescent="0.25">
      <c r="A57" s="62" t="s">
        <v>98</v>
      </c>
      <c r="B57" s="63">
        <v>384.47451122154519</v>
      </c>
      <c r="C57" s="63">
        <v>372.56852487916223</v>
      </c>
      <c r="D57" s="63">
        <v>358.41492481576995</v>
      </c>
      <c r="E57" s="63">
        <v>343.49580990631347</v>
      </c>
      <c r="F57" s="63">
        <v>327.81098487428108</v>
      </c>
      <c r="G57" s="63">
        <v>312.9613474867985</v>
      </c>
      <c r="H57" s="63">
        <v>295.21141028118609</v>
      </c>
      <c r="I57" s="63">
        <v>279.60954835044311</v>
      </c>
      <c r="J57" s="63">
        <v>263.81458283649141</v>
      </c>
      <c r="K57" s="63">
        <v>248.1443187709134</v>
      </c>
      <c r="L57" s="63">
        <v>232.08443442430476</v>
      </c>
      <c r="M57" s="63">
        <v>213.63383056705931</v>
      </c>
      <c r="N57" s="63">
        <v>198.95266549796725</v>
      </c>
      <c r="O57" s="63">
        <v>186.42033293982053</v>
      </c>
      <c r="P57" s="63">
        <v>177.70988152078874</v>
      </c>
      <c r="Q57" s="63">
        <v>171.57225796796095</v>
      </c>
      <c r="R57" s="63">
        <v>167.0620520633957</v>
      </c>
      <c r="S57" s="63">
        <v>163.30719515859593</v>
      </c>
      <c r="T57" s="63">
        <v>159.6952569130388</v>
      </c>
      <c r="U57" s="63">
        <v>156.5286314797097</v>
      </c>
      <c r="V57" s="63">
        <v>152.21934603686952</v>
      </c>
      <c r="W57" s="63">
        <v>148.6085218209827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0.60491637617497884</v>
      </c>
      <c r="D60" s="181">
        <v>0.59706256778155897</v>
      </c>
      <c r="E60" s="181">
        <v>0.58911129387757255</v>
      </c>
      <c r="F60" s="181">
        <v>0.58055278836444935</v>
      </c>
      <c r="G60" s="181">
        <v>0.57184576932603026</v>
      </c>
      <c r="H60" s="181">
        <v>0.56342202195335223</v>
      </c>
      <c r="I60" s="181">
        <v>0.56162656279056289</v>
      </c>
      <c r="J60" s="181">
        <v>0.55396138688487995</v>
      </c>
      <c r="K60" s="181">
        <v>0.54492041929927848</v>
      </c>
      <c r="L60" s="181">
        <v>0.53528564919927568</v>
      </c>
      <c r="M60" s="181">
        <v>0.52937188935318424</v>
      </c>
      <c r="N60" s="181">
        <v>0.51658417677660817</v>
      </c>
      <c r="O60" s="181">
        <v>0.50404807131663443</v>
      </c>
      <c r="P60" s="181">
        <v>0.48932776139582335</v>
      </c>
      <c r="Q60" s="181">
        <v>0.48050962238733547</v>
      </c>
      <c r="R60" s="181">
        <v>0.47725603088567048</v>
      </c>
      <c r="S60" s="181">
        <v>0.47230476002447969</v>
      </c>
      <c r="T60" s="181">
        <v>0.46752769378928299</v>
      </c>
      <c r="U60" s="181">
        <v>0.46318213048132822</v>
      </c>
      <c r="V60" s="181">
        <v>0.45891675922765662</v>
      </c>
      <c r="W60" s="181">
        <v>0.4570426566301265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182.71034837255269</v>
      </c>
      <c r="D61" s="181">
        <v>179.34838087963377</v>
      </c>
      <c r="E61" s="181">
        <v>176.44598005547996</v>
      </c>
      <c r="F61" s="181">
        <v>172.98463487148015</v>
      </c>
      <c r="G61" s="181">
        <v>169.46113773737093</v>
      </c>
      <c r="H61" s="181">
        <v>166.55779364244799</v>
      </c>
      <c r="I61" s="181">
        <v>164.80512235330841</v>
      </c>
      <c r="J61" s="181">
        <v>162.16636975696684</v>
      </c>
      <c r="K61" s="181">
        <v>159.40498027871325</v>
      </c>
      <c r="L61" s="181">
        <v>156.64442418746953</v>
      </c>
      <c r="M61" s="181">
        <v>153.17084103752956</v>
      </c>
      <c r="N61" s="181">
        <v>147.94346388510473</v>
      </c>
      <c r="O61" s="181">
        <v>142.13321301727316</v>
      </c>
      <c r="P61" s="181">
        <v>134.99323848820484</v>
      </c>
      <c r="Q61" s="181">
        <v>127.65541779145391</v>
      </c>
      <c r="R61" s="181">
        <v>120.42592447001395</v>
      </c>
      <c r="S61" s="181">
        <v>114.85350777520516</v>
      </c>
      <c r="T61" s="181">
        <v>109.26689092259812</v>
      </c>
      <c r="U61" s="181">
        <v>103.67046001045627</v>
      </c>
      <c r="V61" s="181">
        <v>98.078102327787263</v>
      </c>
      <c r="W61" s="181">
        <v>95.952601189631608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36.269452408895063</v>
      </c>
      <c r="D62" s="181">
        <v>35.417019539684496</v>
      </c>
      <c r="E62" s="181">
        <v>34.75913389657584</v>
      </c>
      <c r="F62" s="181">
        <v>34.132219654836994</v>
      </c>
      <c r="G62" s="181">
        <v>33.451883650335844</v>
      </c>
      <c r="H62" s="181">
        <v>32.442491867221726</v>
      </c>
      <c r="I62" s="181">
        <v>31.696720037056512</v>
      </c>
      <c r="J62" s="181">
        <v>31.006945110327383</v>
      </c>
      <c r="K62" s="181">
        <v>29.989806738407829</v>
      </c>
      <c r="L62" s="181">
        <v>29.360651464283606</v>
      </c>
      <c r="M62" s="181">
        <v>28.120146930245571</v>
      </c>
      <c r="N62" s="181">
        <v>26.651278150058872</v>
      </c>
      <c r="O62" s="181">
        <v>25.167725591423721</v>
      </c>
      <c r="P62" s="181">
        <v>23.669998479947239</v>
      </c>
      <c r="Q62" s="181">
        <v>22.113702904009227</v>
      </c>
      <c r="R62" s="181">
        <v>20.493186061428506</v>
      </c>
      <c r="S62" s="181">
        <v>19.292494861519824</v>
      </c>
      <c r="T62" s="181">
        <v>17.452990831858216</v>
      </c>
      <c r="U62" s="181">
        <v>15.970140257752629</v>
      </c>
      <c r="V62" s="181">
        <v>14.758699024493106</v>
      </c>
      <c r="W62" s="181">
        <v>13.472599899869815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590.0829815749604</v>
      </c>
      <c r="D63" s="181">
        <v>571.67397154871514</v>
      </c>
      <c r="E63" s="181">
        <v>562.10660590218379</v>
      </c>
      <c r="F63" s="181">
        <v>552.9114575164183</v>
      </c>
      <c r="G63" s="181">
        <v>544.4805030725438</v>
      </c>
      <c r="H63" s="181">
        <v>534.94104935307325</v>
      </c>
      <c r="I63" s="181">
        <v>527.27392651499429</v>
      </c>
      <c r="J63" s="181">
        <v>518.32258268800786</v>
      </c>
      <c r="K63" s="181">
        <v>510.05452412595918</v>
      </c>
      <c r="L63" s="181">
        <v>501.60091175115195</v>
      </c>
      <c r="M63" s="181">
        <v>487.44564965203449</v>
      </c>
      <c r="N63" s="181">
        <v>482.16726681035357</v>
      </c>
      <c r="O63" s="181">
        <v>470.82516664941431</v>
      </c>
      <c r="P63" s="181">
        <v>455.35302025308494</v>
      </c>
      <c r="Q63" s="181">
        <v>448.09607526581021</v>
      </c>
      <c r="R63" s="181">
        <v>441.4239629328157</v>
      </c>
      <c r="S63" s="181">
        <v>433.16979444005068</v>
      </c>
      <c r="T63" s="181">
        <v>425.19619232460656</v>
      </c>
      <c r="U63" s="181">
        <v>417.63598180791689</v>
      </c>
      <c r="V63" s="181">
        <v>410.17341697934779</v>
      </c>
      <c r="W63" s="181">
        <v>400.69178640391186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43.196488663315229</v>
      </c>
      <c r="D64" s="55">
        <v>42.807844170174754</v>
      </c>
      <c r="E64" s="55">
        <v>42.432078368946925</v>
      </c>
      <c r="F64" s="55">
        <v>42.042577991400407</v>
      </c>
      <c r="G64" s="55">
        <v>41.637076321786182</v>
      </c>
      <c r="H64" s="55">
        <v>41.220614955402226</v>
      </c>
      <c r="I64" s="55">
        <v>40.860515340485961</v>
      </c>
      <c r="J64" s="55">
        <v>40.428559203084973</v>
      </c>
      <c r="K64" s="55">
        <v>39.95350433572365</v>
      </c>
      <c r="L64" s="55">
        <v>39.507175483974088</v>
      </c>
      <c r="M64" s="55">
        <v>38.637410491995603</v>
      </c>
      <c r="N64" s="55">
        <v>37.688747038189874</v>
      </c>
      <c r="O64" s="55">
        <v>36.627334568448063</v>
      </c>
      <c r="P64" s="55">
        <v>35.491457375342577</v>
      </c>
      <c r="Q64" s="55">
        <v>34.306309479408597</v>
      </c>
      <c r="R64" s="55">
        <v>33.870198330283394</v>
      </c>
      <c r="S64" s="55">
        <v>33.34385969760374</v>
      </c>
      <c r="T64" s="55">
        <v>32.852932066229414</v>
      </c>
      <c r="U64" s="55">
        <v>32.377676195741707</v>
      </c>
      <c r="V64" s="55">
        <v>31.908273612641167</v>
      </c>
      <c r="W64" s="55">
        <v>31.6655779071003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346.2206898681705</v>
      </c>
      <c r="D65" s="63">
        <v>328.4688785835354</v>
      </c>
      <c r="E65" s="63">
        <v>312.77718630638907</v>
      </c>
      <c r="F65" s="63">
        <v>297.50609624391655</v>
      </c>
      <c r="G65" s="63">
        <v>284.30645460434602</v>
      </c>
      <c r="H65" s="63">
        <v>267.99187805084898</v>
      </c>
      <c r="I65" s="63">
        <v>251.16069380994469</v>
      </c>
      <c r="J65" s="63">
        <v>233.35529038671356</v>
      </c>
      <c r="K65" s="63">
        <v>215.93212724355661</v>
      </c>
      <c r="L65" s="63">
        <v>197.00724170902001</v>
      </c>
      <c r="M65" s="63">
        <v>184.43660473806855</v>
      </c>
      <c r="N65" s="63">
        <v>176.29003069802556</v>
      </c>
      <c r="O65" s="63">
        <v>169.44319641048705</v>
      </c>
      <c r="P65" s="63">
        <v>166.3403371453366</v>
      </c>
      <c r="Q65" s="63">
        <v>164.47555740346382</v>
      </c>
      <c r="R65" s="63">
        <v>160.81472425692613</v>
      </c>
      <c r="S65" s="63">
        <v>156.54929696438828</v>
      </c>
      <c r="T65" s="63">
        <v>152.36404356506955</v>
      </c>
      <c r="U65" s="63">
        <v>148.37685776891703</v>
      </c>
      <c r="V65" s="63">
        <v>144.43468787423876</v>
      </c>
      <c r="W65" s="63">
        <v>141.65727223812468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260.38760523727802</v>
      </c>
      <c r="C68" s="188">
        <f>1000000*C20/SER_summary!C$8</f>
        <v>265.35008858810033</v>
      </c>
      <c r="D68" s="188">
        <f>1000000*D20/SER_summary!D$8</f>
        <v>268.40797571252318</v>
      </c>
      <c r="E68" s="188">
        <f>1000000*E20/SER_summary!E$8</f>
        <v>272.78449584492955</v>
      </c>
      <c r="F68" s="188">
        <f>1000000*F20/SER_summary!F$8</f>
        <v>278.28340603412846</v>
      </c>
      <c r="G68" s="188">
        <f>1000000*G20/SER_summary!G$8</f>
        <v>283.7311138189196</v>
      </c>
      <c r="H68" s="188">
        <f>1000000*H20/SER_summary!H$8</f>
        <v>288.17028750354064</v>
      </c>
      <c r="I68" s="188">
        <f>1000000*I20/SER_summary!I$8</f>
        <v>292.46798356654222</v>
      </c>
      <c r="J68" s="188">
        <f>1000000*J20/SER_summary!J$8</f>
        <v>297.24457902160941</v>
      </c>
      <c r="K68" s="188">
        <f>1000000*K20/SER_summary!K$8</f>
        <v>302.42051244186052</v>
      </c>
      <c r="L68" s="188">
        <f>1000000*L20/SER_summary!L$8</f>
        <v>308.40941529588815</v>
      </c>
      <c r="M68" s="188">
        <f>1000000*M20/SER_summary!M$8</f>
        <v>315.12018114613693</v>
      </c>
      <c r="N68" s="188">
        <f>1000000*N20/SER_summary!N$8</f>
        <v>322.91274609058621</v>
      </c>
      <c r="O68" s="188">
        <f>1000000*O20/SER_summary!O$8</f>
        <v>329.74199512360201</v>
      </c>
      <c r="P68" s="188">
        <f>1000000*P20/SER_summary!P$8</f>
        <v>338.44807237350778</v>
      </c>
      <c r="Q68" s="188">
        <f>1000000*Q20/SER_summary!Q$8</f>
        <v>348.68747876988266</v>
      </c>
      <c r="R68" s="188">
        <f>1000000*R20/SER_summary!R$8</f>
        <v>357.14963129581969</v>
      </c>
      <c r="S68" s="188">
        <f>1000000*S20/SER_summary!S$8</f>
        <v>365.65116802890816</v>
      </c>
      <c r="T68" s="188">
        <f>1000000*T20/SER_summary!T$8</f>
        <v>373.983796671427</v>
      </c>
      <c r="U68" s="188">
        <f>1000000*U20/SER_summary!U$8</f>
        <v>382.02118506181387</v>
      </c>
      <c r="V68" s="188">
        <f>1000000*V20/SER_summary!V$8</f>
        <v>389.52818377624476</v>
      </c>
      <c r="W68" s="188">
        <f>1000000*W20/SER_summary!W$8</f>
        <v>396.28494243506759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0.11120663342447035</v>
      </c>
      <c r="C69" s="188">
        <f>1000*C21/SER_summary!C$3</f>
        <v>0.1132213436484002</v>
      </c>
      <c r="D69" s="188">
        <f>1000*D21/SER_summary!D$3</f>
        <v>0.1163151687157144</v>
      </c>
      <c r="E69" s="188">
        <f>1000*E21/SER_summary!E$3</f>
        <v>0.11935514018303063</v>
      </c>
      <c r="F69" s="188">
        <f>1000*F21/SER_summary!F$3</f>
        <v>0.12295011906925413</v>
      </c>
      <c r="G69" s="188">
        <f>1000*G21/SER_summary!G$3</f>
        <v>0.12570749390094763</v>
      </c>
      <c r="H69" s="188">
        <f>1000*H21/SER_summary!H$3</f>
        <v>0.12795059793334995</v>
      </c>
      <c r="I69" s="188">
        <f>1000*I21/SER_summary!I$3</f>
        <v>0.1292882219749773</v>
      </c>
      <c r="J69" s="188">
        <f>1000*J21/SER_summary!J$3</f>
        <v>0.13006387927960059</v>
      </c>
      <c r="K69" s="188">
        <f>1000*K21/SER_summary!K$3</f>
        <v>0.13180828074416426</v>
      </c>
      <c r="L69" s="188">
        <f>1000*L21/SER_summary!L$3</f>
        <v>0.13401962436996984</v>
      </c>
      <c r="M69" s="188">
        <f>1000*M21/SER_summary!M$3</f>
        <v>0.13638210169692347</v>
      </c>
      <c r="N69" s="188">
        <f>1000*N21/SER_summary!N$3</f>
        <v>0.13977136644557683</v>
      </c>
      <c r="O69" s="188">
        <f>1000*O21/SER_summary!O$3</f>
        <v>0.1439434853755861</v>
      </c>
      <c r="P69" s="188">
        <f>1000*P21/SER_summary!P$3</f>
        <v>0.14973480815915366</v>
      </c>
      <c r="Q69" s="188">
        <f>1000*Q21/SER_summary!Q$3</f>
        <v>0.15702215872644015</v>
      </c>
      <c r="R69" s="188">
        <f>1000*R21/SER_summary!R$3</f>
        <v>0.16377846637665566</v>
      </c>
      <c r="S69" s="188">
        <f>1000*S21/SER_summary!S$3</f>
        <v>0.17031674927052742</v>
      </c>
      <c r="T69" s="188">
        <f>1000*T21/SER_summary!T$3</f>
        <v>0.17646796291777631</v>
      </c>
      <c r="U69" s="188">
        <f>1000*U21/SER_summary!U$3</f>
        <v>0.18142271031844898</v>
      </c>
      <c r="V69" s="188">
        <f>1000*V21/SER_summary!V$3</f>
        <v>0.18482871478081314</v>
      </c>
      <c r="W69" s="188">
        <f>1000*W21/SER_summary!W$3</f>
        <v>0.18796337450261197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112.72958714145801</v>
      </c>
      <c r="C70" s="188">
        <f>1000000*C22/SER_summary!C$8</f>
        <v>115.56889312907455</v>
      </c>
      <c r="D70" s="188">
        <f>1000000*D22/SER_summary!D$8</f>
        <v>116.68947881795954</v>
      </c>
      <c r="E70" s="188">
        <f>1000000*E22/SER_summary!E$8</f>
        <v>117.92987789019216</v>
      </c>
      <c r="F70" s="188">
        <f>1000000*F22/SER_summary!F$8</f>
        <v>119.53277681027549</v>
      </c>
      <c r="G70" s="188">
        <f>1000000*G22/SER_summary!G$8</f>
        <v>121.19130448963206</v>
      </c>
      <c r="H70" s="188">
        <f>1000000*H22/SER_summary!H$8</f>
        <v>123.14728664344226</v>
      </c>
      <c r="I70" s="188">
        <f>1000000*I22/SER_summary!I$8</f>
        <v>125.21510558188641</v>
      </c>
      <c r="J70" s="188">
        <f>1000000*J22/SER_summary!J$8</f>
        <v>126.33513131551577</v>
      </c>
      <c r="K70" s="188">
        <f>1000000*K22/SER_summary!K$8</f>
        <v>128.02425551940397</v>
      </c>
      <c r="L70" s="188">
        <f>1000000*L22/SER_summary!L$8</f>
        <v>131.30350205872674</v>
      </c>
      <c r="M70" s="188">
        <f>1000000*M22/SER_summary!M$8</f>
        <v>135.35181697836742</v>
      </c>
      <c r="N70" s="188">
        <f>1000000*N22/SER_summary!N$8</f>
        <v>140.19233517098496</v>
      </c>
      <c r="O70" s="188">
        <f>1000000*O22/SER_summary!O$8</f>
        <v>145.24484969329558</v>
      </c>
      <c r="P70" s="188">
        <f>1000000*P22/SER_summary!P$8</f>
        <v>151.72084557365719</v>
      </c>
      <c r="Q70" s="188">
        <f>1000000*Q22/SER_summary!Q$8</f>
        <v>159.94560925483805</v>
      </c>
      <c r="R70" s="188">
        <f>1000000*R22/SER_summary!R$8</f>
        <v>164.18834879296122</v>
      </c>
      <c r="S70" s="188">
        <f>1000000*S22/SER_summary!S$8</f>
        <v>168.49619855141262</v>
      </c>
      <c r="T70" s="188">
        <f>1000000*T22/SER_summary!T$8</f>
        <v>172.59006764967393</v>
      </c>
      <c r="U70" s="188">
        <f>1000000*U22/SER_summary!U$8</f>
        <v>176.29927735536532</v>
      </c>
      <c r="V70" s="188">
        <f>1000000*V22/SER_summary!V$8</f>
        <v>179.30574699845656</v>
      </c>
      <c r="W70" s="188">
        <f>1000000*W22/SER_summary!W$8</f>
        <v>181.05710848406616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1.5726486241884781E-2</v>
      </c>
      <c r="C71" s="188">
        <f>1000*C23/SER_summary!C$3</f>
        <v>1.6991648584494357E-2</v>
      </c>
      <c r="D71" s="188">
        <f>1000*D23/SER_summary!D$3</f>
        <v>1.8244546914967602E-2</v>
      </c>
      <c r="E71" s="188">
        <f>1000*E23/SER_summary!E$3</f>
        <v>1.9994998297839107E-2</v>
      </c>
      <c r="F71" s="188">
        <f>1000*F23/SER_summary!F$3</f>
        <v>2.1759618989254985E-2</v>
      </c>
      <c r="G71" s="188">
        <f>1000*G23/SER_summary!G$3</f>
        <v>2.322348757830035E-2</v>
      </c>
      <c r="H71" s="188">
        <f>1000*H23/SER_summary!H$3</f>
        <v>2.4620485793971258E-2</v>
      </c>
      <c r="I71" s="188">
        <f>1000*I23/SER_summary!I$3</f>
        <v>2.553705937121932E-2</v>
      </c>
      <c r="J71" s="188">
        <f>1000*J23/SER_summary!J$3</f>
        <v>2.6176930791937975E-2</v>
      </c>
      <c r="K71" s="188">
        <f>1000*K23/SER_summary!K$3</f>
        <v>2.6746092502299732E-2</v>
      </c>
      <c r="L71" s="188">
        <f>1000*L23/SER_summary!L$3</f>
        <v>2.72723245501117E-2</v>
      </c>
      <c r="M71" s="188">
        <f>1000*M23/SER_summary!M$3</f>
        <v>2.7727991097953951E-2</v>
      </c>
      <c r="N71" s="188">
        <f>1000*N23/SER_summary!N$3</f>
        <v>2.8220292047921758E-2</v>
      </c>
      <c r="O71" s="188">
        <f>1000*O23/SER_summary!O$3</f>
        <v>2.8958180131600838E-2</v>
      </c>
      <c r="P71" s="188">
        <f>1000*P23/SER_summary!P$3</f>
        <v>2.9870807163461893E-2</v>
      </c>
      <c r="Q71" s="188">
        <f>1000*Q23/SER_summary!Q$3</f>
        <v>3.0944893720550967E-2</v>
      </c>
      <c r="R71" s="188">
        <f>1000*R23/SER_summary!R$3</f>
        <v>3.1615082134916782E-2</v>
      </c>
      <c r="S71" s="188">
        <f>1000*S23/SER_summary!S$3</f>
        <v>3.2234682219433292E-2</v>
      </c>
      <c r="T71" s="188">
        <f>1000*T23/SER_summary!T$3</f>
        <v>3.2823115839257976E-2</v>
      </c>
      <c r="U71" s="188">
        <f>1000*U23/SER_summary!U$3</f>
        <v>3.3260308353038046E-2</v>
      </c>
      <c r="V71" s="188">
        <f>1000*V23/SER_summary!V$3</f>
        <v>3.3536933314462121E-2</v>
      </c>
      <c r="W71" s="188">
        <f>1000*W23/SER_summary!W$3</f>
        <v>3.3942163711433229E-2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48.623047400313062</v>
      </c>
      <c r="C72" s="188">
        <f>1000000*C24/SER_summary!C$8</f>
        <v>52.736583248521427</v>
      </c>
      <c r="D72" s="188">
        <f>1000000*D24/SER_summary!D$8</f>
        <v>56.56049227058687</v>
      </c>
      <c r="E72" s="188">
        <f>1000000*E24/SER_summary!E$8</f>
        <v>60.523194622611364</v>
      </c>
      <c r="F72" s="188">
        <f>1000000*F24/SER_summary!F$8</f>
        <v>64.564144668188362</v>
      </c>
      <c r="G72" s="188">
        <f>1000000*G24/SER_summary!G$8</f>
        <v>69.878191053530671</v>
      </c>
      <c r="H72" s="188">
        <f>1000000*H24/SER_summary!H$8</f>
        <v>73.497966363656388</v>
      </c>
      <c r="I72" s="188">
        <f>1000000*I24/SER_summary!I$8</f>
        <v>76.822262947164532</v>
      </c>
      <c r="J72" s="188">
        <f>1000000*J24/SER_summary!J$8</f>
        <v>80.453063609204406</v>
      </c>
      <c r="K72" s="188">
        <f>1000000*K24/SER_summary!K$8</f>
        <v>83.49822026646099</v>
      </c>
      <c r="L72" s="188">
        <f>1000000*L24/SER_summary!L$8</f>
        <v>85.913731984053967</v>
      </c>
      <c r="M72" s="188">
        <f>1000000*M24/SER_summary!M$8</f>
        <v>87.217645378551353</v>
      </c>
      <c r="N72" s="188">
        <f>1000000*N24/SER_summary!N$8</f>
        <v>88.644945141564989</v>
      </c>
      <c r="O72" s="188">
        <f>1000000*O24/SER_summary!O$8</f>
        <v>89.520560776191402</v>
      </c>
      <c r="P72" s="188">
        <f>1000000*P24/SER_summary!P$8</f>
        <v>90.102586522872272</v>
      </c>
      <c r="Q72" s="188">
        <f>1000000*Q24/SER_summary!Q$8</f>
        <v>90.782719504102687</v>
      </c>
      <c r="R72" s="188">
        <f>1000000*R24/SER_summary!R$8</f>
        <v>95.880365873329353</v>
      </c>
      <c r="S72" s="188">
        <f>1000000*S24/SER_summary!S$8</f>
        <v>101.01631940899183</v>
      </c>
      <c r="T72" s="188">
        <f>1000000*T24/SER_summary!T$8</f>
        <v>105.98798398708396</v>
      </c>
      <c r="U72" s="188">
        <f>1000000*U24/SER_summary!U$8</f>
        <v>110.67248225424564</v>
      </c>
      <c r="V72" s="188">
        <f>1000000*V24/SER_summary!V$8</f>
        <v>114.84109542274359</v>
      </c>
      <c r="W72" s="188">
        <f>1000000*W24/SER_summary!W$8</f>
        <v>118.26239862240041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0.13765632916677201</v>
      </c>
      <c r="C73" s="52">
        <f>1000*C25/SER_summary!C$3</f>
        <v>0.15911994561891415</v>
      </c>
      <c r="D73" s="52">
        <f>1000*D25/SER_summary!D$3</f>
        <v>0.18143415739334856</v>
      </c>
      <c r="E73" s="52">
        <f>1000*E25/SER_summary!E$3</f>
        <v>0.20227146652944741</v>
      </c>
      <c r="F73" s="52">
        <f>1000*F25/SER_summary!F$3</f>
        <v>0.22661759200768108</v>
      </c>
      <c r="G73" s="52">
        <f>1000*G25/SER_summary!G$3</f>
        <v>0.24814690648671933</v>
      </c>
      <c r="H73" s="52">
        <f>1000*H25/SER_summary!H$3</f>
        <v>0.27180111252868588</v>
      </c>
      <c r="I73" s="52">
        <f>1000*I25/SER_summary!I$3</f>
        <v>0.28684356653071008</v>
      </c>
      <c r="J73" s="52">
        <f>1000*J25/SER_summary!J$3</f>
        <v>0.30556660688542342</v>
      </c>
      <c r="K73" s="52">
        <f>1000*K25/SER_summary!K$3</f>
        <v>0.32288859389321067</v>
      </c>
      <c r="L73" s="52">
        <f>1000*L25/SER_summary!L$3</f>
        <v>0.3495751506625463</v>
      </c>
      <c r="M73" s="52">
        <f>1000*M25/SER_summary!M$3</f>
        <v>0.37007874017542475</v>
      </c>
      <c r="N73" s="52">
        <f>1000*N25/SER_summary!N$3</f>
        <v>0.39806993591472228</v>
      </c>
      <c r="O73" s="52">
        <f>1000*O25/SER_summary!O$3</f>
        <v>0.43236847431804892</v>
      </c>
      <c r="P73" s="52">
        <f>1000*P25/SER_summary!P$3</f>
        <v>0.46042342428543426</v>
      </c>
      <c r="Q73" s="52">
        <f>1000*Q25/SER_summary!Q$3</f>
        <v>0.510769759021791</v>
      </c>
      <c r="R73" s="52">
        <f>1000*R25/SER_summary!R$3</f>
        <v>0.53350144699457125</v>
      </c>
      <c r="S73" s="52">
        <f>1000*S25/SER_summary!S$3</f>
        <v>0.55592696760013971</v>
      </c>
      <c r="T73" s="52">
        <f>1000*T25/SER_summary!T$3</f>
        <v>0.58758716277152523</v>
      </c>
      <c r="U73" s="52">
        <f>1000*U25/SER_summary!U$3</f>
        <v>0.60055115404909132</v>
      </c>
      <c r="V73" s="52">
        <f>1000*V25/SER_summary!V$3</f>
        <v>0.60722275527829994</v>
      </c>
      <c r="W73" s="52">
        <f>1000*W25/SER_summary!W$3</f>
        <v>0.61302876289785369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231.49948577188124</v>
      </c>
      <c r="C3" s="199">
        <f>'SER_se-appl'!C4</f>
        <v>240.86196508868633</v>
      </c>
      <c r="D3" s="199">
        <f>'SER_se-appl'!D4</f>
        <v>248.63226619213961</v>
      </c>
      <c r="E3" s="199">
        <f>'SER_se-appl'!E4</f>
        <v>258.76966382941151</v>
      </c>
      <c r="F3" s="199">
        <f>'SER_se-appl'!F4</f>
        <v>269.87337398582991</v>
      </c>
      <c r="G3" s="199">
        <f>'SER_se-appl'!G4</f>
        <v>281.37987873084472</v>
      </c>
      <c r="H3" s="199">
        <f>'SER_se-appl'!H4</f>
        <v>292.31663773197465</v>
      </c>
      <c r="I3" s="199">
        <f>'SER_se-appl'!I4</f>
        <v>302.86830878142661</v>
      </c>
      <c r="J3" s="199">
        <f>'SER_se-appl'!J4</f>
        <v>312.36019905901941</v>
      </c>
      <c r="K3" s="199">
        <f>'SER_se-appl'!K4</f>
        <v>313.10562269584165</v>
      </c>
      <c r="L3" s="199">
        <f>'SER_se-appl'!L4</f>
        <v>320.12977543795517</v>
      </c>
      <c r="M3" s="199">
        <f>'SER_se-appl'!M4</f>
        <v>324.35103474518377</v>
      </c>
      <c r="N3" s="199">
        <f>'SER_se-appl'!N4</f>
        <v>330.89498652896589</v>
      </c>
      <c r="O3" s="199">
        <f>'SER_se-appl'!O4</f>
        <v>332.86994184500202</v>
      </c>
      <c r="P3" s="199">
        <f>'SER_se-appl'!P4</f>
        <v>337.87411390954679</v>
      </c>
      <c r="Q3" s="199">
        <f>'SER_se-appl'!Q4</f>
        <v>345.10353468721917</v>
      </c>
      <c r="R3" s="199">
        <f>'SER_se-appl'!R4</f>
        <v>350.98592561350495</v>
      </c>
      <c r="S3" s="199">
        <f>'SER_se-appl'!S4</f>
        <v>356.62979474441096</v>
      </c>
      <c r="T3" s="199">
        <f>'SER_se-appl'!T4</f>
        <v>361.94472047763571</v>
      </c>
      <c r="U3" s="199">
        <f>'SER_se-appl'!U4</f>
        <v>367.1550874431033</v>
      </c>
      <c r="V3" s="199">
        <f>'SER_se-appl'!V4</f>
        <v>372.02098069407378</v>
      </c>
      <c r="W3" s="199">
        <f>'SER_se-appl'!W4</f>
        <v>375.72526266556423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307.34463693230367</v>
      </c>
      <c r="C5" s="59">
        <f>'SER_se-appl'!C12</f>
        <v>319.77450387915792</v>
      </c>
      <c r="D5" s="59">
        <f>'SER_se-appl'!D12</f>
        <v>330.09055431673323</v>
      </c>
      <c r="E5" s="59">
        <f>'SER_se-appl'!E12</f>
        <v>343.5492226411024</v>
      </c>
      <c r="F5" s="59">
        <f>'SER_se-appl'!F12</f>
        <v>358.2907921752514</v>
      </c>
      <c r="G5" s="59">
        <f>'SER_se-appl'!G12</f>
        <v>373.56712210499148</v>
      </c>
      <c r="H5" s="59">
        <f>'SER_se-appl'!H12</f>
        <v>388.08704301630866</v>
      </c>
      <c r="I5" s="59">
        <f>'SER_se-appl'!I12</f>
        <v>402.09571131598079</v>
      </c>
      <c r="J5" s="59">
        <f>'SER_se-appl'!J12</f>
        <v>414.69738756351546</v>
      </c>
      <c r="K5" s="59">
        <f>'SER_se-appl'!K12</f>
        <v>415.68703104482171</v>
      </c>
      <c r="L5" s="59">
        <f>'SER_se-appl'!L12</f>
        <v>425.01247583828979</v>
      </c>
      <c r="M5" s="59">
        <f>'SER_se-appl'!M12</f>
        <v>430.61672763544374</v>
      </c>
      <c r="N5" s="59">
        <f>'SER_se-appl'!N12</f>
        <v>439.30464535751975</v>
      </c>
      <c r="O5" s="59">
        <f>'SER_se-appl'!O12</f>
        <v>441.92664653622995</v>
      </c>
      <c r="P5" s="59">
        <f>'SER_se-appl'!P12</f>
        <v>448.57031332968387</v>
      </c>
      <c r="Q5" s="59">
        <f>'SER_se-appl'!Q12</f>
        <v>458.16827721602289</v>
      </c>
      <c r="R5" s="59">
        <f>'SER_se-appl'!R12</f>
        <v>465.97788982706214</v>
      </c>
      <c r="S5" s="59">
        <f>'SER_se-appl'!S12</f>
        <v>473.47083480336772</v>
      </c>
      <c r="T5" s="59">
        <f>'SER_se-appl'!T12</f>
        <v>480.52706611357377</v>
      </c>
      <c r="U5" s="59">
        <f>'SER_se-appl'!U12</f>
        <v>487.44448253005618</v>
      </c>
      <c r="V5" s="59">
        <f>'SER_se-appl'!V12</f>
        <v>493.90456683471234</v>
      </c>
      <c r="W5" s="59">
        <f>'SER_se-appl'!W12</f>
        <v>498.82246630142851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260.38760523727802</v>
      </c>
      <c r="C6" s="202">
        <f>'SER_se-appl'!C68</f>
        <v>265.35008858810033</v>
      </c>
      <c r="D6" s="202">
        <f>'SER_se-appl'!D68</f>
        <v>268.40797571252318</v>
      </c>
      <c r="E6" s="202">
        <f>'SER_se-appl'!E68</f>
        <v>272.78449584492955</v>
      </c>
      <c r="F6" s="202">
        <f>'SER_se-appl'!F68</f>
        <v>278.28340603412846</v>
      </c>
      <c r="G6" s="202">
        <f>'SER_se-appl'!G68</f>
        <v>283.7311138189196</v>
      </c>
      <c r="H6" s="202">
        <f>'SER_se-appl'!H68</f>
        <v>288.17028750354064</v>
      </c>
      <c r="I6" s="202">
        <f>'SER_se-appl'!I68</f>
        <v>292.46798356654222</v>
      </c>
      <c r="J6" s="202">
        <f>'SER_se-appl'!J68</f>
        <v>297.24457902160941</v>
      </c>
      <c r="K6" s="202">
        <f>'SER_se-appl'!K68</f>
        <v>302.42051244186052</v>
      </c>
      <c r="L6" s="202">
        <f>'SER_se-appl'!L68</f>
        <v>308.40941529588815</v>
      </c>
      <c r="M6" s="202">
        <f>'SER_se-appl'!M68</f>
        <v>315.12018114613693</v>
      </c>
      <c r="N6" s="202">
        <f>'SER_se-appl'!N68</f>
        <v>322.91274609058621</v>
      </c>
      <c r="O6" s="202">
        <f>'SER_se-appl'!O68</f>
        <v>329.74199512360201</v>
      </c>
      <c r="P6" s="202">
        <f>'SER_se-appl'!P68</f>
        <v>338.44807237350778</v>
      </c>
      <c r="Q6" s="202">
        <f>'SER_se-appl'!Q68</f>
        <v>348.68747876988266</v>
      </c>
      <c r="R6" s="202">
        <f>'SER_se-appl'!R68</f>
        <v>357.14963129581969</v>
      </c>
      <c r="S6" s="202">
        <f>'SER_se-appl'!S68</f>
        <v>365.65116802890816</v>
      </c>
      <c r="T6" s="202">
        <f>'SER_se-appl'!T68</f>
        <v>373.983796671427</v>
      </c>
      <c r="U6" s="202">
        <f>'SER_se-appl'!U68</f>
        <v>382.02118506181387</v>
      </c>
      <c r="V6" s="202">
        <f>'SER_se-appl'!V68</f>
        <v>389.52818377624476</v>
      </c>
      <c r="W6" s="202">
        <f>'SER_se-appl'!W68</f>
        <v>396.28494243506759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453.06841839776814</v>
      </c>
      <c r="C8" s="34">
        <f>'SER_se-appl'!C20</f>
        <v>476.00243707258755</v>
      </c>
      <c r="D8" s="34">
        <f>'SER_se-appl'!D20</f>
        <v>496.03195062668345</v>
      </c>
      <c r="E8" s="34">
        <f>'SER_se-appl'!E20</f>
        <v>522.02563726984965</v>
      </c>
      <c r="F8" s="34">
        <f>'SER_se-appl'!F20</f>
        <v>551.0176508682415</v>
      </c>
      <c r="G8" s="34">
        <f>'SER_se-appl'!G20</f>
        <v>581.82414778720283</v>
      </c>
      <c r="H8" s="34">
        <f>'SER_se-appl'!H20</f>
        <v>612.20396921755548</v>
      </c>
      <c r="I8" s="34">
        <f>'SER_se-appl'!I20</f>
        <v>641.97565320440287</v>
      </c>
      <c r="J8" s="34">
        <f>'SER_se-appl'!J20</f>
        <v>670.08842705343477</v>
      </c>
      <c r="K8" s="34">
        <f>'SER_se-appl'!K20</f>
        <v>677.91983880010696</v>
      </c>
      <c r="L8" s="34">
        <f>'SER_se-appl'!L20</f>
        <v>702.09267976794172</v>
      </c>
      <c r="M8" s="34">
        <f>'SER_se-appl'!M20</f>
        <v>719.98936637214706</v>
      </c>
      <c r="N8" s="34">
        <f>'SER_se-appl'!N20</f>
        <v>745.17143530953967</v>
      </c>
      <c r="O8" s="34">
        <f>'SER_se-appl'!O20</f>
        <v>759.87090316053775</v>
      </c>
      <c r="P8" s="34">
        <f>'SER_se-appl'!P20</f>
        <v>784.35759074149769</v>
      </c>
      <c r="Q8" s="34">
        <f>'SER_se-appl'!Q20</f>
        <v>816.28906345020516</v>
      </c>
      <c r="R8" s="34">
        <f>'SER_se-appl'!R20</f>
        <v>845.23514929017108</v>
      </c>
      <c r="S8" s="34">
        <f>'SER_se-appl'!S20</f>
        <v>874.4957300626287</v>
      </c>
      <c r="T8" s="34">
        <f>'SER_se-appl'!T20</f>
        <v>903.82658675055552</v>
      </c>
      <c r="U8" s="34">
        <f>'SER_se-appl'!U20</f>
        <v>931.79222504494112</v>
      </c>
      <c r="V8" s="34">
        <f>'SER_se-appl'!V20</f>
        <v>957.9812445648829</v>
      </c>
      <c r="W8" s="34">
        <f>'SER_se-appl'!W20</f>
        <v>982.25695983682351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42.585103405617815</v>
      </c>
      <c r="D9" s="36">
        <f>'SER_se-appl'!D28</f>
        <v>40.236440895103158</v>
      </c>
      <c r="E9" s="36">
        <f>'SER_se-appl'!E28</f>
        <v>46.772178932948123</v>
      </c>
      <c r="F9" s="36">
        <f>'SER_se-appl'!F28</f>
        <v>50.35823789120434</v>
      </c>
      <c r="G9" s="36">
        <f>'SER_se-appl'!G28</f>
        <v>52.777077563798002</v>
      </c>
      <c r="H9" s="36">
        <f>'SER_se-appl'!H28</f>
        <v>52.971853005798266</v>
      </c>
      <c r="I9" s="36">
        <f>'SER_se-appl'!I28</f>
        <v>53.002744601801169</v>
      </c>
      <c r="J9" s="36">
        <f>'SER_se-appl'!J28</f>
        <v>52.000938819649946</v>
      </c>
      <c r="K9" s="36">
        <f>'SER_se-appl'!K28</f>
        <v>32.395267660170248</v>
      </c>
      <c r="L9" s="36">
        <f>'SER_se-appl'!L28</f>
        <v>49.431500144093775</v>
      </c>
      <c r="M9" s="36">
        <f>'SER_se-appl'!M28</f>
        <v>43.86980196643276</v>
      </c>
      <c r="N9" s="36">
        <f>'SER_se-appl'!N28</f>
        <v>51.889849303408255</v>
      </c>
      <c r="O9" s="36">
        <f>'SER_se-appl'!O28</f>
        <v>42.162693657043974</v>
      </c>
      <c r="P9" s="36">
        <f>'SER_se-appl'!P28</f>
        <v>52.726727050266959</v>
      </c>
      <c r="Q9" s="36">
        <f>'SER_se-appl'!Q28</f>
        <v>60.970298477399751</v>
      </c>
      <c r="R9" s="36">
        <f>'SER_se-appl'!R28</f>
        <v>58.806292053238508</v>
      </c>
      <c r="S9" s="36">
        <f>'SER_se-appl'!S28</f>
        <v>59.965400664330105</v>
      </c>
      <c r="T9" s="36">
        <f>'SER_se-appl'!T28</f>
        <v>60.904180658250652</v>
      </c>
      <c r="U9" s="36">
        <f>'SER_se-appl'!U28</f>
        <v>70.550741700003414</v>
      </c>
      <c r="V9" s="36">
        <f>'SER_se-appl'!V28</f>
        <v>66.425460415044881</v>
      </c>
      <c r="W9" s="36">
        <f>'SER_se-appl'!W28</f>
        <v>71.047894204888735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19.651084730798402</v>
      </c>
      <c r="D10" s="38">
        <f>'SER_se-appl'!D36</f>
        <v>20.206927341007315</v>
      </c>
      <c r="E10" s="38">
        <f>'SER_se-appl'!E36</f>
        <v>20.778492289781866</v>
      </c>
      <c r="F10" s="38">
        <f>'SER_se-appl'!F36</f>
        <v>21.36622429281249</v>
      </c>
      <c r="G10" s="38">
        <f>'SER_se-appl'!G36</f>
        <v>21.970580644836673</v>
      </c>
      <c r="H10" s="38">
        <f>'SER_se-appl'!H36</f>
        <v>22.592031575445617</v>
      </c>
      <c r="I10" s="38">
        <f>'SER_se-appl'!I36</f>
        <v>23.231060614953776</v>
      </c>
      <c r="J10" s="38">
        <f>'SER_se-appl'!J36</f>
        <v>23.88816497061805</v>
      </c>
      <c r="K10" s="38">
        <f>'SER_se-appl'!K36</f>
        <v>24.56385591349806</v>
      </c>
      <c r="L10" s="38">
        <f>'SER_se-appl'!L36</f>
        <v>25.258659176259016</v>
      </c>
      <c r="M10" s="38">
        <f>'SER_se-appl'!M36</f>
        <v>25.973115362227418</v>
      </c>
      <c r="N10" s="38">
        <f>'SER_se-appl'!N36</f>
        <v>26.707780366015641</v>
      </c>
      <c r="O10" s="38">
        <f>'SER_se-appl'!O36</f>
        <v>27.463225806045898</v>
      </c>
      <c r="P10" s="38">
        <f>'SER_se-appl'!P36</f>
        <v>28.240039469307021</v>
      </c>
      <c r="Q10" s="38">
        <f>'SER_se-appl'!Q36</f>
        <v>29.038825768692277</v>
      </c>
      <c r="R10" s="38">
        <f>'SER_se-appl'!R36</f>
        <v>29.860206213272591</v>
      </c>
      <c r="S10" s="38">
        <f>'SER_se-appl'!S36</f>
        <v>30.704819891872489</v>
      </c>
      <c r="T10" s="38">
        <f>'SER_se-appl'!T36</f>
        <v>31.573323970323827</v>
      </c>
      <c r="U10" s="38">
        <f>'SER_se-appl'!U36</f>
        <v>42.585103405617815</v>
      </c>
      <c r="V10" s="38">
        <f>'SER_se-appl'!V36</f>
        <v>40.236440895103101</v>
      </c>
      <c r="W10" s="38">
        <f>'SER_se-appl'!W36</f>
        <v>46.772178932948123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8759.9999999999964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8760.0000000000036</v>
      </c>
      <c r="I12" s="205">
        <f>'SER_se-appl'!I44</f>
        <v>8760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8760</v>
      </c>
      <c r="N12" s="205">
        <f>'SER_se-appl'!N44</f>
        <v>8760</v>
      </c>
      <c r="O12" s="205">
        <f>'SER_se-appl'!O44</f>
        <v>8759.9999999999982</v>
      </c>
      <c r="P12" s="205">
        <f>'SER_se-appl'!P44</f>
        <v>8759.9999999999964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8759.9999999999945</v>
      </c>
      <c r="U12" s="205">
        <f>'SER_se-appl'!U44</f>
        <v>8759.9999999999982</v>
      </c>
      <c r="V12" s="205">
        <f>'SER_se-appl'!V44</f>
        <v>8759.9999999999964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0.67836252639104211</v>
      </c>
      <c r="C14" s="59">
        <f>'SER_se-appl'!C52</f>
        <v>0.67179173670994086</v>
      </c>
      <c r="D14" s="59">
        <f>'SER_se-appl'!D52</f>
        <v>0.66546228302370247</v>
      </c>
      <c r="E14" s="59">
        <f>'SER_se-appl'!E52</f>
        <v>0.65810795124514587</v>
      </c>
      <c r="F14" s="59">
        <f>'SER_se-appl'!F52</f>
        <v>0.65023469141268098</v>
      </c>
      <c r="G14" s="59">
        <f>'SER_se-appl'!G52</f>
        <v>0.64206190740921332</v>
      </c>
      <c r="H14" s="59">
        <f>'SER_se-appl'!H52</f>
        <v>0.63391788117988557</v>
      </c>
      <c r="I14" s="59">
        <f>'SER_se-appl'!I52</f>
        <v>0.62634106030179137</v>
      </c>
      <c r="J14" s="59">
        <f>'SER_se-appl'!J52</f>
        <v>0.61886964588696936</v>
      </c>
      <c r="K14" s="59">
        <f>'SER_se-appl'!K52</f>
        <v>0.61318021284134772</v>
      </c>
      <c r="L14" s="59">
        <f>'SER_se-appl'!L52</f>
        <v>0.60535095733908872</v>
      </c>
      <c r="M14" s="59">
        <f>'SER_se-appl'!M52</f>
        <v>0.59808762149532524</v>
      </c>
      <c r="N14" s="59">
        <f>'SER_se-appl'!N52</f>
        <v>0.58953500435109307</v>
      </c>
      <c r="O14" s="59">
        <f>'SER_se-appl'!O52</f>
        <v>0.58158121951784247</v>
      </c>
      <c r="P14" s="59">
        <f>'SER_se-appl'!P52</f>
        <v>0.57189516443083688</v>
      </c>
      <c r="Q14" s="59">
        <f>'SER_se-appl'!Q52</f>
        <v>0.56128190089854346</v>
      </c>
      <c r="R14" s="59">
        <f>'SER_se-appl'!R52</f>
        <v>0.55129970661820038</v>
      </c>
      <c r="S14" s="59">
        <f>'SER_se-appl'!S52</f>
        <v>0.54142155133159908</v>
      </c>
      <c r="T14" s="59">
        <f>'SER_se-appl'!T52</f>
        <v>0.53165847647961817</v>
      </c>
      <c r="U14" s="59">
        <f>'SER_se-appl'!U52</f>
        <v>0.5231257241994548</v>
      </c>
      <c r="V14" s="59">
        <f>'SER_se-appl'!V52</f>
        <v>0.51556809659571656</v>
      </c>
      <c r="W14" s="59">
        <f>'SER_se-appl'!W52</f>
        <v>0.50783296703165626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0.60491637617497884</v>
      </c>
      <c r="D15" s="63">
        <f>'SER_se-appl'!D60</f>
        <v>0.59706256778155897</v>
      </c>
      <c r="E15" s="63">
        <f>'SER_se-appl'!E60</f>
        <v>0.58911129387757255</v>
      </c>
      <c r="F15" s="63">
        <f>'SER_se-appl'!F60</f>
        <v>0.58055278836444935</v>
      </c>
      <c r="G15" s="63">
        <f>'SER_se-appl'!G60</f>
        <v>0.57184576932603026</v>
      </c>
      <c r="H15" s="63">
        <f>'SER_se-appl'!H60</f>
        <v>0.56342202195335223</v>
      </c>
      <c r="I15" s="63">
        <f>'SER_se-appl'!I60</f>
        <v>0.56162656279056289</v>
      </c>
      <c r="J15" s="63">
        <f>'SER_se-appl'!J60</f>
        <v>0.55396138688487995</v>
      </c>
      <c r="K15" s="63">
        <f>'SER_se-appl'!K60</f>
        <v>0.54492041929927848</v>
      </c>
      <c r="L15" s="63">
        <f>'SER_se-appl'!L60</f>
        <v>0.53528564919927568</v>
      </c>
      <c r="M15" s="63">
        <f>'SER_se-appl'!M60</f>
        <v>0.52937188935318424</v>
      </c>
      <c r="N15" s="63">
        <f>'SER_se-appl'!N60</f>
        <v>0.51658417677660817</v>
      </c>
      <c r="O15" s="63">
        <f>'SER_se-appl'!O60</f>
        <v>0.50404807131663443</v>
      </c>
      <c r="P15" s="63">
        <f>'SER_se-appl'!P60</f>
        <v>0.48932776139582335</v>
      </c>
      <c r="Q15" s="63">
        <f>'SER_se-appl'!Q60</f>
        <v>0.48050962238733547</v>
      </c>
      <c r="R15" s="63">
        <f>'SER_se-appl'!R60</f>
        <v>0.47725603088567048</v>
      </c>
      <c r="S15" s="63">
        <f>'SER_se-appl'!S60</f>
        <v>0.47230476002447969</v>
      </c>
      <c r="T15" s="63">
        <f>'SER_se-appl'!T60</f>
        <v>0.46752769378928299</v>
      </c>
      <c r="U15" s="63">
        <f>'SER_se-appl'!U60</f>
        <v>0.46318213048132822</v>
      </c>
      <c r="V15" s="63">
        <f>'SER_se-appl'!V60</f>
        <v>0.45891675922765662</v>
      </c>
      <c r="W15" s="63">
        <f>'SER_se-appl'!W60</f>
        <v>0.4570426566301265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282.53462391933249</v>
      </c>
      <c r="C3" s="199">
        <f>'SER_se-appl'!C5</f>
        <v>285.25159397703663</v>
      </c>
      <c r="D3" s="199">
        <f>'SER_se-appl'!D5</f>
        <v>291.21837069062332</v>
      </c>
      <c r="E3" s="199">
        <f>'SER_se-appl'!E5</f>
        <v>299.00769934338473</v>
      </c>
      <c r="F3" s="199">
        <f>'SER_se-appl'!F5</f>
        <v>306.85280266982113</v>
      </c>
      <c r="G3" s="199">
        <f>'SER_se-appl'!G5</f>
        <v>311.80489568140638</v>
      </c>
      <c r="H3" s="199">
        <f>'SER_se-appl'!H5</f>
        <v>314.67216502572455</v>
      </c>
      <c r="I3" s="199">
        <f>'SER_se-appl'!I5</f>
        <v>314.94128970760465</v>
      </c>
      <c r="J3" s="199">
        <f>'SER_se-appl'!J5</f>
        <v>317.43224567331498</v>
      </c>
      <c r="K3" s="199">
        <f>'SER_se-appl'!K5</f>
        <v>319.43122978154264</v>
      </c>
      <c r="L3" s="199">
        <f>'SER_se-appl'!L5</f>
        <v>320.08036965241729</v>
      </c>
      <c r="M3" s="199">
        <f>'SER_se-appl'!M5</f>
        <v>320.21342827530481</v>
      </c>
      <c r="N3" s="199">
        <f>'SER_se-appl'!N5</f>
        <v>321.17508772265461</v>
      </c>
      <c r="O3" s="199">
        <f>'SER_se-appl'!O5</f>
        <v>321.30335263766187</v>
      </c>
      <c r="P3" s="199">
        <f>'SER_se-appl'!P5</f>
        <v>321.72443541110783</v>
      </c>
      <c r="Q3" s="199">
        <f>'SER_se-appl'!Q5</f>
        <v>324.67624068409378</v>
      </c>
      <c r="R3" s="199">
        <f>'SER_se-appl'!R5</f>
        <v>331.3365371207442</v>
      </c>
      <c r="S3" s="199">
        <f>'SER_se-appl'!S5</f>
        <v>323.65354269877633</v>
      </c>
      <c r="T3" s="199">
        <f>'SER_se-appl'!T5</f>
        <v>319.18427678660373</v>
      </c>
      <c r="U3" s="199">
        <f>'SER_se-appl'!U5</f>
        <v>312.69361780194203</v>
      </c>
      <c r="V3" s="199">
        <f>'SER_se-appl'!V5</f>
        <v>303.46974404245628</v>
      </c>
      <c r="W3" s="199">
        <f>'SER_se-appl'!W5</f>
        <v>295.25552018787681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884.55993973108411</v>
      </c>
      <c r="C5" s="59">
        <f>'SER_se-appl'!C13</f>
        <v>895.6883020201102</v>
      </c>
      <c r="D5" s="59">
        <f>'SER_se-appl'!D13</f>
        <v>915.83903612804863</v>
      </c>
      <c r="E5" s="59">
        <f>'SER_se-appl'!E13</f>
        <v>942.19604583169371</v>
      </c>
      <c r="F5" s="59">
        <f>'SER_se-appl'!F13</f>
        <v>968.41888884405819</v>
      </c>
      <c r="G5" s="59">
        <f>'SER_se-appl'!G13</f>
        <v>986.1549294020723</v>
      </c>
      <c r="H5" s="59">
        <f>'SER_se-appl'!H13</f>
        <v>996.63820317372586</v>
      </c>
      <c r="I5" s="59">
        <f>'SER_se-appl'!I13</f>
        <v>999.77204708842555</v>
      </c>
      <c r="J5" s="59">
        <f>'SER_se-appl'!J13</f>
        <v>1010.3284007392004</v>
      </c>
      <c r="K5" s="59">
        <f>'SER_se-appl'!K13</f>
        <v>1019.8997316494645</v>
      </c>
      <c r="L5" s="59">
        <f>'SER_se-appl'!L13</f>
        <v>1024.6036008201729</v>
      </c>
      <c r="M5" s="59">
        <f>'SER_se-appl'!M13</f>
        <v>1027.7707984849715</v>
      </c>
      <c r="N5" s="59">
        <f>'SER_se-appl'!N13</f>
        <v>1035.364990889826</v>
      </c>
      <c r="O5" s="59">
        <f>'SER_se-appl'!O13</f>
        <v>1039.6537997881846</v>
      </c>
      <c r="P5" s="59">
        <f>'SER_se-appl'!P13</f>
        <v>1045.4111714923738</v>
      </c>
      <c r="Q5" s="59">
        <f>'SER_se-appl'!Q13</f>
        <v>1059.195530442013</v>
      </c>
      <c r="R5" s="59">
        <f>'SER_se-appl'!R13</f>
        <v>1061.2323073040145</v>
      </c>
      <c r="S5" s="59">
        <f>'SER_se-appl'!S13</f>
        <v>1057.3324170953717</v>
      </c>
      <c r="T5" s="59">
        <f>'SER_se-appl'!T13</f>
        <v>1046.6033194138724</v>
      </c>
      <c r="U5" s="59">
        <f>'SER_se-appl'!U13</f>
        <v>1028.9261769480497</v>
      </c>
      <c r="V5" s="59">
        <f>'SER_se-appl'!V13</f>
        <v>1004.7360682458417</v>
      </c>
      <c r="W5" s="59">
        <f>'SER_se-appl'!W13</f>
        <v>976.26922356447687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0.11120663342447035</v>
      </c>
      <c r="C6" s="202">
        <f>'SER_se-appl'!C69</f>
        <v>0.1132213436484002</v>
      </c>
      <c r="D6" s="202">
        <f>'SER_se-appl'!D69</f>
        <v>0.1163151687157144</v>
      </c>
      <c r="E6" s="202">
        <f>'SER_se-appl'!E69</f>
        <v>0.11935514018303063</v>
      </c>
      <c r="F6" s="202">
        <f>'SER_se-appl'!F69</f>
        <v>0.12295011906925413</v>
      </c>
      <c r="G6" s="202">
        <f>'SER_se-appl'!G69</f>
        <v>0.12570749390094763</v>
      </c>
      <c r="H6" s="202">
        <f>'SER_se-appl'!H69</f>
        <v>0.12795059793334995</v>
      </c>
      <c r="I6" s="202">
        <f>'SER_se-appl'!I69</f>
        <v>0.1292882219749773</v>
      </c>
      <c r="J6" s="202">
        <f>'SER_se-appl'!J69</f>
        <v>0.13006387927960059</v>
      </c>
      <c r="K6" s="202">
        <f>'SER_se-appl'!K69</f>
        <v>0.13180828074416426</v>
      </c>
      <c r="L6" s="202">
        <f>'SER_se-appl'!L69</f>
        <v>0.13401962436996984</v>
      </c>
      <c r="M6" s="202">
        <f>'SER_se-appl'!M69</f>
        <v>0.13638210169692347</v>
      </c>
      <c r="N6" s="202">
        <f>'SER_se-appl'!N69</f>
        <v>0.13977136644557683</v>
      </c>
      <c r="O6" s="202">
        <f>'SER_se-appl'!O69</f>
        <v>0.1439434853755861</v>
      </c>
      <c r="P6" s="202">
        <f>'SER_se-appl'!P69</f>
        <v>0.14973480815915366</v>
      </c>
      <c r="Q6" s="202">
        <f>'SER_se-appl'!Q69</f>
        <v>0.15702215872644015</v>
      </c>
      <c r="R6" s="202">
        <f>'SER_se-appl'!R69</f>
        <v>0.16377846637665566</v>
      </c>
      <c r="S6" s="202">
        <f>'SER_se-appl'!S69</f>
        <v>0.17031674927052742</v>
      </c>
      <c r="T6" s="202">
        <f>'SER_se-appl'!T69</f>
        <v>0.17646796291777631</v>
      </c>
      <c r="U6" s="202">
        <f>'SER_se-appl'!U69</f>
        <v>0.18142271031844898</v>
      </c>
      <c r="V6" s="202">
        <f>'SER_se-appl'!V69</f>
        <v>0.18482871478081314</v>
      </c>
      <c r="W6" s="202">
        <f>'SER_se-appl'!W69</f>
        <v>0.18796337450261197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4500.5526942955985</v>
      </c>
      <c r="C8" s="34">
        <f>'SER_se-appl'!C21</f>
        <v>4604.2076450944824</v>
      </c>
      <c r="D8" s="34">
        <f>'SER_se-appl'!D21</f>
        <v>4773.0252838662436</v>
      </c>
      <c r="E8" s="34">
        <f>'SER_se-appl'!E21</f>
        <v>4992.3674680430959</v>
      </c>
      <c r="F8" s="34">
        <f>'SER_se-appl'!F21</f>
        <v>5231.2141665432555</v>
      </c>
      <c r="G8" s="34">
        <f>'SER_se-appl'!G21</f>
        <v>5442.6741450683667</v>
      </c>
      <c r="H8" s="34">
        <f>'SER_se-appl'!H21</f>
        <v>5631.1021044793915</v>
      </c>
      <c r="I8" s="34">
        <f>'SER_se-appl'!I21</f>
        <v>5790.1298388832192</v>
      </c>
      <c r="J8" s="34">
        <f>'SER_se-appl'!J21</f>
        <v>5939.8793689234435</v>
      </c>
      <c r="K8" s="34">
        <f>'SER_se-appl'!K21</f>
        <v>6094.7190769900544</v>
      </c>
      <c r="L8" s="34">
        <f>'SER_se-appl'!L21</f>
        <v>6230.1192166099027</v>
      </c>
      <c r="M8" s="34">
        <f>'SER_se-appl'!M21</f>
        <v>6364.5672703760229</v>
      </c>
      <c r="N8" s="34">
        <f>'SER_se-appl'!N21</f>
        <v>6543.846444178268</v>
      </c>
      <c r="O8" s="34">
        <f>'SER_se-appl'!O21</f>
        <v>6726.1753508469965</v>
      </c>
      <c r="P8" s="34">
        <f>'SER_se-appl'!P21</f>
        <v>6964.4951943253782</v>
      </c>
      <c r="Q8" s="34">
        <f>'SER_se-appl'!Q21</f>
        <v>7293.6109682040997</v>
      </c>
      <c r="R8" s="34">
        <f>'SER_se-appl'!R21</f>
        <v>7605.8881926000604</v>
      </c>
      <c r="S8" s="34">
        <f>'SER_se-appl'!S21</f>
        <v>7924.5017976610825</v>
      </c>
      <c r="T8" s="34">
        <f>'SER_se-appl'!T21</f>
        <v>8233.7210949970304</v>
      </c>
      <c r="U8" s="34">
        <f>'SER_se-appl'!U21</f>
        <v>8515.4486395796594</v>
      </c>
      <c r="V8" s="34">
        <f>'SER_se-appl'!V21</f>
        <v>8748.4262128363225</v>
      </c>
      <c r="W8" s="34">
        <f>'SER_se-appl'!W21</f>
        <v>8909.2186592200815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668.22421623070659</v>
      </c>
      <c r="D9" s="36">
        <f>'SER_se-appl'!D29</f>
        <v>757.6887213386417</v>
      </c>
      <c r="E9" s="36">
        <f>'SER_se-appl'!E29</f>
        <v>833.56115271786166</v>
      </c>
      <c r="F9" s="36">
        <f>'SER_se-appl'!F29</f>
        <v>879.50464976359945</v>
      </c>
      <c r="G9" s="36">
        <f>'SER_se-appl'!G29</f>
        <v>879.69497538953055</v>
      </c>
      <c r="H9" s="36">
        <f>'SER_se-appl'!H29</f>
        <v>885.42705253673103</v>
      </c>
      <c r="I9" s="36">
        <f>'SER_se-appl'!I29</f>
        <v>886.02907090614826</v>
      </c>
      <c r="J9" s="36">
        <f>'SER_se-appl'!J29</f>
        <v>817.97374627093086</v>
      </c>
      <c r="K9" s="36">
        <f>'SER_se-appl'!K29</f>
        <v>912.52842940525261</v>
      </c>
      <c r="L9" s="36">
        <f>'SER_se-appl'!L29</f>
        <v>968.96129233770989</v>
      </c>
      <c r="M9" s="36">
        <f>'SER_se-appl'!M29</f>
        <v>1013.9527035297197</v>
      </c>
      <c r="N9" s="36">
        <f>'SER_se-appl'!N29</f>
        <v>1058.9741491917757</v>
      </c>
      <c r="O9" s="36">
        <f>'SER_se-appl'!O29</f>
        <v>1067.7559592054595</v>
      </c>
      <c r="P9" s="36">
        <f>'SER_se-appl'!P29</f>
        <v>1124.34891438453</v>
      </c>
      <c r="Q9" s="36">
        <f>'SER_se-appl'!Q29</f>
        <v>1147.0895201496523</v>
      </c>
      <c r="R9" s="36">
        <f>'SER_se-appl'!R29</f>
        <v>1224.8056538012133</v>
      </c>
      <c r="S9" s="36">
        <f>'SER_se-appl'!S29</f>
        <v>1287.574897398732</v>
      </c>
      <c r="T9" s="36">
        <f>'SER_se-appl'!T29</f>
        <v>1323.1720008656675</v>
      </c>
      <c r="U9" s="36">
        <f>'SER_se-appl'!U29</f>
        <v>1340.7016937744047</v>
      </c>
      <c r="V9" s="36">
        <f>'SER_se-appl'!V29</f>
        <v>1300.7335324621226</v>
      </c>
      <c r="W9" s="36">
        <f>'SER_se-appl'!W29</f>
        <v>1285.1413607682889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564.56926543182271</v>
      </c>
      <c r="D10" s="38">
        <f>'SER_se-appl'!D37</f>
        <v>588.87108256688043</v>
      </c>
      <c r="E10" s="38">
        <f>'SER_se-appl'!E37</f>
        <v>614.21896854100942</v>
      </c>
      <c r="F10" s="38">
        <f>'SER_se-appl'!F37</f>
        <v>640.65795126343983</v>
      </c>
      <c r="G10" s="38">
        <f>'SER_se-appl'!G37</f>
        <v>668.23499686441937</v>
      </c>
      <c r="H10" s="38">
        <f>'SER_se-appl'!H37</f>
        <v>696.99909312570617</v>
      </c>
      <c r="I10" s="38">
        <f>'SER_se-appl'!I37</f>
        <v>727.00133650232056</v>
      </c>
      <c r="J10" s="38">
        <f>'SER_se-appl'!J37</f>
        <v>668.22421623070659</v>
      </c>
      <c r="K10" s="38">
        <f>'SER_se-appl'!K37</f>
        <v>757.6887213386417</v>
      </c>
      <c r="L10" s="38">
        <f>'SER_se-appl'!L37</f>
        <v>833.56115271786166</v>
      </c>
      <c r="M10" s="38">
        <f>'SER_se-appl'!M37</f>
        <v>879.50464976359945</v>
      </c>
      <c r="N10" s="38">
        <f>'SER_se-appl'!N37</f>
        <v>879.69497538953055</v>
      </c>
      <c r="O10" s="38">
        <f>'SER_se-appl'!O37</f>
        <v>885.42705253673103</v>
      </c>
      <c r="P10" s="38">
        <f>'SER_se-appl'!P37</f>
        <v>886.02907090614826</v>
      </c>
      <c r="Q10" s="38">
        <f>'SER_se-appl'!Q37</f>
        <v>817.97374627093086</v>
      </c>
      <c r="R10" s="38">
        <f>'SER_se-appl'!R37</f>
        <v>912.5284294052517</v>
      </c>
      <c r="S10" s="38">
        <f>'SER_se-appl'!S37</f>
        <v>968.9612923377108</v>
      </c>
      <c r="T10" s="38">
        <f>'SER_se-appl'!T37</f>
        <v>1013.9527035297197</v>
      </c>
      <c r="U10" s="38">
        <f>'SER_se-appl'!U37</f>
        <v>1058.9741491917757</v>
      </c>
      <c r="V10" s="38">
        <f>'SER_se-appl'!V37</f>
        <v>1067.7559592054604</v>
      </c>
      <c r="W10" s="38">
        <f>'SER_se-appl'!W37</f>
        <v>1124.3489143845291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3714.7032423611449</v>
      </c>
      <c r="C12" s="205">
        <f>'SER_se-appl'!C45</f>
        <v>3703.828698522459</v>
      </c>
      <c r="D12" s="205">
        <f>'SER_se-appl'!D45</f>
        <v>3698.1057997383855</v>
      </c>
      <c r="E12" s="205">
        <f>'SER_se-appl'!E45</f>
        <v>3690.8025232624987</v>
      </c>
      <c r="F12" s="205">
        <f>'SER_se-appl'!F45</f>
        <v>3685.07691884217</v>
      </c>
      <c r="G12" s="205">
        <f>'SER_se-appl'!G45</f>
        <v>3677.2020588828341</v>
      </c>
      <c r="H12" s="205">
        <f>'SER_se-appl'!H45</f>
        <v>3671.9817357947081</v>
      </c>
      <c r="I12" s="205">
        <f>'SER_se-appl'!I45</f>
        <v>3663.6023281169873</v>
      </c>
      <c r="J12" s="205">
        <f>'SER_se-appl'!J45</f>
        <v>3653.9970711301562</v>
      </c>
      <c r="K12" s="205">
        <f>'SER_se-appl'!K45</f>
        <v>3642.5004214396313</v>
      </c>
      <c r="L12" s="205">
        <f>'SER_se-appl'!L45</f>
        <v>3633.1462197456704</v>
      </c>
      <c r="M12" s="205">
        <f>'SER_se-appl'!M45</f>
        <v>3623.4559070285263</v>
      </c>
      <c r="N12" s="205">
        <f>'SER_se-appl'!N45</f>
        <v>3607.6806759752085</v>
      </c>
      <c r="O12" s="205">
        <f>'SER_se-appl'!O45</f>
        <v>3594.2329955772984</v>
      </c>
      <c r="P12" s="205">
        <f>'SER_se-appl'!P45</f>
        <v>3579.1230148131999</v>
      </c>
      <c r="Q12" s="205">
        <f>'SER_se-appl'!Q45</f>
        <v>3564.9552614522972</v>
      </c>
      <c r="R12" s="205">
        <f>'SER_se-appl'!R45</f>
        <v>3631.1031055053877</v>
      </c>
      <c r="S12" s="205">
        <f>'SER_se-appl'!S45</f>
        <v>3559.9879855449913</v>
      </c>
      <c r="T12" s="205">
        <f>'SER_se-appl'!T45</f>
        <v>3546.8195735391801</v>
      </c>
      <c r="U12" s="205">
        <f>'SER_se-appl'!U45</f>
        <v>3534.3903736839211</v>
      </c>
      <c r="V12" s="205">
        <f>'SER_se-appl'!V45</f>
        <v>3512.716657396034</v>
      </c>
      <c r="W12" s="205">
        <f>'SER_se-appl'!W45</f>
        <v>3517.2897156869385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196.54473568374263</v>
      </c>
      <c r="C14" s="59">
        <f>'SER_se-appl'!C53</f>
        <v>194.5369042976188</v>
      </c>
      <c r="D14" s="59">
        <f>'SER_se-appl'!D53</f>
        <v>191.87810280908488</v>
      </c>
      <c r="E14" s="59">
        <f>'SER_se-appl'!E53</f>
        <v>188.72730259998568</v>
      </c>
      <c r="F14" s="59">
        <f>'SER_se-appl'!F53</f>
        <v>185.12315841275938</v>
      </c>
      <c r="G14" s="59">
        <f>'SER_se-appl'!G53</f>
        <v>181.1894122479539</v>
      </c>
      <c r="H14" s="59">
        <f>'SER_se-appl'!H53</f>
        <v>176.98812500326122</v>
      </c>
      <c r="I14" s="59">
        <f>'SER_se-appl'!I53</f>
        <v>172.66832953805718</v>
      </c>
      <c r="J14" s="59">
        <f>'SER_se-appl'!J53</f>
        <v>170.09241063464805</v>
      </c>
      <c r="K14" s="59">
        <f>'SER_se-appl'!K53</f>
        <v>167.34154909616498</v>
      </c>
      <c r="L14" s="59">
        <f>'SER_se-appl'!L53</f>
        <v>164.4597101911811</v>
      </c>
      <c r="M14" s="59">
        <f>'SER_se-appl'!M53</f>
        <v>161.48321713382566</v>
      </c>
      <c r="N14" s="59">
        <f>'SER_se-appl'!N53</f>
        <v>158.21963423529573</v>
      </c>
      <c r="O14" s="59">
        <f>'SER_se-appl'!O53</f>
        <v>154.56834613407244</v>
      </c>
      <c r="P14" s="59">
        <f>'SER_se-appl'!P53</f>
        <v>150.10580700007768</v>
      </c>
      <c r="Q14" s="59">
        <f>'SER_se-appl'!Q53</f>
        <v>145.22237819640904</v>
      </c>
      <c r="R14" s="59">
        <f>'SER_se-appl'!R53</f>
        <v>139.52772910026619</v>
      </c>
      <c r="S14" s="59">
        <f>'SER_se-appl'!S53</f>
        <v>133.4257274580269</v>
      </c>
      <c r="T14" s="59">
        <f>'SER_se-appl'!T53</f>
        <v>127.11182554505145</v>
      </c>
      <c r="U14" s="59">
        <f>'SER_se-appl'!U53</f>
        <v>120.83053054487564</v>
      </c>
      <c r="V14" s="59">
        <f>'SER_se-appl'!V53</f>
        <v>114.84763588353987</v>
      </c>
      <c r="W14" s="59">
        <f>'SER_se-appl'!W53</f>
        <v>109.57966808392825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182.71034837255269</v>
      </c>
      <c r="D15" s="63">
        <f>'SER_se-appl'!D61</f>
        <v>179.34838087963377</v>
      </c>
      <c r="E15" s="63">
        <f>'SER_se-appl'!E61</f>
        <v>176.44598005547996</v>
      </c>
      <c r="F15" s="63">
        <f>'SER_se-appl'!F61</f>
        <v>172.98463487148015</v>
      </c>
      <c r="G15" s="63">
        <f>'SER_se-appl'!G61</f>
        <v>169.46113773737093</v>
      </c>
      <c r="H15" s="63">
        <f>'SER_se-appl'!H61</f>
        <v>166.55779364244799</v>
      </c>
      <c r="I15" s="63">
        <f>'SER_se-appl'!I61</f>
        <v>164.80512235330841</v>
      </c>
      <c r="J15" s="63">
        <f>'SER_se-appl'!J61</f>
        <v>162.16636975696684</v>
      </c>
      <c r="K15" s="63">
        <f>'SER_se-appl'!K61</f>
        <v>159.40498027871325</v>
      </c>
      <c r="L15" s="63">
        <f>'SER_se-appl'!L61</f>
        <v>156.64442418746953</v>
      </c>
      <c r="M15" s="63">
        <f>'SER_se-appl'!M61</f>
        <v>153.17084103752956</v>
      </c>
      <c r="N15" s="63">
        <f>'SER_se-appl'!N61</f>
        <v>147.94346388510473</v>
      </c>
      <c r="O15" s="63">
        <f>'SER_se-appl'!O61</f>
        <v>142.13321301727316</v>
      </c>
      <c r="P15" s="63">
        <f>'SER_se-appl'!P61</f>
        <v>134.99323848820484</v>
      </c>
      <c r="Q15" s="63">
        <f>'SER_se-appl'!Q61</f>
        <v>127.65541779145391</v>
      </c>
      <c r="R15" s="63">
        <f>'SER_se-appl'!R61</f>
        <v>120.42592447001395</v>
      </c>
      <c r="S15" s="63">
        <f>'SER_se-appl'!S61</f>
        <v>114.85350777520516</v>
      </c>
      <c r="T15" s="63">
        <f>'SER_se-appl'!T61</f>
        <v>109.26689092259812</v>
      </c>
      <c r="U15" s="63">
        <f>'SER_se-appl'!U61</f>
        <v>103.67046001045627</v>
      </c>
      <c r="V15" s="63">
        <f>'SER_se-appl'!V61</f>
        <v>98.078102327787263</v>
      </c>
      <c r="W15" s="63">
        <f>'SER_se-appl'!W61</f>
        <v>95.952601189631608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1383.2406086147012</v>
      </c>
      <c r="C3" s="199">
        <f>'SER_se-appl'!C6</f>
        <v>1462.5097468929459</v>
      </c>
      <c r="D3" s="199">
        <f>'SER_se-appl'!D6</f>
        <v>1514.4715292868996</v>
      </c>
      <c r="E3" s="199">
        <f>'SER_se-appl'!E6</f>
        <v>1572.2562748957073</v>
      </c>
      <c r="F3" s="199">
        <f>'SER_se-appl'!F6</f>
        <v>1630.9932747007451</v>
      </c>
      <c r="G3" s="199">
        <f>'SER_se-appl'!G6</f>
        <v>1689.8613251534139</v>
      </c>
      <c r="H3" s="199">
        <f>'SER_se-appl'!H6</f>
        <v>1748.4881056491993</v>
      </c>
      <c r="I3" s="199">
        <f>'SER_se-appl'!I6</f>
        <v>1806.878200173682</v>
      </c>
      <c r="J3" s="199">
        <f>'SER_se-appl'!J6</f>
        <v>1841.7460672206782</v>
      </c>
      <c r="K3" s="199">
        <f>'SER_se-appl'!K6</f>
        <v>1818.3418518099636</v>
      </c>
      <c r="L3" s="199">
        <f>'SER_se-appl'!L6</f>
        <v>1847.8296050539348</v>
      </c>
      <c r="M3" s="199">
        <f>'SER_se-appl'!M6</f>
        <v>1862.0307746563653</v>
      </c>
      <c r="N3" s="199">
        <f>'SER_se-appl'!N6</f>
        <v>1886.652746897696</v>
      </c>
      <c r="O3" s="199">
        <f>'SER_se-appl'!O6</f>
        <v>1874.7737439012969</v>
      </c>
      <c r="P3" s="199">
        <f>'SER_se-appl'!P6</f>
        <v>1887.9342336967318</v>
      </c>
      <c r="Q3" s="199">
        <f>'SER_se-appl'!Q6</f>
        <v>1924.718149814923</v>
      </c>
      <c r="R3" s="199">
        <f>'SER_se-appl'!R6</f>
        <v>1926.9284997878462</v>
      </c>
      <c r="S3" s="199">
        <f>'SER_se-appl'!S6</f>
        <v>1851.3960016879985</v>
      </c>
      <c r="T3" s="199">
        <f>'SER_se-appl'!T6</f>
        <v>1790.6394388504418</v>
      </c>
      <c r="U3" s="199">
        <f>'SER_se-appl'!U6</f>
        <v>1706.4802518436409</v>
      </c>
      <c r="V3" s="199">
        <f>'SER_se-appl'!V6</f>
        <v>1458.9740630626861</v>
      </c>
      <c r="W3" s="199">
        <f>'SER_se-appl'!W6</f>
        <v>1411.2607438889036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7460.0638525724289</v>
      </c>
      <c r="C5" s="59">
        <f>'SER_se-appl'!C14</f>
        <v>7811.1068242493702</v>
      </c>
      <c r="D5" s="59">
        <f>'SER_se-appl'!D14</f>
        <v>8024.0282041789887</v>
      </c>
      <c r="E5" s="59">
        <f>'SER_se-appl'!E14</f>
        <v>8267.2129732162321</v>
      </c>
      <c r="F5" s="59">
        <f>'SER_se-appl'!F14</f>
        <v>8513.6388098749885</v>
      </c>
      <c r="G5" s="59">
        <f>'SER_se-appl'!G14</f>
        <v>8754.0568429238938</v>
      </c>
      <c r="H5" s="59">
        <f>'SER_se-appl'!H14</f>
        <v>8984.4880045532936</v>
      </c>
      <c r="I5" s="59">
        <f>'SER_se-appl'!I14</f>
        <v>9212.7048856131623</v>
      </c>
      <c r="J5" s="59">
        <f>'SER_se-appl'!J14</f>
        <v>9345.9011417020956</v>
      </c>
      <c r="K5" s="59">
        <f>'SER_se-appl'!K14</f>
        <v>9209.7537006000057</v>
      </c>
      <c r="L5" s="59">
        <f>'SER_se-appl'!L14</f>
        <v>9349.5913399595502</v>
      </c>
      <c r="M5" s="59">
        <f>'SER_se-appl'!M14</f>
        <v>9396.3222641280463</v>
      </c>
      <c r="N5" s="59">
        <f>'SER_se-appl'!N14</f>
        <v>9498.8902610595887</v>
      </c>
      <c r="O5" s="59">
        <f>'SER_se-appl'!O14</f>
        <v>9421.2902018301684</v>
      </c>
      <c r="P5" s="59">
        <f>'SER_se-appl'!P14</f>
        <v>9456.7453862868097</v>
      </c>
      <c r="Q5" s="59">
        <f>'SER_se-appl'!Q14</f>
        <v>9611.2727286927038</v>
      </c>
      <c r="R5" s="59">
        <f>'SER_se-appl'!R14</f>
        <v>9404.2357774579177</v>
      </c>
      <c r="S5" s="59">
        <f>'SER_se-appl'!S14</f>
        <v>9186.8047978111608</v>
      </c>
      <c r="T5" s="59">
        <f>'SER_se-appl'!T14</f>
        <v>8861.389533791491</v>
      </c>
      <c r="U5" s="59">
        <f>'SER_se-appl'!U14</f>
        <v>8458.4126637001118</v>
      </c>
      <c r="V5" s="59">
        <f>'SER_se-appl'!V14</f>
        <v>8026.5119161423045</v>
      </c>
      <c r="W5" s="59">
        <f>'SER_se-appl'!W14</f>
        <v>7550.2781300988327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112.72958714145801</v>
      </c>
      <c r="C6" s="202">
        <f>'SER_se-appl'!C70</f>
        <v>115.56889312907455</v>
      </c>
      <c r="D6" s="202">
        <f>'SER_se-appl'!D70</f>
        <v>116.68947881795954</v>
      </c>
      <c r="E6" s="202">
        <f>'SER_se-appl'!E70</f>
        <v>117.92987789019216</v>
      </c>
      <c r="F6" s="202">
        <f>'SER_se-appl'!F70</f>
        <v>119.53277681027549</v>
      </c>
      <c r="G6" s="202">
        <f>'SER_se-appl'!G70</f>
        <v>121.19130448963206</v>
      </c>
      <c r="H6" s="202">
        <f>'SER_se-appl'!H70</f>
        <v>123.14728664344226</v>
      </c>
      <c r="I6" s="202">
        <f>'SER_se-appl'!I70</f>
        <v>125.21510558188641</v>
      </c>
      <c r="J6" s="202">
        <f>'SER_se-appl'!J70</f>
        <v>126.33513131551577</v>
      </c>
      <c r="K6" s="202">
        <f>'SER_se-appl'!K70</f>
        <v>128.02425551940397</v>
      </c>
      <c r="L6" s="202">
        <f>'SER_se-appl'!L70</f>
        <v>131.30350205872674</v>
      </c>
      <c r="M6" s="202">
        <f>'SER_se-appl'!M70</f>
        <v>135.35181697836742</v>
      </c>
      <c r="N6" s="202">
        <f>'SER_se-appl'!N70</f>
        <v>140.19233517098496</v>
      </c>
      <c r="O6" s="202">
        <f>'SER_se-appl'!O70</f>
        <v>145.24484969329558</v>
      </c>
      <c r="P6" s="202">
        <f>'SER_se-appl'!P70</f>
        <v>151.72084557365719</v>
      </c>
      <c r="Q6" s="202">
        <f>'SER_se-appl'!Q70</f>
        <v>159.94560925483805</v>
      </c>
      <c r="R6" s="202">
        <f>'SER_se-appl'!R70</f>
        <v>164.18834879296122</v>
      </c>
      <c r="S6" s="202">
        <f>'SER_se-appl'!S70</f>
        <v>168.49619855141262</v>
      </c>
      <c r="T6" s="202">
        <f>'SER_se-appl'!T70</f>
        <v>172.59006764967393</v>
      </c>
      <c r="U6" s="202">
        <f>'SER_se-appl'!U70</f>
        <v>176.29927735536532</v>
      </c>
      <c r="V6" s="202">
        <f>'SER_se-appl'!V70</f>
        <v>179.30574699845656</v>
      </c>
      <c r="W6" s="202">
        <f>'SER_se-appl'!W70</f>
        <v>181.05710848406616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196.14687767596473</v>
      </c>
      <c r="C8" s="34">
        <f>'SER_se-appl'!C22</f>
        <v>207.31507975719549</v>
      </c>
      <c r="D8" s="34">
        <f>'SER_se-appl'!D22</f>
        <v>215.64824831314777</v>
      </c>
      <c r="E8" s="34">
        <f>'SER_se-appl'!E22</f>
        <v>225.68152001490452</v>
      </c>
      <c r="F8" s="34">
        <f>'SER_se-appl'!F22</f>
        <v>236.68198840313977</v>
      </c>
      <c r="G8" s="34">
        <f>'SER_se-appl'!G22</f>
        <v>248.51707838746634</v>
      </c>
      <c r="H8" s="34">
        <f>'SER_se-appl'!H22</f>
        <v>261.62051033995346</v>
      </c>
      <c r="I8" s="34">
        <f>'SER_se-appl'!I22</f>
        <v>274.85076560081188</v>
      </c>
      <c r="J8" s="34">
        <f>'SER_se-appl'!J22</f>
        <v>284.80152507221567</v>
      </c>
      <c r="K8" s="34">
        <f>'SER_se-appl'!K22</f>
        <v>286.98510548586955</v>
      </c>
      <c r="L8" s="34">
        <f>'SER_se-appl'!L22</f>
        <v>298.91184591392079</v>
      </c>
      <c r="M8" s="34">
        <f>'SER_se-appl'!M22</f>
        <v>309.25302400223069</v>
      </c>
      <c r="N8" s="34">
        <f>'SER_se-appl'!N22</f>
        <v>323.51563969993572</v>
      </c>
      <c r="O8" s="34">
        <f>'SER_se-appl'!O22</f>
        <v>334.70815591593191</v>
      </c>
      <c r="P8" s="34">
        <f>'SER_se-appl'!P22</f>
        <v>351.61493479592241</v>
      </c>
      <c r="Q8" s="34">
        <f>'SER_se-appl'!Q22</f>
        <v>374.43802697535034</v>
      </c>
      <c r="R8" s="34">
        <f>'SER_se-appl'!R22</f>
        <v>388.57036755213244</v>
      </c>
      <c r="S8" s="34">
        <f>'SER_se-appl'!S22</f>
        <v>402.97753446078394</v>
      </c>
      <c r="T8" s="34">
        <f>'SER_se-appl'!T22</f>
        <v>417.10762107670286</v>
      </c>
      <c r="U8" s="34">
        <f>'SER_se-appl'!U22</f>
        <v>430.01357606434897</v>
      </c>
      <c r="V8" s="34">
        <f>'SER_se-appl'!V22</f>
        <v>440.97333600355739</v>
      </c>
      <c r="W8" s="34">
        <f>'SER_se-appl'!W22</f>
        <v>448.77961762462149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41.799694453909638</v>
      </c>
      <c r="D9" s="36">
        <f>'SER_se-appl'!D30</f>
        <v>39.760416622382309</v>
      </c>
      <c r="E9" s="36">
        <f>'SER_se-appl'!E30</f>
        <v>42.276947883523974</v>
      </c>
      <c r="F9" s="36">
        <f>'SER_se-appl'!F30</f>
        <v>44.081782142372134</v>
      </c>
      <c r="G9" s="36">
        <f>'SER_se-appl'!G30</f>
        <v>45.775801754607869</v>
      </c>
      <c r="H9" s="36">
        <f>'SER_se-appl'!H30</f>
        <v>47.925867483157532</v>
      </c>
      <c r="I9" s="36">
        <f>'SER_se-appl'!I30</f>
        <v>55.029949714768065</v>
      </c>
      <c r="J9" s="36">
        <f>'SER_se-appl'!J30</f>
        <v>49.711176093786094</v>
      </c>
      <c r="K9" s="36">
        <f>'SER_se-appl'!K30</f>
        <v>44.460528297177859</v>
      </c>
      <c r="L9" s="36">
        <f>'SER_se-appl'!L30</f>
        <v>56.008522570423366</v>
      </c>
      <c r="M9" s="36">
        <f>'SER_se-appl'!M30</f>
        <v>56.116979842917772</v>
      </c>
      <c r="N9" s="36">
        <f>'SER_se-appl'!N30</f>
        <v>62.18848318086259</v>
      </c>
      <c r="O9" s="36">
        <f>'SER_se-appl'!O30</f>
        <v>66.222465930764258</v>
      </c>
      <c r="P9" s="36">
        <f>'SER_se-appl'!P30</f>
        <v>66.617954973776591</v>
      </c>
      <c r="Q9" s="36">
        <f>'SER_se-appl'!Q30</f>
        <v>67.28362047660579</v>
      </c>
      <c r="R9" s="36">
        <f>'SER_se-appl'!R30</f>
        <v>70.140863147205437</v>
      </c>
      <c r="S9" s="36">
        <f>'SER_se-appl'!S30</f>
        <v>70.524146751569276</v>
      </c>
      <c r="T9" s="36">
        <f>'SER_se-appl'!T30</f>
        <v>76.318569796781503</v>
      </c>
      <c r="U9" s="36">
        <f>'SER_se-appl'!U30</f>
        <v>79.12842091841037</v>
      </c>
      <c r="V9" s="36">
        <f>'SER_se-appl'!V30</f>
        <v>77.577714912985016</v>
      </c>
      <c r="W9" s="36">
        <f>'SER_se-appl'!W30</f>
        <v>75.089902097669892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30.631492372678878</v>
      </c>
      <c r="D10" s="38">
        <f>'SER_se-appl'!D38</f>
        <v>31.427248066430025</v>
      </c>
      <c r="E10" s="38">
        <f>'SER_se-appl'!E38</f>
        <v>32.243676181767256</v>
      </c>
      <c r="F10" s="38">
        <f>'SER_se-appl'!F38</f>
        <v>33.081313754136886</v>
      </c>
      <c r="G10" s="38">
        <f>'SER_se-appl'!G38</f>
        <v>33.940711770281297</v>
      </c>
      <c r="H10" s="38">
        <f>'SER_se-appl'!H38</f>
        <v>34.822435530670418</v>
      </c>
      <c r="I10" s="38">
        <f>'SER_se-appl'!I38</f>
        <v>41.799694453909638</v>
      </c>
      <c r="J10" s="38">
        <f>'SER_se-appl'!J38</f>
        <v>39.760416622382309</v>
      </c>
      <c r="K10" s="38">
        <f>'SER_se-appl'!K38</f>
        <v>42.276947883523974</v>
      </c>
      <c r="L10" s="38">
        <f>'SER_se-appl'!L38</f>
        <v>44.081782142372106</v>
      </c>
      <c r="M10" s="38">
        <f>'SER_se-appl'!M38</f>
        <v>45.775801754607869</v>
      </c>
      <c r="N10" s="38">
        <f>'SER_se-appl'!N38</f>
        <v>47.92586748315756</v>
      </c>
      <c r="O10" s="38">
        <f>'SER_se-appl'!O38</f>
        <v>55.029949714768065</v>
      </c>
      <c r="P10" s="38">
        <f>'SER_se-appl'!P38</f>
        <v>49.711176093786094</v>
      </c>
      <c r="Q10" s="38">
        <f>'SER_se-appl'!Q38</f>
        <v>44.460528297177859</v>
      </c>
      <c r="R10" s="38">
        <f>'SER_se-appl'!R38</f>
        <v>56.008522570423338</v>
      </c>
      <c r="S10" s="38">
        <f>'SER_se-appl'!S38</f>
        <v>56.116979842917772</v>
      </c>
      <c r="T10" s="38">
        <f>'SER_se-appl'!T38</f>
        <v>62.18848318086259</v>
      </c>
      <c r="U10" s="38">
        <f>'SER_se-appl'!U38</f>
        <v>66.222465930764258</v>
      </c>
      <c r="V10" s="38">
        <f>'SER_se-appl'!V38</f>
        <v>66.617954973776591</v>
      </c>
      <c r="W10" s="38">
        <f>'SER_se-appl'!W38</f>
        <v>67.28362047660579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2156.4276923235338</v>
      </c>
      <c r="C12" s="205">
        <f>'SER_se-appl'!C46</f>
        <v>2177.5388224830081</v>
      </c>
      <c r="D12" s="205">
        <f>'SER_se-appl'!D46</f>
        <v>2195.0700368218386</v>
      </c>
      <c r="E12" s="205">
        <f>'SER_se-appl'!E46</f>
        <v>2211.7901808356878</v>
      </c>
      <c r="F12" s="205">
        <f>'SER_se-appl'!F46</f>
        <v>2228.0075780015609</v>
      </c>
      <c r="G12" s="205">
        <f>'SER_se-appl'!G46</f>
        <v>2245.0262277449392</v>
      </c>
      <c r="H12" s="205">
        <f>'SER_se-appl'!H46</f>
        <v>2263.3361698957751</v>
      </c>
      <c r="I12" s="205">
        <f>'SER_se-appl'!I46</f>
        <v>2280.9797696696014</v>
      </c>
      <c r="J12" s="205">
        <f>'SER_se-appl'!J46</f>
        <v>2291.8610455016565</v>
      </c>
      <c r="K12" s="205">
        <f>'SER_se-appl'!K46</f>
        <v>2296.1868931600366</v>
      </c>
      <c r="L12" s="205">
        <f>'SER_se-appl'!L46</f>
        <v>2298.5238097978981</v>
      </c>
      <c r="M12" s="205">
        <f>'SER_se-appl'!M46</f>
        <v>2304.6695611884802</v>
      </c>
      <c r="N12" s="205">
        <f>'SER_se-appl'!N46</f>
        <v>2309.9299858605409</v>
      </c>
      <c r="O12" s="205">
        <f>'SER_se-appl'!O46</f>
        <v>2314.292222665696</v>
      </c>
      <c r="P12" s="205">
        <f>'SER_se-appl'!P46</f>
        <v>2321.8003912564127</v>
      </c>
      <c r="Q12" s="205">
        <f>'SER_se-appl'!Q46</f>
        <v>2328.9810532087795</v>
      </c>
      <c r="R12" s="205">
        <f>'SER_se-appl'!R46</f>
        <v>2382.9877283861979</v>
      </c>
      <c r="S12" s="205">
        <f>'SER_se-appl'!S46</f>
        <v>2343.7676072927502</v>
      </c>
      <c r="T12" s="205">
        <f>'SER_se-appl'!T46</f>
        <v>2350.0983219863333</v>
      </c>
      <c r="U12" s="205">
        <f>'SER_se-appl'!U46</f>
        <v>2346.34630846443</v>
      </c>
      <c r="V12" s="205">
        <f>'SER_se-appl'!V46</f>
        <v>2113.9778437623154</v>
      </c>
      <c r="W12" s="205">
        <f>'SER_se-appl'!W46</f>
        <v>2173.822231263036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38.033049217823788</v>
      </c>
      <c r="C14" s="59">
        <f>'SER_se-appl'!C54</f>
        <v>37.677465784918439</v>
      </c>
      <c r="D14" s="59">
        <f>'SER_se-appl'!D54</f>
        <v>37.208872629130347</v>
      </c>
      <c r="E14" s="59">
        <f>'SER_se-appl'!E54</f>
        <v>36.632210615518041</v>
      </c>
      <c r="F14" s="59">
        <f>'SER_se-appl'!F54</f>
        <v>35.970792992383231</v>
      </c>
      <c r="G14" s="59">
        <f>'SER_se-appl'!G54</f>
        <v>35.225172047432991</v>
      </c>
      <c r="H14" s="59">
        <f>'SER_se-appl'!H54</f>
        <v>34.34168060018964</v>
      </c>
      <c r="I14" s="59">
        <f>'SER_se-appl'!I54</f>
        <v>33.518934777112911</v>
      </c>
      <c r="J14" s="59">
        <f>'SER_se-appl'!J54</f>
        <v>32.815488397866915</v>
      </c>
      <c r="K14" s="59">
        <f>'SER_se-appl'!K54</f>
        <v>32.091399604198173</v>
      </c>
      <c r="L14" s="59">
        <f>'SER_se-appl'!L54</f>
        <v>31.278758161535027</v>
      </c>
      <c r="M14" s="59">
        <f>'SER_se-appl'!M54</f>
        <v>30.38393009880566</v>
      </c>
      <c r="N14" s="59">
        <f>'SER_se-appl'!N54</f>
        <v>29.361456125799396</v>
      </c>
      <c r="O14" s="59">
        <f>'SER_se-appl'!O54</f>
        <v>28.147776011160296</v>
      </c>
      <c r="P14" s="59">
        <f>'SER_se-appl'!P54</f>
        <v>26.895175518569804</v>
      </c>
      <c r="Q14" s="59">
        <f>'SER_se-appl'!Q54</f>
        <v>25.66852732969193</v>
      </c>
      <c r="R14" s="59">
        <f>'SER_se-appl'!R54</f>
        <v>24.20214345396835</v>
      </c>
      <c r="S14" s="59">
        <f>'SER_se-appl'!S54</f>
        <v>22.797312535310034</v>
      </c>
      <c r="T14" s="59">
        <f>'SER_se-appl'!T54</f>
        <v>21.244851654633159</v>
      </c>
      <c r="U14" s="59">
        <f>'SER_se-appl'!U54</f>
        <v>19.67010609552095</v>
      </c>
      <c r="V14" s="59">
        <f>'SER_se-appl'!V54</f>
        <v>18.201807821046017</v>
      </c>
      <c r="W14" s="59">
        <f>'SER_se-appl'!W54</f>
        <v>16.824021933220259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36.269452408895063</v>
      </c>
      <c r="D15" s="63">
        <f>'SER_se-appl'!D62</f>
        <v>35.417019539684496</v>
      </c>
      <c r="E15" s="63">
        <f>'SER_se-appl'!E62</f>
        <v>34.75913389657584</v>
      </c>
      <c r="F15" s="63">
        <f>'SER_se-appl'!F62</f>
        <v>34.132219654836994</v>
      </c>
      <c r="G15" s="63">
        <f>'SER_se-appl'!G62</f>
        <v>33.451883650335844</v>
      </c>
      <c r="H15" s="63">
        <f>'SER_se-appl'!H62</f>
        <v>32.442491867221726</v>
      </c>
      <c r="I15" s="63">
        <f>'SER_se-appl'!I62</f>
        <v>31.696720037056512</v>
      </c>
      <c r="J15" s="63">
        <f>'SER_se-appl'!J62</f>
        <v>31.006945110327383</v>
      </c>
      <c r="K15" s="63">
        <f>'SER_se-appl'!K62</f>
        <v>29.989806738407829</v>
      </c>
      <c r="L15" s="63">
        <f>'SER_se-appl'!L62</f>
        <v>29.360651464283606</v>
      </c>
      <c r="M15" s="63">
        <f>'SER_se-appl'!M62</f>
        <v>28.120146930245571</v>
      </c>
      <c r="N15" s="63">
        <f>'SER_se-appl'!N62</f>
        <v>26.651278150058872</v>
      </c>
      <c r="O15" s="63">
        <f>'SER_se-appl'!O62</f>
        <v>25.167725591423721</v>
      </c>
      <c r="P15" s="63">
        <f>'SER_se-appl'!P62</f>
        <v>23.669998479947239</v>
      </c>
      <c r="Q15" s="63">
        <f>'SER_se-appl'!Q62</f>
        <v>22.113702904009227</v>
      </c>
      <c r="R15" s="63">
        <f>'SER_se-appl'!R62</f>
        <v>20.493186061428506</v>
      </c>
      <c r="S15" s="63">
        <f>'SER_se-appl'!S62</f>
        <v>19.292494861519824</v>
      </c>
      <c r="T15" s="63">
        <f>'SER_se-appl'!T62</f>
        <v>17.452990831858216</v>
      </c>
      <c r="U15" s="63">
        <f>'SER_se-appl'!U62</f>
        <v>15.970140257752629</v>
      </c>
      <c r="V15" s="63">
        <f>'SER_se-appl'!V62</f>
        <v>14.758699024493106</v>
      </c>
      <c r="W15" s="63">
        <f>'SER_se-appl'!W62</f>
        <v>13.472599899869815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312.85588680738954</v>
      </c>
      <c r="C3" s="199">
        <f>'SER_se-appl'!C7</f>
        <v>334.3643316077551</v>
      </c>
      <c r="D3" s="199">
        <f>'SER_se-appl'!D7</f>
        <v>355.60739218908873</v>
      </c>
      <c r="E3" s="199">
        <f>'SER_se-appl'!E7</f>
        <v>388.61844309072279</v>
      </c>
      <c r="F3" s="199">
        <f>'SER_se-appl'!F7</f>
        <v>421.25517871002415</v>
      </c>
      <c r="G3" s="199">
        <f>'SER_se-appl'!G7</f>
        <v>448.81076536957818</v>
      </c>
      <c r="H3" s="199">
        <f>'SER_se-appl'!H7</f>
        <v>474.57166488206485</v>
      </c>
      <c r="I3" s="199">
        <f>'SER_se-appl'!I7</f>
        <v>492.26116271106349</v>
      </c>
      <c r="J3" s="199">
        <f>'SER_se-appl'!J7</f>
        <v>505.71628995408679</v>
      </c>
      <c r="K3" s="199">
        <f>'SER_se-appl'!K7</f>
        <v>514.22483995641994</v>
      </c>
      <c r="L3" s="199">
        <f>'SER_se-appl'!L7</f>
        <v>518.02985651608481</v>
      </c>
      <c r="M3" s="199">
        <f>'SER_se-appl'!M7</f>
        <v>518.95851432234565</v>
      </c>
      <c r="N3" s="199">
        <f>'SER_se-appl'!N7</f>
        <v>520.9788117915873</v>
      </c>
      <c r="O3" s="199">
        <f>'SER_se-appl'!O7</f>
        <v>522.12804699551396</v>
      </c>
      <c r="P3" s="199">
        <f>'SER_se-appl'!P7</f>
        <v>523.44555247640938</v>
      </c>
      <c r="Q3" s="199">
        <f>'SER_se-appl'!Q7</f>
        <v>529.30420619576557</v>
      </c>
      <c r="R3" s="199">
        <f>'SER_se-appl'!R7</f>
        <v>529.53500658583584</v>
      </c>
      <c r="S3" s="199">
        <f>'SER_se-appl'!S7</f>
        <v>530.94028551313818</v>
      </c>
      <c r="T3" s="199">
        <f>'SER_se-appl'!T7</f>
        <v>532.75122015810064</v>
      </c>
      <c r="U3" s="199">
        <f>'SER_se-appl'!U7</f>
        <v>534.45462912240816</v>
      </c>
      <c r="V3" s="199">
        <f>'SER_se-appl'!V7</f>
        <v>535.61891267137776</v>
      </c>
      <c r="W3" s="199">
        <f>'SER_se-appl'!W7</f>
        <v>533.03103321814444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415.35547529337219</v>
      </c>
      <c r="C5" s="59">
        <f>'SER_se-appl'!C15</f>
        <v>443.91063659796714</v>
      </c>
      <c r="D5" s="59">
        <f>'SER_se-appl'!D15</f>
        <v>472.11346702729475</v>
      </c>
      <c r="E5" s="59">
        <f>'SER_se-appl'!E15</f>
        <v>515.93978232250061</v>
      </c>
      <c r="F5" s="59">
        <f>'SER_se-appl'!F15</f>
        <v>559.26914707734954</v>
      </c>
      <c r="G5" s="59">
        <f>'SER_se-appl'!G15</f>
        <v>595.85264854431443</v>
      </c>
      <c r="H5" s="59">
        <f>'SER_se-appl'!H15</f>
        <v>630.05347746328937</v>
      </c>
      <c r="I5" s="59">
        <f>'SER_se-appl'!I15</f>
        <v>653.53850711525922</v>
      </c>
      <c r="J5" s="59">
        <f>'SER_se-appl'!J15</f>
        <v>671.40187810114458</v>
      </c>
      <c r="K5" s="59">
        <f>'SER_se-appl'!K15</f>
        <v>682.69804665447066</v>
      </c>
      <c r="L5" s="59">
        <f>'SER_se-appl'!L15</f>
        <v>687.749683936309</v>
      </c>
      <c r="M5" s="59">
        <f>'SER_se-appl'!M15</f>
        <v>688.98259378640205</v>
      </c>
      <c r="N5" s="59">
        <f>'SER_se-appl'!N15</f>
        <v>691.66479236714144</v>
      </c>
      <c r="O5" s="59">
        <f>'SER_se-appl'!O15</f>
        <v>693.19054641071079</v>
      </c>
      <c r="P5" s="59">
        <f>'SER_se-appl'!P15</f>
        <v>694.93970037678537</v>
      </c>
      <c r="Q5" s="59">
        <f>'SER_se-appl'!Q15</f>
        <v>702.71779886492629</v>
      </c>
      <c r="R5" s="59">
        <f>'SER_se-appl'!R15</f>
        <v>703.02421536452891</v>
      </c>
      <c r="S5" s="59">
        <f>'SER_se-appl'!S15</f>
        <v>704.88989960248841</v>
      </c>
      <c r="T5" s="59">
        <f>'SER_se-appl'!T15</f>
        <v>707.29414274414512</v>
      </c>
      <c r="U5" s="59">
        <f>'SER_se-appl'!U15</f>
        <v>709.55563204264934</v>
      </c>
      <c r="V5" s="59">
        <f>'SER_se-appl'!V15</f>
        <v>711.10136465389553</v>
      </c>
      <c r="W5" s="59">
        <f>'SER_se-appl'!W15</f>
        <v>707.66562971769633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1.5726486241884781E-2</v>
      </c>
      <c r="C6" s="202">
        <f>'SER_se-appl'!C71</f>
        <v>1.6991648584494357E-2</v>
      </c>
      <c r="D6" s="202">
        <f>'SER_se-appl'!D71</f>
        <v>1.8244546914967602E-2</v>
      </c>
      <c r="E6" s="202">
        <f>'SER_se-appl'!E71</f>
        <v>1.9994998297839107E-2</v>
      </c>
      <c r="F6" s="202">
        <f>'SER_se-appl'!F71</f>
        <v>2.1759618989254985E-2</v>
      </c>
      <c r="G6" s="202">
        <f>'SER_se-appl'!G71</f>
        <v>2.322348757830035E-2</v>
      </c>
      <c r="H6" s="202">
        <f>'SER_se-appl'!H71</f>
        <v>2.4620485793971258E-2</v>
      </c>
      <c r="I6" s="202">
        <f>'SER_se-appl'!I71</f>
        <v>2.553705937121932E-2</v>
      </c>
      <c r="J6" s="202">
        <f>'SER_se-appl'!J71</f>
        <v>2.6176930791937975E-2</v>
      </c>
      <c r="K6" s="202">
        <f>'SER_se-appl'!K71</f>
        <v>2.6746092502299732E-2</v>
      </c>
      <c r="L6" s="202">
        <f>'SER_se-appl'!L71</f>
        <v>2.72723245501117E-2</v>
      </c>
      <c r="M6" s="202">
        <f>'SER_se-appl'!M71</f>
        <v>2.7727991097953951E-2</v>
      </c>
      <c r="N6" s="202">
        <f>'SER_se-appl'!N71</f>
        <v>2.8220292047921758E-2</v>
      </c>
      <c r="O6" s="202">
        <f>'SER_se-appl'!O71</f>
        <v>2.8958180131600838E-2</v>
      </c>
      <c r="P6" s="202">
        <f>'SER_se-appl'!P71</f>
        <v>2.9870807163461893E-2</v>
      </c>
      <c r="Q6" s="202">
        <f>'SER_se-appl'!Q71</f>
        <v>3.0944893720550967E-2</v>
      </c>
      <c r="R6" s="202">
        <f>'SER_se-appl'!R71</f>
        <v>3.1615082134916782E-2</v>
      </c>
      <c r="S6" s="202">
        <f>'SER_se-appl'!S71</f>
        <v>3.2234682219433292E-2</v>
      </c>
      <c r="T6" s="202">
        <f>'SER_se-appl'!T71</f>
        <v>3.2823115839257976E-2</v>
      </c>
      <c r="U6" s="202">
        <f>'SER_se-appl'!U71</f>
        <v>3.3260308353038046E-2</v>
      </c>
      <c r="V6" s="202">
        <f>'SER_se-appl'!V71</f>
        <v>3.3536933314462121E-2</v>
      </c>
      <c r="W6" s="202">
        <f>'SER_se-appl'!W71</f>
        <v>3.3942163711433229E-2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636.45376042957309</v>
      </c>
      <c r="C8" s="34">
        <f>'SER_se-appl'!C23</f>
        <v>690.97465013694159</v>
      </c>
      <c r="D8" s="34">
        <f>'SER_se-appl'!D23</f>
        <v>748.67005463973794</v>
      </c>
      <c r="E8" s="34">
        <f>'SER_se-appl'!E23</f>
        <v>836.34754961228998</v>
      </c>
      <c r="F8" s="34">
        <f>'SER_se-appl'!F23</f>
        <v>925.816322723996</v>
      </c>
      <c r="G8" s="34">
        <f>'SER_se-appl'!G23</f>
        <v>1005.4919677288934</v>
      </c>
      <c r="H8" s="34">
        <f>'SER_se-appl'!H23</f>
        <v>1083.5468657985871</v>
      </c>
      <c r="I8" s="34">
        <f>'SER_se-appl'!I23</f>
        <v>1143.6686745622271</v>
      </c>
      <c r="J8" s="34">
        <f>'SER_se-appl'!J23</f>
        <v>1195.4726555442369</v>
      </c>
      <c r="K8" s="34">
        <f>'SER_se-appl'!K23</f>
        <v>1236.7198728970905</v>
      </c>
      <c r="L8" s="34">
        <f>'SER_se-appl'!L23</f>
        <v>1267.7981606053888</v>
      </c>
      <c r="M8" s="34">
        <f>'SER_se-appl'!M23</f>
        <v>1293.986985238668</v>
      </c>
      <c r="N8" s="34">
        <f>'SER_se-appl'!N23</f>
        <v>1321.2238133435594</v>
      </c>
      <c r="O8" s="34">
        <f>'SER_se-appl'!O23</f>
        <v>1353.1546557896295</v>
      </c>
      <c r="P8" s="34">
        <f>'SER_se-appl'!P23</f>
        <v>1389.3569270775652</v>
      </c>
      <c r="Q8" s="34">
        <f>'SER_se-appl'!Q23</f>
        <v>1437.376852290824</v>
      </c>
      <c r="R8" s="34">
        <f>'SER_se-appl'!R23</f>
        <v>1468.2075442386667</v>
      </c>
      <c r="S8" s="34">
        <f>'SER_se-appl'!S23</f>
        <v>1499.8160679381656</v>
      </c>
      <c r="T8" s="34">
        <f>'SER_se-appl'!T23</f>
        <v>1531.4756107608787</v>
      </c>
      <c r="U8" s="34">
        <f>'SER_se-appl'!U23</f>
        <v>1561.1410887850479</v>
      </c>
      <c r="V8" s="34">
        <f>'SER_se-appl'!V23</f>
        <v>1587.390719317176</v>
      </c>
      <c r="W8" s="34">
        <f>'SER_se-appl'!W23</f>
        <v>1608.8142653982916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112.36378197710121</v>
      </c>
      <c r="D9" s="36">
        <f>'SER_se-appl'!D31</f>
        <v>116.75671016744081</v>
      </c>
      <c r="E9" s="36">
        <f>'SER_se-appl'!E31</f>
        <v>147.98287891750113</v>
      </c>
      <c r="F9" s="36">
        <f>'SER_se-appl'!F31</f>
        <v>151.04444083225167</v>
      </c>
      <c r="G9" s="36">
        <f>'SER_se-appl'!G31</f>
        <v>142.54835399373735</v>
      </c>
      <c r="H9" s="36">
        <f>'SER_se-appl'!H31</f>
        <v>142.25196944430718</v>
      </c>
      <c r="I9" s="36">
        <f>'SER_se-appl'!I31</f>
        <v>125.67113913858464</v>
      </c>
      <c r="J9" s="36">
        <f>'SER_se-appl'!J31</f>
        <v>118.73405459129845</v>
      </c>
      <c r="K9" s="36">
        <f>'SER_se-appl'!K31</f>
        <v>109.58711842767957</v>
      </c>
      <c r="L9" s="36">
        <f>'SER_se-appl'!L31</f>
        <v>100.85771311548683</v>
      </c>
      <c r="M9" s="36">
        <f>'SER_se-appl'!M31</f>
        <v>138.55260661038051</v>
      </c>
      <c r="N9" s="36">
        <f>'SER_se-appl'!N31</f>
        <v>143.99353827233222</v>
      </c>
      <c r="O9" s="36">
        <f>'SER_se-appl'!O31</f>
        <v>179.91372136357131</v>
      </c>
      <c r="P9" s="36">
        <f>'SER_se-appl'!P31</f>
        <v>187.24671212018734</v>
      </c>
      <c r="Q9" s="36">
        <f>'SER_se-appl'!Q31</f>
        <v>190.56827920699607</v>
      </c>
      <c r="R9" s="36">
        <f>'SER_se-appl'!R31</f>
        <v>173.08266139214993</v>
      </c>
      <c r="S9" s="36">
        <f>'SER_se-appl'!S31</f>
        <v>157.2796628380836</v>
      </c>
      <c r="T9" s="36">
        <f>'SER_se-appl'!T31</f>
        <v>150.39359741401154</v>
      </c>
      <c r="U9" s="36">
        <f>'SER_se-appl'!U31</f>
        <v>139.25259645184883</v>
      </c>
      <c r="V9" s="36">
        <f>'SER_se-appl'!V31</f>
        <v>127.10734364761493</v>
      </c>
      <c r="W9" s="36">
        <f>'SER_se-appl'!W31</f>
        <v>159.97615269149605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57.842892269732715</v>
      </c>
      <c r="D10" s="38">
        <f>'SER_se-appl'!D39</f>
        <v>59.061305664644465</v>
      </c>
      <c r="E10" s="38">
        <f>'SER_se-appl'!E39</f>
        <v>60.305383944949085</v>
      </c>
      <c r="F10" s="38">
        <f>'SER_se-appl'!F39</f>
        <v>61.575667720545653</v>
      </c>
      <c r="G10" s="38">
        <f>'SER_se-appl'!G39</f>
        <v>62.872708988839918</v>
      </c>
      <c r="H10" s="38">
        <f>'SER_se-appl'!H39</f>
        <v>64.197071374613643</v>
      </c>
      <c r="I10" s="38">
        <f>'SER_se-appl'!I39</f>
        <v>65.549330374944702</v>
      </c>
      <c r="J10" s="38">
        <f>'SER_se-appl'!J39</f>
        <v>66.930073609288684</v>
      </c>
      <c r="K10" s="38">
        <f>'SER_se-appl'!K39</f>
        <v>68.339901074826003</v>
      </c>
      <c r="L10" s="38">
        <f>'SER_se-appl'!L39</f>
        <v>69.779425407188455</v>
      </c>
      <c r="M10" s="38">
        <f>'SER_se-appl'!M39</f>
        <v>112.36378197710133</v>
      </c>
      <c r="N10" s="38">
        <f>'SER_se-appl'!N39</f>
        <v>116.75671016744081</v>
      </c>
      <c r="O10" s="38">
        <f>'SER_se-appl'!O39</f>
        <v>147.98287891750124</v>
      </c>
      <c r="P10" s="38">
        <f>'SER_se-appl'!P39</f>
        <v>151.04444083225167</v>
      </c>
      <c r="Q10" s="38">
        <f>'SER_se-appl'!Q39</f>
        <v>142.54835399373724</v>
      </c>
      <c r="R10" s="38">
        <f>'SER_se-appl'!R39</f>
        <v>142.25196944430718</v>
      </c>
      <c r="S10" s="38">
        <f>'SER_se-appl'!S39</f>
        <v>125.67113913858475</v>
      </c>
      <c r="T10" s="38">
        <f>'SER_se-appl'!T39</f>
        <v>118.73405459129845</v>
      </c>
      <c r="U10" s="38">
        <f>'SER_se-appl'!U39</f>
        <v>109.58711842767957</v>
      </c>
      <c r="V10" s="38">
        <f>'SER_se-appl'!V39</f>
        <v>100.85771311548683</v>
      </c>
      <c r="W10" s="38">
        <f>'SER_se-appl'!W39</f>
        <v>138.55260661038051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8760</v>
      </c>
      <c r="E12" s="205">
        <f>'SER_se-appl'!E47</f>
        <v>8760.0000000000018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8759.9999999999982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652.60903637843057</v>
      </c>
      <c r="C14" s="59">
        <f>'SER_se-appl'!C55</f>
        <v>642.44127698460454</v>
      </c>
      <c r="D14" s="59">
        <f>'SER_se-appl'!D55</f>
        <v>630.6028458083274</v>
      </c>
      <c r="E14" s="59">
        <f>'SER_se-appl'!E55</f>
        <v>616.89638782546501</v>
      </c>
      <c r="F14" s="59">
        <f>'SER_se-appl'!F55</f>
        <v>604.08218493257084</v>
      </c>
      <c r="G14" s="59">
        <f>'SER_se-appl'!G55</f>
        <v>592.59811879966378</v>
      </c>
      <c r="H14" s="59">
        <f>'SER_se-appl'!H55</f>
        <v>581.47321297351766</v>
      </c>
      <c r="I14" s="59">
        <f>'SER_se-appl'!I55</f>
        <v>571.44041946013806</v>
      </c>
      <c r="J14" s="59">
        <f>'SER_se-appl'!J55</f>
        <v>561.62043940309957</v>
      </c>
      <c r="K14" s="59">
        <f>'SER_se-appl'!K55</f>
        <v>552.0231878017853</v>
      </c>
      <c r="L14" s="59">
        <f>'SER_se-appl'!L55</f>
        <v>542.47569156268548</v>
      </c>
      <c r="M14" s="59">
        <f>'SER_se-appl'!M55</f>
        <v>532.44939991365015</v>
      </c>
      <c r="N14" s="59">
        <f>'SER_se-appl'!N55</f>
        <v>523.50312292417561</v>
      </c>
      <c r="O14" s="59">
        <f>'SER_se-appl'!O55</f>
        <v>512.27739818565044</v>
      </c>
      <c r="P14" s="59">
        <f>'SER_se-appl'!P55</f>
        <v>500.18802716056001</v>
      </c>
      <c r="Q14" s="59">
        <f>'SER_se-appl'!Q55</f>
        <v>488.88904656073146</v>
      </c>
      <c r="R14" s="59">
        <f>'SER_se-appl'!R55</f>
        <v>478.83163257349923</v>
      </c>
      <c r="S14" s="59">
        <f>'SER_se-appl'!S55</f>
        <v>469.98422984727591</v>
      </c>
      <c r="T14" s="59">
        <f>'SER_se-appl'!T55</f>
        <v>461.83833276505277</v>
      </c>
      <c r="U14" s="59">
        <f>'SER_se-appl'!U55</f>
        <v>454.51089407611346</v>
      </c>
      <c r="V14" s="59">
        <f>'SER_se-appl'!V55</f>
        <v>447.96870486919516</v>
      </c>
      <c r="W14" s="59">
        <f>'SER_se-appl'!W55</f>
        <v>439.86782373694371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590.0829815749604</v>
      </c>
      <c r="D15" s="63">
        <f>'SER_se-appl'!D63</f>
        <v>571.67397154871514</v>
      </c>
      <c r="E15" s="63">
        <f>'SER_se-appl'!E63</f>
        <v>562.10660590218379</v>
      </c>
      <c r="F15" s="63">
        <f>'SER_se-appl'!F63</f>
        <v>552.9114575164183</v>
      </c>
      <c r="G15" s="63">
        <f>'SER_se-appl'!G63</f>
        <v>544.4805030725438</v>
      </c>
      <c r="H15" s="63">
        <f>'SER_se-appl'!H63</f>
        <v>534.94104935307325</v>
      </c>
      <c r="I15" s="63">
        <f>'SER_se-appl'!I63</f>
        <v>527.27392651499429</v>
      </c>
      <c r="J15" s="63">
        <f>'SER_se-appl'!J63</f>
        <v>518.32258268800786</v>
      </c>
      <c r="K15" s="63">
        <f>'SER_se-appl'!K63</f>
        <v>510.05452412595918</v>
      </c>
      <c r="L15" s="63">
        <f>'SER_se-appl'!L63</f>
        <v>501.60091175115195</v>
      </c>
      <c r="M15" s="63">
        <f>'SER_se-appl'!M63</f>
        <v>487.44564965203449</v>
      </c>
      <c r="N15" s="63">
        <f>'SER_se-appl'!N63</f>
        <v>482.16726681035357</v>
      </c>
      <c r="O15" s="63">
        <f>'SER_se-appl'!O63</f>
        <v>470.82516664941431</v>
      </c>
      <c r="P15" s="63">
        <f>'SER_se-appl'!P63</f>
        <v>455.35302025308494</v>
      </c>
      <c r="Q15" s="63">
        <f>'SER_se-appl'!Q63</f>
        <v>448.09607526581021</v>
      </c>
      <c r="R15" s="63">
        <f>'SER_se-appl'!R63</f>
        <v>441.4239629328157</v>
      </c>
      <c r="S15" s="63">
        <f>'SER_se-appl'!S63</f>
        <v>433.16979444005068</v>
      </c>
      <c r="T15" s="63">
        <f>'SER_se-appl'!T63</f>
        <v>425.19619232460656</v>
      </c>
      <c r="U15" s="63">
        <f>'SER_se-appl'!U63</f>
        <v>417.63598180791689</v>
      </c>
      <c r="V15" s="63">
        <f>'SER_se-appl'!V63</f>
        <v>410.17341697934779</v>
      </c>
      <c r="W15" s="63">
        <f>'SER_se-appl'!W63</f>
        <v>400.69178640391186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270.59336688532233</v>
      </c>
      <c r="C3" s="199">
        <f>'SER_se-appl'!C8</f>
        <v>301.56321325145626</v>
      </c>
      <c r="D3" s="199">
        <f>'SER_se-appl'!D8</f>
        <v>332.06016080334803</v>
      </c>
      <c r="E3" s="199">
        <f>'SER_se-appl'!E8</f>
        <v>366.37826400016741</v>
      </c>
      <c r="F3" s="199">
        <f>'SER_se-appl'!F8</f>
        <v>402.50457241897192</v>
      </c>
      <c r="G3" s="199">
        <f>'SER_se-appl'!G8</f>
        <v>448.36408636426114</v>
      </c>
      <c r="H3" s="199">
        <f>'SER_se-appl'!H8</f>
        <v>486.0833374743342</v>
      </c>
      <c r="I3" s="199">
        <f>'SER_se-appl'!I8</f>
        <v>522.26813645829088</v>
      </c>
      <c r="J3" s="199">
        <f>'SER_se-appl'!J8</f>
        <v>558.58089164694059</v>
      </c>
      <c r="K3" s="199">
        <f>'SER_se-appl'!K8</f>
        <v>574.26749865843192</v>
      </c>
      <c r="L3" s="199">
        <f>'SER_se-appl'!L8</f>
        <v>596.68442737628845</v>
      </c>
      <c r="M3" s="199">
        <f>'SER_se-appl'!M8</f>
        <v>604.20726279940573</v>
      </c>
      <c r="N3" s="199">
        <f>'SER_se-appl'!N8</f>
        <v>614.83260958642609</v>
      </c>
      <c r="O3" s="199">
        <f>'SER_se-appl'!O8</f>
        <v>614.44191231167974</v>
      </c>
      <c r="P3" s="199">
        <f>'SER_se-appl'!P8</f>
        <v>614.43091644667732</v>
      </c>
      <c r="Q3" s="199">
        <f>'SER_se-appl'!Q8</f>
        <v>615.38179356812861</v>
      </c>
      <c r="R3" s="199">
        <f>'SER_se-appl'!R8</f>
        <v>655.41096991751169</v>
      </c>
      <c r="S3" s="199">
        <f>'SER_se-appl'!S8</f>
        <v>669.09636243533066</v>
      </c>
      <c r="T3" s="199">
        <f>'SER_se-appl'!T8</f>
        <v>695.32337041468679</v>
      </c>
      <c r="U3" s="199">
        <f>'SER_se-appl'!U8</f>
        <v>716.19217125748912</v>
      </c>
      <c r="V3" s="199">
        <f>'SER_se-appl'!V8</f>
        <v>659.13923697053849</v>
      </c>
      <c r="W3" s="199">
        <f>'SER_se-appl'!W8</f>
        <v>689.67982331174676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3894.5423615792292</v>
      </c>
      <c r="C5" s="59">
        <f>'SER_se-appl'!C16</f>
        <v>4319.6445704438293</v>
      </c>
      <c r="D5" s="59">
        <f>'SER_se-appl'!D16</f>
        <v>4735.8397369573868</v>
      </c>
      <c r="E5" s="59">
        <f>'SER_se-appl'!E16</f>
        <v>5204.4137854881683</v>
      </c>
      <c r="F5" s="59">
        <f>'SER_se-appl'!F16</f>
        <v>5696.4422926889129</v>
      </c>
      <c r="G5" s="59">
        <f>'SER_se-appl'!G16</f>
        <v>6323.6167529814311</v>
      </c>
      <c r="H5" s="59">
        <f>'SER_se-appl'!H16</f>
        <v>6833.5129316201628</v>
      </c>
      <c r="I5" s="59">
        <f>'SER_se-appl'!I16</f>
        <v>7319.988014482562</v>
      </c>
      <c r="J5" s="59">
        <f>'SER_se-appl'!J16</f>
        <v>7806.5965505146005</v>
      </c>
      <c r="K5" s="59">
        <f>'SER_se-appl'!K16</f>
        <v>8004.1615067828261</v>
      </c>
      <c r="L5" s="59">
        <f>'SER_se-appl'!L16</f>
        <v>8295.307496291296</v>
      </c>
      <c r="M5" s="59">
        <f>'SER_se-appl'!M16</f>
        <v>8386.2425149252158</v>
      </c>
      <c r="N5" s="59">
        <f>'SER_se-appl'!N16</f>
        <v>8520.4969106582666</v>
      </c>
      <c r="O5" s="59">
        <f>'SER_se-appl'!O16</f>
        <v>8502.4748632864921</v>
      </c>
      <c r="P5" s="59">
        <f>'SER_se-appl'!P16</f>
        <v>8490.2694048086432</v>
      </c>
      <c r="Q5" s="59">
        <f>'SER_se-appl'!Q16</f>
        <v>8491.8457210935594</v>
      </c>
      <c r="R5" s="59">
        <f>'SER_se-appl'!R16</f>
        <v>8863.3848219968822</v>
      </c>
      <c r="S5" s="59">
        <f>'SER_se-appl'!S16</f>
        <v>9233.579141633445</v>
      </c>
      <c r="T5" s="59">
        <f>'SER_se-appl'!T16</f>
        <v>9574.9758623878806</v>
      </c>
      <c r="U5" s="59">
        <f>'SER_se-appl'!U16</f>
        <v>9873.4253365865443</v>
      </c>
      <c r="V5" s="59">
        <f>'SER_se-appl'!V16</f>
        <v>10085.725008156727</v>
      </c>
      <c r="W5" s="59">
        <f>'SER_se-appl'!W16</f>
        <v>10262.516869061399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48.623047400313062</v>
      </c>
      <c r="C6" s="202">
        <f>'SER_se-appl'!C72</f>
        <v>52.736583248521427</v>
      </c>
      <c r="D6" s="202">
        <f>'SER_se-appl'!D72</f>
        <v>56.56049227058687</v>
      </c>
      <c r="E6" s="202">
        <f>'SER_se-appl'!E72</f>
        <v>60.523194622611364</v>
      </c>
      <c r="F6" s="202">
        <f>'SER_se-appl'!F72</f>
        <v>64.564144668188362</v>
      </c>
      <c r="G6" s="202">
        <f>'SER_se-appl'!G72</f>
        <v>69.878191053530671</v>
      </c>
      <c r="H6" s="202">
        <f>'SER_se-appl'!H72</f>
        <v>73.497966363656388</v>
      </c>
      <c r="I6" s="202">
        <f>'SER_se-appl'!I72</f>
        <v>76.822262947164532</v>
      </c>
      <c r="J6" s="202">
        <f>'SER_se-appl'!J72</f>
        <v>80.453063609204406</v>
      </c>
      <c r="K6" s="202">
        <f>'SER_se-appl'!K72</f>
        <v>83.49822026646099</v>
      </c>
      <c r="L6" s="202">
        <f>'SER_se-appl'!L72</f>
        <v>85.913731984053967</v>
      </c>
      <c r="M6" s="202">
        <f>'SER_se-appl'!M72</f>
        <v>87.217645378551353</v>
      </c>
      <c r="N6" s="202">
        <f>'SER_se-appl'!N72</f>
        <v>88.644945141564989</v>
      </c>
      <c r="O6" s="202">
        <f>'SER_se-appl'!O72</f>
        <v>89.520560776191402</v>
      </c>
      <c r="P6" s="202">
        <f>'SER_se-appl'!P72</f>
        <v>90.102586522872272</v>
      </c>
      <c r="Q6" s="202">
        <f>'SER_se-appl'!Q72</f>
        <v>90.782719504102687</v>
      </c>
      <c r="R6" s="202">
        <f>'SER_se-appl'!R72</f>
        <v>95.880365873329353</v>
      </c>
      <c r="S6" s="202">
        <f>'SER_se-appl'!S72</f>
        <v>101.01631940899183</v>
      </c>
      <c r="T6" s="202">
        <f>'SER_se-appl'!T72</f>
        <v>105.98798398708396</v>
      </c>
      <c r="U6" s="202">
        <f>'SER_se-appl'!U72</f>
        <v>110.67248225424564</v>
      </c>
      <c r="V6" s="202">
        <f>'SER_se-appl'!V72</f>
        <v>114.84109542274359</v>
      </c>
      <c r="W6" s="202">
        <f>'SER_se-appl'!W72</f>
        <v>118.26239862240041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84.602979328701636</v>
      </c>
      <c r="C8" s="34">
        <f>'SER_se-appl'!C24</f>
        <v>94.602350738779194</v>
      </c>
      <c r="D8" s="34">
        <f>'SER_se-appl'!D24</f>
        <v>104.52674230304422</v>
      </c>
      <c r="E8" s="34">
        <f>'SER_se-appl'!E24</f>
        <v>115.82278217320871</v>
      </c>
      <c r="F8" s="34">
        <f>'SER_se-appl'!F24</f>
        <v>127.8408361906403</v>
      </c>
      <c r="G8" s="34">
        <f>'SER_se-appl'!G24</f>
        <v>143.29348097008307</v>
      </c>
      <c r="H8" s="34">
        <f>'SER_se-appl'!H24</f>
        <v>156.1429081639653</v>
      </c>
      <c r="I8" s="34">
        <f>'SER_se-appl'!I24</f>
        <v>168.62708127819923</v>
      </c>
      <c r="J8" s="34">
        <f>'SER_se-appl'!J24</f>
        <v>181.36804049705631</v>
      </c>
      <c r="K8" s="34">
        <f>'SER_se-appl'!K24</f>
        <v>187.17348094573194</v>
      </c>
      <c r="L8" s="34">
        <f>'SER_se-appl'!L24</f>
        <v>195.58223363472453</v>
      </c>
      <c r="M8" s="34">
        <f>'SER_se-appl'!M24</f>
        <v>199.27564462604914</v>
      </c>
      <c r="N8" s="34">
        <f>'SER_se-appl'!N24</f>
        <v>204.56201188647071</v>
      </c>
      <c r="O8" s="34">
        <f>'SER_se-appl'!O24</f>
        <v>206.29483163933639</v>
      </c>
      <c r="P8" s="34">
        <f>'SER_se-appl'!P24</f>
        <v>208.81385788087405</v>
      </c>
      <c r="Q8" s="34">
        <f>'SER_se-appl'!Q24</f>
        <v>212.52538617933118</v>
      </c>
      <c r="R8" s="34">
        <f>'SER_se-appl'!R24</f>
        <v>226.91177103810244</v>
      </c>
      <c r="S8" s="34">
        <f>'SER_se-appl'!S24</f>
        <v>241.59184412292657</v>
      </c>
      <c r="T8" s="34">
        <f>'SER_se-appl'!T24</f>
        <v>256.14681346149752</v>
      </c>
      <c r="U8" s="34">
        <f>'SER_se-appl'!U24</f>
        <v>269.94251241392311</v>
      </c>
      <c r="V8" s="34">
        <f>'SER_se-appl'!V24</f>
        <v>282.43300511336105</v>
      </c>
      <c r="W8" s="34">
        <f>'SER_se-appl'!W24</f>
        <v>293.1326722132103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12.409071923179582</v>
      </c>
      <c r="D9" s="36">
        <f>'SER_se-appl'!D32</f>
        <v>12.60525923305687</v>
      </c>
      <c r="E9" s="36">
        <f>'SER_se-appl'!E32</f>
        <v>14.278589534944842</v>
      </c>
      <c r="F9" s="36">
        <f>'SER_se-appl'!F32</f>
        <v>15.336234398520759</v>
      </c>
      <c r="G9" s="36">
        <f>'SER_se-appl'!G32</f>
        <v>19.144224896770297</v>
      </c>
      <c r="H9" s="36">
        <f>'SER_se-appl'!H32</f>
        <v>16.95642627094108</v>
      </c>
      <c r="I9" s="36">
        <f>'SER_se-appl'!I32</f>
        <v>17.053338859761112</v>
      </c>
      <c r="J9" s="36">
        <f>'SER_se-appl'!J32</f>
        <v>17.824299930257951</v>
      </c>
      <c r="K9" s="36">
        <f>'SER_se-appl'!K32</f>
        <v>11.460816993831799</v>
      </c>
      <c r="L9" s="36">
        <f>'SER_se-appl'!L32</f>
        <v>14.700537104656632</v>
      </c>
      <c r="M9" s="36">
        <f>'SER_se-appl'!M32</f>
        <v>10.693219194564193</v>
      </c>
      <c r="N9" s="36">
        <f>'SER_se-appl'!N32</f>
        <v>13.073874213164004</v>
      </c>
      <c r="O9" s="36">
        <f>'SER_se-appl'!O32</f>
        <v>10.396666358111872</v>
      </c>
      <c r="P9" s="36">
        <f>'SER_se-appl'!P32</f>
        <v>12.157828293945727</v>
      </c>
      <c r="Q9" s="36">
        <f>'SER_se-appl'!Q32</f>
        <v>14.434998973624516</v>
      </c>
      <c r="R9" s="36">
        <f>'SER_se-appl'!R32</f>
        <v>26.795456781950833</v>
      </c>
      <c r="S9" s="36">
        <f>'SER_se-appl'!S32</f>
        <v>27.285332317881</v>
      </c>
      <c r="T9" s="36">
        <f>'SER_se-appl'!T32</f>
        <v>28.833558873515784</v>
      </c>
      <c r="U9" s="36">
        <f>'SER_se-appl'!U32</f>
        <v>29.131933350946355</v>
      </c>
      <c r="V9" s="36">
        <f>'SER_se-appl'!V32</f>
        <v>31.634717596208247</v>
      </c>
      <c r="W9" s="36">
        <f>'SER_se-appl'!W32</f>
        <v>27.656093370790359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2.4097005131020239</v>
      </c>
      <c r="D10" s="38">
        <f>'SER_se-appl'!D40</f>
        <v>2.6808676687918478</v>
      </c>
      <c r="E10" s="38">
        <f>'SER_se-appl'!E40</f>
        <v>2.9825496647803504</v>
      </c>
      <c r="F10" s="38">
        <f>'SER_se-appl'!F40</f>
        <v>3.3181803810891637</v>
      </c>
      <c r="G10" s="38">
        <f>'SER_se-appl'!G40</f>
        <v>3.6915801173275327</v>
      </c>
      <c r="H10" s="38">
        <f>'SER_se-appl'!H40</f>
        <v>4.1069990770588447</v>
      </c>
      <c r="I10" s="38">
        <f>'SER_se-appl'!I40</f>
        <v>4.5691657455271866</v>
      </c>
      <c r="J10" s="38">
        <f>'SER_se-appl'!J40</f>
        <v>5.0833407114008651</v>
      </c>
      <c r="K10" s="38">
        <f>'SER_se-appl'!K40</f>
        <v>5.6553765451561731</v>
      </c>
      <c r="L10" s="38">
        <f>'SER_se-appl'!L40</f>
        <v>6.2917844156640399</v>
      </c>
      <c r="M10" s="38">
        <f>'SER_se-appl'!M40</f>
        <v>6.9998082032395814</v>
      </c>
      <c r="N10" s="38">
        <f>'SER_se-appl'!N40</f>
        <v>7.787506952742433</v>
      </c>
      <c r="O10" s="38">
        <f>'SER_se-appl'!O40</f>
        <v>8.6638466052461922</v>
      </c>
      <c r="P10" s="38">
        <f>'SER_se-appl'!P40</f>
        <v>9.6388020524080673</v>
      </c>
      <c r="Q10" s="38">
        <f>'SER_se-appl'!Q40</f>
        <v>10.723470675167391</v>
      </c>
      <c r="R10" s="38">
        <f>'SER_se-appl'!R40</f>
        <v>12.409071923179567</v>
      </c>
      <c r="S10" s="38">
        <f>'SER_se-appl'!S40</f>
        <v>12.60525923305687</v>
      </c>
      <c r="T10" s="38">
        <f>'SER_se-appl'!T40</f>
        <v>14.278589534944842</v>
      </c>
      <c r="U10" s="38">
        <f>'SER_se-appl'!U40</f>
        <v>15.33623439852073</v>
      </c>
      <c r="V10" s="38">
        <f>'SER_se-appl'!V40</f>
        <v>19.144224896770311</v>
      </c>
      <c r="W10" s="38">
        <f>'SER_se-appl'!W40</f>
        <v>16.956426270941108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808.0540830476923</v>
      </c>
      <c r="C12" s="205">
        <f>'SER_se-appl'!C48</f>
        <v>811.9140621224966</v>
      </c>
      <c r="D12" s="205">
        <f>'SER_se-appl'!D48</f>
        <v>815.45404503574878</v>
      </c>
      <c r="E12" s="205">
        <f>'SER_se-appl'!E48</f>
        <v>818.72414184343563</v>
      </c>
      <c r="F12" s="205">
        <f>'SER_se-appl'!F48</f>
        <v>821.76346861981347</v>
      </c>
      <c r="G12" s="205">
        <f>'SER_se-appl'!G48</f>
        <v>824.60315482557655</v>
      </c>
      <c r="H12" s="205">
        <f>'SER_se-appl'!H48</f>
        <v>827.26838617194176</v>
      </c>
      <c r="I12" s="205">
        <f>'SER_se-appl'!I48</f>
        <v>829.77983228832966</v>
      </c>
      <c r="J12" s="205">
        <f>'SER_se-appl'!J48</f>
        <v>832.15466917214928</v>
      </c>
      <c r="K12" s="205">
        <f>'SER_se-appl'!K48</f>
        <v>834.40732720571953</v>
      </c>
      <c r="L12" s="205">
        <f>'SER_se-appl'!L48</f>
        <v>836.55004874608346</v>
      </c>
      <c r="M12" s="205">
        <f>'SER_se-appl'!M48</f>
        <v>837.91166948142461</v>
      </c>
      <c r="N12" s="205">
        <f>'SER_se-appl'!N48</f>
        <v>839.21199954260771</v>
      </c>
      <c r="O12" s="205">
        <f>'SER_se-appl'!O48</f>
        <v>840.45640299872434</v>
      </c>
      <c r="P12" s="205">
        <f>'SER_se-appl'!P48</f>
        <v>841.64956582268928</v>
      </c>
      <c r="Q12" s="205">
        <f>'SER_se-appl'!Q48</f>
        <v>842.79560583864316</v>
      </c>
      <c r="R12" s="205">
        <f>'SER_se-appl'!R48</f>
        <v>859.99081989800823</v>
      </c>
      <c r="S12" s="205">
        <f>'SER_se-appl'!S48</f>
        <v>842.74911989830105</v>
      </c>
      <c r="T12" s="205">
        <f>'SER_se-appl'!T48</f>
        <v>844.55678156729118</v>
      </c>
      <c r="U12" s="205">
        <f>'SER_se-appl'!U48</f>
        <v>843.60945343454853</v>
      </c>
      <c r="V12" s="205">
        <f>'SER_se-appl'!V48</f>
        <v>760.06328942815048</v>
      </c>
      <c r="W12" s="205">
        <f>'SER_se-appl'!W48</f>
        <v>781.57984512518578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46.033158554003812</v>
      </c>
      <c r="C14" s="59">
        <f>'SER_se-appl'!C56</f>
        <v>45.66107011834675</v>
      </c>
      <c r="D14" s="59">
        <f>'SER_se-appl'!D56</f>
        <v>45.307446043111412</v>
      </c>
      <c r="E14" s="59">
        <f>'SER_se-appl'!E56</f>
        <v>44.934283979685091</v>
      </c>
      <c r="F14" s="59">
        <f>'SER_se-appl'!F56</f>
        <v>44.558862898817381</v>
      </c>
      <c r="G14" s="59">
        <f>'SER_se-appl'!G56</f>
        <v>44.130526456410678</v>
      </c>
      <c r="H14" s="59">
        <f>'SER_se-appl'!H56</f>
        <v>43.764478399776614</v>
      </c>
      <c r="I14" s="59">
        <f>'SER_se-appl'!I56</f>
        <v>43.409326420150279</v>
      </c>
      <c r="J14" s="59">
        <f>'SER_se-appl'!J56</f>
        <v>43.04284552625635</v>
      </c>
      <c r="K14" s="59">
        <f>'SER_se-appl'!K56</f>
        <v>42.763330928826981</v>
      </c>
      <c r="L14" s="59">
        <f>'SER_se-appl'!L56</f>
        <v>42.413399939914122</v>
      </c>
      <c r="M14" s="59">
        <f>'SER_se-appl'!M56</f>
        <v>42.083630092691081</v>
      </c>
      <c r="N14" s="59">
        <f>'SER_se-appl'!N56</f>
        <v>41.652391038210133</v>
      </c>
      <c r="O14" s="59">
        <f>'SER_se-appl'!O56</f>
        <v>41.215161794025462</v>
      </c>
      <c r="P14" s="59">
        <f>'SER_se-appl'!P56</f>
        <v>40.659511255485</v>
      </c>
      <c r="Q14" s="59">
        <f>'SER_se-appl'!Q56</f>
        <v>39.956853502329601</v>
      </c>
      <c r="R14" s="59">
        <f>'SER_se-appl'!R56</f>
        <v>39.06093007624785</v>
      </c>
      <c r="S14" s="59">
        <f>'SER_se-appl'!S56</f>
        <v>38.219746925460043</v>
      </c>
      <c r="T14" s="59">
        <f>'SER_se-appl'!T56</f>
        <v>37.380811937475592</v>
      </c>
      <c r="U14" s="59">
        <f>'SER_se-appl'!U56</f>
        <v>36.576029645330117</v>
      </c>
      <c r="V14" s="59">
        <f>'SER_se-appl'!V56</f>
        <v>35.710150108372027</v>
      </c>
      <c r="W14" s="59">
        <f>'SER_se-appl'!W56</f>
        <v>35.009802188126436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43.196488663315229</v>
      </c>
      <c r="D15" s="63">
        <f>'SER_se-appl'!D64</f>
        <v>42.807844170174754</v>
      </c>
      <c r="E15" s="63">
        <f>'SER_se-appl'!E64</f>
        <v>42.432078368946925</v>
      </c>
      <c r="F15" s="63">
        <f>'SER_se-appl'!F64</f>
        <v>42.042577991400407</v>
      </c>
      <c r="G15" s="63">
        <f>'SER_se-appl'!G64</f>
        <v>41.637076321786182</v>
      </c>
      <c r="H15" s="63">
        <f>'SER_se-appl'!H64</f>
        <v>41.220614955402226</v>
      </c>
      <c r="I15" s="63">
        <f>'SER_se-appl'!I64</f>
        <v>40.860515340485961</v>
      </c>
      <c r="J15" s="63">
        <f>'SER_se-appl'!J64</f>
        <v>40.428559203084973</v>
      </c>
      <c r="K15" s="63">
        <f>'SER_se-appl'!K64</f>
        <v>39.95350433572365</v>
      </c>
      <c r="L15" s="63">
        <f>'SER_se-appl'!L64</f>
        <v>39.507175483974088</v>
      </c>
      <c r="M15" s="63">
        <f>'SER_se-appl'!M64</f>
        <v>38.637410491995603</v>
      </c>
      <c r="N15" s="63">
        <f>'SER_se-appl'!N64</f>
        <v>37.688747038189874</v>
      </c>
      <c r="O15" s="63">
        <f>'SER_se-appl'!O64</f>
        <v>36.627334568448063</v>
      </c>
      <c r="P15" s="63">
        <f>'SER_se-appl'!P64</f>
        <v>35.491457375342577</v>
      </c>
      <c r="Q15" s="63">
        <f>'SER_se-appl'!Q64</f>
        <v>34.306309479408597</v>
      </c>
      <c r="R15" s="63">
        <f>'SER_se-appl'!R64</f>
        <v>33.870198330283394</v>
      </c>
      <c r="S15" s="63">
        <f>'SER_se-appl'!S64</f>
        <v>33.34385969760374</v>
      </c>
      <c r="T15" s="63">
        <f>'SER_se-appl'!T64</f>
        <v>32.852932066229414</v>
      </c>
      <c r="U15" s="63">
        <f>'SER_se-appl'!U64</f>
        <v>32.377676195741707</v>
      </c>
      <c r="V15" s="63">
        <f>'SER_se-appl'!V64</f>
        <v>31.908273612641167</v>
      </c>
      <c r="W15" s="63">
        <f>'SER_se-appl'!W64</f>
        <v>31.6655779071003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307.30414907882999</v>
      </c>
      <c r="C3" s="199">
        <f>'SER_se-appl'!C9</f>
        <v>349.40329369019076</v>
      </c>
      <c r="D3" s="199">
        <f>'SER_se-appl'!D9</f>
        <v>394.02616914516051</v>
      </c>
      <c r="E3" s="199">
        <f>'SER_se-appl'!E9</f>
        <v>436.60450123229231</v>
      </c>
      <c r="F3" s="199">
        <f>'SER_se-appl'!F9</f>
        <v>483.14455071260966</v>
      </c>
      <c r="G3" s="199">
        <f>'SER_se-appl'!G9</f>
        <v>522.03483134818021</v>
      </c>
      <c r="H3" s="199">
        <f>'SER_se-appl'!H9</f>
        <v>556.92275234019417</v>
      </c>
      <c r="I3" s="199">
        <f>'SER_se-appl'!I9</f>
        <v>574.78013642582448</v>
      </c>
      <c r="J3" s="199">
        <f>'SER_se-appl'!J9</f>
        <v>595.93466184439046</v>
      </c>
      <c r="K3" s="199">
        <f>'SER_se-appl'!K9</f>
        <v>603.14955057064685</v>
      </c>
      <c r="L3" s="199">
        <f>'SER_se-appl'!L9</f>
        <v>621.57001577804203</v>
      </c>
      <c r="M3" s="199">
        <f>'SER_se-appl'!M9</f>
        <v>614.81216303244514</v>
      </c>
      <c r="N3" s="199">
        <f>'SER_se-appl'!N9</f>
        <v>623.20693761823952</v>
      </c>
      <c r="O3" s="199">
        <f>'SER_se-appl'!O9</f>
        <v>638.55809141993086</v>
      </c>
      <c r="P3" s="199">
        <f>'SER_se-appl'!P9</f>
        <v>651.74393450451669</v>
      </c>
      <c r="Q3" s="199">
        <f>'SER_se-appl'!Q9</f>
        <v>704.44438716239119</v>
      </c>
      <c r="R3" s="199">
        <f>'SER_se-appl'!R9</f>
        <v>738.09143927224795</v>
      </c>
      <c r="S3" s="199">
        <f>'SER_se-appl'!S9</f>
        <v>745.30509755074524</v>
      </c>
      <c r="T3" s="199">
        <f>'SER_se-appl'!T9</f>
        <v>779.95462801811686</v>
      </c>
      <c r="U3" s="199">
        <f>'SER_se-appl'!U9</f>
        <v>791.41644896119385</v>
      </c>
      <c r="V3" s="199">
        <f>'SER_se-appl'!V9</f>
        <v>738.10692867074874</v>
      </c>
      <c r="W3" s="199">
        <f>'SER_se-appl'!W9</f>
        <v>740.3565978749499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2141.8985417718336</v>
      </c>
      <c r="C5" s="59">
        <f>'SER_se-appl'!C17</f>
        <v>2410.778896477148</v>
      </c>
      <c r="D5" s="59">
        <f>'SER_se-appl'!D17</f>
        <v>2668.4711879543211</v>
      </c>
      <c r="E5" s="59">
        <f>'SER_se-appl'!E17</f>
        <v>2906.1731384195232</v>
      </c>
      <c r="F5" s="59">
        <f>'SER_se-appl'!F17</f>
        <v>3160.7538084618909</v>
      </c>
      <c r="G5" s="59">
        <f>'SER_se-appl'!G17</f>
        <v>3362.4105045564752</v>
      </c>
      <c r="H5" s="59">
        <f>'SER_se-appl'!H17</f>
        <v>3531.3068097784562</v>
      </c>
      <c r="I5" s="59">
        <f>'SER_se-appl'!I17</f>
        <v>3591.9183125986174</v>
      </c>
      <c r="J5" s="59">
        <f>'SER_se-appl'!J17</f>
        <v>3681.5068423145804</v>
      </c>
      <c r="K5" s="59">
        <f>'SER_se-appl'!K17</f>
        <v>3704.827891285941</v>
      </c>
      <c r="L5" s="59">
        <f>'SER_se-appl'!L17</f>
        <v>3771.5036143022562</v>
      </c>
      <c r="M5" s="59">
        <f>'SER_se-appl'!M17</f>
        <v>3689.5692579576043</v>
      </c>
      <c r="N5" s="59">
        <f>'SER_se-appl'!N17</f>
        <v>3707.8659923723344</v>
      </c>
      <c r="O5" s="59">
        <f>'SER_se-appl'!O17</f>
        <v>3766.3742369149104</v>
      </c>
      <c r="P5" s="59">
        <f>'SER_se-appl'!P17</f>
        <v>3805.7114803737504</v>
      </c>
      <c r="Q5" s="59">
        <f>'SER_se-appl'!Q17</f>
        <v>4070.5575030576497</v>
      </c>
      <c r="R5" s="59">
        <f>'SER_se-appl'!R17</f>
        <v>4139.1060157532183</v>
      </c>
      <c r="S5" s="59">
        <f>'SER_se-appl'!S17</f>
        <v>4224.1338426699558</v>
      </c>
      <c r="T5" s="59">
        <f>'SER_se-appl'!T17</f>
        <v>4378.1899113621503</v>
      </c>
      <c r="U5" s="59">
        <f>'SER_se-appl'!U17</f>
        <v>4412.2455858522098</v>
      </c>
      <c r="V5" s="59">
        <f>'SER_se-appl'!V17</f>
        <v>4375.0032447368521</v>
      </c>
      <c r="W5" s="59">
        <f>'SER_se-appl'!W17</f>
        <v>4318.0826516567313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0.13765632916677201</v>
      </c>
      <c r="C6" s="202">
        <f>'SER_se-appl'!C73</f>
        <v>0.15911994561891415</v>
      </c>
      <c r="D6" s="202">
        <f>'SER_se-appl'!D73</f>
        <v>0.18143415739334856</v>
      </c>
      <c r="E6" s="202">
        <f>'SER_se-appl'!E73</f>
        <v>0.20227146652944741</v>
      </c>
      <c r="F6" s="202">
        <f>'SER_se-appl'!F73</f>
        <v>0.22661759200768108</v>
      </c>
      <c r="G6" s="202">
        <f>'SER_se-appl'!G73</f>
        <v>0.24814690648671933</v>
      </c>
      <c r="H6" s="202">
        <f>'SER_se-appl'!H73</f>
        <v>0.27180111252868588</v>
      </c>
      <c r="I6" s="202">
        <f>'SER_se-appl'!I73</f>
        <v>0.28684356653071008</v>
      </c>
      <c r="J6" s="202">
        <f>'SER_se-appl'!J73</f>
        <v>0.30556660688542342</v>
      </c>
      <c r="K6" s="202">
        <f>'SER_se-appl'!K73</f>
        <v>0.32288859389321067</v>
      </c>
      <c r="L6" s="202">
        <f>'SER_se-appl'!L73</f>
        <v>0.3495751506625463</v>
      </c>
      <c r="M6" s="202">
        <f>'SER_se-appl'!M73</f>
        <v>0.37007874017542475</v>
      </c>
      <c r="N6" s="202">
        <f>'SER_se-appl'!N73</f>
        <v>0.39806993591472228</v>
      </c>
      <c r="O6" s="202">
        <f>'SER_se-appl'!O73</f>
        <v>0.43236847431804892</v>
      </c>
      <c r="P6" s="202">
        <f>'SER_se-appl'!P73</f>
        <v>0.46042342428543426</v>
      </c>
      <c r="Q6" s="202">
        <f>'SER_se-appl'!Q73</f>
        <v>0.510769759021791</v>
      </c>
      <c r="R6" s="202">
        <f>'SER_se-appl'!R73</f>
        <v>0.53350144699457125</v>
      </c>
      <c r="S6" s="202">
        <f>'SER_se-appl'!S73</f>
        <v>0.55592696760013971</v>
      </c>
      <c r="T6" s="202">
        <f>'SER_se-appl'!T73</f>
        <v>0.58758716277152523</v>
      </c>
      <c r="U6" s="202">
        <f>'SER_se-appl'!U73</f>
        <v>0.60055115404909132</v>
      </c>
      <c r="V6" s="202">
        <f>'SER_se-appl'!V73</f>
        <v>0.60722275527829994</v>
      </c>
      <c r="W6" s="202">
        <f>'SER_se-appl'!W73</f>
        <v>0.61302876289785369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5570.9766948311708</v>
      </c>
      <c r="C8" s="34">
        <f>'SER_se-appl'!C25</f>
        <v>6470.6993089635062</v>
      </c>
      <c r="D8" s="34">
        <f>'SER_se-appl'!D25</f>
        <v>7445.2010873318141</v>
      </c>
      <c r="E8" s="34">
        <f>'SER_se-appl'!E25</f>
        <v>8460.5781340161484</v>
      </c>
      <c r="F8" s="34">
        <f>'SER_se-appl'!F25</f>
        <v>9642.0008916848019</v>
      </c>
      <c r="G8" s="34">
        <f>'SER_se-appl'!G25</f>
        <v>10743.852336903394</v>
      </c>
      <c r="H8" s="34">
        <f>'SER_se-appl'!H25</f>
        <v>11961.9590801552</v>
      </c>
      <c r="I8" s="34">
        <f>'SER_se-appl'!I25</f>
        <v>12846.193321326629</v>
      </c>
      <c r="J8" s="34">
        <f>'SER_se-appl'!J25</f>
        <v>13954.902730287382</v>
      </c>
      <c r="K8" s="34">
        <f>'SER_se-appl'!K25</f>
        <v>14930.133841614301</v>
      </c>
      <c r="L8" s="34">
        <f>'SER_se-appl'!L25</f>
        <v>16250.566840717389</v>
      </c>
      <c r="M8" s="34">
        <f>'SER_se-appl'!M25</f>
        <v>17270.528961467338</v>
      </c>
      <c r="N8" s="34">
        <f>'SER_se-appl'!N25</f>
        <v>18636.925436971433</v>
      </c>
      <c r="O8" s="34">
        <f>'SER_se-appl'!O25</f>
        <v>20203.666507401616</v>
      </c>
      <c r="P8" s="34">
        <f>'SER_se-appl'!P25</f>
        <v>21415.30593462555</v>
      </c>
      <c r="Q8" s="34">
        <f>'SER_se-appl'!Q25</f>
        <v>23725.033121717017</v>
      </c>
      <c r="R8" s="34">
        <f>'SER_se-appl'!R25</f>
        <v>24775.860015071139</v>
      </c>
      <c r="S8" s="34">
        <f>'SER_se-appl'!S25</f>
        <v>25866.183290746521</v>
      </c>
      <c r="T8" s="34">
        <f>'SER_se-appl'!T25</f>
        <v>27415.904492055583</v>
      </c>
      <c r="U8" s="34">
        <f>'SER_se-appl'!U25</f>
        <v>28188.10555067144</v>
      </c>
      <c r="V8" s="34">
        <f>'SER_se-appl'!V25</f>
        <v>28741.440287604237</v>
      </c>
      <c r="W8" s="34">
        <f>'SER_se-appl'!W25</f>
        <v>29056.763358822682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2013.9179530985693</v>
      </c>
      <c r="D9" s="36">
        <f>'SER_se-appl'!D33</f>
        <v>2088.6971173345419</v>
      </c>
      <c r="E9" s="36">
        <f>'SER_se-appl'!E33</f>
        <v>2129.5723856505683</v>
      </c>
      <c r="F9" s="36">
        <f>'SER_se-appl'!F33</f>
        <v>2295.6180966348875</v>
      </c>
      <c r="G9" s="36">
        <f>'SER_se-appl'!G33</f>
        <v>2216.0467841848258</v>
      </c>
      <c r="H9" s="36">
        <f>'SER_se-appl'!H33</f>
        <v>3232.024696350376</v>
      </c>
      <c r="I9" s="36">
        <f>'SER_se-appl'!I33</f>
        <v>2972.9313585059699</v>
      </c>
      <c r="J9" s="36">
        <f>'SER_se-appl'!J33</f>
        <v>3238.2817946113209</v>
      </c>
      <c r="K9" s="36">
        <f>'SER_se-appl'!K33</f>
        <v>3270.8492079618063</v>
      </c>
      <c r="L9" s="36">
        <f>'SER_se-appl'!L33</f>
        <v>3536.479783287914</v>
      </c>
      <c r="M9" s="36">
        <f>'SER_se-appl'!M33</f>
        <v>4251.9868171003254</v>
      </c>
      <c r="N9" s="36">
        <f>'SER_se-appl'!N33</f>
        <v>4339.3278340100642</v>
      </c>
      <c r="O9" s="36">
        <f>'SER_se-appl'!O33</f>
        <v>4805.0228650415047</v>
      </c>
      <c r="P9" s="36">
        <f>'SER_se-appl'!P33</f>
        <v>4482.4886351857385</v>
      </c>
      <c r="Q9" s="36">
        <f>'SER_se-appl'!Q33</f>
        <v>5846.2069703793823</v>
      </c>
      <c r="R9" s="36">
        <f>'SER_se-appl'!R33</f>
        <v>5302.8137104544476</v>
      </c>
      <c r="S9" s="36">
        <f>'SER_se-appl'!S33</f>
        <v>5429.6511096854447</v>
      </c>
      <c r="T9" s="36">
        <f>'SER_se-appl'!T33</f>
        <v>6354.7440663505658</v>
      </c>
      <c r="U9" s="36">
        <f>'SER_se-appl'!U33</f>
        <v>5254.6896938015961</v>
      </c>
      <c r="V9" s="36">
        <f>'SER_se-appl'!V33</f>
        <v>6399.5417073121789</v>
      </c>
      <c r="W9" s="36">
        <f>'SER_se-appl'!W33</f>
        <v>5618.1367816728925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1114.195338966234</v>
      </c>
      <c r="D10" s="38">
        <f>'SER_se-appl'!D41</f>
        <v>1114.195338966234</v>
      </c>
      <c r="E10" s="38">
        <f>'SER_se-appl'!E41</f>
        <v>1114.195338966234</v>
      </c>
      <c r="F10" s="38">
        <f>'SER_se-appl'!F41</f>
        <v>1114.195338966234</v>
      </c>
      <c r="G10" s="38">
        <f>'SER_se-appl'!G41</f>
        <v>1114.195338966234</v>
      </c>
      <c r="H10" s="38">
        <f>'SER_se-appl'!H41</f>
        <v>2013.9179530985693</v>
      </c>
      <c r="I10" s="38">
        <f>'SER_se-appl'!I41</f>
        <v>2088.697117334541</v>
      </c>
      <c r="J10" s="38">
        <f>'SER_se-appl'!J41</f>
        <v>2129.5723856505683</v>
      </c>
      <c r="K10" s="38">
        <f>'SER_se-appl'!K41</f>
        <v>2295.6180966348875</v>
      </c>
      <c r="L10" s="38">
        <f>'SER_se-appl'!L41</f>
        <v>2216.0467841848276</v>
      </c>
      <c r="M10" s="38">
        <f>'SER_se-appl'!M41</f>
        <v>3232.0246963503741</v>
      </c>
      <c r="N10" s="38">
        <f>'SER_se-appl'!N41</f>
        <v>2972.9313585059717</v>
      </c>
      <c r="O10" s="38">
        <f>'SER_se-appl'!O41</f>
        <v>3238.2817946113209</v>
      </c>
      <c r="P10" s="38">
        <f>'SER_se-appl'!P41</f>
        <v>3270.8492079618045</v>
      </c>
      <c r="Q10" s="38">
        <f>'SER_se-appl'!Q41</f>
        <v>3536.4797832879158</v>
      </c>
      <c r="R10" s="38">
        <f>'SER_se-appl'!R41</f>
        <v>4251.9868171003254</v>
      </c>
      <c r="S10" s="38">
        <f>'SER_se-appl'!S41</f>
        <v>4339.3278340100624</v>
      </c>
      <c r="T10" s="38">
        <f>'SER_se-appl'!T41</f>
        <v>4805.0228650415047</v>
      </c>
      <c r="U10" s="38">
        <f>'SER_se-appl'!U41</f>
        <v>4482.4886351857385</v>
      </c>
      <c r="V10" s="38">
        <f>'SER_se-appl'!V41</f>
        <v>5846.2069703793823</v>
      </c>
      <c r="W10" s="38">
        <f>'SER_se-appl'!W41</f>
        <v>5302.8137104544512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1668.5884901113623</v>
      </c>
      <c r="C12" s="205">
        <f>'SER_se-appl'!C49</f>
        <v>1685.579839592493</v>
      </c>
      <c r="D12" s="205">
        <f>'SER_se-appl'!D49</f>
        <v>1717.284551485538</v>
      </c>
      <c r="E12" s="205">
        <f>'SER_se-appl'!E49</f>
        <v>1747.2153610548453</v>
      </c>
      <c r="F12" s="205">
        <f>'SER_se-appl'!F49</f>
        <v>1777.7313467897061</v>
      </c>
      <c r="G12" s="205">
        <f>'SER_se-appl'!G49</f>
        <v>1805.6287536432669</v>
      </c>
      <c r="H12" s="205">
        <f>'SER_se-appl'!H49</f>
        <v>1834.1684703750809</v>
      </c>
      <c r="I12" s="205">
        <f>'SER_se-appl'!I49</f>
        <v>1861.037029485288</v>
      </c>
      <c r="J12" s="205">
        <f>'SER_se-appl'!J49</f>
        <v>1882.5770028700763</v>
      </c>
      <c r="K12" s="205">
        <f>'SER_se-appl'!K49</f>
        <v>1893.3752063451059</v>
      </c>
      <c r="L12" s="205">
        <f>'SER_se-appl'!L49</f>
        <v>1916.7048537579085</v>
      </c>
      <c r="M12" s="205">
        <f>'SER_se-appl'!M49</f>
        <v>1937.9675393396556</v>
      </c>
      <c r="N12" s="205">
        <f>'SER_se-appl'!N49</f>
        <v>1954.7353381730065</v>
      </c>
      <c r="O12" s="205">
        <f>'SER_se-appl'!O49</f>
        <v>1971.7718251218946</v>
      </c>
      <c r="P12" s="205">
        <f>'SER_se-appl'!P49</f>
        <v>1991.6859166483991</v>
      </c>
      <c r="Q12" s="205">
        <f>'SER_se-appl'!Q49</f>
        <v>2012.6698164918614</v>
      </c>
      <c r="R12" s="205">
        <f>'SER_se-appl'!R49</f>
        <v>2073.8786119674105</v>
      </c>
      <c r="S12" s="205">
        <f>'SER_se-appl'!S49</f>
        <v>2051.9942329849173</v>
      </c>
      <c r="T12" s="205">
        <f>'SER_se-appl'!T49</f>
        <v>2071.8316261956193</v>
      </c>
      <c r="U12" s="205">
        <f>'SER_se-appl'!U49</f>
        <v>2086.0519031242752</v>
      </c>
      <c r="V12" s="205">
        <f>'SER_se-appl'!V49</f>
        <v>1962.0976489029163</v>
      </c>
      <c r="W12" s="205">
        <f>'SER_se-appl'!W49</f>
        <v>1994.0209412115146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384.47451122154519</v>
      </c>
      <c r="C14" s="59">
        <f>'SER_se-appl'!C57</f>
        <v>372.56852487916223</v>
      </c>
      <c r="D14" s="59">
        <f>'SER_se-appl'!D57</f>
        <v>358.41492481576995</v>
      </c>
      <c r="E14" s="59">
        <f>'SER_se-appl'!E57</f>
        <v>343.49580990631347</v>
      </c>
      <c r="F14" s="59">
        <f>'SER_se-appl'!F57</f>
        <v>327.81098487428108</v>
      </c>
      <c r="G14" s="59">
        <f>'SER_se-appl'!G57</f>
        <v>312.9613474867985</v>
      </c>
      <c r="H14" s="59">
        <f>'SER_se-appl'!H57</f>
        <v>295.21141028118609</v>
      </c>
      <c r="I14" s="59">
        <f>'SER_se-appl'!I57</f>
        <v>279.60954835044311</v>
      </c>
      <c r="J14" s="59">
        <f>'SER_se-appl'!J57</f>
        <v>263.81458283649141</v>
      </c>
      <c r="K14" s="59">
        <f>'SER_se-appl'!K57</f>
        <v>248.1443187709134</v>
      </c>
      <c r="L14" s="59">
        <f>'SER_se-appl'!L57</f>
        <v>232.08443442430476</v>
      </c>
      <c r="M14" s="59">
        <f>'SER_se-appl'!M57</f>
        <v>213.63383056705931</v>
      </c>
      <c r="N14" s="59">
        <f>'SER_se-appl'!N57</f>
        <v>198.95266549796725</v>
      </c>
      <c r="O14" s="59">
        <f>'SER_se-appl'!O57</f>
        <v>186.42033293982053</v>
      </c>
      <c r="P14" s="59">
        <f>'SER_se-appl'!P57</f>
        <v>177.70988152078874</v>
      </c>
      <c r="Q14" s="59">
        <f>'SER_se-appl'!Q57</f>
        <v>171.57225796796095</v>
      </c>
      <c r="R14" s="59">
        <f>'SER_se-appl'!R57</f>
        <v>167.0620520633957</v>
      </c>
      <c r="S14" s="59">
        <f>'SER_se-appl'!S57</f>
        <v>163.30719515859593</v>
      </c>
      <c r="T14" s="59">
        <f>'SER_se-appl'!T57</f>
        <v>159.6952569130388</v>
      </c>
      <c r="U14" s="59">
        <f>'SER_se-appl'!U57</f>
        <v>156.5286314797097</v>
      </c>
      <c r="V14" s="59">
        <f>'SER_se-appl'!V57</f>
        <v>152.21934603686952</v>
      </c>
      <c r="W14" s="59">
        <f>'SER_se-appl'!W57</f>
        <v>148.6085218209827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346.2206898681705</v>
      </c>
      <c r="D15" s="63">
        <f>'SER_se-appl'!D65</f>
        <v>328.4688785835354</v>
      </c>
      <c r="E15" s="63">
        <f>'SER_se-appl'!E65</f>
        <v>312.77718630638907</v>
      </c>
      <c r="F15" s="63">
        <f>'SER_se-appl'!F65</f>
        <v>297.50609624391655</v>
      </c>
      <c r="G15" s="63">
        <f>'SER_se-appl'!G65</f>
        <v>284.30645460434602</v>
      </c>
      <c r="H15" s="63">
        <f>'SER_se-appl'!H65</f>
        <v>267.99187805084898</v>
      </c>
      <c r="I15" s="63">
        <f>'SER_se-appl'!I65</f>
        <v>251.16069380994469</v>
      </c>
      <c r="J15" s="63">
        <f>'SER_se-appl'!J65</f>
        <v>233.35529038671356</v>
      </c>
      <c r="K15" s="63">
        <f>'SER_se-appl'!K65</f>
        <v>215.93212724355661</v>
      </c>
      <c r="L15" s="63">
        <f>'SER_se-appl'!L65</f>
        <v>197.00724170902001</v>
      </c>
      <c r="M15" s="63">
        <f>'SER_se-appl'!M65</f>
        <v>184.43660473806855</v>
      </c>
      <c r="N15" s="63">
        <f>'SER_se-appl'!N65</f>
        <v>176.29003069802556</v>
      </c>
      <c r="O15" s="63">
        <f>'SER_se-appl'!O65</f>
        <v>169.44319641048705</v>
      </c>
      <c r="P15" s="63">
        <f>'SER_se-appl'!P65</f>
        <v>166.3403371453366</v>
      </c>
      <c r="Q15" s="63">
        <f>'SER_se-appl'!Q65</f>
        <v>164.47555740346382</v>
      </c>
      <c r="R15" s="63">
        <f>'SER_se-appl'!R65</f>
        <v>160.81472425692613</v>
      </c>
      <c r="S15" s="63">
        <f>'SER_se-appl'!S65</f>
        <v>156.54929696438828</v>
      </c>
      <c r="T15" s="63">
        <f>'SER_se-appl'!T65</f>
        <v>152.36404356506955</v>
      </c>
      <c r="U15" s="63">
        <f>'SER_se-appl'!U65</f>
        <v>148.37685776891703</v>
      </c>
      <c r="V15" s="63">
        <f>'SER_se-appl'!V65</f>
        <v>144.43468787423876</v>
      </c>
      <c r="W15" s="63">
        <f>'SER_se-appl'!W65</f>
        <v>141.65727223812468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32731.246037420238</v>
      </c>
      <c r="C3" s="220">
        <v>33324.284846369606</v>
      </c>
      <c r="D3" s="220">
        <v>32454.300641590449</v>
      </c>
      <c r="E3" s="220">
        <v>32932.548512908863</v>
      </c>
      <c r="F3" s="220">
        <v>31041.887960097909</v>
      </c>
      <c r="G3" s="220">
        <v>28572.54125265652</v>
      </c>
      <c r="H3" s="220">
        <v>26049.109064302309</v>
      </c>
      <c r="I3" s="220">
        <v>27960.734313938901</v>
      </c>
      <c r="J3" s="220">
        <v>26148.258706467659</v>
      </c>
      <c r="K3" s="220">
        <v>23799.69937221846</v>
      </c>
      <c r="L3" s="220">
        <v>26024.34886737851</v>
      </c>
      <c r="M3" s="220">
        <v>25217.504220231142</v>
      </c>
      <c r="N3" s="220">
        <v>24897.97964606206</v>
      </c>
      <c r="O3" s="220">
        <v>26933.413860788161</v>
      </c>
      <c r="P3" s="220">
        <v>26387.99290379808</v>
      </c>
      <c r="Q3" s="220">
        <v>29476</v>
      </c>
      <c r="R3" s="220">
        <v>31328.946975503419</v>
      </c>
      <c r="S3" s="220">
        <v>31903.852213644241</v>
      </c>
      <c r="T3" s="220">
        <v>32334.168136504941</v>
      </c>
      <c r="U3" s="220">
        <v>29501.60694584353</v>
      </c>
      <c r="V3" s="220">
        <v>29693.915111702579</v>
      </c>
      <c r="W3" s="220">
        <v>30851.850482493439</v>
      </c>
      <c r="DA3" s="211" t="s">
        <v>972</v>
      </c>
    </row>
    <row r="5" spans="1:105" x14ac:dyDescent="0.25">
      <c r="A5" s="219" t="s">
        <v>120</v>
      </c>
      <c r="B5" s="220">
        <v>20399.192056777021</v>
      </c>
      <c r="C5" s="220">
        <v>19654.78930362748</v>
      </c>
      <c r="D5" s="220">
        <v>18527.914035131482</v>
      </c>
      <c r="E5" s="220">
        <v>21753.283213654639</v>
      </c>
      <c r="F5" s="220">
        <v>24799.20276746665</v>
      </c>
      <c r="G5" s="220">
        <v>20158.213299255549</v>
      </c>
      <c r="H5" s="220">
        <v>19147.946855195449</v>
      </c>
      <c r="I5" s="220">
        <v>21456.74938256614</v>
      </c>
      <c r="J5" s="220">
        <v>19352.011392217712</v>
      </c>
      <c r="K5" s="220">
        <v>15095.35120197196</v>
      </c>
      <c r="L5" s="220">
        <v>15497.66406931181</v>
      </c>
      <c r="M5" s="220">
        <v>18083.383018746979</v>
      </c>
      <c r="N5" s="220">
        <v>20102.555741474531</v>
      </c>
      <c r="O5" s="220">
        <v>22445.20303675301</v>
      </c>
      <c r="P5" s="220">
        <v>22150.606246509949</v>
      </c>
      <c r="Q5" s="220">
        <v>20524.971382458461</v>
      </c>
      <c r="R5" s="220">
        <v>20253.699432392619</v>
      </c>
      <c r="S5" s="220">
        <v>22096.704527001471</v>
      </c>
      <c r="T5" s="220">
        <v>19665.3668999929</v>
      </c>
      <c r="U5" s="220">
        <v>20622.81046780141</v>
      </c>
      <c r="V5" s="220">
        <v>20285.408804634651</v>
      </c>
      <c r="W5" s="220">
        <v>21680.134987453021</v>
      </c>
      <c r="DA5" s="211" t="s">
        <v>973</v>
      </c>
    </row>
    <row r="6" spans="1:105" x14ac:dyDescent="0.25">
      <c r="A6" s="221" t="s">
        <v>119</v>
      </c>
      <c r="B6" s="222">
        <v>25498.990070971271</v>
      </c>
      <c r="C6" s="222">
        <v>24224.040567422711</v>
      </c>
      <c r="D6" s="222">
        <v>22949.091063874141</v>
      </c>
      <c r="E6" s="222">
        <v>22949.091063874141</v>
      </c>
      <c r="F6" s="222">
        <v>26773.939574519831</v>
      </c>
      <c r="G6" s="222">
        <v>25498.990070971271</v>
      </c>
      <c r="H6" s="222">
        <v>25498.990070971271</v>
      </c>
      <c r="I6" s="222">
        <v>24224.040567422711</v>
      </c>
      <c r="J6" s="222">
        <v>22949.091063874141</v>
      </c>
      <c r="K6" s="222">
        <v>22949.091063874141</v>
      </c>
      <c r="L6" s="222">
        <v>21674.141560325581</v>
      </c>
      <c r="M6" s="222">
        <v>20399.192056777021</v>
      </c>
      <c r="N6" s="222">
        <v>21674.141560325581</v>
      </c>
      <c r="O6" s="222">
        <v>24224.040567422711</v>
      </c>
      <c r="P6" s="222">
        <v>24224.040567422711</v>
      </c>
      <c r="Q6" s="222">
        <v>24224.040567422711</v>
      </c>
      <c r="R6" s="222">
        <v>22949.091063874141</v>
      </c>
      <c r="S6" s="222">
        <v>24224.040567422711</v>
      </c>
      <c r="T6" s="222">
        <v>24224.040567422711</v>
      </c>
      <c r="U6" s="222">
        <v>22949.091063874141</v>
      </c>
      <c r="V6" s="222">
        <v>21674.141560325581</v>
      </c>
      <c r="W6" s="222">
        <v>22949.091063874141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5099.7980141942544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1274.9495035485641</v>
      </c>
      <c r="O7" s="226">
        <v>3824.848510645691</v>
      </c>
      <c r="P7" s="226">
        <v>1274.9495035485641</v>
      </c>
      <c r="Q7" s="226">
        <v>0</v>
      </c>
      <c r="R7" s="226">
        <v>0</v>
      </c>
      <c r="S7" s="226">
        <v>2549.8990070971272</v>
      </c>
      <c r="T7" s="226">
        <v>0</v>
      </c>
      <c r="U7" s="226">
        <v>0</v>
      </c>
      <c r="V7" s="226">
        <v>0</v>
      </c>
      <c r="W7" s="226">
        <v>1274.9495035485641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1274.9495035485597</v>
      </c>
      <c r="D8" s="228">
        <f t="shared" ref="D8" si="1">IF(C6=0,0,C6+D7-D6)</f>
        <v>1274.9495035485706</v>
      </c>
      <c r="E8" s="228">
        <f t="shared" ref="E8" si="2">IF(D6=0,0,D6+E7-E6)</f>
        <v>0</v>
      </c>
      <c r="F8" s="228">
        <f t="shared" ref="F8" si="3">IF(E6=0,0,E6+F7-F6)</f>
        <v>1274.9495035485634</v>
      </c>
      <c r="G8" s="228">
        <f t="shared" ref="G8" si="4">IF(F6=0,0,F6+G7-G6)</f>
        <v>1274.9495035485597</v>
      </c>
      <c r="H8" s="228">
        <f t="shared" ref="H8" si="5">IF(G6=0,0,G6+H7-H6)</f>
        <v>0</v>
      </c>
      <c r="I8" s="228">
        <f t="shared" ref="I8" si="6">IF(H6=0,0,H6+I7-I6)</f>
        <v>1274.9495035485597</v>
      </c>
      <c r="J8" s="228">
        <f t="shared" ref="J8" si="7">IF(I6=0,0,I6+J7-J6)</f>
        <v>1274.9495035485706</v>
      </c>
      <c r="K8" s="228">
        <f t="shared" ref="K8" si="8">IF(J6=0,0,J6+K7-K6)</f>
        <v>0</v>
      </c>
      <c r="L8" s="228">
        <f t="shared" ref="L8" si="9">IF(K6=0,0,K6+L7-L6)</f>
        <v>1274.9495035485597</v>
      </c>
      <c r="M8" s="228">
        <f t="shared" ref="M8" si="10">IF(L6=0,0,L6+M7-M6)</f>
        <v>1274.9495035485597</v>
      </c>
      <c r="N8" s="228">
        <f t="shared" ref="N8" si="11">IF(M6=0,0,M6+N7-N6)</f>
        <v>3.637978807091713E-12</v>
      </c>
      <c r="O8" s="228">
        <f t="shared" ref="O8" si="12">IF(N6=0,0,N6+O7-O6)</f>
        <v>1274.9495035485597</v>
      </c>
      <c r="P8" s="228">
        <f t="shared" ref="P8" si="13">IF(O6=0,0,O6+P7-P6)</f>
        <v>1274.9495035485634</v>
      </c>
      <c r="Q8" s="228">
        <f t="shared" ref="Q8" si="14">IF(P6=0,0,P6+Q7-Q6)</f>
        <v>0</v>
      </c>
      <c r="R8" s="228">
        <f t="shared" ref="R8" si="15">IF(Q6=0,0,Q6+R7-R6)</f>
        <v>1274.9495035485706</v>
      </c>
      <c r="S8" s="228">
        <f t="shared" ref="S8" si="16">IF(R6=0,0,R6+S7-S6)</f>
        <v>1274.9495035485561</v>
      </c>
      <c r="T8" s="228">
        <f t="shared" ref="T8" si="17">IF(S6=0,0,S6+T7-T6)</f>
        <v>0</v>
      </c>
      <c r="U8" s="228">
        <f t="shared" ref="U8" si="18">IF(T6=0,0,T6+U7-U6)</f>
        <v>1274.9495035485706</v>
      </c>
      <c r="V8" s="228">
        <f t="shared" ref="V8" si="19">IF(U6=0,0,U6+V7-V6)</f>
        <v>1274.9495035485597</v>
      </c>
      <c r="W8" s="228">
        <f t="shared" ref="W8" si="20">IF(V6=0,0,V6+W7-W6)</f>
        <v>3.637978807091713E-12</v>
      </c>
      <c r="DA8" s="214" t="s">
        <v>976</v>
      </c>
    </row>
    <row r="9" spans="1:105" x14ac:dyDescent="0.25">
      <c r="A9" s="223" t="s">
        <v>116</v>
      </c>
      <c r="B9" s="224">
        <f>B6-B5</f>
        <v>5099.7980141942498</v>
      </c>
      <c r="C9" s="224">
        <f t="shared" ref="C9:W9" si="21">C6-C5</f>
        <v>4569.2512637952314</v>
      </c>
      <c r="D9" s="224">
        <f t="shared" si="21"/>
        <v>4421.1770287426589</v>
      </c>
      <c r="E9" s="224">
        <f t="shared" si="21"/>
        <v>1195.8078502195021</v>
      </c>
      <c r="F9" s="224">
        <f t="shared" si="21"/>
        <v>1974.7368070531811</v>
      </c>
      <c r="G9" s="224">
        <f t="shared" si="21"/>
        <v>5340.7767717157221</v>
      </c>
      <c r="H9" s="224">
        <f t="shared" si="21"/>
        <v>6351.0432157758223</v>
      </c>
      <c r="I9" s="224">
        <f t="shared" si="21"/>
        <v>2767.2911848565709</v>
      </c>
      <c r="J9" s="224">
        <f t="shared" si="21"/>
        <v>3597.0796716564291</v>
      </c>
      <c r="K9" s="224">
        <f t="shared" si="21"/>
        <v>7853.7398619021806</v>
      </c>
      <c r="L9" s="224">
        <f t="shared" si="21"/>
        <v>6176.4774910137712</v>
      </c>
      <c r="M9" s="224">
        <f t="shared" si="21"/>
        <v>2315.8090380300418</v>
      </c>
      <c r="N9" s="224">
        <f t="shared" si="21"/>
        <v>1571.5858188510501</v>
      </c>
      <c r="O9" s="224">
        <f t="shared" si="21"/>
        <v>1778.8375306697017</v>
      </c>
      <c r="P9" s="224">
        <f t="shared" si="21"/>
        <v>2073.4343209127619</v>
      </c>
      <c r="Q9" s="224">
        <f t="shared" si="21"/>
        <v>3699.0691849642499</v>
      </c>
      <c r="R9" s="224">
        <f t="shared" si="21"/>
        <v>2695.3916314815215</v>
      </c>
      <c r="S9" s="224">
        <f t="shared" si="21"/>
        <v>2127.3360404212399</v>
      </c>
      <c r="T9" s="224">
        <f t="shared" si="21"/>
        <v>4558.6736674298118</v>
      </c>
      <c r="U9" s="224">
        <f t="shared" si="21"/>
        <v>2326.280596072731</v>
      </c>
      <c r="V9" s="224">
        <f t="shared" si="21"/>
        <v>1388.7327556909295</v>
      </c>
      <c r="W9" s="224">
        <f t="shared" si="21"/>
        <v>1268.9560764211201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2579.659071367154</v>
      </c>
      <c r="C12" s="230">
        <f t="shared" ref="C12:W12" si="22">SUM(C13,C14,C18,C19,C26,C27)</f>
        <v>2404.7248495270851</v>
      </c>
      <c r="D12" s="230">
        <f t="shared" si="22"/>
        <v>2368.0631126397243</v>
      </c>
      <c r="E12" s="230">
        <f t="shared" si="22"/>
        <v>2946.1098022355977</v>
      </c>
      <c r="F12" s="230">
        <f t="shared" si="22"/>
        <v>3344.0145313843504</v>
      </c>
      <c r="G12" s="230">
        <f t="shared" si="22"/>
        <v>3112.9634565778156</v>
      </c>
      <c r="H12" s="230">
        <f t="shared" si="22"/>
        <v>2813.4116938950983</v>
      </c>
      <c r="I12" s="230">
        <f t="shared" si="22"/>
        <v>2944.6923473774723</v>
      </c>
      <c r="J12" s="230">
        <f t="shared" si="22"/>
        <v>2696.2621668099746</v>
      </c>
      <c r="K12" s="230">
        <f t="shared" si="22"/>
        <v>2360.3126397248489</v>
      </c>
      <c r="L12" s="230">
        <f t="shared" si="22"/>
        <v>2240.743078245916</v>
      </c>
      <c r="M12" s="230">
        <f t="shared" si="22"/>
        <v>2401.4780739466896</v>
      </c>
      <c r="N12" s="230">
        <f t="shared" si="22"/>
        <v>2714.7097162510745</v>
      </c>
      <c r="O12" s="230">
        <f t="shared" si="22"/>
        <v>2984.0943250214964</v>
      </c>
      <c r="P12" s="230">
        <f t="shared" si="22"/>
        <v>2883.1095442820292</v>
      </c>
      <c r="Q12" s="230">
        <f t="shared" si="22"/>
        <v>2728.1416165090286</v>
      </c>
      <c r="R12" s="230">
        <f t="shared" si="22"/>
        <v>2742.0553740326741</v>
      </c>
      <c r="S12" s="230">
        <f t="shared" si="22"/>
        <v>2759.9250214961307</v>
      </c>
      <c r="T12" s="230">
        <f t="shared" si="22"/>
        <v>2778.3202063628551</v>
      </c>
      <c r="U12" s="230">
        <f t="shared" si="22"/>
        <v>2928.686242476354</v>
      </c>
      <c r="V12" s="230">
        <f t="shared" si="22"/>
        <v>3014.9393809114358</v>
      </c>
      <c r="W12" s="230">
        <f t="shared" si="22"/>
        <v>3090.28950988822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2045.1872742906276</v>
      </c>
      <c r="C14" s="55">
        <f t="shared" ref="C14:W14" si="23">SUM(C15:C17)</f>
        <v>1908.8612209802234</v>
      </c>
      <c r="D14" s="55">
        <f t="shared" si="23"/>
        <v>1876.6742906276868</v>
      </c>
      <c r="E14" s="55">
        <f t="shared" si="23"/>
        <v>2070.1133276010319</v>
      </c>
      <c r="F14" s="55">
        <f t="shared" si="23"/>
        <v>2325.2412725709373</v>
      </c>
      <c r="G14" s="55">
        <f t="shared" si="23"/>
        <v>2263.3157351676691</v>
      </c>
      <c r="H14" s="55">
        <f t="shared" si="23"/>
        <v>1951.614617368873</v>
      </c>
      <c r="I14" s="55">
        <f t="shared" si="23"/>
        <v>2087.0617368873604</v>
      </c>
      <c r="J14" s="55">
        <f t="shared" si="23"/>
        <v>1852.6392089423907</v>
      </c>
      <c r="K14" s="55">
        <f t="shared" si="23"/>
        <v>1738.5592433361987</v>
      </c>
      <c r="L14" s="55">
        <f t="shared" si="23"/>
        <v>1682.053138435082</v>
      </c>
      <c r="M14" s="55">
        <f t="shared" si="23"/>
        <v>1519.7836629406709</v>
      </c>
      <c r="N14" s="55">
        <f t="shared" si="23"/>
        <v>1670.043938091143</v>
      </c>
      <c r="O14" s="55">
        <f t="shared" si="23"/>
        <v>1869.4062768701635</v>
      </c>
      <c r="P14" s="55">
        <f t="shared" si="23"/>
        <v>1734.5801375752362</v>
      </c>
      <c r="Q14" s="55">
        <f t="shared" si="23"/>
        <v>1893.6251074806537</v>
      </c>
      <c r="R14" s="55">
        <f t="shared" si="23"/>
        <v>2002.448237317283</v>
      </c>
      <c r="S14" s="55">
        <f t="shared" si="23"/>
        <v>2011.1970765262254</v>
      </c>
      <c r="T14" s="55">
        <f t="shared" si="23"/>
        <v>2113.2558899398109</v>
      </c>
      <c r="U14" s="55">
        <f t="shared" si="23"/>
        <v>2183.9472055030092</v>
      </c>
      <c r="V14" s="55">
        <f t="shared" si="23"/>
        <v>2330.4814273430784</v>
      </c>
      <c r="W14" s="55">
        <f t="shared" si="23"/>
        <v>2377.3808254514183</v>
      </c>
      <c r="DA14" s="10"/>
    </row>
    <row r="15" spans="1:105" x14ac:dyDescent="0.25">
      <c r="A15" s="61" t="s">
        <v>52</v>
      </c>
      <c r="B15" s="55">
        <v>80.211607910576092</v>
      </c>
      <c r="C15" s="55">
        <v>74.562940670679282</v>
      </c>
      <c r="D15" s="55">
        <v>74.562940670679282</v>
      </c>
      <c r="E15" s="55">
        <v>73.433190025795355</v>
      </c>
      <c r="F15" s="55">
        <v>74.562940670679282</v>
      </c>
      <c r="G15" s="55">
        <v>64.395270851246778</v>
      </c>
      <c r="H15" s="55">
        <v>58.746517626827163</v>
      </c>
      <c r="I15" s="55">
        <v>55.357351676698187</v>
      </c>
      <c r="J15" s="55">
        <v>50.838349097162506</v>
      </c>
      <c r="K15" s="55">
        <v>45.18968185726569</v>
      </c>
      <c r="L15" s="55">
        <v>42.93018056749785</v>
      </c>
      <c r="M15" s="55">
        <v>39.540928632846082</v>
      </c>
      <c r="N15" s="55">
        <v>36.151676698194322</v>
      </c>
      <c r="O15" s="55">
        <v>33.892261392949273</v>
      </c>
      <c r="P15" s="55">
        <v>41.80042992261393</v>
      </c>
      <c r="Q15" s="55">
        <v>47.449097162510739</v>
      </c>
      <c r="R15" s="55">
        <v>53.097850386930347</v>
      </c>
      <c r="S15" s="55">
        <v>50.838349097162506</v>
      </c>
      <c r="T15" s="55">
        <v>50.838349097162506</v>
      </c>
      <c r="U15" s="55">
        <v>59.876268271711091</v>
      </c>
      <c r="V15" s="55">
        <v>55.357351676698187</v>
      </c>
      <c r="W15" s="55">
        <v>49.620464316423039</v>
      </c>
      <c r="DA15" s="10" t="s">
        <v>980</v>
      </c>
    </row>
    <row r="16" spans="1:105" x14ac:dyDescent="0.25">
      <c r="A16" s="61" t="s">
        <v>172</v>
      </c>
      <c r="B16" s="55">
        <v>1901.046173688736</v>
      </c>
      <c r="C16" s="55">
        <v>1789.099054170249</v>
      </c>
      <c r="D16" s="55">
        <v>1754.1797936371449</v>
      </c>
      <c r="E16" s="55">
        <v>1949.316938950989</v>
      </c>
      <c r="F16" s="55">
        <v>2225.589939810834</v>
      </c>
      <c r="G16" s="55">
        <v>2183.4814273430779</v>
      </c>
      <c r="H16" s="55">
        <v>1845.5861564918309</v>
      </c>
      <c r="I16" s="55">
        <v>1987.3172828890799</v>
      </c>
      <c r="J16" s="55">
        <v>1775.747549441101</v>
      </c>
      <c r="K16" s="55">
        <v>1674.070851246775</v>
      </c>
      <c r="L16" s="55">
        <v>1622.719002579536</v>
      </c>
      <c r="M16" s="55">
        <v>1468.6634565778161</v>
      </c>
      <c r="N16" s="55">
        <v>1598.0700773860699</v>
      </c>
      <c r="O16" s="55">
        <v>1660.7194325021499</v>
      </c>
      <c r="P16" s="55">
        <v>1550.8263972484951</v>
      </c>
      <c r="Q16" s="55">
        <v>1765.4772141014619</v>
      </c>
      <c r="R16" s="55">
        <v>1890.7758383490973</v>
      </c>
      <c r="S16" s="55">
        <v>1913.3705932932073</v>
      </c>
      <c r="T16" s="55">
        <v>2003.7498710232162</v>
      </c>
      <c r="U16" s="55">
        <v>2064.3451418744626</v>
      </c>
      <c r="V16" s="55">
        <v>2226.6169389509887</v>
      </c>
      <c r="W16" s="55">
        <v>2279.0668099742043</v>
      </c>
      <c r="DA16" s="10" t="s">
        <v>981</v>
      </c>
    </row>
    <row r="17" spans="1:105" x14ac:dyDescent="0.25">
      <c r="A17" s="61" t="s">
        <v>113</v>
      </c>
      <c r="B17" s="55">
        <v>63.929492691315552</v>
      </c>
      <c r="C17" s="55">
        <v>45.199226139294936</v>
      </c>
      <c r="D17" s="55">
        <v>47.931556319862423</v>
      </c>
      <c r="E17" s="55">
        <v>47.363198624247623</v>
      </c>
      <c r="F17" s="55">
        <v>25.088392089423909</v>
      </c>
      <c r="G17" s="55">
        <v>15.4390369733448</v>
      </c>
      <c r="H17" s="55">
        <v>47.281943250214958</v>
      </c>
      <c r="I17" s="55">
        <v>44.387102321582113</v>
      </c>
      <c r="J17" s="55">
        <v>26.053310404127259</v>
      </c>
      <c r="K17" s="55">
        <v>19.298710232158211</v>
      </c>
      <c r="L17" s="55">
        <v>16.403955288048149</v>
      </c>
      <c r="M17" s="55">
        <v>11.5792777300086</v>
      </c>
      <c r="N17" s="55">
        <v>35.822184006878757</v>
      </c>
      <c r="O17" s="55">
        <v>174.79458297506449</v>
      </c>
      <c r="P17" s="55">
        <v>141.95331040412731</v>
      </c>
      <c r="Q17" s="55">
        <v>80.698796216680989</v>
      </c>
      <c r="R17" s="55">
        <v>58.574548581255364</v>
      </c>
      <c r="S17" s="55">
        <v>46.988134135855546</v>
      </c>
      <c r="T17" s="55">
        <v>58.66766981943249</v>
      </c>
      <c r="U17" s="55">
        <v>59.725795356835761</v>
      </c>
      <c r="V17" s="55">
        <v>48.507136715391241</v>
      </c>
      <c r="W17" s="55">
        <v>48.693551160791053</v>
      </c>
      <c r="DA17" s="10" t="s">
        <v>982</v>
      </c>
    </row>
    <row r="18" spans="1:105" x14ac:dyDescent="0.25">
      <c r="A18" s="60" t="s">
        <v>153</v>
      </c>
      <c r="B18" s="55">
        <v>91.422269991401535</v>
      </c>
      <c r="C18" s="55">
        <v>38.735683576956141</v>
      </c>
      <c r="D18" s="55">
        <v>50.708942390369728</v>
      </c>
      <c r="E18" s="55">
        <v>428.11341358555461</v>
      </c>
      <c r="F18" s="55">
        <v>558.48632846087696</v>
      </c>
      <c r="G18" s="55">
        <v>378.58675838349092</v>
      </c>
      <c r="H18" s="55">
        <v>343.76328460877039</v>
      </c>
      <c r="I18" s="55">
        <v>342.75296646603613</v>
      </c>
      <c r="J18" s="55">
        <v>319.5632846087704</v>
      </c>
      <c r="K18" s="55">
        <v>91.658985382631116</v>
      </c>
      <c r="L18" s="55">
        <v>137.23095442820289</v>
      </c>
      <c r="M18" s="55">
        <v>466.48753224419602</v>
      </c>
      <c r="N18" s="55">
        <v>631.79974204643156</v>
      </c>
      <c r="O18" s="55">
        <v>647.57446259673259</v>
      </c>
      <c r="P18" s="55">
        <v>627.45915735167671</v>
      </c>
      <c r="Q18" s="55">
        <v>257.43981083404992</v>
      </c>
      <c r="R18" s="55">
        <v>151.8069647463457</v>
      </c>
      <c r="S18" s="55">
        <v>168.16603611349959</v>
      </c>
      <c r="T18" s="55">
        <v>156.2123817712812</v>
      </c>
      <c r="U18" s="55">
        <v>195.3783319002579</v>
      </c>
      <c r="V18" s="55">
        <v>161.28486672398967</v>
      </c>
      <c r="W18" s="55">
        <v>145.98022355975925</v>
      </c>
      <c r="DA18" s="10" t="s">
        <v>983</v>
      </c>
    </row>
    <row r="19" spans="1:105" x14ac:dyDescent="0.25">
      <c r="A19" s="60" t="s">
        <v>51</v>
      </c>
      <c r="B19" s="55">
        <f>SUM(B20:B25)</f>
        <v>11.923129836629405</v>
      </c>
      <c r="C19" s="55">
        <f t="shared" ref="C19:W19" si="24">SUM(C20:C25)</f>
        <v>11.986070507308684</v>
      </c>
      <c r="D19" s="55">
        <f t="shared" si="24"/>
        <v>11.789079965606188</v>
      </c>
      <c r="E19" s="55">
        <f t="shared" si="24"/>
        <v>13.489251934651765</v>
      </c>
      <c r="F19" s="55">
        <f t="shared" si="24"/>
        <v>13.855288048151328</v>
      </c>
      <c r="G19" s="55">
        <f t="shared" si="24"/>
        <v>15.858899398108338</v>
      </c>
      <c r="H19" s="55">
        <f t="shared" si="24"/>
        <v>19.065606190885642</v>
      </c>
      <c r="I19" s="55">
        <f t="shared" si="24"/>
        <v>19.864746345657778</v>
      </c>
      <c r="J19" s="55">
        <f t="shared" si="24"/>
        <v>32.056233877901974</v>
      </c>
      <c r="K19" s="55">
        <f t="shared" si="24"/>
        <v>58.46930352536544</v>
      </c>
      <c r="L19" s="55">
        <f t="shared" si="24"/>
        <v>64.709200343938093</v>
      </c>
      <c r="M19" s="55">
        <f t="shared" si="24"/>
        <v>66.2816852966466</v>
      </c>
      <c r="N19" s="55">
        <f t="shared" si="24"/>
        <v>68.584006878761826</v>
      </c>
      <c r="O19" s="55">
        <f t="shared" si="24"/>
        <v>79.581341358555449</v>
      </c>
      <c r="P19" s="55">
        <f t="shared" si="24"/>
        <v>76.788220120378327</v>
      </c>
      <c r="Q19" s="55">
        <f t="shared" si="24"/>
        <v>76.044883920894236</v>
      </c>
      <c r="R19" s="55">
        <f t="shared" si="24"/>
        <v>73.2687876182287</v>
      </c>
      <c r="S19" s="55">
        <f t="shared" si="24"/>
        <v>73.941100601891648</v>
      </c>
      <c r="T19" s="55">
        <f t="shared" si="24"/>
        <v>77.72553740326741</v>
      </c>
      <c r="U19" s="55">
        <f t="shared" si="24"/>
        <v>77.821582115219258</v>
      </c>
      <c r="V19" s="55">
        <f t="shared" si="24"/>
        <v>71.324419604471188</v>
      </c>
      <c r="W19" s="55">
        <f t="shared" si="24"/>
        <v>71.399656061908857</v>
      </c>
      <c r="DA19" s="10"/>
    </row>
    <row r="20" spans="1:105" x14ac:dyDescent="0.25">
      <c r="A20" s="61" t="s">
        <v>171</v>
      </c>
      <c r="B20" s="55">
        <v>8.7656061908856397</v>
      </c>
      <c r="C20" s="55">
        <v>8.8134135855545992</v>
      </c>
      <c r="D20" s="55">
        <v>8.8134135855545992</v>
      </c>
      <c r="E20" s="55">
        <v>12.419948409286331</v>
      </c>
      <c r="F20" s="55">
        <v>13.017110920034391</v>
      </c>
      <c r="G20" s="55">
        <v>15.21444539982803</v>
      </c>
      <c r="H20" s="55">
        <v>18.295614789337922</v>
      </c>
      <c r="I20" s="55">
        <v>19.083748925193461</v>
      </c>
      <c r="J20" s="55">
        <v>27.84944110060189</v>
      </c>
      <c r="K20" s="55">
        <v>56.248237317282893</v>
      </c>
      <c r="L20" s="55">
        <v>58.947205503009457</v>
      </c>
      <c r="M20" s="55">
        <v>61.622269991401552</v>
      </c>
      <c r="N20" s="55">
        <v>62.888134135855537</v>
      </c>
      <c r="O20" s="55">
        <v>65.061650902837485</v>
      </c>
      <c r="P20" s="55">
        <v>65.443766122098012</v>
      </c>
      <c r="Q20" s="55">
        <v>68.381599312123811</v>
      </c>
      <c r="R20" s="55">
        <v>65.443766122098012</v>
      </c>
      <c r="S20" s="55">
        <v>65.443766122098012</v>
      </c>
      <c r="T20" s="55">
        <v>67.330696474634564</v>
      </c>
      <c r="U20" s="55">
        <v>67.760619088564056</v>
      </c>
      <c r="V20" s="55">
        <v>67.688907996560616</v>
      </c>
      <c r="W20" s="55">
        <v>66.375236457437651</v>
      </c>
      <c r="DA20" s="10" t="s">
        <v>984</v>
      </c>
    </row>
    <row r="21" spans="1:105" x14ac:dyDescent="0.25">
      <c r="A21" s="61" t="s">
        <v>50</v>
      </c>
      <c r="B21" s="55">
        <v>7.1625107480653469E-2</v>
      </c>
      <c r="C21" s="55">
        <v>7.1625107480653469E-2</v>
      </c>
      <c r="D21" s="55">
        <v>7.1625107480653469E-2</v>
      </c>
      <c r="E21" s="55">
        <v>7.1625107480653469E-2</v>
      </c>
      <c r="F21" s="55">
        <v>7.1625107480653469E-2</v>
      </c>
      <c r="G21" s="55">
        <v>7.1625107480653469E-2</v>
      </c>
      <c r="H21" s="55">
        <v>7.1625107480653469E-2</v>
      </c>
      <c r="I21" s="55">
        <v>7.1625107480653469E-2</v>
      </c>
      <c r="J21" s="55">
        <v>3.2960447119518479</v>
      </c>
      <c r="K21" s="55">
        <v>0.9792777300085983</v>
      </c>
      <c r="L21" s="55">
        <v>4.5380911435941522</v>
      </c>
      <c r="M21" s="55">
        <v>3.224419604471195</v>
      </c>
      <c r="N21" s="55">
        <v>3.6065348237317281</v>
      </c>
      <c r="O21" s="55">
        <v>10.867497850386931</v>
      </c>
      <c r="P21" s="55">
        <v>7.690799656061909</v>
      </c>
      <c r="Q21" s="55">
        <v>0.90765262252794487</v>
      </c>
      <c r="R21" s="55">
        <v>1.7196904557179711</v>
      </c>
      <c r="S21" s="55">
        <v>1.7674978503869301</v>
      </c>
      <c r="T21" s="55">
        <v>1.6002579535683581</v>
      </c>
      <c r="U21" s="55">
        <v>1.9107480653482369</v>
      </c>
      <c r="V21" s="55">
        <v>1.8391229578675841</v>
      </c>
      <c r="W21" s="55">
        <v>2.507910576096303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0.64488392089423896</v>
      </c>
      <c r="O22" s="55">
        <v>2.1981083404987101</v>
      </c>
      <c r="P22" s="55">
        <v>2.1981083404987101</v>
      </c>
      <c r="Q22" s="55">
        <v>4.9233018056749778</v>
      </c>
      <c r="R22" s="55">
        <v>4.2784178847807386</v>
      </c>
      <c r="S22" s="55">
        <v>4.9233018056749778</v>
      </c>
      <c r="T22" s="55">
        <v>7.0035253654342213</v>
      </c>
      <c r="U22" s="55">
        <v>6.3586414445399821</v>
      </c>
      <c r="V22" s="55">
        <v>0</v>
      </c>
      <c r="W22" s="55">
        <v>0.72364574376612201</v>
      </c>
      <c r="DA22" s="10" t="s">
        <v>986</v>
      </c>
    </row>
    <row r="23" spans="1:105" x14ac:dyDescent="0.25">
      <c r="A23" s="61" t="s">
        <v>26</v>
      </c>
      <c r="B23" s="55">
        <v>0.20154772141014615</v>
      </c>
      <c r="C23" s="55">
        <v>0.21668099742046432</v>
      </c>
      <c r="D23" s="55">
        <v>0.22123817712811689</v>
      </c>
      <c r="E23" s="55">
        <v>0.24067067927773</v>
      </c>
      <c r="F23" s="55">
        <v>0.3183147033533964</v>
      </c>
      <c r="G23" s="55">
        <v>0.40455717970765259</v>
      </c>
      <c r="H23" s="55">
        <v>0.69836629406706785</v>
      </c>
      <c r="I23" s="55">
        <v>0.70937231298366288</v>
      </c>
      <c r="J23" s="55">
        <v>0.91074806534823716</v>
      </c>
      <c r="K23" s="55">
        <v>1.2417884780739468</v>
      </c>
      <c r="L23" s="55">
        <v>1.2239036973344797</v>
      </c>
      <c r="M23" s="55">
        <v>1.4349957007738607</v>
      </c>
      <c r="N23" s="55">
        <v>1.4444539982803093</v>
      </c>
      <c r="O23" s="55">
        <v>1.45408426483233</v>
      </c>
      <c r="P23" s="55">
        <v>1.45554600171969</v>
      </c>
      <c r="Q23" s="55">
        <v>1.8323301805674979</v>
      </c>
      <c r="R23" s="55">
        <v>1.826913155631986</v>
      </c>
      <c r="S23" s="55">
        <v>1.8065348237317278</v>
      </c>
      <c r="T23" s="55">
        <v>1.7910576096302662</v>
      </c>
      <c r="U23" s="55">
        <v>1.7915735167669822</v>
      </c>
      <c r="V23" s="55">
        <v>1.7963886500429922</v>
      </c>
      <c r="W23" s="55">
        <v>1.7928632846087702</v>
      </c>
      <c r="DA23" s="10" t="s">
        <v>987</v>
      </c>
    </row>
    <row r="24" spans="1:105" x14ac:dyDescent="0.25">
      <c r="A24" s="61" t="s">
        <v>25</v>
      </c>
      <c r="B24" s="55">
        <v>2.884350816852967</v>
      </c>
      <c r="C24" s="55">
        <v>2.884350816852967</v>
      </c>
      <c r="D24" s="55">
        <v>2.6828030954428201</v>
      </c>
      <c r="E24" s="55">
        <v>0.75700773860705073</v>
      </c>
      <c r="F24" s="55">
        <v>0.44823731728288913</v>
      </c>
      <c r="G24" s="55">
        <v>0.1682717110920034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431.12639724849532</v>
      </c>
      <c r="C27" s="63">
        <v>445.14187446259672</v>
      </c>
      <c r="D27" s="63">
        <v>428.89079965606192</v>
      </c>
      <c r="E27" s="63">
        <v>434.39380911435939</v>
      </c>
      <c r="F27" s="63">
        <v>446.43164230438521</v>
      </c>
      <c r="G27" s="63">
        <v>455.20206362854691</v>
      </c>
      <c r="H27" s="63">
        <v>498.96818572656917</v>
      </c>
      <c r="I27" s="63">
        <v>495.01289767841791</v>
      </c>
      <c r="J27" s="63">
        <v>492.0034393809114</v>
      </c>
      <c r="K27" s="63">
        <v>471.62510748065353</v>
      </c>
      <c r="L27" s="63">
        <v>356.74978503869301</v>
      </c>
      <c r="M27" s="63">
        <v>348.92519346517622</v>
      </c>
      <c r="N27" s="63">
        <v>344.28202923473771</v>
      </c>
      <c r="O27" s="63">
        <v>387.5322441960447</v>
      </c>
      <c r="P27" s="63">
        <v>444.28202923473771</v>
      </c>
      <c r="Q27" s="63">
        <v>501.03181427343083</v>
      </c>
      <c r="R27" s="63">
        <v>514.53138435081678</v>
      </c>
      <c r="S27" s="63">
        <v>506.62080825451409</v>
      </c>
      <c r="T27" s="63">
        <v>431.12639724849532</v>
      </c>
      <c r="U27" s="63">
        <v>471.53912295786751</v>
      </c>
      <c r="V27" s="63">
        <v>451.84866723989683</v>
      </c>
      <c r="W27" s="63">
        <v>495.52880481513319</v>
      </c>
      <c r="DA27" s="11" t="s">
        <v>991</v>
      </c>
    </row>
    <row r="29" spans="1:105" x14ac:dyDescent="0.25">
      <c r="A29" s="219" t="s">
        <v>84</v>
      </c>
      <c r="B29" s="220">
        <v>6530.928386040001</v>
      </c>
      <c r="C29" s="220">
        <v>5982.56521488</v>
      </c>
      <c r="D29" s="220">
        <v>5911.6899290399997</v>
      </c>
      <c r="E29" s="220">
        <v>7400.3925578400003</v>
      </c>
      <c r="F29" s="220">
        <v>8494.7685321600002</v>
      </c>
      <c r="G29" s="220">
        <v>7883.4519086399996</v>
      </c>
      <c r="H29" s="220">
        <v>6841.6323847199983</v>
      </c>
      <c r="I29" s="220">
        <v>7260.6339543599997</v>
      </c>
      <c r="J29" s="220">
        <v>6478.4374326000016</v>
      </c>
      <c r="K29" s="220">
        <v>5590.8814067999983</v>
      </c>
      <c r="L29" s="220">
        <v>5523.2556652800013</v>
      </c>
      <c r="M29" s="220">
        <v>5794.0782461999997</v>
      </c>
      <c r="N29" s="220">
        <v>6645.5491445999987</v>
      </c>
      <c r="O29" s="220">
        <v>7288.9923740400018</v>
      </c>
      <c r="P29" s="220">
        <v>6821.0801279999996</v>
      </c>
      <c r="Q29" s="220">
        <v>6448.5442195200012</v>
      </c>
      <c r="R29" s="220">
        <v>6537.6007722000013</v>
      </c>
      <c r="S29" s="220">
        <v>6605.2752660000015</v>
      </c>
      <c r="T29" s="220">
        <v>6892.4145985200012</v>
      </c>
      <c r="U29" s="220">
        <v>7199.3464016400003</v>
      </c>
      <c r="V29" s="220">
        <v>7575.7585608000009</v>
      </c>
      <c r="W29" s="220">
        <v>7687.8053855999988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78.813347601186322</v>
      </c>
      <c r="C31" s="59">
        <f t="shared" si="25"/>
        <v>72.161334012515468</v>
      </c>
      <c r="D31" s="59">
        <f t="shared" si="25"/>
        <v>72.966080483183546</v>
      </c>
      <c r="E31" s="59">
        <f t="shared" si="25"/>
        <v>89.458907229143989</v>
      </c>
      <c r="F31" s="59">
        <f t="shared" si="25"/>
        <v>107.72587465307646</v>
      </c>
      <c r="G31" s="59">
        <f t="shared" si="25"/>
        <v>108.94947806885708</v>
      </c>
      <c r="H31" s="59">
        <f t="shared" si="25"/>
        <v>108.00414275014867</v>
      </c>
      <c r="I31" s="59">
        <f t="shared" si="25"/>
        <v>105.31527227843559</v>
      </c>
      <c r="J31" s="59">
        <f t="shared" si="25"/>
        <v>103.11440609018702</v>
      </c>
      <c r="K31" s="59">
        <f t="shared" si="25"/>
        <v>99.17405269749149</v>
      </c>
      <c r="L31" s="59">
        <f t="shared" si="25"/>
        <v>86.101792197179037</v>
      </c>
      <c r="M31" s="59">
        <f t="shared" si="25"/>
        <v>95.23060065635147</v>
      </c>
      <c r="N31" s="59">
        <f t="shared" si="25"/>
        <v>109.03333342070754</v>
      </c>
      <c r="O31" s="59">
        <f t="shared" si="25"/>
        <v>110.79525010997519</v>
      </c>
      <c r="P31" s="59">
        <f t="shared" si="25"/>
        <v>109.25838713057472</v>
      </c>
      <c r="Q31" s="59">
        <f t="shared" si="25"/>
        <v>92.55467554990598</v>
      </c>
      <c r="R31" s="59">
        <f t="shared" si="25"/>
        <v>87.524658143688285</v>
      </c>
      <c r="S31" s="59">
        <f t="shared" si="25"/>
        <v>86.507579179287958</v>
      </c>
      <c r="T31" s="59">
        <f t="shared" si="25"/>
        <v>85.925210589418569</v>
      </c>
      <c r="U31" s="59">
        <f t="shared" si="25"/>
        <v>99.2720921220522</v>
      </c>
      <c r="V31" s="59">
        <f t="shared" si="25"/>
        <v>101.5339125733281</v>
      </c>
      <c r="W31" s="59">
        <f t="shared" si="25"/>
        <v>100.16545074473807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122.34803499436497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132.91816907674803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49.565615995052184</v>
      </c>
      <c r="C33" s="55">
        <f>IF(AGR_ued!C$5=0,"",AGR_ued!C$5/C$5*1000)</f>
        <v>48.371284062931508</v>
      </c>
      <c r="D33" s="55">
        <f>IF(AGR_ued!D$5=0,"",AGR_ued!D$5/D$5*1000)</f>
        <v>50.434844466008215</v>
      </c>
      <c r="E33" s="55">
        <f>IF(AGR_ued!E$5=0,"",AGR_ued!E$5/E$5*1000)</f>
        <v>53.237156003357775</v>
      </c>
      <c r="F33" s="55">
        <f>IF(AGR_ued!F$5=0,"",AGR_ued!F$5/F$5*1000)</f>
        <v>52.826416769153376</v>
      </c>
      <c r="G33" s="55">
        <f>IF(AGR_ued!G$5=0,"",AGR_ued!G$5/G$5*1000)</f>
        <v>60.575968194383776</v>
      </c>
      <c r="H33" s="55">
        <f>IF(AGR_ued!H$5=0,"",AGR_ued!H$5/H$5*1000)</f>
        <v>58.507399915842726</v>
      </c>
      <c r="I33" s="55">
        <f>IF(AGR_ued!I$5=0,"",AGR_ued!I$5/I$5*1000)</f>
        <v>54.351873837799005</v>
      </c>
      <c r="J33" s="55">
        <f>IF(AGR_ued!J$5=0,"",AGR_ued!J$5/J$5*1000)</f>
        <v>55.634793837147981</v>
      </c>
      <c r="K33" s="55">
        <f>IF(AGR_ued!K$5=0,"",AGR_ued!K$5/K$5*1000)</f>
        <v>62.40753581672589</v>
      </c>
      <c r="L33" s="55">
        <f>IF(AGR_ued!L$5=0,"",AGR_ued!L$5/L$5*1000)</f>
        <v>56.534732536608615</v>
      </c>
      <c r="M33" s="55">
        <f>IF(AGR_ued!M$5=0,"",AGR_ued!M$5/M$5*1000)</f>
        <v>52.357737385131649</v>
      </c>
      <c r="N33" s="55">
        <f>IF(AGR_ued!N$5=0,"",AGR_ued!N$5/N$5*1000)</f>
        <v>52.989224113884305</v>
      </c>
      <c r="O33" s="55">
        <f>IF(AGR_ued!O$5=0,"",AGR_ued!O$5/O$5*1000)</f>
        <v>51.929821366181983</v>
      </c>
      <c r="P33" s="55">
        <f>IF(AGR_ued!P$5=0,"",AGR_ued!P$5/P$5*1000)</f>
        <v>51.494224739604846</v>
      </c>
      <c r="Q33" s="55">
        <f>IF(AGR_ued!Q$5=0,"",AGR_ued!Q$5/Q$5*1000)</f>
        <v>52.745327692455433</v>
      </c>
      <c r="R33" s="55">
        <f>IF(AGR_ued!R$5=0,"",AGR_ued!R$5/R$5*1000)</f>
        <v>53.673220259140038</v>
      </c>
      <c r="S33" s="55">
        <f>IF(AGR_ued!S$5=0,"",AGR_ued!S$5/S$5*1000)</f>
        <v>49.457580937735202</v>
      </c>
      <c r="T33" s="55">
        <f>IF(AGR_ued!T$5=0,"",AGR_ued!T$5/T$5*1000)</f>
        <v>55.016091611986091</v>
      </c>
      <c r="U33" s="55">
        <f>IF(AGR_ued!U$5=0,"",AGR_ued!U$5/U$5*1000)</f>
        <v>55.549792698476843</v>
      </c>
      <c r="V33" s="55">
        <f>IF(AGR_ued!V$5=0,"",AGR_ued!V$5/V$5*1000)</f>
        <v>57.747656811116379</v>
      </c>
      <c r="W33" s="55">
        <f>IF(AGR_ued!W$5=0,"",AGR_ued!W$5/W$5*1000)</f>
        <v>55.66941407406798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2.5317021379025775</v>
      </c>
      <c r="C34" s="218">
        <f t="shared" si="27"/>
        <v>2.4878377316459033</v>
      </c>
      <c r="D34" s="218">
        <f t="shared" si="27"/>
        <v>2.4964241440550663</v>
      </c>
      <c r="E34" s="218">
        <f t="shared" si="27"/>
        <v>2.5119201437177789</v>
      </c>
      <c r="F34" s="218">
        <f t="shared" si="27"/>
        <v>2.5402905556882698</v>
      </c>
      <c r="G34" s="218">
        <f t="shared" si="27"/>
        <v>2.5324588671228865</v>
      </c>
      <c r="H34" s="218">
        <f t="shared" si="27"/>
        <v>2.431792119001229</v>
      </c>
      <c r="I34" s="218">
        <f t="shared" si="27"/>
        <v>2.465668089512401</v>
      </c>
      <c r="J34" s="218">
        <f t="shared" si="27"/>
        <v>2.4027475934451981</v>
      </c>
      <c r="K34" s="218">
        <f t="shared" si="27"/>
        <v>2.3687037525044774</v>
      </c>
      <c r="L34" s="218">
        <f t="shared" si="27"/>
        <v>2.464921444543156</v>
      </c>
      <c r="M34" s="218">
        <f t="shared" si="27"/>
        <v>2.4127133655972837</v>
      </c>
      <c r="N34" s="218">
        <f t="shared" si="27"/>
        <v>2.447977809493858</v>
      </c>
      <c r="O34" s="218">
        <f t="shared" si="27"/>
        <v>2.4426146026692686</v>
      </c>
      <c r="P34" s="218">
        <f t="shared" si="27"/>
        <v>2.3658761567100393</v>
      </c>
      <c r="Q34" s="218">
        <f t="shared" si="27"/>
        <v>2.3637131520216519</v>
      </c>
      <c r="R34" s="218">
        <f t="shared" si="27"/>
        <v>2.3841972099145874</v>
      </c>
      <c r="S34" s="218">
        <f t="shared" si="27"/>
        <v>2.3932806922484224</v>
      </c>
      <c r="T34" s="218">
        <f t="shared" si="27"/>
        <v>2.4807848219708899</v>
      </c>
      <c r="U34" s="218">
        <f t="shared" si="27"/>
        <v>2.458217031658736</v>
      </c>
      <c r="V34" s="218">
        <f t="shared" si="27"/>
        <v>2.5127399272982398</v>
      </c>
      <c r="W34" s="218">
        <f t="shared" si="27"/>
        <v>2.4877298262835179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2579.6590713671535</v>
      </c>
      <c r="C5" s="80">
        <f t="shared" ref="C5:W5" si="1">SUM(C6:C9,C16:C17,C25:C27)</f>
        <v>2404.7248495270842</v>
      </c>
      <c r="D5" s="80">
        <f t="shared" si="1"/>
        <v>2368.0631126397229</v>
      </c>
      <c r="E5" s="80">
        <f t="shared" si="1"/>
        <v>2946.1098022355973</v>
      </c>
      <c r="F5" s="80">
        <f t="shared" si="1"/>
        <v>3344.0145313843523</v>
      </c>
      <c r="G5" s="80">
        <f t="shared" si="1"/>
        <v>3112.9634565778156</v>
      </c>
      <c r="H5" s="80">
        <f t="shared" si="1"/>
        <v>2813.4116938950988</v>
      </c>
      <c r="I5" s="80">
        <f t="shared" si="1"/>
        <v>2944.6923473774723</v>
      </c>
      <c r="J5" s="80">
        <f t="shared" si="1"/>
        <v>2696.2621668099746</v>
      </c>
      <c r="K5" s="80">
        <f t="shared" si="1"/>
        <v>2360.3126397248475</v>
      </c>
      <c r="L5" s="80">
        <f t="shared" si="1"/>
        <v>2240.7430782459155</v>
      </c>
      <c r="M5" s="80">
        <f t="shared" si="1"/>
        <v>2401.4780739466896</v>
      </c>
      <c r="N5" s="80">
        <f t="shared" si="1"/>
        <v>2714.7097162510736</v>
      </c>
      <c r="O5" s="80">
        <f t="shared" si="1"/>
        <v>2984.0943250214955</v>
      </c>
      <c r="P5" s="80">
        <f t="shared" si="1"/>
        <v>2883.1095442820279</v>
      </c>
      <c r="Q5" s="80">
        <f t="shared" si="1"/>
        <v>2728.1416165090277</v>
      </c>
      <c r="R5" s="80">
        <f t="shared" si="1"/>
        <v>2742.0553740326741</v>
      </c>
      <c r="S5" s="80">
        <f t="shared" si="1"/>
        <v>2759.9250214961303</v>
      </c>
      <c r="T5" s="80">
        <f t="shared" si="1"/>
        <v>2778.3202063628546</v>
      </c>
      <c r="U5" s="80">
        <f t="shared" si="1"/>
        <v>2928.6862424763535</v>
      </c>
      <c r="V5" s="80">
        <f t="shared" si="1"/>
        <v>3014.9393809114349</v>
      </c>
      <c r="W5" s="80">
        <f t="shared" si="1"/>
        <v>3090.2895098882186</v>
      </c>
      <c r="DA5" s="103"/>
    </row>
    <row r="6" spans="1:105" x14ac:dyDescent="0.25">
      <c r="A6" s="239" t="s">
        <v>125</v>
      </c>
      <c r="B6" s="240">
        <v>70.408736074205791</v>
      </c>
      <c r="C6" s="240">
        <v>70.357945128102187</v>
      </c>
      <c r="D6" s="240">
        <v>68.272402138821519</v>
      </c>
      <c r="E6" s="240">
        <v>73.949973758785319</v>
      </c>
      <c r="F6" s="240">
        <v>78.072947787210424</v>
      </c>
      <c r="G6" s="240">
        <v>77.813248760012371</v>
      </c>
      <c r="H6" s="240">
        <v>80.397820335054135</v>
      </c>
      <c r="I6" s="240">
        <v>81.177091838304776</v>
      </c>
      <c r="J6" s="240">
        <v>78.620427676153369</v>
      </c>
      <c r="K6" s="240">
        <v>72.630784678815175</v>
      </c>
      <c r="L6" s="240">
        <v>59.243488953079691</v>
      </c>
      <c r="M6" s="240">
        <v>59.689349573796619</v>
      </c>
      <c r="N6" s="240">
        <v>60.858121082534318</v>
      </c>
      <c r="O6" s="240">
        <v>67.705801412611848</v>
      </c>
      <c r="P6" s="240">
        <v>74.335906276980396</v>
      </c>
      <c r="Q6" s="240">
        <v>79.22694189711892</v>
      </c>
      <c r="R6" s="240">
        <v>80.808984130031149</v>
      </c>
      <c r="S6" s="240">
        <v>80.290849898894763</v>
      </c>
      <c r="T6" s="240">
        <v>71.965739587708157</v>
      </c>
      <c r="U6" s="240">
        <v>77.874686073399417</v>
      </c>
      <c r="V6" s="240">
        <v>76.264584283239856</v>
      </c>
      <c r="W6" s="240">
        <v>82.079790694406668</v>
      </c>
      <c r="DA6" s="268" t="s">
        <v>993</v>
      </c>
    </row>
    <row r="7" spans="1:105" x14ac:dyDescent="0.25">
      <c r="A7" s="241" t="s">
        <v>124</v>
      </c>
      <c r="B7" s="242">
        <v>45.765678448233757</v>
      </c>
      <c r="C7" s="242">
        <v>45.732664333266413</v>
      </c>
      <c r="D7" s="242">
        <v>44.377061390233983</v>
      </c>
      <c r="E7" s="242">
        <v>48.06748294321045</v>
      </c>
      <c r="F7" s="242">
        <v>50.747416061686778</v>
      </c>
      <c r="G7" s="242">
        <v>50.578611694008032</v>
      </c>
      <c r="H7" s="242">
        <v>52.25858321778518</v>
      </c>
      <c r="I7" s="242">
        <v>52.765109694898079</v>
      </c>
      <c r="J7" s="242">
        <v>51.103277989499666</v>
      </c>
      <c r="K7" s="242">
        <v>47.210010041229843</v>
      </c>
      <c r="L7" s="242">
        <v>38.508267819501803</v>
      </c>
      <c r="M7" s="242">
        <v>38.798077222967798</v>
      </c>
      <c r="N7" s="242">
        <v>39.557778703647287</v>
      </c>
      <c r="O7" s="242">
        <v>44.00877091819769</v>
      </c>
      <c r="P7" s="242">
        <v>48.318339080037262</v>
      </c>
      <c r="Q7" s="242">
        <v>51.497512233127267</v>
      </c>
      <c r="R7" s="242">
        <v>52.52583968452025</v>
      </c>
      <c r="S7" s="242">
        <v>52.189052434281592</v>
      </c>
      <c r="T7" s="242">
        <v>46.777730732010291</v>
      </c>
      <c r="U7" s="242">
        <v>50.618545947709599</v>
      </c>
      <c r="V7" s="242">
        <v>49.571979784105899</v>
      </c>
      <c r="W7" s="242">
        <v>53.351863951364308</v>
      </c>
      <c r="DA7" s="269" t="s">
        <v>994</v>
      </c>
    </row>
    <row r="8" spans="1:105" x14ac:dyDescent="0.25">
      <c r="A8" s="241" t="s">
        <v>123</v>
      </c>
      <c r="B8" s="242">
        <v>63.367862466785198</v>
      </c>
      <c r="C8" s="242">
        <v>63.322150615291953</v>
      </c>
      <c r="D8" s="242">
        <v>61.445161924939342</v>
      </c>
      <c r="E8" s="242">
        <v>66.554976382906816</v>
      </c>
      <c r="F8" s="242">
        <v>70.26565300848938</v>
      </c>
      <c r="G8" s="242">
        <v>70.031923884011121</v>
      </c>
      <c r="H8" s="242">
        <v>72.358038301548717</v>
      </c>
      <c r="I8" s="242">
        <v>73.059382654474277</v>
      </c>
      <c r="J8" s="242">
        <v>70.758384908538034</v>
      </c>
      <c r="K8" s="242">
        <v>65.367706210933662</v>
      </c>
      <c r="L8" s="242">
        <v>53.319140057771712</v>
      </c>
      <c r="M8" s="242">
        <v>53.720414616416953</v>
      </c>
      <c r="N8" s="242">
        <v>54.772308974280882</v>
      </c>
      <c r="O8" s="242">
        <v>60.935221271350663</v>
      </c>
      <c r="P8" s="242">
        <v>66.902315649282357</v>
      </c>
      <c r="Q8" s="242">
        <v>71.304247707407001</v>
      </c>
      <c r="R8" s="242">
        <v>72.728085717028023</v>
      </c>
      <c r="S8" s="242">
        <v>72.261764909005308</v>
      </c>
      <c r="T8" s="242">
        <v>64.769165628937344</v>
      </c>
      <c r="U8" s="242">
        <v>70.087217466059442</v>
      </c>
      <c r="V8" s="242">
        <v>68.63812585491587</v>
      </c>
      <c r="W8" s="242">
        <v>73.871811624965972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499.04383665072919</v>
      </c>
      <c r="C9" s="244">
        <f t="shared" ref="C9:W9" si="3">SUM(C10:C15)</f>
        <v>464.71609365444408</v>
      </c>
      <c r="D9" s="244">
        <f t="shared" si="3"/>
        <v>457.56811007048037</v>
      </c>
      <c r="E9" s="244">
        <f t="shared" si="3"/>
        <v>585.41870976877169</v>
      </c>
      <c r="F9" s="244">
        <f t="shared" si="3"/>
        <v>673.06050318951009</v>
      </c>
      <c r="G9" s="244">
        <f t="shared" si="3"/>
        <v>618.80760549026809</v>
      </c>
      <c r="H9" s="244">
        <f t="shared" si="3"/>
        <v>554.199847232607</v>
      </c>
      <c r="I9" s="244">
        <f t="shared" si="3"/>
        <v>580.37515866537558</v>
      </c>
      <c r="J9" s="244">
        <f t="shared" si="3"/>
        <v>531.70436043515735</v>
      </c>
      <c r="K9" s="244">
        <f t="shared" si="3"/>
        <v>458.92976843076104</v>
      </c>
      <c r="L9" s="244">
        <f t="shared" si="3"/>
        <v>436.72260018255167</v>
      </c>
      <c r="M9" s="244">
        <f t="shared" si="3"/>
        <v>482.18361748660459</v>
      </c>
      <c r="N9" s="244">
        <f t="shared" si="3"/>
        <v>553.83260872436335</v>
      </c>
      <c r="O9" s="244">
        <f t="shared" si="3"/>
        <v>599.37435594484293</v>
      </c>
      <c r="P9" s="244">
        <f t="shared" si="3"/>
        <v>575.29582927756485</v>
      </c>
      <c r="Q9" s="244">
        <f t="shared" si="3"/>
        <v>530.68699858697755</v>
      </c>
      <c r="R9" s="244">
        <f t="shared" si="3"/>
        <v>531.29171301171743</v>
      </c>
      <c r="S9" s="244">
        <f t="shared" si="3"/>
        <v>535.93396824174806</v>
      </c>
      <c r="T9" s="244">
        <f t="shared" si="3"/>
        <v>539.44557884642541</v>
      </c>
      <c r="U9" s="244">
        <f t="shared" si="3"/>
        <v>568.91522695245737</v>
      </c>
      <c r="V9" s="244">
        <f t="shared" si="3"/>
        <v>587.27747196524172</v>
      </c>
      <c r="W9" s="244">
        <f t="shared" si="3"/>
        <v>600.66531164521462</v>
      </c>
      <c r="DA9" s="270"/>
    </row>
    <row r="10" spans="1:105" x14ac:dyDescent="0.25">
      <c r="A10" s="254" t="s">
        <v>173</v>
      </c>
      <c r="B10" s="255">
        <v>387.12228305815029</v>
      </c>
      <c r="C10" s="255">
        <v>357.26055881671391</v>
      </c>
      <c r="D10" s="255">
        <v>351.82569534468502</v>
      </c>
      <c r="E10" s="255">
        <v>371.00352771320428</v>
      </c>
      <c r="F10" s="255">
        <v>421.86376650706922</v>
      </c>
      <c r="G10" s="255">
        <v>422.57834882247153</v>
      </c>
      <c r="H10" s="255">
        <v>341.31541560687322</v>
      </c>
      <c r="I10" s="255">
        <v>374.89251346952409</v>
      </c>
      <c r="J10" s="255">
        <v>325.35565033139329</v>
      </c>
      <c r="K10" s="255">
        <v>319.61614506638813</v>
      </c>
      <c r="L10" s="255">
        <v>326.48036923456078</v>
      </c>
      <c r="M10" s="255">
        <v>266.53156324571478</v>
      </c>
      <c r="N10" s="255">
        <v>285.87222246792862</v>
      </c>
      <c r="O10" s="255">
        <v>302.10237563654749</v>
      </c>
      <c r="P10" s="255">
        <v>270.25584018846422</v>
      </c>
      <c r="Q10" s="255">
        <v>335.8312151524986</v>
      </c>
      <c r="R10" s="255">
        <v>367.9226824148613</v>
      </c>
      <c r="S10" s="255">
        <v>372.39076823945618</v>
      </c>
      <c r="T10" s="255">
        <v>411.6256503074701</v>
      </c>
      <c r="U10" s="255">
        <v>416.68362673457062</v>
      </c>
      <c r="V10" s="255">
        <v>458.51201376364128</v>
      </c>
      <c r="W10" s="255">
        <v>463.3315764447035</v>
      </c>
      <c r="DA10" s="271" t="s">
        <v>996</v>
      </c>
    </row>
    <row r="11" spans="1:105" x14ac:dyDescent="0.25">
      <c r="A11" s="254" t="s">
        <v>176</v>
      </c>
      <c r="B11" s="256">
        <v>31.767388846643211</v>
      </c>
      <c r="C11" s="256">
        <v>13.059797836431031</v>
      </c>
      <c r="D11" s="256">
        <v>17.228369054502991</v>
      </c>
      <c r="E11" s="256">
        <v>149.42308341027831</v>
      </c>
      <c r="F11" s="256">
        <v>194.8624086495503</v>
      </c>
      <c r="G11" s="256">
        <v>129.8969306524244</v>
      </c>
      <c r="H11" s="256">
        <v>115.6704083280414</v>
      </c>
      <c r="I11" s="256">
        <v>116.1149417830265</v>
      </c>
      <c r="J11" s="256">
        <v>107.1451652368296</v>
      </c>
      <c r="K11" s="256">
        <v>30.43447416660786</v>
      </c>
      <c r="L11" s="256">
        <v>49.284414318107061</v>
      </c>
      <c r="M11" s="256">
        <v>164.67053116560859</v>
      </c>
      <c r="N11" s="256">
        <v>227.45190142822651</v>
      </c>
      <c r="O11" s="256">
        <v>247.72168174630531</v>
      </c>
      <c r="P11" s="256">
        <v>231.90604207695031</v>
      </c>
      <c r="Q11" s="256">
        <v>89.32513981631358</v>
      </c>
      <c r="R11" s="256">
        <v>52.260683162734573</v>
      </c>
      <c r="S11" s="256">
        <v>57.762576998613063</v>
      </c>
      <c r="T11" s="256">
        <v>55.887942112740078</v>
      </c>
      <c r="U11" s="256">
        <v>69.435368082042828</v>
      </c>
      <c r="V11" s="256">
        <v>57.605338630619663</v>
      </c>
      <c r="W11" s="256">
        <v>51.581087706223492</v>
      </c>
      <c r="DA11" s="272" t="s">
        <v>997</v>
      </c>
    </row>
    <row r="12" spans="1:105" x14ac:dyDescent="0.25">
      <c r="A12" s="254" t="s">
        <v>158</v>
      </c>
      <c r="B12" s="256">
        <v>1.0714478676456509</v>
      </c>
      <c r="C12" s="256">
        <v>1.04358817840397</v>
      </c>
      <c r="D12" s="256">
        <v>0.98525670859189463</v>
      </c>
      <c r="E12" s="256">
        <v>0.34815832404434949</v>
      </c>
      <c r="F12" s="256">
        <v>0.26742466406950183</v>
      </c>
      <c r="G12" s="256">
        <v>0.19650618591330421</v>
      </c>
      <c r="H12" s="256">
        <v>0.2349392458838534</v>
      </c>
      <c r="I12" s="256">
        <v>0.24026492512257649</v>
      </c>
      <c r="J12" s="256">
        <v>0.30224386625645072</v>
      </c>
      <c r="K12" s="256">
        <v>0.40796511167723148</v>
      </c>
      <c r="L12" s="256">
        <v>0.42547635600994188</v>
      </c>
      <c r="M12" s="256">
        <v>0.50307747830723404</v>
      </c>
      <c r="N12" s="256">
        <v>0.51706100552354806</v>
      </c>
      <c r="O12" s="256">
        <v>0.54706142852819239</v>
      </c>
      <c r="P12" s="256">
        <v>0.53144916187978331</v>
      </c>
      <c r="Q12" s="256">
        <v>0.6335388293694334</v>
      </c>
      <c r="R12" s="256">
        <v>0.62188373391353258</v>
      </c>
      <c r="S12" s="256">
        <v>0.61406424278009653</v>
      </c>
      <c r="T12" s="256">
        <v>0.63428711529141979</v>
      </c>
      <c r="U12" s="256">
        <v>0.63053954432978276</v>
      </c>
      <c r="V12" s="256">
        <v>0.63437374661905777</v>
      </c>
      <c r="W12" s="256">
        <v>0.62279615045915071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79.082716878290071</v>
      </c>
      <c r="C15" s="256">
        <v>93.352148822895188</v>
      </c>
      <c r="D15" s="256">
        <v>87.528788962700432</v>
      </c>
      <c r="E15" s="256">
        <v>64.643940321244727</v>
      </c>
      <c r="F15" s="256">
        <v>56.066903368821023</v>
      </c>
      <c r="G15" s="256">
        <v>66.135819829458796</v>
      </c>
      <c r="H15" s="256">
        <v>96.979084051808542</v>
      </c>
      <c r="I15" s="256">
        <v>89.127438487702378</v>
      </c>
      <c r="J15" s="256">
        <v>98.901301000678046</v>
      </c>
      <c r="K15" s="256">
        <v>108.4711840860878</v>
      </c>
      <c r="L15" s="256">
        <v>60.532340273873928</v>
      </c>
      <c r="M15" s="256">
        <v>50.478445596973913</v>
      </c>
      <c r="N15" s="256">
        <v>39.991423822684602</v>
      </c>
      <c r="O15" s="256">
        <v>49.003237133462008</v>
      </c>
      <c r="P15" s="256">
        <v>72.602497850270552</v>
      </c>
      <c r="Q15" s="256">
        <v>104.8971047887959</v>
      </c>
      <c r="R15" s="256">
        <v>110.48646370020801</v>
      </c>
      <c r="S15" s="256">
        <v>105.16655876089879</v>
      </c>
      <c r="T15" s="256">
        <v>71.297699310923775</v>
      </c>
      <c r="U15" s="256">
        <v>82.165692591514102</v>
      </c>
      <c r="V15" s="256">
        <v>70.525745824361678</v>
      </c>
      <c r="W15" s="256">
        <v>85.12985134382842</v>
      </c>
      <c r="DA15" s="272" t="s">
        <v>1001</v>
      </c>
    </row>
    <row r="16" spans="1:105" x14ac:dyDescent="0.25">
      <c r="A16" s="257" t="s">
        <v>175</v>
      </c>
      <c r="B16" s="258">
        <v>659.38179802053082</v>
      </c>
      <c r="C16" s="258">
        <v>610.23440965887028</v>
      </c>
      <c r="D16" s="258">
        <v>601.57662226006448</v>
      </c>
      <c r="E16" s="258">
        <v>743.33546793766789</v>
      </c>
      <c r="F16" s="258">
        <v>852.52957028995365</v>
      </c>
      <c r="G16" s="258">
        <v>798.24699952036281</v>
      </c>
      <c r="H16" s="258">
        <v>697.06550275420818</v>
      </c>
      <c r="I16" s="258">
        <v>738.54497811864644</v>
      </c>
      <c r="J16" s="258">
        <v>667.15718949213772</v>
      </c>
      <c r="K16" s="258">
        <v>588.18044052501273</v>
      </c>
      <c r="L16" s="258">
        <v>573.39878309771018</v>
      </c>
      <c r="M16" s="258">
        <v>594.21599725659155</v>
      </c>
      <c r="N16" s="258">
        <v>671.14116863234608</v>
      </c>
      <c r="O16" s="258">
        <v>721.32381240483619</v>
      </c>
      <c r="P16" s="258">
        <v>681.82317545116143</v>
      </c>
      <c r="Q16" s="258">
        <v>670.30073736855115</v>
      </c>
      <c r="R16" s="258">
        <v>682.96687380497031</v>
      </c>
      <c r="S16" s="258">
        <v>690.13134434227288</v>
      </c>
      <c r="T16" s="258">
        <v>711.67758691487506</v>
      </c>
      <c r="U16" s="258">
        <v>743.83272368360031</v>
      </c>
      <c r="V16" s="258">
        <v>778.60880095676748</v>
      </c>
      <c r="W16" s="258">
        <v>793.50446672661781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942.48404872850745</v>
      </c>
      <c r="C17" s="258">
        <f t="shared" ref="C17:W17" si="5">SUM(C18:C24)</f>
        <v>860.72299323142431</v>
      </c>
      <c r="D17" s="258">
        <f t="shared" si="5"/>
        <v>851.95840827353732</v>
      </c>
      <c r="E17" s="258">
        <f t="shared" si="5"/>
        <v>1104.7676508174811</v>
      </c>
      <c r="F17" s="258">
        <f t="shared" si="5"/>
        <v>1264.2390572904508</v>
      </c>
      <c r="G17" s="258">
        <f t="shared" si="5"/>
        <v>1153.452794438143</v>
      </c>
      <c r="H17" s="258">
        <f t="shared" si="5"/>
        <v>1026.2102967264391</v>
      </c>
      <c r="I17" s="258">
        <f t="shared" si="5"/>
        <v>1077.969179025527</v>
      </c>
      <c r="J17" s="258">
        <f t="shared" si="5"/>
        <v>976.09866463631045</v>
      </c>
      <c r="K17" s="258">
        <f t="shared" si="5"/>
        <v>837.02473399395308</v>
      </c>
      <c r="L17" s="258">
        <f t="shared" si="5"/>
        <v>824.22089548013707</v>
      </c>
      <c r="M17" s="258">
        <f t="shared" si="5"/>
        <v>912.44815542882088</v>
      </c>
      <c r="N17" s="258">
        <f t="shared" si="5"/>
        <v>1056.4799648229123</v>
      </c>
      <c r="O17" s="258">
        <f t="shared" si="5"/>
        <v>1186.2587677407294</v>
      </c>
      <c r="P17" s="258">
        <f t="shared" si="5"/>
        <v>1123.293002878474</v>
      </c>
      <c r="Q17" s="258">
        <f t="shared" si="5"/>
        <v>1002.2152982803852</v>
      </c>
      <c r="R17" s="258">
        <f t="shared" si="5"/>
        <v>992.51409010595262</v>
      </c>
      <c r="S17" s="258">
        <f t="shared" si="5"/>
        <v>999.79097023728605</v>
      </c>
      <c r="T17" s="258">
        <f t="shared" si="5"/>
        <v>1030.6135634118741</v>
      </c>
      <c r="U17" s="258">
        <f t="shared" si="5"/>
        <v>1083.6312047199754</v>
      </c>
      <c r="V17" s="258">
        <f t="shared" si="5"/>
        <v>1118.1140167575911</v>
      </c>
      <c r="W17" s="258">
        <f t="shared" si="5"/>
        <v>1133.2422819146559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80.211607910537595</v>
      </c>
      <c r="C19" s="55">
        <v>74.56294067063962</v>
      </c>
      <c r="D19" s="55">
        <v>74.562940670642476</v>
      </c>
      <c r="E19" s="55">
        <v>73.433190025767317</v>
      </c>
      <c r="F19" s="55">
        <v>74.562940670664915</v>
      </c>
      <c r="G19" s="55">
        <v>64.395270851219053</v>
      </c>
      <c r="H19" s="55">
        <v>58.746517626811112</v>
      </c>
      <c r="I19" s="55">
        <v>55.357351676675847</v>
      </c>
      <c r="J19" s="55">
        <v>50.83834909714718</v>
      </c>
      <c r="K19" s="55">
        <v>45.189681857280974</v>
      </c>
      <c r="L19" s="55">
        <v>42.930180567481671</v>
      </c>
      <c r="M19" s="55">
        <v>39.540928632828518</v>
      </c>
      <c r="N19" s="55">
        <v>36.151676698183678</v>
      </c>
      <c r="O19" s="55">
        <v>33.892261392942089</v>
      </c>
      <c r="P19" s="55">
        <v>41.800429922604991</v>
      </c>
      <c r="Q19" s="55">
        <v>47.449097162484549</v>
      </c>
      <c r="R19" s="55">
        <v>53.097850386944287</v>
      </c>
      <c r="S19" s="55">
        <v>50.83834909713773</v>
      </c>
      <c r="T19" s="55">
        <v>50.838349097136813</v>
      </c>
      <c r="U19" s="55">
        <v>59.876268271691707</v>
      </c>
      <c r="V19" s="55">
        <v>55.357351676680793</v>
      </c>
      <c r="W19" s="55">
        <v>49.620464316405887</v>
      </c>
      <c r="DA19" s="101" t="s">
        <v>1004</v>
      </c>
    </row>
    <row r="20" spans="1:105" x14ac:dyDescent="0.25">
      <c r="A20" s="61" t="s">
        <v>173</v>
      </c>
      <c r="B20" s="55">
        <v>727.83638501297719</v>
      </c>
      <c r="C20" s="55">
        <v>704.34245835210277</v>
      </c>
      <c r="D20" s="55">
        <v>685.17951469019624</v>
      </c>
      <c r="E20" s="55">
        <v>692.13983838172499</v>
      </c>
      <c r="F20" s="55">
        <v>787.37594133504422</v>
      </c>
      <c r="G20" s="55">
        <v>809.26626567045207</v>
      </c>
      <c r="H20" s="55">
        <v>673.25829262376226</v>
      </c>
      <c r="I20" s="55">
        <v>731.96221892384438</v>
      </c>
      <c r="J20" s="55">
        <v>655.03489575152969</v>
      </c>
      <c r="K20" s="55">
        <v>653.25049227475768</v>
      </c>
      <c r="L20" s="55">
        <v>612.65649552664888</v>
      </c>
      <c r="M20" s="55">
        <v>493.73234016924368</v>
      </c>
      <c r="N20" s="55">
        <v>512.73620154747744</v>
      </c>
      <c r="O20" s="55">
        <v>500.88297093292238</v>
      </c>
      <c r="P20" s="55">
        <v>469.92748465915253</v>
      </c>
      <c r="Q20" s="55">
        <v>635.46469059780429</v>
      </c>
      <c r="R20" s="55">
        <v>712.92692355454972</v>
      </c>
      <c r="S20" s="55">
        <v>723.15729333607703</v>
      </c>
      <c r="T20" s="55">
        <v>750.6953799143414</v>
      </c>
      <c r="U20" s="55">
        <v>767.25377614696811</v>
      </c>
      <c r="V20" s="55">
        <v>839.87995441437022</v>
      </c>
      <c r="W20" s="55">
        <v>870.47591641631516</v>
      </c>
      <c r="DA20" s="101" t="s">
        <v>1005</v>
      </c>
    </row>
    <row r="21" spans="1:105" x14ac:dyDescent="0.25">
      <c r="A21" s="61" t="s">
        <v>129</v>
      </c>
      <c r="B21" s="55">
        <v>63.929492691284871</v>
      </c>
      <c r="C21" s="55">
        <v>45.199226139270891</v>
      </c>
      <c r="D21" s="55">
        <v>47.931556319838769</v>
      </c>
      <c r="E21" s="55">
        <v>47.363198624229533</v>
      </c>
      <c r="F21" s="55">
        <v>25.088392089419081</v>
      </c>
      <c r="G21" s="55">
        <v>15.43903697333816</v>
      </c>
      <c r="H21" s="55">
        <v>47.281943250202033</v>
      </c>
      <c r="I21" s="55">
        <v>44.387102321564207</v>
      </c>
      <c r="J21" s="55">
        <v>26.053310404119401</v>
      </c>
      <c r="K21" s="55">
        <v>19.298710232164741</v>
      </c>
      <c r="L21" s="55">
        <v>16.403955288041971</v>
      </c>
      <c r="M21" s="55">
        <v>11.57927773000346</v>
      </c>
      <c r="N21" s="55">
        <v>35.822184006868213</v>
      </c>
      <c r="O21" s="55">
        <v>174.7945829750274</v>
      </c>
      <c r="P21" s="55">
        <v>141.95331040409701</v>
      </c>
      <c r="Q21" s="55">
        <v>80.698796216636424</v>
      </c>
      <c r="R21" s="55">
        <v>58.57454858127074</v>
      </c>
      <c r="S21" s="55">
        <v>46.988134135832652</v>
      </c>
      <c r="T21" s="55">
        <v>58.667669819402832</v>
      </c>
      <c r="U21" s="55">
        <v>59.725795356816441</v>
      </c>
      <c r="V21" s="55">
        <v>48.507136715376006</v>
      </c>
      <c r="W21" s="55">
        <v>48.69355116077422</v>
      </c>
      <c r="DA21" s="101" t="s">
        <v>1006</v>
      </c>
    </row>
    <row r="22" spans="1:105" x14ac:dyDescent="0.25">
      <c r="A22" s="61" t="s">
        <v>176</v>
      </c>
      <c r="B22" s="55">
        <v>59.726506252209859</v>
      </c>
      <c r="C22" s="55">
        <v>25.747510847992778</v>
      </c>
      <c r="D22" s="55">
        <v>33.552198443331463</v>
      </c>
      <c r="E22" s="55">
        <v>278.76195528263747</v>
      </c>
      <c r="F22" s="55">
        <v>363.69554491872373</v>
      </c>
      <c r="G22" s="55">
        <v>248.76145283842601</v>
      </c>
      <c r="H22" s="55">
        <v>228.1645013881477</v>
      </c>
      <c r="I22" s="55">
        <v>226.70964979039579</v>
      </c>
      <c r="J22" s="55">
        <v>215.71416408382899</v>
      </c>
      <c r="K22" s="55">
        <v>62.203788946050842</v>
      </c>
      <c r="L22" s="55">
        <v>92.484631253653106</v>
      </c>
      <c r="M22" s="55">
        <v>305.04142068290491</v>
      </c>
      <c r="N22" s="55">
        <v>407.95437544178952</v>
      </c>
      <c r="O22" s="55">
        <v>410.72027870070991</v>
      </c>
      <c r="P22" s="55">
        <v>403.24391493069578</v>
      </c>
      <c r="Q22" s="55">
        <v>169.02232364017641</v>
      </c>
      <c r="R22" s="55">
        <v>101.2659720393539</v>
      </c>
      <c r="S22" s="55">
        <v>112.17095696522139</v>
      </c>
      <c r="T22" s="55">
        <v>101.9246976120544</v>
      </c>
      <c r="U22" s="55">
        <v>127.85371188352011</v>
      </c>
      <c r="V22" s="55">
        <v>105.5186510512012</v>
      </c>
      <c r="W22" s="55">
        <v>96.907046429596903</v>
      </c>
      <c r="DA22" s="101" t="s">
        <v>1007</v>
      </c>
    </row>
    <row r="23" spans="1:105" x14ac:dyDescent="0.25">
      <c r="A23" s="61" t="s">
        <v>171</v>
      </c>
      <c r="B23" s="55">
        <v>8.7656061908814316</v>
      </c>
      <c r="C23" s="55">
        <v>8.8134135855499114</v>
      </c>
      <c r="D23" s="55">
        <v>8.8134135855502489</v>
      </c>
      <c r="E23" s="55">
        <v>12.41994840928159</v>
      </c>
      <c r="F23" s="55">
        <v>13.017110920031881</v>
      </c>
      <c r="G23" s="55">
        <v>15.21444539982148</v>
      </c>
      <c r="H23" s="55">
        <v>18.29561478933292</v>
      </c>
      <c r="I23" s="55">
        <v>19.08374892518577</v>
      </c>
      <c r="J23" s="55">
        <v>27.849441100593491</v>
      </c>
      <c r="K23" s="55">
        <v>56.248237317301907</v>
      </c>
      <c r="L23" s="55">
        <v>58.947205502987238</v>
      </c>
      <c r="M23" s="55">
        <v>61.622269991374168</v>
      </c>
      <c r="N23" s="55">
        <v>62.888134135837007</v>
      </c>
      <c r="O23" s="55">
        <v>65.061650902823686</v>
      </c>
      <c r="P23" s="55">
        <v>65.443766122084014</v>
      </c>
      <c r="Q23" s="55">
        <v>68.381599312086067</v>
      </c>
      <c r="R23" s="55">
        <v>65.443766122115207</v>
      </c>
      <c r="S23" s="55">
        <v>65.443766122066123</v>
      </c>
      <c r="T23" s="55">
        <v>67.330696474600487</v>
      </c>
      <c r="U23" s="55">
        <v>67.760619088542128</v>
      </c>
      <c r="V23" s="55">
        <v>67.688907996539356</v>
      </c>
      <c r="W23" s="55">
        <v>66.375236457414701</v>
      </c>
      <c r="DA23" s="101" t="s">
        <v>1008</v>
      </c>
    </row>
    <row r="24" spans="1:105" x14ac:dyDescent="0.25">
      <c r="A24" s="61" t="s">
        <v>158</v>
      </c>
      <c r="B24" s="55">
        <v>2.0144506706164789</v>
      </c>
      <c r="C24" s="55">
        <v>2.0574436358684229</v>
      </c>
      <c r="D24" s="55">
        <v>1.91878456397813</v>
      </c>
      <c r="E24" s="55">
        <v>0.64952009384015308</v>
      </c>
      <c r="F24" s="55">
        <v>0.49912735656666912</v>
      </c>
      <c r="G24" s="55">
        <v>0.37632270488616842</v>
      </c>
      <c r="H24" s="55">
        <v>0.46342704818308861</v>
      </c>
      <c r="I24" s="55">
        <v>0.46910738786089101</v>
      </c>
      <c r="J24" s="55">
        <v>0.60850419909160691</v>
      </c>
      <c r="K24" s="55">
        <v>0.83382336639696963</v>
      </c>
      <c r="L24" s="55">
        <v>0.79842734132421922</v>
      </c>
      <c r="M24" s="55">
        <v>0.93191822246615674</v>
      </c>
      <c r="N24" s="55">
        <v>0.92739299275642639</v>
      </c>
      <c r="O24" s="55">
        <v>0.90702283630390701</v>
      </c>
      <c r="P24" s="55">
        <v>0.92409683983969459</v>
      </c>
      <c r="Q24" s="55">
        <v>1.1987913511974411</v>
      </c>
      <c r="R24" s="55">
        <v>1.2050294217187481</v>
      </c>
      <c r="S24" s="55">
        <v>1.1924705809510769</v>
      </c>
      <c r="T24" s="55">
        <v>1.1567704943382211</v>
      </c>
      <c r="U24" s="55">
        <v>1.1610339724368079</v>
      </c>
      <c r="V24" s="55">
        <v>1.1620149034235341</v>
      </c>
      <c r="W24" s="55">
        <v>1.1700671341491939</v>
      </c>
      <c r="DA24" s="101" t="s">
        <v>1009</v>
      </c>
    </row>
    <row r="25" spans="1:105" x14ac:dyDescent="0.25">
      <c r="A25" s="257" t="s">
        <v>174</v>
      </c>
      <c r="B25" s="258">
        <v>126.7057075963569</v>
      </c>
      <c r="C25" s="258">
        <v>117.2616273418346</v>
      </c>
      <c r="D25" s="258">
        <v>115.59796134153299</v>
      </c>
      <c r="E25" s="258">
        <v>142.83810491775009</v>
      </c>
      <c r="F25" s="258">
        <v>163.82066167838531</v>
      </c>
      <c r="G25" s="258">
        <v>153.38981332898001</v>
      </c>
      <c r="H25" s="258">
        <v>133.94694550657309</v>
      </c>
      <c r="I25" s="258">
        <v>141.91757237639939</v>
      </c>
      <c r="J25" s="258">
        <v>128.1998138656021</v>
      </c>
      <c r="K25" s="258">
        <v>113.0237733810453</v>
      </c>
      <c r="L25" s="258">
        <v>110.183354720118</v>
      </c>
      <c r="M25" s="258">
        <v>114.1835559056895</v>
      </c>
      <c r="N25" s="258">
        <v>128.96536865878059</v>
      </c>
      <c r="O25" s="258">
        <v>138.608381868028</v>
      </c>
      <c r="P25" s="258">
        <v>131.0180052899255</v>
      </c>
      <c r="Q25" s="258">
        <v>128.80387278751911</v>
      </c>
      <c r="R25" s="258">
        <v>131.23777645987761</v>
      </c>
      <c r="S25" s="258">
        <v>132.61448918034901</v>
      </c>
      <c r="T25" s="258">
        <v>136.75477925113941</v>
      </c>
      <c r="U25" s="258">
        <v>142.93365675332379</v>
      </c>
      <c r="V25" s="258">
        <v>149.61616981563469</v>
      </c>
      <c r="W25" s="258">
        <v>152.47849612969671</v>
      </c>
      <c r="DA25" s="273" t="s">
        <v>1010</v>
      </c>
    </row>
    <row r="26" spans="1:105" x14ac:dyDescent="0.25">
      <c r="A26" s="257" t="s">
        <v>177</v>
      </c>
      <c r="B26" s="258">
        <v>70.408736074205791</v>
      </c>
      <c r="C26" s="258">
        <v>70.357945128102187</v>
      </c>
      <c r="D26" s="258">
        <v>68.272402138821519</v>
      </c>
      <c r="E26" s="258">
        <v>73.949973758785319</v>
      </c>
      <c r="F26" s="258">
        <v>78.072947787210424</v>
      </c>
      <c r="G26" s="258">
        <v>77.813248760012371</v>
      </c>
      <c r="H26" s="258">
        <v>80.397820335054135</v>
      </c>
      <c r="I26" s="258">
        <v>81.177091838304776</v>
      </c>
      <c r="J26" s="258">
        <v>78.620427676153369</v>
      </c>
      <c r="K26" s="258">
        <v>72.630784678815175</v>
      </c>
      <c r="L26" s="258">
        <v>59.243488953079691</v>
      </c>
      <c r="M26" s="258">
        <v>59.689349573796619</v>
      </c>
      <c r="N26" s="258">
        <v>60.858121082534318</v>
      </c>
      <c r="O26" s="258">
        <v>67.705801412611848</v>
      </c>
      <c r="P26" s="258">
        <v>74.335906276980396</v>
      </c>
      <c r="Q26" s="258">
        <v>79.22694189711892</v>
      </c>
      <c r="R26" s="258">
        <v>80.808984130031149</v>
      </c>
      <c r="S26" s="258">
        <v>80.290849898894763</v>
      </c>
      <c r="T26" s="258">
        <v>71.965739587708157</v>
      </c>
      <c r="U26" s="258">
        <v>77.874686073399417</v>
      </c>
      <c r="V26" s="258">
        <v>76.264584283239856</v>
      </c>
      <c r="W26" s="258">
        <v>82.079790694406668</v>
      </c>
      <c r="DA26" s="273" t="s">
        <v>1011</v>
      </c>
    </row>
    <row r="27" spans="1:105" x14ac:dyDescent="0.25">
      <c r="A27" s="129" t="s">
        <v>33</v>
      </c>
      <c r="B27" s="259">
        <v>102.0926673075984</v>
      </c>
      <c r="C27" s="259">
        <v>102.0190204357482</v>
      </c>
      <c r="D27" s="259">
        <v>98.99498310129124</v>
      </c>
      <c r="E27" s="259">
        <v>107.22746195023871</v>
      </c>
      <c r="F27" s="259">
        <v>113.2057742914551</v>
      </c>
      <c r="G27" s="259">
        <v>112.829210702018</v>
      </c>
      <c r="H27" s="259">
        <v>116.5768394858285</v>
      </c>
      <c r="I27" s="259">
        <v>117.70678316554191</v>
      </c>
      <c r="J27" s="259">
        <v>113.9996201304224</v>
      </c>
      <c r="K27" s="259">
        <v>105.314637784282</v>
      </c>
      <c r="L27" s="259">
        <v>85.903058981965557</v>
      </c>
      <c r="M27" s="259">
        <v>86.549556882005078</v>
      </c>
      <c r="N27" s="259">
        <v>88.24427556967477</v>
      </c>
      <c r="O27" s="259">
        <v>98.17341204828719</v>
      </c>
      <c r="P27" s="259">
        <v>107.7870641016216</v>
      </c>
      <c r="Q27" s="259">
        <v>114.87906575082241</v>
      </c>
      <c r="R27" s="259">
        <v>117.1730269885452</v>
      </c>
      <c r="S27" s="259">
        <v>116.4217323533974</v>
      </c>
      <c r="T27" s="259">
        <v>104.3503224021768</v>
      </c>
      <c r="U27" s="259">
        <v>112.9182948064291</v>
      </c>
      <c r="V27" s="259">
        <v>110.58364721069781</v>
      </c>
      <c r="W27" s="259">
        <v>119.0156965068896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0.99999999999999989</v>
      </c>
      <c r="D31" s="236">
        <f t="shared" si="6"/>
        <v>0.99999999999999989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0.99999999999999967</v>
      </c>
      <c r="I31" s="236">
        <f t="shared" si="6"/>
        <v>1</v>
      </c>
      <c r="J31" s="236">
        <f t="shared" si="6"/>
        <v>0.99999999999999989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1.0000000000000002</v>
      </c>
      <c r="U31" s="236">
        <f t="shared" si="7"/>
        <v>1.0000000000000002</v>
      </c>
      <c r="V31" s="236">
        <f t="shared" si="7"/>
        <v>0.99999999999999978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2.7293814463975257E-2</v>
      </c>
      <c r="C32" s="245">
        <f t="shared" si="8"/>
        <v>2.9258210203108623E-2</v>
      </c>
      <c r="D32" s="245">
        <f t="shared" si="8"/>
        <v>2.8830482504630984E-2</v>
      </c>
      <c r="E32" s="245">
        <f t="shared" si="8"/>
        <v>2.510088853533899E-2</v>
      </c>
      <c r="F32" s="245">
        <f t="shared" si="8"/>
        <v>2.3347071926415896E-2</v>
      </c>
      <c r="G32" s="245">
        <f t="shared" si="8"/>
        <v>2.4996518541067318E-2</v>
      </c>
      <c r="H32" s="245">
        <f t="shared" si="8"/>
        <v>2.8576628336873564E-2</v>
      </c>
      <c r="I32" s="245">
        <f t="shared" si="8"/>
        <v>2.756725737770218E-2</v>
      </c>
      <c r="J32" s="245">
        <f t="shared" si="8"/>
        <v>2.9159044192342564E-2</v>
      </c>
      <c r="K32" s="245">
        <f t="shared" si="8"/>
        <v>3.0771679758187492E-2</v>
      </c>
      <c r="L32" s="245">
        <f t="shared" si="8"/>
        <v>2.6439215422883872E-2</v>
      </c>
      <c r="M32" s="245">
        <f t="shared" si="8"/>
        <v>2.4855254862144398E-2</v>
      </c>
      <c r="N32" s="245">
        <f t="shared" si="8"/>
        <v>2.2417911100483117E-2</v>
      </c>
      <c r="O32" s="245">
        <f t="shared" si="8"/>
        <v>2.2688894531550756E-2</v>
      </c>
      <c r="P32" s="245">
        <f t="shared" si="8"/>
        <v>2.578324032966706E-2</v>
      </c>
      <c r="Q32" s="245">
        <f t="shared" si="8"/>
        <v>2.9040626563403605E-2</v>
      </c>
      <c r="R32" s="245">
        <f t="shared" si="8"/>
        <v>2.947022328407152E-2</v>
      </c>
      <c r="S32" s="245">
        <f t="shared" si="8"/>
        <v>2.9091677952674897E-2</v>
      </c>
      <c r="T32" s="245">
        <f t="shared" si="8"/>
        <v>2.5902608138145353E-2</v>
      </c>
      <c r="U32" s="245">
        <f t="shared" si="8"/>
        <v>2.65903137536346E-2</v>
      </c>
      <c r="V32" s="245">
        <f t="shared" si="8"/>
        <v>2.5295561418612868E-2</v>
      </c>
      <c r="W32" s="245">
        <f t="shared" si="8"/>
        <v>2.6560550534754149E-2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1.7740979401583912E-2</v>
      </c>
      <c r="C33" s="246">
        <f t="shared" si="9"/>
        <v>1.9017836632020602E-2</v>
      </c>
      <c r="D33" s="246">
        <f t="shared" si="9"/>
        <v>1.8739813628010138E-2</v>
      </c>
      <c r="E33" s="246">
        <f t="shared" si="9"/>
        <v>1.631557754797034E-2</v>
      </c>
      <c r="F33" s="246">
        <f t="shared" si="9"/>
        <v>1.5175596752170334E-2</v>
      </c>
      <c r="G33" s="246">
        <f t="shared" si="9"/>
        <v>1.6247737051693752E-2</v>
      </c>
      <c r="H33" s="246">
        <f t="shared" si="9"/>
        <v>1.8574808418967814E-2</v>
      </c>
      <c r="I33" s="246">
        <f t="shared" si="9"/>
        <v>1.7918717295506408E-2</v>
      </c>
      <c r="J33" s="246">
        <f t="shared" si="9"/>
        <v>1.895337872502266E-2</v>
      </c>
      <c r="K33" s="246">
        <f t="shared" si="9"/>
        <v>2.000159184282186E-2</v>
      </c>
      <c r="L33" s="246">
        <f t="shared" si="9"/>
        <v>1.7185490024874517E-2</v>
      </c>
      <c r="M33" s="246">
        <f t="shared" si="9"/>
        <v>1.6155915660393858E-2</v>
      </c>
      <c r="N33" s="246">
        <f t="shared" si="9"/>
        <v>1.4571642215314019E-2</v>
      </c>
      <c r="O33" s="246">
        <f t="shared" si="9"/>
        <v>1.4747781445507986E-2</v>
      </c>
      <c r="P33" s="246">
        <f t="shared" si="9"/>
        <v>1.675910621428359E-2</v>
      </c>
      <c r="Q33" s="246">
        <f t="shared" si="9"/>
        <v>1.8876407266212331E-2</v>
      </c>
      <c r="R33" s="246">
        <f t="shared" si="9"/>
        <v>1.9155645134646487E-2</v>
      </c>
      <c r="S33" s="246">
        <f t="shared" si="9"/>
        <v>1.8909590669238682E-2</v>
      </c>
      <c r="T33" s="246">
        <f t="shared" si="9"/>
        <v>1.6836695289794475E-2</v>
      </c>
      <c r="U33" s="246">
        <f t="shared" si="9"/>
        <v>1.728370393986248E-2</v>
      </c>
      <c r="V33" s="246">
        <f t="shared" si="9"/>
        <v>1.644211492209836E-2</v>
      </c>
      <c r="W33" s="246">
        <f t="shared" si="9"/>
        <v>1.726435784759019E-2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2.4564433017577724E-2</v>
      </c>
      <c r="C34" s="246">
        <f t="shared" si="10"/>
        <v>2.6332389182797757E-2</v>
      </c>
      <c r="D34" s="246">
        <f t="shared" si="10"/>
        <v>2.5947434254167873E-2</v>
      </c>
      <c r="E34" s="246">
        <f t="shared" si="10"/>
        <v>2.25907996818051E-2</v>
      </c>
      <c r="F34" s="246">
        <f t="shared" si="10"/>
        <v>2.1012364733774307E-2</v>
      </c>
      <c r="G34" s="246">
        <f t="shared" si="10"/>
        <v>2.2496866686960583E-2</v>
      </c>
      <c r="H34" s="246">
        <f t="shared" si="10"/>
        <v>2.5718965503186208E-2</v>
      </c>
      <c r="I34" s="246">
        <f t="shared" si="10"/>
        <v>2.4810531639931955E-2</v>
      </c>
      <c r="J34" s="246">
        <f t="shared" si="10"/>
        <v>2.6243139773108309E-2</v>
      </c>
      <c r="K34" s="246">
        <f t="shared" si="10"/>
        <v>2.7694511782368744E-2</v>
      </c>
      <c r="L34" s="246">
        <f t="shared" si="10"/>
        <v>2.3795293880595481E-2</v>
      </c>
      <c r="M34" s="246">
        <f t="shared" si="10"/>
        <v>2.2369729375929955E-2</v>
      </c>
      <c r="N34" s="246">
        <f t="shared" si="10"/>
        <v>2.0176119990434806E-2</v>
      </c>
      <c r="O34" s="246">
        <f t="shared" si="10"/>
        <v>2.042000507839568E-2</v>
      </c>
      <c r="P34" s="246">
        <f t="shared" si="10"/>
        <v>2.3204916296700354E-2</v>
      </c>
      <c r="Q34" s="246">
        <f t="shared" si="10"/>
        <v>2.6136563907063235E-2</v>
      </c>
      <c r="R34" s="246">
        <f t="shared" si="10"/>
        <v>2.6523200955664364E-2</v>
      </c>
      <c r="S34" s="246">
        <f t="shared" si="10"/>
        <v>2.6182510157407416E-2</v>
      </c>
      <c r="T34" s="246">
        <f t="shared" si="10"/>
        <v>2.331234732433082E-2</v>
      </c>
      <c r="U34" s="246">
        <f t="shared" si="10"/>
        <v>2.3931282378271128E-2</v>
      </c>
      <c r="V34" s="246">
        <f t="shared" si="10"/>
        <v>2.2766005276751579E-2</v>
      </c>
      <c r="W34" s="246">
        <f t="shared" si="10"/>
        <v>2.3904495481278727E-2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0.19345340715362386</v>
      </c>
      <c r="C35" s="247">
        <f t="shared" si="11"/>
        <v>0.1932512543985378</v>
      </c>
      <c r="D35" s="247">
        <f t="shared" si="11"/>
        <v>0.19322462633203255</v>
      </c>
      <c r="E35" s="247">
        <f t="shared" si="11"/>
        <v>0.19870906010513872</v>
      </c>
      <c r="F35" s="247">
        <f t="shared" si="11"/>
        <v>0.20127319928567328</v>
      </c>
      <c r="G35" s="247">
        <f t="shared" si="11"/>
        <v>0.19878408921977642</v>
      </c>
      <c r="H35" s="247">
        <f t="shared" si="11"/>
        <v>0.19698498034794582</v>
      </c>
      <c r="I35" s="247">
        <f t="shared" si="11"/>
        <v>0.19709195060130974</v>
      </c>
      <c r="J35" s="247">
        <f t="shared" si="11"/>
        <v>0.19720054191326361</v>
      </c>
      <c r="K35" s="247">
        <f t="shared" si="11"/>
        <v>0.19443600847905496</v>
      </c>
      <c r="L35" s="247">
        <f t="shared" si="11"/>
        <v>0.1949007918053792</v>
      </c>
      <c r="M35" s="247">
        <f t="shared" si="11"/>
        <v>0.2007861836082325</v>
      </c>
      <c r="N35" s="247">
        <f t="shared" si="11"/>
        <v>0.20401172376145921</v>
      </c>
      <c r="O35" s="247">
        <f t="shared" si="11"/>
        <v>0.20085637069817672</v>
      </c>
      <c r="P35" s="247">
        <f t="shared" si="11"/>
        <v>0.19954005230863645</v>
      </c>
      <c r="Q35" s="247">
        <f t="shared" si="11"/>
        <v>0.19452325912100299</v>
      </c>
      <c r="R35" s="247">
        <f t="shared" si="11"/>
        <v>0.19375674103559756</v>
      </c>
      <c r="S35" s="247">
        <f t="shared" si="11"/>
        <v>0.19418424923414157</v>
      </c>
      <c r="T35" s="247">
        <f t="shared" si="11"/>
        <v>0.19416249344153985</v>
      </c>
      <c r="U35" s="247">
        <f t="shared" si="11"/>
        <v>0.19425612027029926</v>
      </c>
      <c r="V35" s="247">
        <f t="shared" si="11"/>
        <v>0.19478914756412252</v>
      </c>
      <c r="W35" s="247">
        <f t="shared" si="11"/>
        <v>0.19437185730437981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0.25560811711102399</v>
      </c>
      <c r="C36" s="260">
        <f t="shared" si="12"/>
        <v>0.25376475390890546</v>
      </c>
      <c r="D36" s="260">
        <f t="shared" si="12"/>
        <v>0.25403741101708904</v>
      </c>
      <c r="E36" s="260">
        <f t="shared" si="12"/>
        <v>0.25231084984463326</v>
      </c>
      <c r="F36" s="260">
        <f t="shared" si="12"/>
        <v>0.25494194546368321</v>
      </c>
      <c r="G36" s="260">
        <f t="shared" si="12"/>
        <v>0.25642671706718406</v>
      </c>
      <c r="H36" s="260">
        <f t="shared" si="12"/>
        <v>0.2477651970619125</v>
      </c>
      <c r="I36" s="260">
        <f t="shared" si="12"/>
        <v>0.25080548016379056</v>
      </c>
      <c r="J36" s="260">
        <f t="shared" si="12"/>
        <v>0.2474378039734432</v>
      </c>
      <c r="K36" s="260">
        <f t="shared" si="12"/>
        <v>0.24919598811858229</v>
      </c>
      <c r="L36" s="260">
        <f t="shared" si="12"/>
        <v>0.25589671063340946</v>
      </c>
      <c r="M36" s="260">
        <f t="shared" si="12"/>
        <v>0.24743761090436778</v>
      </c>
      <c r="N36" s="260">
        <f t="shared" si="12"/>
        <v>0.24722391665476864</v>
      </c>
      <c r="O36" s="260">
        <f t="shared" si="12"/>
        <v>0.24172285921278316</v>
      </c>
      <c r="P36" s="260">
        <f t="shared" si="12"/>
        <v>0.23648882048321679</v>
      </c>
      <c r="Q36" s="260">
        <f t="shared" si="12"/>
        <v>0.24569865923099637</v>
      </c>
      <c r="R36" s="260">
        <f t="shared" si="12"/>
        <v>0.24907114578089193</v>
      </c>
      <c r="S36" s="260">
        <f t="shared" si="12"/>
        <v>0.25005438153829229</v>
      </c>
      <c r="T36" s="260">
        <f t="shared" si="12"/>
        <v>0.25615391101608986</v>
      </c>
      <c r="U36" s="260">
        <f t="shared" si="12"/>
        <v>0.25398170445689389</v>
      </c>
      <c r="V36" s="260">
        <f t="shared" si="12"/>
        <v>0.25825023411296222</v>
      </c>
      <c r="W36" s="260">
        <f t="shared" si="12"/>
        <v>0.25677350429064505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0.36535217354478355</v>
      </c>
      <c r="C37" s="260">
        <f t="shared" si="13"/>
        <v>0.35792992840769083</v>
      </c>
      <c r="D37" s="260">
        <f t="shared" si="13"/>
        <v>0.35977014452281375</v>
      </c>
      <c r="E37" s="260">
        <f t="shared" si="13"/>
        <v>0.37499201488659722</v>
      </c>
      <c r="F37" s="260">
        <f t="shared" si="13"/>
        <v>0.37806027618159965</v>
      </c>
      <c r="G37" s="260">
        <f t="shared" si="13"/>
        <v>0.37053207033344748</v>
      </c>
      <c r="H37" s="260">
        <f t="shared" si="13"/>
        <v>0.36475653348325865</v>
      </c>
      <c r="I37" s="260">
        <f t="shared" si="13"/>
        <v>0.36607191918896409</v>
      </c>
      <c r="J37" s="260">
        <f t="shared" si="13"/>
        <v>0.36201919703941882</v>
      </c>
      <c r="K37" s="260">
        <f t="shared" si="13"/>
        <v>0.354624518763552</v>
      </c>
      <c r="L37" s="260">
        <f t="shared" si="13"/>
        <v>0.36783373492571425</v>
      </c>
      <c r="M37" s="260">
        <f t="shared" si="13"/>
        <v>0.37995273216434799</v>
      </c>
      <c r="N37" s="260">
        <f t="shared" si="13"/>
        <v>0.38916866819995655</v>
      </c>
      <c r="O37" s="260">
        <f t="shared" si="13"/>
        <v>0.39752723558166492</v>
      </c>
      <c r="P37" s="260">
        <f t="shared" si="13"/>
        <v>0.38961162787111658</v>
      </c>
      <c r="Q37" s="260">
        <f t="shared" si="13"/>
        <v>0.36736190387463663</v>
      </c>
      <c r="R37" s="260">
        <f t="shared" si="13"/>
        <v>0.36195990041086817</v>
      </c>
      <c r="S37" s="260">
        <f t="shared" si="13"/>
        <v>0.36225294616710579</v>
      </c>
      <c r="T37" s="260">
        <f t="shared" si="13"/>
        <v>0.37094844613359651</v>
      </c>
      <c r="U37" s="260">
        <f t="shared" si="13"/>
        <v>0.370005905379509</v>
      </c>
      <c r="V37" s="260">
        <f t="shared" si="13"/>
        <v>0.37085787655855895</v>
      </c>
      <c r="W37" s="260">
        <f t="shared" si="13"/>
        <v>0.36671071700193142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4.9117229870692218E-2</v>
      </c>
      <c r="C38" s="260">
        <f t="shared" si="14"/>
        <v>4.8763012269322788E-2</v>
      </c>
      <c r="D38" s="260">
        <f t="shared" si="14"/>
        <v>4.8815405604909677E-2</v>
      </c>
      <c r="E38" s="260">
        <f t="shared" si="14"/>
        <v>4.8483632486935893E-2</v>
      </c>
      <c r="F38" s="260">
        <f t="shared" si="14"/>
        <v>4.8989219436964278E-2</v>
      </c>
      <c r="G38" s="260">
        <f t="shared" si="14"/>
        <v>4.9274530674255503E-2</v>
      </c>
      <c r="H38" s="260">
        <f t="shared" si="14"/>
        <v>4.7610147422514924E-2</v>
      </c>
      <c r="I38" s="260">
        <f t="shared" si="14"/>
        <v>4.819436315742473E-2</v>
      </c>
      <c r="J38" s="260">
        <f t="shared" si="14"/>
        <v>4.7547236112161523E-2</v>
      </c>
      <c r="K38" s="260">
        <f t="shared" si="14"/>
        <v>4.7885085847873529E-2</v>
      </c>
      <c r="L38" s="260">
        <f t="shared" si="14"/>
        <v>4.9172685521077703E-2</v>
      </c>
      <c r="M38" s="260">
        <f t="shared" si="14"/>
        <v>4.7547199012329712E-2</v>
      </c>
      <c r="N38" s="260">
        <f t="shared" si="14"/>
        <v>4.750613588140009E-2</v>
      </c>
      <c r="O38" s="260">
        <f t="shared" si="14"/>
        <v>4.6449061849621512E-2</v>
      </c>
      <c r="P38" s="260">
        <f t="shared" si="14"/>
        <v>4.5443297688694838E-2</v>
      </c>
      <c r="Q38" s="260">
        <f t="shared" si="14"/>
        <v>4.7213044956345977E-2</v>
      </c>
      <c r="R38" s="260">
        <f t="shared" si="14"/>
        <v>4.7861096352284603E-2</v>
      </c>
      <c r="S38" s="260">
        <f t="shared" si="14"/>
        <v>4.8050033297085695E-2</v>
      </c>
      <c r="T38" s="260">
        <f t="shared" si="14"/>
        <v>4.9222108718047074E-2</v>
      </c>
      <c r="U38" s="260">
        <f t="shared" si="14"/>
        <v>4.8804701125125E-2</v>
      </c>
      <c r="V38" s="260">
        <f t="shared" si="14"/>
        <v>4.9624934671291733E-2</v>
      </c>
      <c r="W38" s="260">
        <f t="shared" si="14"/>
        <v>4.9341168729272918E-2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2.7293814463975257E-2</v>
      </c>
      <c r="C39" s="260">
        <f t="shared" si="15"/>
        <v>2.9258210203108623E-2</v>
      </c>
      <c r="D39" s="260">
        <f t="shared" si="15"/>
        <v>2.8830482504630984E-2</v>
      </c>
      <c r="E39" s="260">
        <f t="shared" si="15"/>
        <v>2.510088853533899E-2</v>
      </c>
      <c r="F39" s="260">
        <f t="shared" si="15"/>
        <v>2.3347071926415896E-2</v>
      </c>
      <c r="G39" s="260">
        <f t="shared" si="15"/>
        <v>2.4996518541067318E-2</v>
      </c>
      <c r="H39" s="260">
        <f t="shared" si="15"/>
        <v>2.8576628336873564E-2</v>
      </c>
      <c r="I39" s="260">
        <f t="shared" si="15"/>
        <v>2.756725737770218E-2</v>
      </c>
      <c r="J39" s="260">
        <f t="shared" si="15"/>
        <v>2.9159044192342564E-2</v>
      </c>
      <c r="K39" s="260">
        <f t="shared" si="15"/>
        <v>3.0771679758187492E-2</v>
      </c>
      <c r="L39" s="260">
        <f t="shared" si="15"/>
        <v>2.6439215422883872E-2</v>
      </c>
      <c r="M39" s="260">
        <f t="shared" si="15"/>
        <v>2.4855254862144398E-2</v>
      </c>
      <c r="N39" s="260">
        <f t="shared" si="15"/>
        <v>2.2417911100483117E-2</v>
      </c>
      <c r="O39" s="260">
        <f t="shared" si="15"/>
        <v>2.2688894531550756E-2</v>
      </c>
      <c r="P39" s="260">
        <f t="shared" si="15"/>
        <v>2.578324032966706E-2</v>
      </c>
      <c r="Q39" s="260">
        <f t="shared" si="15"/>
        <v>2.9040626563403605E-2</v>
      </c>
      <c r="R39" s="260">
        <f t="shared" si="15"/>
        <v>2.947022328407152E-2</v>
      </c>
      <c r="S39" s="260">
        <f t="shared" si="15"/>
        <v>2.9091677952674897E-2</v>
      </c>
      <c r="T39" s="260">
        <f t="shared" si="15"/>
        <v>2.5902608138145353E-2</v>
      </c>
      <c r="U39" s="260">
        <f t="shared" si="15"/>
        <v>2.65903137536346E-2</v>
      </c>
      <c r="V39" s="260">
        <f t="shared" si="15"/>
        <v>2.5295561418612868E-2</v>
      </c>
      <c r="W39" s="260">
        <f t="shared" si="15"/>
        <v>2.6560550534754149E-2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3.9576030972764124E-2</v>
      </c>
      <c r="C40" s="262">
        <f t="shared" si="16"/>
        <v>4.2424404794507521E-2</v>
      </c>
      <c r="D40" s="262">
        <f t="shared" si="16"/>
        <v>4.1804199631714938E-2</v>
      </c>
      <c r="E40" s="262">
        <f t="shared" si="16"/>
        <v>3.639628837624153E-2</v>
      </c>
      <c r="F40" s="262">
        <f t="shared" si="16"/>
        <v>3.3853254293303048E-2</v>
      </c>
      <c r="G40" s="262">
        <f t="shared" si="16"/>
        <v>3.6244951884547627E-2</v>
      </c>
      <c r="H40" s="262">
        <f t="shared" si="16"/>
        <v>4.1436111088466669E-2</v>
      </c>
      <c r="I40" s="262">
        <f t="shared" si="16"/>
        <v>3.9972523197668156E-2</v>
      </c>
      <c r="J40" s="262">
        <f t="shared" si="16"/>
        <v>4.2280614078896724E-2</v>
      </c>
      <c r="K40" s="262">
        <f t="shared" si="16"/>
        <v>4.461893564937186E-2</v>
      </c>
      <c r="L40" s="262">
        <f t="shared" si="16"/>
        <v>3.8336862363181616E-2</v>
      </c>
      <c r="M40" s="262">
        <f t="shared" si="16"/>
        <v>3.604011955010937E-2</v>
      </c>
      <c r="N40" s="262">
        <f t="shared" si="16"/>
        <v>3.2505971095700525E-2</v>
      </c>
      <c r="O40" s="262">
        <f t="shared" si="16"/>
        <v>3.2898897070748598E-2</v>
      </c>
      <c r="P40" s="262">
        <f t="shared" si="16"/>
        <v>3.7385698478017246E-2</v>
      </c>
      <c r="Q40" s="262">
        <f t="shared" si="16"/>
        <v>4.2108908516935217E-2</v>
      </c>
      <c r="R40" s="262">
        <f t="shared" si="16"/>
        <v>4.2731823761903716E-2</v>
      </c>
      <c r="S40" s="262">
        <f t="shared" si="16"/>
        <v>4.21829330313786E-2</v>
      </c>
      <c r="T40" s="262">
        <f t="shared" si="16"/>
        <v>3.7558781800310755E-2</v>
      </c>
      <c r="U40" s="262">
        <f t="shared" si="16"/>
        <v>3.855595494277015E-2</v>
      </c>
      <c r="V40" s="262">
        <f t="shared" si="16"/>
        <v>3.6678564056988661E-2</v>
      </c>
      <c r="W40" s="262">
        <f t="shared" si="16"/>
        <v>3.8512798275393494E-2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122.34803499436492</v>
      </c>
      <c r="D44" s="237">
        <f t="shared" si="17"/>
        <v>127.81056238438651</v>
      </c>
      <c r="E44" s="237">
        <f t="shared" si="17"/>
        <v>135.4328803289018</v>
      </c>
      <c r="F44" s="237">
        <f t="shared" si="17"/>
        <v>134.84363036747564</v>
      </c>
      <c r="G44" s="237">
        <f t="shared" si="17"/>
        <v>154.4265560823676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</v>
      </c>
      <c r="L44" s="237">
        <f t="shared" si="17"/>
        <v>144.58585940593417</v>
      </c>
      <c r="M44" s="237">
        <f t="shared" si="17"/>
        <v>132.80026593791027</v>
      </c>
      <c r="N44" s="237">
        <f t="shared" si="17"/>
        <v>135.04301399101348</v>
      </c>
      <c r="O44" s="237">
        <f t="shared" si="17"/>
        <v>132.95020410976792</v>
      </c>
      <c r="P44" s="237">
        <f t="shared" si="17"/>
        <v>130.1593966411773</v>
      </c>
      <c r="Q44" s="237">
        <f t="shared" si="17"/>
        <v>132.91816907674797</v>
      </c>
      <c r="R44" s="237">
        <f t="shared" si="17"/>
        <v>135.38540863538174</v>
      </c>
      <c r="S44" s="237">
        <f t="shared" si="17"/>
        <v>124.90211009173741</v>
      </c>
      <c r="T44" s="237">
        <f t="shared" si="17"/>
        <v>141.27985612939966</v>
      </c>
      <c r="U44" s="237">
        <f t="shared" si="17"/>
        <v>142.01198459584057</v>
      </c>
      <c r="V44" s="237">
        <f t="shared" si="17"/>
        <v>148.62601044661247</v>
      </c>
      <c r="W44" s="237">
        <f t="shared" si="17"/>
        <v>142.54014154785781</v>
      </c>
      <c r="DA44" s="281"/>
    </row>
    <row r="45" spans="1:105" x14ac:dyDescent="0.25">
      <c r="A45" s="239" t="s">
        <v>125</v>
      </c>
      <c r="B45" s="248">
        <f>IF(B$6=0,0,B$6/AGR!B$5*1000)</f>
        <v>3.4515453297482237</v>
      </c>
      <c r="C45" s="248">
        <f>IF(C$6=0,0,C$6/AGR!C$5*1000)</f>
        <v>3.5796845258024188</v>
      </c>
      <c r="D45" s="248">
        <f>IF(D$6=0,0,D$6/AGR!D$5*1000)</f>
        <v>3.6848401827301025</v>
      </c>
      <c r="E45" s="248">
        <f>IF(E$6=0,0,E$6/AGR!E$5*1000)</f>
        <v>3.3994856331556687</v>
      </c>
      <c r="F45" s="248">
        <f>IF(F$6=0,0,F$6/AGR!F$5*1000)</f>
        <v>3.1482039370084931</v>
      </c>
      <c r="G45" s="248">
        <f>IF(G$6=0,0,G$6/AGR!G$5*1000)</f>
        <v>3.8601262723460739</v>
      </c>
      <c r="H45" s="248">
        <f>IF(H$6=0,0,H$6/AGR!H$5*1000)</f>
        <v>4.198769765920864</v>
      </c>
      <c r="I45" s="248">
        <f>IF(I$6=0,0,I$6/AGR!I$5*1000)</f>
        <v>3.7832893692770679</v>
      </c>
      <c r="J45" s="248">
        <f>IF(J$6=0,0,J$6/AGR!J$5*1000)</f>
        <v>4.0626488938390191</v>
      </c>
      <c r="K45" s="248">
        <f>IF(K$6=0,0,K$6/AGR!K$5*1000)</f>
        <v>4.8114670342566894</v>
      </c>
      <c r="L45" s="248">
        <f>IF(L$6=0,0,L$6/AGR!L$5*1000)</f>
        <v>3.8227366839362951</v>
      </c>
      <c r="M45" s="248">
        <f>IF(M$6=0,0,M$6/AGR!M$5*1000)</f>
        <v>3.3007844556473134</v>
      </c>
      <c r="N45" s="248">
        <f>IF(N$6=0,0,N$6/AGR!N$5*1000)</f>
        <v>3.0273822823918382</v>
      </c>
      <c r="O45" s="248">
        <f>IF(O$6=0,0,O$6/AGR!O$5*1000)</f>
        <v>3.01649315899467</v>
      </c>
      <c r="P45" s="248">
        <f>IF(P$6=0,0,P$6/AGR!P$5*1000)</f>
        <v>3.3559310047639337</v>
      </c>
      <c r="Q45" s="248">
        <f>IF(Q$6=0,0,Q$6/AGR!Q$5*1000)</f>
        <v>3.8600269116491792</v>
      </c>
      <c r="R45" s="248">
        <f>IF(R$6=0,0,R$6/AGR!R$5*1000)</f>
        <v>3.9898382218899648</v>
      </c>
      <c r="S45" s="248">
        <f>IF(S$6=0,0,S$6/AGR!S$5*1000)</f>
        <v>3.63361196239837</v>
      </c>
      <c r="T45" s="248">
        <f>IF(T$6=0,0,T$6/AGR!T$5*1000)</f>
        <v>3.6595167511333919</v>
      </c>
      <c r="U45" s="248">
        <f>IF(U$6=0,0,U$6/AGR!U$5*1000)</f>
        <v>3.7761432271797242</v>
      </c>
      <c r="V45" s="248">
        <f>IF(V$6=0,0,V$6/AGR!V$5*1000)</f>
        <v>3.7595783756556842</v>
      </c>
      <c r="W45" s="248">
        <f>IF(W$6=0,0,W$6/AGR!W$5*1000)</f>
        <v>3.7859446328128881</v>
      </c>
      <c r="DA45" s="282"/>
    </row>
    <row r="46" spans="1:105" x14ac:dyDescent="0.25">
      <c r="A46" s="241" t="s">
        <v>124</v>
      </c>
      <c r="B46" s="249">
        <f>IF(B$7=0,0,B$7/AGR!B$5*1000)</f>
        <v>2.2435044643363451</v>
      </c>
      <c r="C46" s="249">
        <f>IF(C$7=0,0,C$7/AGR!C$5*1000)</f>
        <v>2.3267949417715719</v>
      </c>
      <c r="D46" s="249">
        <f>IF(D$7=0,0,D$7/AGR!D$5*1000)</f>
        <v>2.3951461187745666</v>
      </c>
      <c r="E46" s="249">
        <f>IF(E$7=0,0,E$7/AGR!E$5*1000)</f>
        <v>2.2096656615511843</v>
      </c>
      <c r="F46" s="249">
        <f>IF(F$7=0,0,F$7/AGR!F$5*1000)</f>
        <v>2.0463325590555206</v>
      </c>
      <c r="G46" s="249">
        <f>IF(G$7=0,0,G$7/AGR!G$5*1000)</f>
        <v>2.5090820770249471</v>
      </c>
      <c r="H46" s="249">
        <f>IF(H$7=0,0,H$7/AGR!H$5*1000)</f>
        <v>2.7292003478485611</v>
      </c>
      <c r="I46" s="249">
        <f>IF(I$7=0,0,I$7/AGR!I$5*1000)</f>
        <v>2.4591380900300934</v>
      </c>
      <c r="J46" s="249">
        <f>IF(J$7=0,0,J$7/AGR!J$5*1000)</f>
        <v>2.6407217809953609</v>
      </c>
      <c r="K46" s="249">
        <f>IF(K$7=0,0,K$7/AGR!K$5*1000)</f>
        <v>3.1274535722668464</v>
      </c>
      <c r="L46" s="249">
        <f>IF(L$7=0,0,L$7/AGR!L$5*1000)</f>
        <v>2.4847788445585919</v>
      </c>
      <c r="M46" s="249">
        <f>IF(M$7=0,0,M$7/AGR!M$5*1000)</f>
        <v>2.1455098961707533</v>
      </c>
      <c r="N46" s="249">
        <f>IF(N$7=0,0,N$7/AGR!N$5*1000)</f>
        <v>1.9677984835546938</v>
      </c>
      <c r="O46" s="249">
        <f>IF(O$7=0,0,O$7/AGR!O$5*1000)</f>
        <v>1.9607205533465353</v>
      </c>
      <c r="P46" s="249">
        <f>IF(P$7=0,0,P$7/AGR!P$5*1000)</f>
        <v>2.1813551530965571</v>
      </c>
      <c r="Q46" s="249">
        <f>IF(Q$7=0,0,Q$7/AGR!Q$5*1000)</f>
        <v>2.509017492571965</v>
      </c>
      <c r="R46" s="249">
        <f>IF(R$7=0,0,R$7/AGR!R$5*1000)</f>
        <v>2.5933948442284769</v>
      </c>
      <c r="S46" s="249">
        <f>IF(S$7=0,0,S$7/AGR!S$5*1000)</f>
        <v>2.3618477755589402</v>
      </c>
      <c r="T46" s="249">
        <f>IF(T$7=0,0,T$7/AGR!T$5*1000)</f>
        <v>2.3786858882367041</v>
      </c>
      <c r="U46" s="249">
        <f>IF(U$7=0,0,U$7/AGR!U$5*1000)</f>
        <v>2.4544930976668198</v>
      </c>
      <c r="V46" s="249">
        <f>IF(V$7=0,0,V$7/AGR!V$5*1000)</f>
        <v>2.4437259441761943</v>
      </c>
      <c r="W46" s="249">
        <f>IF(W$7=0,0,W$7/AGR!W$5*1000)</f>
        <v>2.460864011328376</v>
      </c>
      <c r="DA46" s="283"/>
    </row>
    <row r="47" spans="1:105" x14ac:dyDescent="0.25">
      <c r="A47" s="241" t="s">
        <v>123</v>
      </c>
      <c r="B47" s="249">
        <f>IF(B$8=0,0,B$8/AGR!B$5*1000)</f>
        <v>3.1063907967734008</v>
      </c>
      <c r="C47" s="249">
        <f>IF(C$8=0,0,C$8/AGR!C$5*1000)</f>
        <v>3.2217160732221761</v>
      </c>
      <c r="D47" s="249">
        <f>IF(D$8=0,0,D$8/AGR!D$5*1000)</f>
        <v>3.3163561644570905</v>
      </c>
      <c r="E47" s="249">
        <f>IF(E$8=0,0,E$8/AGR!E$5*1000)</f>
        <v>3.0595370698401032</v>
      </c>
      <c r="F47" s="249">
        <f>IF(F$8=0,0,F$8/AGR!F$5*1000)</f>
        <v>2.8333835433076437</v>
      </c>
      <c r="G47" s="249">
        <f>IF(G$8=0,0,G$8/AGR!G$5*1000)</f>
        <v>3.4741136451114656</v>
      </c>
      <c r="H47" s="249">
        <f>IF(H$8=0,0,H$8/AGR!H$5*1000)</f>
        <v>3.7788927893287769</v>
      </c>
      <c r="I47" s="249">
        <f>IF(I$8=0,0,I$8/AGR!I$5*1000)</f>
        <v>3.4049604323493607</v>
      </c>
      <c r="J47" s="249">
        <f>IF(J$8=0,0,J$8/AGR!J$5*1000)</f>
        <v>3.6563840044551168</v>
      </c>
      <c r="K47" s="249">
        <f>IF(K$8=0,0,K$8/AGR!K$5*1000)</f>
        <v>4.3303203308310207</v>
      </c>
      <c r="L47" s="249">
        <f>IF(L$8=0,0,L$8/AGR!L$5*1000)</f>
        <v>3.4404630155426648</v>
      </c>
      <c r="M47" s="249">
        <f>IF(M$8=0,0,M$8/AGR!M$5*1000)</f>
        <v>2.9707060100825817</v>
      </c>
      <c r="N47" s="249">
        <f>IF(N$8=0,0,N$8/AGR!N$5*1000)</f>
        <v>2.724644054152654</v>
      </c>
      <c r="O47" s="249">
        <f>IF(O$8=0,0,O$8/AGR!O$5*1000)</f>
        <v>2.7148438430952031</v>
      </c>
      <c r="P47" s="249">
        <f>IF(P$8=0,0,P$8/AGR!P$5*1000)</f>
        <v>3.0203379042875405</v>
      </c>
      <c r="Q47" s="249">
        <f>IF(Q$8=0,0,Q$8/AGR!Q$5*1000)</f>
        <v>3.4740242204842597</v>
      </c>
      <c r="R47" s="249">
        <f>IF(R$8=0,0,R$8/AGR!R$5*1000)</f>
        <v>3.5908543997009672</v>
      </c>
      <c r="S47" s="249">
        <f>IF(S$8=0,0,S$8/AGR!S$5*1000)</f>
        <v>3.2702507661585338</v>
      </c>
      <c r="T47" s="249">
        <f>IF(T$8=0,0,T$8/AGR!T$5*1000)</f>
        <v>3.2935650760200526</v>
      </c>
      <c r="U47" s="249">
        <f>IF(U$8=0,0,U$8/AGR!U$5*1000)</f>
        <v>3.3985289044617502</v>
      </c>
      <c r="V47" s="249">
        <f>IF(V$8=0,0,V$8/AGR!V$5*1000)</f>
        <v>3.3836205380901156</v>
      </c>
      <c r="W47" s="249">
        <f>IF(W$8=0,0,W$8/AGR!W$5*1000)</f>
        <v>3.4073501695315973</v>
      </c>
      <c r="DA47" s="283"/>
    </row>
    <row r="48" spans="1:105" x14ac:dyDescent="0.25">
      <c r="A48" s="243" t="s">
        <v>122</v>
      </c>
      <c r="B48" s="250">
        <f>IF(B$9=0,0,B$9/AGR!B$5*1000)</f>
        <v>24.463902063461227</v>
      </c>
      <c r="C48" s="250">
        <f>IF(C$9=0,0,C$9/AGR!C$5*1000)</f>
        <v>23.643911235857221</v>
      </c>
      <c r="D48" s="250">
        <f>IF(D$9=0,0,D$9/AGR!D$5*1000)</f>
        <v>24.696148158010022</v>
      </c>
      <c r="E48" s="250">
        <f>IF(E$9=0,0,E$9/AGR!E$5*1000)</f>
        <v>26.911740357487812</v>
      </c>
      <c r="F48" s="250">
        <f>IF(F$9=0,0,F$9/AGR!F$5*1000)</f>
        <v>27.140408887356593</v>
      </c>
      <c r="G48" s="250">
        <f>IF(G$9=0,0,G$9/AGR!G$5*1000)</f>
        <v>30.697542302180167</v>
      </c>
      <c r="H48" s="250">
        <f>IF(H$9=0,0,H$9/AGR!H$5*1000)</f>
        <v>28.943042897689836</v>
      </c>
      <c r="I48" s="250">
        <f>IF(I$9=0,0,I$9/AGR!I$5*1000)</f>
        <v>27.048605933615331</v>
      </c>
      <c r="J48" s="250">
        <f>IF(J$9=0,0,J$9/AGR!J$5*1000)</f>
        <v>27.475405509991528</v>
      </c>
      <c r="K48" s="250">
        <f>IF(K$9=0,0,K$9/AGR!K$5*1000)</f>
        <v>30.402059699731225</v>
      </c>
      <c r="L48" s="250">
        <f>IF(L$9=0,0,L$9/AGR!L$5*1000)</f>
        <v>28.17989848207781</v>
      </c>
      <c r="M48" s="250">
        <f>IF(M$9=0,0,M$9/AGR!M$5*1000)</f>
        <v>26.664458579831358</v>
      </c>
      <c r="N48" s="250">
        <f>IF(N$9=0,0,N$9/AGR!N$5*1000)</f>
        <v>27.550358066249515</v>
      </c>
      <c r="O48" s="250">
        <f>IF(O$9=0,0,O$9/AGR!O$5*1000)</f>
        <v>26.703895481069804</v>
      </c>
      <c r="P48" s="250">
        <f>IF(P$9=0,0,P$9/AGR!P$5*1000)</f>
        <v>25.972012814241076</v>
      </c>
      <c r="Q48" s="250">
        <f>IF(Q$9=0,0,Q$9/AGR!Q$5*1000)</f>
        <v>25.855675445205534</v>
      </c>
      <c r="R48" s="250">
        <f>IF(R$9=0,0,R$9/AGR!R$5*1000)</f>
        <v>26.231835560964214</v>
      </c>
      <c r="S48" s="250">
        <f>IF(S$9=0,0,S$9/AGR!S$5*1000)</f>
        <v>24.254022475924128</v>
      </c>
      <c r="T48" s="250">
        <f>IF(T$9=0,0,T$9/AGR!T$5*1000)</f>
        <v>27.431249139146253</v>
      </c>
      <c r="U48" s="250">
        <f>IF(U$9=0,0,U$9/AGR!U$5*1000)</f>
        <v>27.586697159473495</v>
      </c>
      <c r="V48" s="250">
        <f>IF(V$9=0,0,V$9/AGR!V$5*1000)</f>
        <v>28.950733880752018</v>
      </c>
      <c r="W48" s="250">
        <f>IF(W$9=0,0,W$9/AGR!W$5*1000)</f>
        <v>27.70579205308632</v>
      </c>
      <c r="DA48" s="284"/>
    </row>
    <row r="49" spans="1:105" x14ac:dyDescent="0.25">
      <c r="A49" s="128" t="s">
        <v>175</v>
      </c>
      <c r="B49" s="263">
        <f>IF(B$16=0,0,B$16/AGR!B$5*1000)</f>
        <v>32.323917348553564</v>
      </c>
      <c r="C49" s="263">
        <f>IF(C$16=0,0,C$16/AGR!C$5*1000)</f>
        <v>31.047618991583168</v>
      </c>
      <c r="D49" s="263">
        <f>IF(D$16=0,0,D$16/AGR!D$5*1000)</f>
        <v>32.468664368767698</v>
      </c>
      <c r="E49" s="263">
        <f>IF(E$16=0,0,E$16/AGR!E$5*1000)</f>
        <v>34.171185132691726</v>
      </c>
      <c r="F49" s="263">
        <f>IF(F$16=0,0,F$16/AGR!F$5*1000)</f>
        <v>34.377297459270032</v>
      </c>
      <c r="G49" s="263">
        <f>IF(G$16=0,0,G$16/AGR!G$5*1000)</f>
        <v>39.599094804192909</v>
      </c>
      <c r="H49" s="263">
        <f>IF(H$16=0,0,H$16/AGR!H$5*1000)</f>
        <v>36.404190382692235</v>
      </c>
      <c r="I49" s="263">
        <f>IF(I$16=0,0,I$16/AGR!I$5*1000)</f>
        <v>34.42017077939694</v>
      </c>
      <c r="J49" s="263">
        <f>IF(J$16=0,0,J$16/AGR!J$5*1000)</f>
        <v>34.474824139491297</v>
      </c>
      <c r="K49" s="263">
        <f>IF(K$16=0,0,K$16/AGR!K$5*1000)</f>
        <v>38.964342906323147</v>
      </c>
      <c r="L49" s="263">
        <f>IF(L$16=0,0,L$16/AGR!L$5*1000)</f>
        <v>36.999045826083169</v>
      </c>
      <c r="M49" s="263">
        <f>IF(M$16=0,0,M$16/AGR!M$5*1000)</f>
        <v>32.859780531141212</v>
      </c>
      <c r="N49" s="263">
        <f>IF(N$16=0,0,N$16/AGR!N$5*1000)</f>
        <v>33.385862835723074</v>
      </c>
      <c r="O49" s="263">
        <f>IF(O$16=0,0,O$16/AGR!O$5*1000)</f>
        <v>32.137103470336221</v>
      </c>
      <c r="P49" s="263">
        <f>IF(P$16=0,0,P$16/AGR!P$5*1000)</f>
        <v>30.781242186479187</v>
      </c>
      <c r="Q49" s="263">
        <f>IF(Q$16=0,0,Q$16/AGR!Q$5*1000)</f>
        <v>32.657815929595863</v>
      </c>
      <c r="R49" s="263">
        <f>IF(R$16=0,0,R$16/AGR!R$5*1000)</f>
        <v>33.720598850828793</v>
      </c>
      <c r="S49" s="263">
        <f>IF(S$16=0,0,S$16/AGR!S$5*1000)</f>
        <v>31.232319891817095</v>
      </c>
      <c r="T49" s="263">
        <f>IF(T$16=0,0,T$16/AGR!T$5*1000)</f>
        <v>36.189387695336208</v>
      </c>
      <c r="U49" s="263">
        <f>IF(U$16=0,0,U$16/AGR!U$5*1000)</f>
        <v>36.068445900957748</v>
      </c>
      <c r="V49" s="263">
        <f>IF(V$16=0,0,V$16/AGR!V$5*1000)</f>
        <v>38.382701993113251</v>
      </c>
      <c r="W49" s="263">
        <f>IF(W$16=0,0,W$16/AGR!W$5*1000)</f>
        <v>36.600531647328026</v>
      </c>
      <c r="DA49" s="285"/>
    </row>
    <row r="50" spans="1:105" x14ac:dyDescent="0.25">
      <c r="A50" s="128" t="s">
        <v>121</v>
      </c>
      <c r="B50" s="263">
        <f>IF(B$17=0,0,B$17/AGR!B$5*1000)</f>
        <v>46.202028301184377</v>
      </c>
      <c r="C50" s="263">
        <f>IF(C$17=0,0,C$17/AGR!C$5*1000)</f>
        <v>43.792023406354687</v>
      </c>
      <c r="D50" s="263">
        <f>IF(D$17=0,0,D$17/AGR!D$5*1000)</f>
        <v>45.98242450057284</v>
      </c>
      <c r="E50" s="263">
        <f>IF(E$17=0,0,E$17/AGR!E$5*1000)</f>
        <v>50.78624867643029</v>
      </c>
      <c r="F50" s="263">
        <f>IF(F$17=0,0,F$17/AGR!F$5*1000)</f>
        <v>50.979020138057386</v>
      </c>
      <c r="G50" s="263">
        <f>IF(G$17=0,0,G$17/AGR!G$5*1000)</f>
        <v>57.219991539663908</v>
      </c>
      <c r="H50" s="263">
        <f>IF(H$17=0,0,H$17/AGR!H$5*1000)</f>
        <v>53.593751042190483</v>
      </c>
      <c r="I50" s="263">
        <f>IF(I$17=0,0,I$17/AGR!I$5*1000)</f>
        <v>50.239165299725663</v>
      </c>
      <c r="J50" s="263">
        <f>IF(J$17=0,0,J$17/AGR!J$5*1000)</f>
        <v>50.43913239059183</v>
      </c>
      <c r="K50" s="263">
        <f>IF(K$17=0,0,K$17/AGR!K$5*1000)</f>
        <v>55.449172582656409</v>
      </c>
      <c r="L50" s="263">
        <f>IF(L$17=0,0,L$17/AGR!L$5*1000)</f>
        <v>53.183556682728991</v>
      </c>
      <c r="M50" s="263">
        <f>IF(M$17=0,0,M$17/AGR!M$5*1000)</f>
        <v>50.457823875261006</v>
      </c>
      <c r="N50" s="263">
        <f>IF(N$17=0,0,N$17/AGR!N$5*1000)</f>
        <v>52.554509904590816</v>
      </c>
      <c r="O50" s="263">
        <f>IF(O$17=0,0,O$17/AGR!O$5*1000)</f>
        <v>52.851327109774147</v>
      </c>
      <c r="P50" s="263">
        <f>IF(P$17=0,0,P$17/AGR!P$5*1000)</f>
        <v>50.711614408091428</v>
      </c>
      <c r="Q50" s="263">
        <f>IF(Q$17=0,0,Q$17/AGR!Q$5*1000)</f>
        <v>48.829071651564995</v>
      </c>
      <c r="R50" s="263">
        <f>IF(R$17=0,0,R$17/AGR!R$5*1000)</f>
        <v>49.004089026747472</v>
      </c>
      <c r="S50" s="263">
        <f>IF(S$17=0,0,S$17/AGR!S$5*1000)</f>
        <v>45.246157363220071</v>
      </c>
      <c r="T50" s="263">
        <f>IF(T$17=0,0,T$17/AGR!T$5*1000)</f>
        <v>52.407543101178867</v>
      </c>
      <c r="U50" s="263">
        <f>IF(U$17=0,0,U$17/AGR!U$5*1000)</f>
        <v>52.545272935124878</v>
      </c>
      <c r="V50" s="263">
        <f>IF(V$17=0,0,V$17/AGR!V$5*1000)</f>
        <v>55.119126635600914</v>
      </c>
      <c r="W50" s="263">
        <f>IF(W$17=0,0,W$17/AGR!W$5*1000)</f>
        <v>52.270997508571739</v>
      </c>
      <c r="DA50" s="285"/>
    </row>
    <row r="51" spans="1:105" x14ac:dyDescent="0.25">
      <c r="A51" s="128" t="s">
        <v>174</v>
      </c>
      <c r="B51" s="263">
        <f>IF(B$25=0,0,B$25/AGR!B$5*1000)</f>
        <v>6.2113100971693989</v>
      </c>
      <c r="C51" s="263">
        <f>IF(C$25=0,0,C$25/AGR!C$5*1000)</f>
        <v>5.9660587315577498</v>
      </c>
      <c r="D51" s="263">
        <f>IF(D$25=0,0,D$25/AGR!D$5*1000)</f>
        <v>6.2391244433854398</v>
      </c>
      <c r="E51" s="263">
        <f>IF(E$25=0,0,E$25/AGR!E$5*1000)</f>
        <v>6.5662779965136444</v>
      </c>
      <c r="F51" s="263">
        <f>IF(F$25=0,0,F$25/AGR!F$5*1000)</f>
        <v>6.6058841977491651</v>
      </c>
      <c r="G51" s="263">
        <f>IF(G$25=0,0,G$25/AGR!G$5*1000)</f>
        <v>7.6092960746002607</v>
      </c>
      <c r="H51" s="263">
        <f>IF(H$25=0,0,H$25/AGR!H$5*1000)</f>
        <v>6.9953685645533854</v>
      </c>
      <c r="I51" s="263">
        <f>IF(I$25=0,0,I$25/AGR!I$5*1000)</f>
        <v>6.6141226635060137</v>
      </c>
      <c r="J51" s="263">
        <f>IF(J$25=0,0,J$25/AGR!J$5*1000)</f>
        <v>6.6246247621142285</v>
      </c>
      <c r="K51" s="263">
        <f>IF(K$25=0,0,K$25/AGR!K$5*1000)</f>
        <v>7.4873232075766873</v>
      </c>
      <c r="L51" s="263">
        <f>IF(L$25=0,0,L$25/AGR!L$5*1000)</f>
        <v>7.1096749953627567</v>
      </c>
      <c r="M51" s="263">
        <f>IF(M$25=0,0,M$25/AGR!M$5*1000)</f>
        <v>6.3142806734401313</v>
      </c>
      <c r="N51" s="263">
        <f>IF(N$25=0,0,N$25/AGR!N$5*1000)</f>
        <v>6.415371772490901</v>
      </c>
      <c r="O51" s="263">
        <f>IF(O$25=0,0,O$25/AGR!O$5*1000)</f>
        <v>6.1754122536144154</v>
      </c>
      <c r="P51" s="263">
        <f>IF(P$25=0,0,P$25/AGR!P$5*1000)</f>
        <v>5.9148722085459262</v>
      </c>
      <c r="Q51" s="263">
        <f>IF(Q$25=0,0,Q$25/AGR!Q$5*1000)</f>
        <v>6.2754714921356989</v>
      </c>
      <c r="R51" s="263">
        <f>IF(R$25=0,0,R$25/AGR!R$5*1000)</f>
        <v>6.4796940873914295</v>
      </c>
      <c r="S51" s="263">
        <f>IF(S$25=0,0,S$25/AGR!S$5*1000)</f>
        <v>6.0015505487842455</v>
      </c>
      <c r="T51" s="263">
        <f>IF(T$25=0,0,T$25/AGR!T$5*1000)</f>
        <v>6.954092438071358</v>
      </c>
      <c r="U51" s="263">
        <f>IF(U$25=0,0,U$25/AGR!U$5*1000)</f>
        <v>6.930852464385854</v>
      </c>
      <c r="V51" s="263">
        <f>IF(V$25=0,0,V$25/AGR!V$5*1000)</f>
        <v>7.3755560588678675</v>
      </c>
      <c r="W51" s="263">
        <f>IF(W$25=0,0,W$25/AGR!W$5*1000)</f>
        <v>7.0330971748072981</v>
      </c>
      <c r="DA51" s="285"/>
    </row>
    <row r="52" spans="1:105" x14ac:dyDescent="0.25">
      <c r="A52" s="128" t="s">
        <v>177</v>
      </c>
      <c r="B52" s="263">
        <f>IF(B$26=0,0,B$26/AGR!B$5*1000)</f>
        <v>3.4515453297482237</v>
      </c>
      <c r="C52" s="263">
        <f>IF(C$26=0,0,C$26/AGR!C$5*1000)</f>
        <v>3.5796845258024188</v>
      </c>
      <c r="D52" s="263">
        <f>IF(D$26=0,0,D$26/AGR!D$5*1000)</f>
        <v>3.6848401827301025</v>
      </c>
      <c r="E52" s="263">
        <f>IF(E$26=0,0,E$26/AGR!E$5*1000)</f>
        <v>3.3994856331556687</v>
      </c>
      <c r="F52" s="263">
        <f>IF(F$26=0,0,F$26/AGR!F$5*1000)</f>
        <v>3.1482039370084931</v>
      </c>
      <c r="G52" s="263">
        <f>IF(G$26=0,0,G$26/AGR!G$5*1000)</f>
        <v>3.8601262723460739</v>
      </c>
      <c r="H52" s="263">
        <f>IF(H$26=0,0,H$26/AGR!H$5*1000)</f>
        <v>4.198769765920864</v>
      </c>
      <c r="I52" s="263">
        <f>IF(I$26=0,0,I$26/AGR!I$5*1000)</f>
        <v>3.7832893692770679</v>
      </c>
      <c r="J52" s="263">
        <f>IF(J$26=0,0,J$26/AGR!J$5*1000)</f>
        <v>4.0626488938390191</v>
      </c>
      <c r="K52" s="263">
        <f>IF(K$26=0,0,K$26/AGR!K$5*1000)</f>
        <v>4.8114670342566894</v>
      </c>
      <c r="L52" s="263">
        <f>IF(L$26=0,0,L$26/AGR!L$5*1000)</f>
        <v>3.8227366839362951</v>
      </c>
      <c r="M52" s="263">
        <f>IF(M$26=0,0,M$26/AGR!M$5*1000)</f>
        <v>3.3007844556473134</v>
      </c>
      <c r="N52" s="263">
        <f>IF(N$26=0,0,N$26/AGR!N$5*1000)</f>
        <v>3.0273822823918382</v>
      </c>
      <c r="O52" s="263">
        <f>IF(O$26=0,0,O$26/AGR!O$5*1000)</f>
        <v>3.01649315899467</v>
      </c>
      <c r="P52" s="263">
        <f>IF(P$26=0,0,P$26/AGR!P$5*1000)</f>
        <v>3.3559310047639337</v>
      </c>
      <c r="Q52" s="263">
        <f>IF(Q$26=0,0,Q$26/AGR!Q$5*1000)</f>
        <v>3.8600269116491792</v>
      </c>
      <c r="R52" s="263">
        <f>IF(R$26=0,0,R$26/AGR!R$5*1000)</f>
        <v>3.9898382218899648</v>
      </c>
      <c r="S52" s="263">
        <f>IF(S$26=0,0,S$26/AGR!S$5*1000)</f>
        <v>3.63361196239837</v>
      </c>
      <c r="T52" s="263">
        <f>IF(T$26=0,0,T$26/AGR!T$5*1000)</f>
        <v>3.6595167511333919</v>
      </c>
      <c r="U52" s="263">
        <f>IF(U$26=0,0,U$26/AGR!U$5*1000)</f>
        <v>3.7761432271797242</v>
      </c>
      <c r="V52" s="263">
        <f>IF(V$26=0,0,V$26/AGR!V$5*1000)</f>
        <v>3.7595783756556842</v>
      </c>
      <c r="W52" s="263">
        <f>IF(W$26=0,0,W$26/AGR!W$5*1000)</f>
        <v>3.7859446328128881</v>
      </c>
      <c r="DA52" s="285"/>
    </row>
    <row r="53" spans="1:105" x14ac:dyDescent="0.25">
      <c r="A53" s="261" t="s">
        <v>33</v>
      </c>
      <c r="B53" s="264">
        <f>IF(B$27=0,0,B$27/AGR!B$5*1000)</f>
        <v>5.0047407281349248</v>
      </c>
      <c r="C53" s="264">
        <f>IF(C$27=0,0,C$27/AGR!C$5*1000)</f>
        <v>5.1905425624135084</v>
      </c>
      <c r="D53" s="264">
        <f>IF(D$27=0,0,D$27/AGR!D$5*1000)</f>
        <v>5.3430182649586504</v>
      </c>
      <c r="E53" s="264">
        <f>IF(E$27=0,0,E$27/AGR!E$5*1000)</f>
        <v>4.9292541680757189</v>
      </c>
      <c r="F53" s="264">
        <f>IF(F$27=0,0,F$27/AGR!F$5*1000)</f>
        <v>4.5648957086623136</v>
      </c>
      <c r="G53" s="264">
        <f>IF(G$27=0,0,G$27/AGR!G$5*1000)</f>
        <v>5.5971830949018102</v>
      </c>
      <c r="H53" s="264">
        <f>IF(H$27=0,0,H$27/AGR!H$5*1000)</f>
        <v>6.0882161605852527</v>
      </c>
      <c r="I53" s="264">
        <f>IF(I$27=0,0,I$27/AGR!I$5*1000)</f>
        <v>5.4857695854517488</v>
      </c>
      <c r="J53" s="264">
        <f>IF(J$27=0,0,J$27/AGR!J$5*1000)</f>
        <v>5.8908408960665772</v>
      </c>
      <c r="K53" s="264">
        <f>IF(K$27=0,0,K$27/AGR!K$5*1000)</f>
        <v>6.9766271996721994</v>
      </c>
      <c r="L53" s="264">
        <f>IF(L$27=0,0,L$27/AGR!L$5*1000)</f>
        <v>5.5429681917076277</v>
      </c>
      <c r="M53" s="264">
        <f>IF(M$27=0,0,M$27/AGR!M$5*1000)</f>
        <v>4.7861374606886029</v>
      </c>
      <c r="N53" s="264">
        <f>IF(N$27=0,0,N$27/AGR!N$5*1000)</f>
        <v>4.3897043094681658</v>
      </c>
      <c r="O53" s="264">
        <f>IF(O$27=0,0,O$27/AGR!O$5*1000)</f>
        <v>4.3739150805422726</v>
      </c>
      <c r="P53" s="264">
        <f>IF(P$27=0,0,P$27/AGR!P$5*1000)</f>
        <v>4.8660999569077044</v>
      </c>
      <c r="Q53" s="264">
        <f>IF(Q$27=0,0,Q$27/AGR!Q$5*1000)</f>
        <v>5.5970390218913089</v>
      </c>
      <c r="R53" s="264">
        <f>IF(R$27=0,0,R$27/AGR!R$5*1000)</f>
        <v>5.7852654217404504</v>
      </c>
      <c r="S53" s="264">
        <f>IF(S$27=0,0,S$27/AGR!S$5*1000)</f>
        <v>5.2687373454776356</v>
      </c>
      <c r="T53" s="264">
        <f>IF(T$27=0,0,T$27/AGR!T$5*1000)</f>
        <v>5.3062992891434169</v>
      </c>
      <c r="U53" s="264">
        <f>IF(U$27=0,0,U$27/AGR!U$5*1000)</f>
        <v>5.4754076794105977</v>
      </c>
      <c r="V53" s="264">
        <f>IF(V$27=0,0,V$27/AGR!V$5*1000)</f>
        <v>5.4513886447007431</v>
      </c>
      <c r="W53" s="264">
        <f>IF(W$27=0,0,W$27/AGR!W$5*1000)</f>
        <v>5.4896197175786838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1011.0985200955287</v>
      </c>
      <c r="C5" s="80">
        <f t="shared" ref="C5:W5" si="1">SUM(C6:C9,C16:C17,C25:C27)</f>
        <v>950.72739660283264</v>
      </c>
      <c r="D5" s="80">
        <f t="shared" si="1"/>
        <v>934.45246264142702</v>
      </c>
      <c r="E5" s="80">
        <f t="shared" si="1"/>
        <v>1158.0829320305559</v>
      </c>
      <c r="F5" s="80">
        <f t="shared" si="1"/>
        <v>1310.0530209369349</v>
      </c>
      <c r="G5" s="80">
        <f t="shared" si="1"/>
        <v>1221.1032876713082</v>
      </c>
      <c r="H5" s="80">
        <f t="shared" si="1"/>
        <v>1120.2965842242231</v>
      </c>
      <c r="I5" s="80">
        <f t="shared" si="1"/>
        <v>1166.2145354105066</v>
      </c>
      <c r="J5" s="80">
        <f t="shared" si="1"/>
        <v>1076.6451641401713</v>
      </c>
      <c r="K5" s="80">
        <f t="shared" si="1"/>
        <v>942.06367080312134</v>
      </c>
      <c r="L5" s="80">
        <f t="shared" si="1"/>
        <v>876.15629310075269</v>
      </c>
      <c r="M5" s="80">
        <f t="shared" si="1"/>
        <v>946.80501913030355</v>
      </c>
      <c r="N5" s="80">
        <f t="shared" si="1"/>
        <v>1065.2188314468456</v>
      </c>
      <c r="O5" s="80">
        <f t="shared" si="1"/>
        <v>1165.5753842262691</v>
      </c>
      <c r="P5" s="80">
        <f t="shared" si="1"/>
        <v>1140.6282961762784</v>
      </c>
      <c r="Q5" s="80">
        <f t="shared" si="1"/>
        <v>1082.5963414460416</v>
      </c>
      <c r="R5" s="80">
        <f t="shared" si="1"/>
        <v>1087.0812706972285</v>
      </c>
      <c r="S5" s="80">
        <f t="shared" si="1"/>
        <v>1092.8495526013951</v>
      </c>
      <c r="T5" s="80">
        <f t="shared" si="1"/>
        <v>1081.9116269533283</v>
      </c>
      <c r="U5" s="80">
        <f t="shared" si="1"/>
        <v>1145.5928463463465</v>
      </c>
      <c r="V5" s="80">
        <f t="shared" si="1"/>
        <v>1171.4348259232404</v>
      </c>
      <c r="W5" s="80">
        <f t="shared" si="1"/>
        <v>1206.9204117982108</v>
      </c>
      <c r="DA5" s="103"/>
    </row>
    <row r="6" spans="1:105" x14ac:dyDescent="0.25">
      <c r="A6" s="239" t="s">
        <v>125</v>
      </c>
      <c r="B6" s="240">
        <v>33.124336416181592</v>
      </c>
      <c r="C6" s="240">
        <v>33.100441421335233</v>
      </c>
      <c r="D6" s="240">
        <v>32.11928153352622</v>
      </c>
      <c r="E6" s="240">
        <v>34.790339172857188</v>
      </c>
      <c r="F6" s="240">
        <v>36.730024308076729</v>
      </c>
      <c r="G6" s="240">
        <v>36.607846884883152</v>
      </c>
      <c r="H6" s="240">
        <v>37.82377864444711</v>
      </c>
      <c r="I6" s="240">
        <v>38.190392972050063</v>
      </c>
      <c r="J6" s="240">
        <v>36.987590471504618</v>
      </c>
      <c r="K6" s="240">
        <v>34.169716430312427</v>
      </c>
      <c r="L6" s="240">
        <v>27.871559240630571</v>
      </c>
      <c r="M6" s="240">
        <v>28.08131783052756</v>
      </c>
      <c r="N6" s="240">
        <v>28.631175459107531</v>
      </c>
      <c r="O6" s="240">
        <v>31.85271982378552</v>
      </c>
      <c r="P6" s="240">
        <v>34.971904121745993</v>
      </c>
      <c r="Q6" s="240">
        <v>37.272929794671668</v>
      </c>
      <c r="R6" s="240">
        <v>38.017213843349403</v>
      </c>
      <c r="S6" s="240">
        <v>37.773453572424877</v>
      </c>
      <c r="T6" s="240">
        <v>33.8568408049562</v>
      </c>
      <c r="U6" s="240">
        <v>36.636750545857751</v>
      </c>
      <c r="V6" s="240">
        <v>35.87926566066777</v>
      </c>
      <c r="W6" s="240">
        <v>38.615074655875588</v>
      </c>
      <c r="DA6" s="268" t="s">
        <v>1014</v>
      </c>
    </row>
    <row r="7" spans="1:105" x14ac:dyDescent="0.25">
      <c r="A7" s="241" t="s">
        <v>124</v>
      </c>
      <c r="B7" s="242">
        <v>21.350560799962992</v>
      </c>
      <c r="C7" s="242">
        <v>21.335159086435141</v>
      </c>
      <c r="D7" s="242">
        <v>20.702744490231559</v>
      </c>
      <c r="E7" s="242">
        <v>22.424396444620069</v>
      </c>
      <c r="F7" s="242">
        <v>23.674636295223038</v>
      </c>
      <c r="G7" s="242">
        <v>23.59588584209688</v>
      </c>
      <c r="H7" s="242">
        <v>24.379624560210321</v>
      </c>
      <c r="I7" s="242">
        <v>24.61592881075525</v>
      </c>
      <c r="J7" s="242">
        <v>23.84065266346623</v>
      </c>
      <c r="K7" s="242">
        <v>22.024369001592749</v>
      </c>
      <c r="L7" s="242">
        <v>17.96484049311109</v>
      </c>
      <c r="M7" s="242">
        <v>18.100042100492502</v>
      </c>
      <c r="N7" s="242">
        <v>18.454457313006301</v>
      </c>
      <c r="O7" s="242">
        <v>20.530929969353171</v>
      </c>
      <c r="P7" s="242">
        <v>22.541425611082069</v>
      </c>
      <c r="Q7" s="242">
        <v>24.0245704480025</v>
      </c>
      <c r="R7" s="242">
        <v>24.504304792989231</v>
      </c>
      <c r="S7" s="242">
        <v>24.34718712519356</v>
      </c>
      <c r="T7" s="242">
        <v>21.82270246922619</v>
      </c>
      <c r="U7" s="242">
        <v>23.614515932168</v>
      </c>
      <c r="V7" s="242">
        <v>23.12627288050038</v>
      </c>
      <c r="W7" s="242">
        <v>24.889660848651062</v>
      </c>
      <c r="DA7" s="269" t="s">
        <v>1015</v>
      </c>
    </row>
    <row r="8" spans="1:105" x14ac:dyDescent="0.25">
      <c r="A8" s="241" t="s">
        <v>123</v>
      </c>
      <c r="B8" s="242">
        <v>42.428522602246417</v>
      </c>
      <c r="C8" s="242">
        <v>42.39791582068915</v>
      </c>
      <c r="D8" s="242">
        <v>41.141161150851119</v>
      </c>
      <c r="E8" s="242">
        <v>44.562483407646468</v>
      </c>
      <c r="F8" s="242">
        <v>47.047000337039179</v>
      </c>
      <c r="G8" s="242">
        <v>46.890504898268027</v>
      </c>
      <c r="H8" s="242">
        <v>48.447975740710227</v>
      </c>
      <c r="I8" s="242">
        <v>48.917567164054468</v>
      </c>
      <c r="J8" s="242">
        <v>47.376913415123838</v>
      </c>
      <c r="K8" s="242">
        <v>43.767535979004073</v>
      </c>
      <c r="L8" s="242">
        <v>35.700310078461122</v>
      </c>
      <c r="M8" s="242">
        <v>35.96898707052646</v>
      </c>
      <c r="N8" s="242">
        <v>36.673292404499158</v>
      </c>
      <c r="O8" s="242">
        <v>40.799725796961241</v>
      </c>
      <c r="P8" s="242">
        <v>44.795047539374707</v>
      </c>
      <c r="Q8" s="242">
        <v>47.742400764672311</v>
      </c>
      <c r="R8" s="242">
        <v>48.695744318035942</v>
      </c>
      <c r="S8" s="242">
        <v>48.383515024307442</v>
      </c>
      <c r="T8" s="242">
        <v>43.366777745681873</v>
      </c>
      <c r="U8" s="242">
        <v>46.92752721375053</v>
      </c>
      <c r="V8" s="242">
        <v>45.957274884214293</v>
      </c>
      <c r="W8" s="242">
        <v>49.461536292811097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321.41546605865022</v>
      </c>
      <c r="C9" s="244">
        <f t="shared" ref="C9:W9" si="3">SUM(C10:C15)</f>
        <v>302.76756010439379</v>
      </c>
      <c r="D9" s="244">
        <f t="shared" si="3"/>
        <v>297.38044150696874</v>
      </c>
      <c r="E9" s="244">
        <f t="shared" si="3"/>
        <v>377.81347110174465</v>
      </c>
      <c r="F9" s="244">
        <f t="shared" si="3"/>
        <v>431.66693473556086</v>
      </c>
      <c r="G9" s="244">
        <f t="shared" si="3"/>
        <v>396.97721821209473</v>
      </c>
      <c r="H9" s="244">
        <f t="shared" si="3"/>
        <v>364.19862479768017</v>
      </c>
      <c r="I9" s="244">
        <f t="shared" si="3"/>
        <v>378.20178951010081</v>
      </c>
      <c r="J9" s="244">
        <f t="shared" si="3"/>
        <v>350.52599763931698</v>
      </c>
      <c r="K9" s="244">
        <f t="shared" si="3"/>
        <v>303.80692642354876</v>
      </c>
      <c r="L9" s="244">
        <f t="shared" si="3"/>
        <v>280.6108092674026</v>
      </c>
      <c r="M9" s="244">
        <f t="shared" si="3"/>
        <v>313.33034692105184</v>
      </c>
      <c r="N9" s="244">
        <f t="shared" si="3"/>
        <v>358.25975953803561</v>
      </c>
      <c r="O9" s="244">
        <f t="shared" si="3"/>
        <v>389.14031867702585</v>
      </c>
      <c r="P9" s="244">
        <f t="shared" si="3"/>
        <v>379.01623462758914</v>
      </c>
      <c r="Q9" s="244">
        <f t="shared" si="3"/>
        <v>350.17315311603556</v>
      </c>
      <c r="R9" s="244">
        <f t="shared" si="3"/>
        <v>349.37910978082476</v>
      </c>
      <c r="S9" s="244">
        <f t="shared" si="3"/>
        <v>351.3135198911599</v>
      </c>
      <c r="T9" s="244">
        <f t="shared" si="3"/>
        <v>345.5021750788132</v>
      </c>
      <c r="U9" s="244">
        <f t="shared" si="3"/>
        <v>366.67052653802824</v>
      </c>
      <c r="V9" s="244">
        <f t="shared" si="3"/>
        <v>374.27912076435939</v>
      </c>
      <c r="W9" s="244">
        <f t="shared" si="3"/>
        <v>385.31929296311881</v>
      </c>
      <c r="DA9" s="270"/>
    </row>
    <row r="10" spans="1:105" x14ac:dyDescent="0.25">
      <c r="A10" s="254" t="s">
        <v>173</v>
      </c>
      <c r="B10" s="255">
        <v>233.426352259498</v>
      </c>
      <c r="C10" s="255">
        <v>215.42037929717571</v>
      </c>
      <c r="D10" s="255">
        <v>212.14327433364281</v>
      </c>
      <c r="E10" s="255">
        <v>223.7070918919184</v>
      </c>
      <c r="F10" s="255">
        <v>254.37471433646661</v>
      </c>
      <c r="G10" s="255">
        <v>254.8055919959902</v>
      </c>
      <c r="H10" s="255">
        <v>205.8058032869146</v>
      </c>
      <c r="I10" s="255">
        <v>226.0520660740182</v>
      </c>
      <c r="J10" s="255">
        <v>196.1824104877627</v>
      </c>
      <c r="K10" s="255">
        <v>192.7216131210993</v>
      </c>
      <c r="L10" s="255">
        <v>196.8605916268325</v>
      </c>
      <c r="M10" s="255">
        <v>160.71276000695471</v>
      </c>
      <c r="N10" s="255">
        <v>172.3747586314494</v>
      </c>
      <c r="O10" s="255">
        <v>182.1611894740123</v>
      </c>
      <c r="P10" s="255">
        <v>162.95841834179041</v>
      </c>
      <c r="Q10" s="255">
        <v>202.4989491915841</v>
      </c>
      <c r="R10" s="255">
        <v>221.84940890300089</v>
      </c>
      <c r="S10" s="255">
        <v>224.54356788392661</v>
      </c>
      <c r="T10" s="255">
        <v>248.20135200867131</v>
      </c>
      <c r="U10" s="255">
        <v>251.2512022468589</v>
      </c>
      <c r="V10" s="255">
        <v>276.47281369211851</v>
      </c>
      <c r="W10" s="255">
        <v>279.37890560508998</v>
      </c>
      <c r="DA10" s="271" t="s">
        <v>1017</v>
      </c>
    </row>
    <row r="11" spans="1:105" x14ac:dyDescent="0.25">
      <c r="A11" s="254" t="s">
        <v>176</v>
      </c>
      <c r="B11" s="256">
        <v>21.250951753271419</v>
      </c>
      <c r="C11" s="256">
        <v>8.7364163000384778</v>
      </c>
      <c r="D11" s="256">
        <v>11.52500261611789</v>
      </c>
      <c r="E11" s="256">
        <v>99.957310048553509</v>
      </c>
      <c r="F11" s="256">
        <v>130.35417121402551</v>
      </c>
      <c r="G11" s="256">
        <v>86.895193669164385</v>
      </c>
      <c r="H11" s="256">
        <v>77.378291257329963</v>
      </c>
      <c r="I11" s="256">
        <v>77.675664108784858</v>
      </c>
      <c r="J11" s="256">
        <v>71.67528776242996</v>
      </c>
      <c r="K11" s="256">
        <v>20.359291891222309</v>
      </c>
      <c r="L11" s="256">
        <v>32.969052505963283</v>
      </c>
      <c r="M11" s="256">
        <v>110.15716557250821</v>
      </c>
      <c r="N11" s="256">
        <v>152.15507345520601</v>
      </c>
      <c r="O11" s="256">
        <v>165.71464316577789</v>
      </c>
      <c r="P11" s="256">
        <v>155.13469285311299</v>
      </c>
      <c r="Q11" s="256">
        <v>59.754493696490478</v>
      </c>
      <c r="R11" s="256">
        <v>34.960042257348768</v>
      </c>
      <c r="S11" s="256">
        <v>38.640561327465221</v>
      </c>
      <c r="T11" s="256">
        <v>37.386515056712447</v>
      </c>
      <c r="U11" s="256">
        <v>46.449132605938253</v>
      </c>
      <c r="V11" s="256">
        <v>38.535375944174149</v>
      </c>
      <c r="W11" s="256">
        <v>34.505423518371551</v>
      </c>
      <c r="DA11" s="272" t="s">
        <v>1018</v>
      </c>
    </row>
    <row r="12" spans="1:105" x14ac:dyDescent="0.25">
      <c r="A12" s="254" t="s">
        <v>158</v>
      </c>
      <c r="B12" s="256">
        <v>0.82066771250751069</v>
      </c>
      <c r="C12" s="256">
        <v>0.79932878587230272</v>
      </c>
      <c r="D12" s="256">
        <v>0.75465022021976613</v>
      </c>
      <c r="E12" s="256">
        <v>0.26666933969616058</v>
      </c>
      <c r="F12" s="256">
        <v>0.20483197919116081</v>
      </c>
      <c r="G12" s="256">
        <v>0.15051248591441591</v>
      </c>
      <c r="H12" s="256">
        <v>0.17995000906708289</v>
      </c>
      <c r="I12" s="256">
        <v>0.18402917440061939</v>
      </c>
      <c r="J12" s="256">
        <v>0.23150149422121941</v>
      </c>
      <c r="K12" s="256">
        <v>0.31247791431860039</v>
      </c>
      <c r="L12" s="256">
        <v>0.32589052473450753</v>
      </c>
      <c r="M12" s="256">
        <v>0.38532854075639028</v>
      </c>
      <c r="N12" s="256">
        <v>0.39603912186811102</v>
      </c>
      <c r="O12" s="256">
        <v>0.4190177279813313</v>
      </c>
      <c r="P12" s="256">
        <v>0.40705962573081228</v>
      </c>
      <c r="Q12" s="256">
        <v>0.48525446508728193</v>
      </c>
      <c r="R12" s="256">
        <v>0.47632732937150662</v>
      </c>
      <c r="S12" s="256">
        <v>0.47033804692928138</v>
      </c>
      <c r="T12" s="256">
        <v>0.48582760925457352</v>
      </c>
      <c r="U12" s="256">
        <v>0.4829571844943803</v>
      </c>
      <c r="V12" s="256">
        <v>0.48589396389079142</v>
      </c>
      <c r="W12" s="256">
        <v>0.47702618819792042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65.917494333373298</v>
      </c>
      <c r="C15" s="256">
        <v>77.811435721307319</v>
      </c>
      <c r="D15" s="256">
        <v>72.957514336988268</v>
      </c>
      <c r="E15" s="256">
        <v>53.882399821576612</v>
      </c>
      <c r="F15" s="256">
        <v>46.733217205877537</v>
      </c>
      <c r="G15" s="256">
        <v>55.12592006102571</v>
      </c>
      <c r="H15" s="256">
        <v>80.834580244368595</v>
      </c>
      <c r="I15" s="256">
        <v>74.29003015289716</v>
      </c>
      <c r="J15" s="256">
        <v>82.436797894903108</v>
      </c>
      <c r="K15" s="256">
        <v>90.413543496908559</v>
      </c>
      <c r="L15" s="256">
        <v>50.455274609872298</v>
      </c>
      <c r="M15" s="256">
        <v>42.075092800832529</v>
      </c>
      <c r="N15" s="256">
        <v>33.333888329512078</v>
      </c>
      <c r="O15" s="256">
        <v>40.845468309254329</v>
      </c>
      <c r="P15" s="256">
        <v>60.516063806954953</v>
      </c>
      <c r="Q15" s="256">
        <v>87.434455762873725</v>
      </c>
      <c r="R15" s="256">
        <v>92.093331291103581</v>
      </c>
      <c r="S15" s="256">
        <v>87.659052632838751</v>
      </c>
      <c r="T15" s="256">
        <v>59.42848040417487</v>
      </c>
      <c r="U15" s="256">
        <v>68.487234500736733</v>
      </c>
      <c r="V15" s="256">
        <v>58.785037164175939</v>
      </c>
      <c r="W15" s="256">
        <v>70.957937651459375</v>
      </c>
      <c r="DA15" s="272" t="s">
        <v>1022</v>
      </c>
    </row>
    <row r="16" spans="1:105" x14ac:dyDescent="0.25">
      <c r="A16" s="257" t="s">
        <v>175</v>
      </c>
      <c r="B16" s="258">
        <v>221.98090152120341</v>
      </c>
      <c r="C16" s="258">
        <v>205.43543179685639</v>
      </c>
      <c r="D16" s="258">
        <v>202.52078741671841</v>
      </c>
      <c r="E16" s="258">
        <v>250.24390694562561</v>
      </c>
      <c r="F16" s="258">
        <v>287.00410468496972</v>
      </c>
      <c r="G16" s="258">
        <v>268.72987565332892</v>
      </c>
      <c r="H16" s="258">
        <v>234.66712181808219</v>
      </c>
      <c r="I16" s="258">
        <v>248.6311884084339</v>
      </c>
      <c r="J16" s="258">
        <v>224.59848728673251</v>
      </c>
      <c r="K16" s="258">
        <v>198.0109624451834</v>
      </c>
      <c r="L16" s="258">
        <v>193.03471704147259</v>
      </c>
      <c r="M16" s="258">
        <v>200.04283279477491</v>
      </c>
      <c r="N16" s="258">
        <v>225.93969398039621</v>
      </c>
      <c r="O16" s="258">
        <v>242.8336824689712</v>
      </c>
      <c r="P16" s="258">
        <v>229.53579188727599</v>
      </c>
      <c r="Q16" s="258">
        <v>225.65676277094531</v>
      </c>
      <c r="R16" s="258">
        <v>229.92081797141859</v>
      </c>
      <c r="S16" s="258">
        <v>232.33273718660911</v>
      </c>
      <c r="T16" s="258">
        <v>239.58628037663789</v>
      </c>
      <c r="U16" s="258">
        <v>250.41130810698621</v>
      </c>
      <c r="V16" s="258">
        <v>262.11867553454192</v>
      </c>
      <c r="W16" s="258">
        <v>267.1333018500942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258.03189985467935</v>
      </c>
      <c r="C17" s="258">
        <f t="shared" ref="C17:W17" si="5">SUM(C18:C24)</f>
        <v>235.20940802815937</v>
      </c>
      <c r="D17" s="258">
        <f t="shared" si="5"/>
        <v>232.95439496456399</v>
      </c>
      <c r="E17" s="258">
        <f t="shared" si="5"/>
        <v>307.50992831644874</v>
      </c>
      <c r="F17" s="258">
        <f t="shared" si="5"/>
        <v>353.39236704041588</v>
      </c>
      <c r="G17" s="258">
        <f t="shared" si="5"/>
        <v>320.52788633736782</v>
      </c>
      <c r="H17" s="258">
        <f t="shared" si="5"/>
        <v>284.54380243245356</v>
      </c>
      <c r="I17" s="258">
        <f t="shared" si="5"/>
        <v>298.62608295572147</v>
      </c>
      <c r="J17" s="258">
        <f t="shared" si="5"/>
        <v>270.52712988062041</v>
      </c>
      <c r="K17" s="258">
        <f t="shared" si="5"/>
        <v>228.12502796901941</v>
      </c>
      <c r="L17" s="258">
        <f t="shared" si="5"/>
        <v>225.24814919504254</v>
      </c>
      <c r="M17" s="258">
        <f t="shared" si="5"/>
        <v>254.08790542685696</v>
      </c>
      <c r="N17" s="258">
        <f t="shared" si="5"/>
        <v>295.20720054250734</v>
      </c>
      <c r="O17" s="258">
        <f t="shared" si="5"/>
        <v>328.02902090904922</v>
      </c>
      <c r="P17" s="258">
        <f t="shared" si="5"/>
        <v>311.36050665327781</v>
      </c>
      <c r="Q17" s="258">
        <f t="shared" si="5"/>
        <v>274.08159702523062</v>
      </c>
      <c r="R17" s="258">
        <f t="shared" si="5"/>
        <v>270.48269769248054</v>
      </c>
      <c r="S17" s="258">
        <f t="shared" si="5"/>
        <v>272.90344388035379</v>
      </c>
      <c r="T17" s="258">
        <f t="shared" si="5"/>
        <v>280.80849399772063</v>
      </c>
      <c r="U17" s="258">
        <f t="shared" si="5"/>
        <v>295.94985002881134</v>
      </c>
      <c r="V17" s="258">
        <f t="shared" si="5"/>
        <v>305.01301442839929</v>
      </c>
      <c r="W17" s="258">
        <f t="shared" si="5"/>
        <v>308.91827506895351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22.910948925699842</v>
      </c>
      <c r="C19" s="55">
        <v>21.297512541580499</v>
      </c>
      <c r="D19" s="55">
        <v>21.297512541581309</v>
      </c>
      <c r="E19" s="55">
        <v>20.974820352785152</v>
      </c>
      <c r="F19" s="55">
        <v>21.297512541587729</v>
      </c>
      <c r="G19" s="55">
        <v>18.393307402270221</v>
      </c>
      <c r="H19" s="55">
        <v>16.779846458280211</v>
      </c>
      <c r="I19" s="55">
        <v>15.811794451756739</v>
      </c>
      <c r="J19" s="55">
        <v>14.52102569656406</v>
      </c>
      <c r="K19" s="55">
        <v>12.907589312453791</v>
      </c>
      <c r="L19" s="55">
        <v>12.262204934847469</v>
      </c>
      <c r="M19" s="55">
        <v>11.294128368451069</v>
      </c>
      <c r="N19" s="55">
        <v>10.326051802057041</v>
      </c>
      <c r="O19" s="55">
        <v>9.6806919843350219</v>
      </c>
      <c r="P19" s="55">
        <v>11.93951274605087</v>
      </c>
      <c r="Q19" s="55">
        <v>13.552949130164951</v>
      </c>
      <c r="R19" s="55">
        <v>15.166410074169759</v>
      </c>
      <c r="S19" s="55">
        <v>14.52102569656136</v>
      </c>
      <c r="T19" s="55">
        <v>14.5210256965611</v>
      </c>
      <c r="U19" s="55">
        <v>17.102538647077932</v>
      </c>
      <c r="V19" s="55">
        <v>15.81179445175815</v>
      </c>
      <c r="W19" s="55">
        <v>14.17315963657844</v>
      </c>
      <c r="DA19" s="101" t="s">
        <v>1025</v>
      </c>
    </row>
    <row r="20" spans="1:105" x14ac:dyDescent="0.25">
      <c r="A20" s="61" t="s">
        <v>173</v>
      </c>
      <c r="B20" s="55">
        <v>198.72867491563861</v>
      </c>
      <c r="C20" s="55">
        <v>192.3138858091589</v>
      </c>
      <c r="D20" s="55">
        <v>187.08162965952201</v>
      </c>
      <c r="E20" s="55">
        <v>188.9820786239919</v>
      </c>
      <c r="F20" s="55">
        <v>214.98537405378141</v>
      </c>
      <c r="G20" s="55">
        <v>220.96231507820079</v>
      </c>
      <c r="H20" s="55">
        <v>183.8266554463336</v>
      </c>
      <c r="I20" s="55">
        <v>199.85519390110269</v>
      </c>
      <c r="J20" s="55">
        <v>178.85093344692299</v>
      </c>
      <c r="K20" s="55">
        <v>178.3637193617856</v>
      </c>
      <c r="L20" s="55">
        <v>167.27992175370429</v>
      </c>
      <c r="M20" s="55">
        <v>134.8088330636036</v>
      </c>
      <c r="N20" s="55">
        <v>139.99765333659599</v>
      </c>
      <c r="O20" s="55">
        <v>136.76124353076031</v>
      </c>
      <c r="P20" s="55">
        <v>128.30914784658279</v>
      </c>
      <c r="Q20" s="55">
        <v>173.50747849178529</v>
      </c>
      <c r="R20" s="55">
        <v>194.65779088132879</v>
      </c>
      <c r="S20" s="55">
        <v>197.4510942561576</v>
      </c>
      <c r="T20" s="55">
        <v>204.97010205529779</v>
      </c>
      <c r="U20" s="55">
        <v>209.4912117576925</v>
      </c>
      <c r="V20" s="55">
        <v>229.32108625759179</v>
      </c>
      <c r="W20" s="55">
        <v>237.67501732179289</v>
      </c>
      <c r="DA20" s="101" t="s">
        <v>1026</v>
      </c>
    </row>
    <row r="21" spans="1:105" x14ac:dyDescent="0.25">
      <c r="A21" s="61" t="s">
        <v>129</v>
      </c>
      <c r="B21" s="55">
        <v>16.271667024821689</v>
      </c>
      <c r="C21" s="55">
        <v>11.504342151898451</v>
      </c>
      <c r="D21" s="55">
        <v>12.19978904234644</v>
      </c>
      <c r="E21" s="55">
        <v>12.055127685207131</v>
      </c>
      <c r="F21" s="55">
        <v>6.3856280580629301</v>
      </c>
      <c r="G21" s="55">
        <v>3.9296240004156409</v>
      </c>
      <c r="H21" s="55">
        <v>12.034446144739769</v>
      </c>
      <c r="I21" s="55">
        <v>11.29763617335326</v>
      </c>
      <c r="J21" s="55">
        <v>6.6312240867812404</v>
      </c>
      <c r="K21" s="55">
        <v>4.9120081152953157</v>
      </c>
      <c r="L21" s="55">
        <v>4.175220029134838</v>
      </c>
      <c r="M21" s="55">
        <v>2.9472180003116888</v>
      </c>
      <c r="N21" s="55">
        <v>9.1176486113601474</v>
      </c>
      <c r="O21" s="55">
        <v>44.489626495971621</v>
      </c>
      <c r="P21" s="55">
        <v>36.130694969232962</v>
      </c>
      <c r="Q21" s="55">
        <v>20.5398773877656</v>
      </c>
      <c r="R21" s="55">
        <v>14.908698794877351</v>
      </c>
      <c r="S21" s="55">
        <v>11.95966432062985</v>
      </c>
      <c r="T21" s="55">
        <v>14.932400496799829</v>
      </c>
      <c r="U21" s="55">
        <v>15.20172011268351</v>
      </c>
      <c r="V21" s="55">
        <v>12.34628875864208</v>
      </c>
      <c r="W21" s="55">
        <v>12.39373593296558</v>
      </c>
      <c r="DA21" s="101" t="s">
        <v>1027</v>
      </c>
    </row>
    <row r="22" spans="1:105" x14ac:dyDescent="0.25">
      <c r="A22" s="61" t="s">
        <v>176</v>
      </c>
      <c r="B22" s="55">
        <v>17.658885134047679</v>
      </c>
      <c r="C22" s="55">
        <v>7.6125721238805664</v>
      </c>
      <c r="D22" s="55">
        <v>9.9201251753050848</v>
      </c>
      <c r="E22" s="55">
        <v>82.419442505001641</v>
      </c>
      <c r="F22" s="55">
        <v>107.5311156551534</v>
      </c>
      <c r="G22" s="55">
        <v>73.549420468404676</v>
      </c>
      <c r="H22" s="55">
        <v>67.459675351954573</v>
      </c>
      <c r="I22" s="55">
        <v>67.029530365015304</v>
      </c>
      <c r="J22" s="55">
        <v>63.778578128408569</v>
      </c>
      <c r="K22" s="55">
        <v>18.39132460322362</v>
      </c>
      <c r="L22" s="55">
        <v>27.344232610501798</v>
      </c>
      <c r="M22" s="55">
        <v>90.189293614789776</v>
      </c>
      <c r="N22" s="55">
        <v>120.616789896231</v>
      </c>
      <c r="O22" s="55">
        <v>121.4345636286323</v>
      </c>
      <c r="P22" s="55">
        <v>119.2240836036074</v>
      </c>
      <c r="Q22" s="55">
        <v>49.973554214738151</v>
      </c>
      <c r="R22" s="55">
        <v>29.940545336426219</v>
      </c>
      <c r="S22" s="55">
        <v>33.164739890536623</v>
      </c>
      <c r="T22" s="55">
        <v>30.135305752748899</v>
      </c>
      <c r="U22" s="55">
        <v>37.801541623392261</v>
      </c>
      <c r="V22" s="55">
        <v>31.19790282968172</v>
      </c>
      <c r="W22" s="55">
        <v>28.65177471378983</v>
      </c>
      <c r="DA22" s="101" t="s">
        <v>1028</v>
      </c>
    </row>
    <row r="23" spans="1:105" x14ac:dyDescent="0.25">
      <c r="A23" s="61" t="s">
        <v>171</v>
      </c>
      <c r="B23" s="55">
        <v>2.0875260843851629</v>
      </c>
      <c r="C23" s="55">
        <v>2.0989113989000638</v>
      </c>
      <c r="D23" s="55">
        <v>2.0989113989001442</v>
      </c>
      <c r="E23" s="55">
        <v>2.9578064205147938</v>
      </c>
      <c r="F23" s="55">
        <v>3.100020466031117</v>
      </c>
      <c r="G23" s="55">
        <v>3.6233149128488842</v>
      </c>
      <c r="H23" s="55">
        <v>4.3570943379051048</v>
      </c>
      <c r="I23" s="55">
        <v>4.5447882099271766</v>
      </c>
      <c r="J23" s="55">
        <v>6.6323347714975549</v>
      </c>
      <c r="K23" s="55">
        <v>13.39549827400441</v>
      </c>
      <c r="L23" s="55">
        <v>14.038256614483471</v>
      </c>
      <c r="M23" s="55">
        <v>14.675322297713601</v>
      </c>
      <c r="N23" s="55">
        <v>14.97678740615105</v>
      </c>
      <c r="O23" s="55">
        <v>15.494409672897779</v>
      </c>
      <c r="P23" s="55">
        <v>15.585410280280341</v>
      </c>
      <c r="Q23" s="55">
        <v>16.28505423896987</v>
      </c>
      <c r="R23" s="55">
        <v>15.585410280287761</v>
      </c>
      <c r="S23" s="55">
        <v>15.585410280276079</v>
      </c>
      <c r="T23" s="55">
        <v>16.0347820914842</v>
      </c>
      <c r="U23" s="55">
        <v>16.13716801338472</v>
      </c>
      <c r="V23" s="55">
        <v>16.12009004161235</v>
      </c>
      <c r="W23" s="55">
        <v>15.80723961866158</v>
      </c>
      <c r="DA23" s="101" t="s">
        <v>1029</v>
      </c>
    </row>
    <row r="24" spans="1:105" x14ac:dyDescent="0.25">
      <c r="A24" s="61" t="s">
        <v>158</v>
      </c>
      <c r="B24" s="55">
        <v>0.37419777008634431</v>
      </c>
      <c r="C24" s="55">
        <v>0.38218400274090403</v>
      </c>
      <c r="D24" s="55">
        <v>0.35642714690898081</v>
      </c>
      <c r="E24" s="55">
        <v>0.1206527289481248</v>
      </c>
      <c r="F24" s="55">
        <v>9.271626579924222E-2</v>
      </c>
      <c r="G24" s="55">
        <v>6.9904475227567126E-2</v>
      </c>
      <c r="H24" s="55">
        <v>8.6084693240335908E-2</v>
      </c>
      <c r="I24" s="55">
        <v>8.7139854566334593E-2</v>
      </c>
      <c r="J24" s="55">
        <v>0.1130337504460078</v>
      </c>
      <c r="K24" s="55">
        <v>0.1548883022566889</v>
      </c>
      <c r="L24" s="55">
        <v>0.14831325237071169</v>
      </c>
      <c r="M24" s="55">
        <v>0.1731100819872381</v>
      </c>
      <c r="N24" s="55">
        <v>0.1722694901121383</v>
      </c>
      <c r="O24" s="55">
        <v>0.16848559645218089</v>
      </c>
      <c r="P24" s="55">
        <v>0.17165720752349231</v>
      </c>
      <c r="Q24" s="55">
        <v>0.22268356180675211</v>
      </c>
      <c r="R24" s="55">
        <v>0.2238423253906725</v>
      </c>
      <c r="S24" s="55">
        <v>0.22150943619230179</v>
      </c>
      <c r="T24" s="55">
        <v>0.21487790482880009</v>
      </c>
      <c r="U24" s="55">
        <v>0.21566987458044209</v>
      </c>
      <c r="V24" s="55">
        <v>0.21585208911326509</v>
      </c>
      <c r="W24" s="55">
        <v>0.2173478451651325</v>
      </c>
      <c r="DA24" s="101" t="s">
        <v>1030</v>
      </c>
    </row>
    <row r="25" spans="1:105" x14ac:dyDescent="0.25">
      <c r="A25" s="257" t="s">
        <v>174</v>
      </c>
      <c r="B25" s="258">
        <v>29.85883610859376</v>
      </c>
      <c r="C25" s="258">
        <v>27.6332911835418</v>
      </c>
      <c r="D25" s="258">
        <v>27.2412399382996</v>
      </c>
      <c r="E25" s="258">
        <v>33.66051652849022</v>
      </c>
      <c r="F25" s="258">
        <v>38.605161369991301</v>
      </c>
      <c r="G25" s="258">
        <v>36.147079589408257</v>
      </c>
      <c r="H25" s="258">
        <v>31.565270176057179</v>
      </c>
      <c r="I25" s="258">
        <v>33.443588413678057</v>
      </c>
      <c r="J25" s="258">
        <v>30.210929751954598</v>
      </c>
      <c r="K25" s="258">
        <v>26.634619621953849</v>
      </c>
      <c r="L25" s="258">
        <v>25.965260704464491</v>
      </c>
      <c r="M25" s="258">
        <v>26.907928196460041</v>
      </c>
      <c r="N25" s="258">
        <v>30.391336582359461</v>
      </c>
      <c r="O25" s="258">
        <v>32.663761056915668</v>
      </c>
      <c r="P25" s="258">
        <v>30.875050709548582</v>
      </c>
      <c r="Q25" s="258">
        <v>30.353279269522599</v>
      </c>
      <c r="R25" s="258">
        <v>30.926840889087281</v>
      </c>
      <c r="S25" s="258">
        <v>31.25127015331686</v>
      </c>
      <c r="T25" s="258">
        <v>32.226950294416689</v>
      </c>
      <c r="U25" s="258">
        <v>33.683033798251728</v>
      </c>
      <c r="V25" s="258">
        <v>35.25780155028324</v>
      </c>
      <c r="W25" s="258">
        <v>35.93232311621901</v>
      </c>
      <c r="DA25" s="273" t="s">
        <v>1031</v>
      </c>
    </row>
    <row r="26" spans="1:105" x14ac:dyDescent="0.25">
      <c r="A26" s="257" t="s">
        <v>177</v>
      </c>
      <c r="B26" s="258">
        <v>32.847016615327682</v>
      </c>
      <c r="C26" s="258">
        <v>32.823321671438677</v>
      </c>
      <c r="D26" s="258">
        <v>31.85037613881779</v>
      </c>
      <c r="E26" s="258">
        <v>34.499071453261656</v>
      </c>
      <c r="F26" s="258">
        <v>36.422517377266217</v>
      </c>
      <c r="G26" s="258">
        <v>36.301362833995213</v>
      </c>
      <c r="H26" s="258">
        <v>37.507114708015877</v>
      </c>
      <c r="I26" s="258">
        <v>37.870659708854248</v>
      </c>
      <c r="J26" s="258">
        <v>36.677927174563443</v>
      </c>
      <c r="K26" s="258">
        <v>33.88364461783501</v>
      </c>
      <c r="L26" s="258">
        <v>27.638216143247831</v>
      </c>
      <c r="M26" s="258">
        <v>27.846218616142309</v>
      </c>
      <c r="N26" s="258">
        <v>28.391472789240481</v>
      </c>
      <c r="O26" s="258">
        <v>31.586046106697189</v>
      </c>
      <c r="P26" s="258">
        <v>34.679116324741649</v>
      </c>
      <c r="Q26" s="258">
        <v>36.960877612311563</v>
      </c>
      <c r="R26" s="258">
        <v>37.698930450752663</v>
      </c>
      <c r="S26" s="258">
        <v>37.457210961836253</v>
      </c>
      <c r="T26" s="258">
        <v>33.573388414194163</v>
      </c>
      <c r="U26" s="258">
        <v>36.330024511027723</v>
      </c>
      <c r="V26" s="258">
        <v>35.578881354615973</v>
      </c>
      <c r="W26" s="258">
        <v>38.291785921001647</v>
      </c>
      <c r="DA26" s="273" t="s">
        <v>1032</v>
      </c>
    </row>
    <row r="27" spans="1:105" x14ac:dyDescent="0.25">
      <c r="A27" s="129" t="s">
        <v>33</v>
      </c>
      <c r="B27" s="259">
        <v>50.060980118683283</v>
      </c>
      <c r="C27" s="259">
        <v>50.024867489983023</v>
      </c>
      <c r="D27" s="259">
        <v>48.542035501449618</v>
      </c>
      <c r="E27" s="259">
        <v>52.578818659861327</v>
      </c>
      <c r="F27" s="259">
        <v>55.510274788392088</v>
      </c>
      <c r="G27" s="259">
        <v>55.325627419865242</v>
      </c>
      <c r="H27" s="259">
        <v>57.163271346566553</v>
      </c>
      <c r="I27" s="259">
        <v>57.717337466858368</v>
      </c>
      <c r="J27" s="259">
        <v>55.899535856888853</v>
      </c>
      <c r="K27" s="259">
        <v>51.640868314671643</v>
      </c>
      <c r="L27" s="259">
        <v>42.122430936919898</v>
      </c>
      <c r="M27" s="259">
        <v>42.439440173471013</v>
      </c>
      <c r="N27" s="259">
        <v>43.270442837693487</v>
      </c>
      <c r="O27" s="259">
        <v>48.139179417509688</v>
      </c>
      <c r="P27" s="259">
        <v>52.853218701642419</v>
      </c>
      <c r="Q27" s="259">
        <v>56.330770644649483</v>
      </c>
      <c r="R27" s="259">
        <v>57.455610958289938</v>
      </c>
      <c r="S27" s="259">
        <v>57.087214806193238</v>
      </c>
      <c r="T27" s="259">
        <v>51.168017771681519</v>
      </c>
      <c r="U27" s="259">
        <v>55.369309671464997</v>
      </c>
      <c r="V27" s="259">
        <v>54.224518865658112</v>
      </c>
      <c r="W27" s="259">
        <v>58.35916108148551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0.99999999999999967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0.99999999999999956</v>
      </c>
      <c r="DA31" s="275"/>
    </row>
    <row r="32" spans="1:105" x14ac:dyDescent="0.25">
      <c r="A32" s="239" t="s">
        <v>125</v>
      </c>
      <c r="B32" s="245">
        <f t="shared" ref="B32:W32" si="8">IF(B$6=0,0,B$6/B$5)</f>
        <v>3.2760740677428749E-2</v>
      </c>
      <c r="C32" s="245">
        <f t="shared" si="8"/>
        <v>3.4815912047565595E-2</v>
      </c>
      <c r="D32" s="245">
        <f t="shared" si="8"/>
        <v>3.4372301232675116E-2</v>
      </c>
      <c r="E32" s="245">
        <f t="shared" si="8"/>
        <v>3.0041319330953796E-2</v>
      </c>
      <c r="F32" s="245">
        <f t="shared" si="8"/>
        <v>2.8037051723149218E-2</v>
      </c>
      <c r="G32" s="245">
        <f t="shared" si="8"/>
        <v>2.9979320549284368E-2</v>
      </c>
      <c r="H32" s="245">
        <f t="shared" si="8"/>
        <v>3.3762290430117768E-2</v>
      </c>
      <c r="I32" s="245">
        <f t="shared" si="8"/>
        <v>3.2747313476595513E-2</v>
      </c>
      <c r="J32" s="245">
        <f t="shared" si="8"/>
        <v>3.4354485306255553E-2</v>
      </c>
      <c r="K32" s="245">
        <f t="shared" si="8"/>
        <v>3.6271132715671228E-2</v>
      </c>
      <c r="L32" s="245">
        <f t="shared" si="8"/>
        <v>3.1811172801135733E-2</v>
      </c>
      <c r="M32" s="245">
        <f t="shared" si="8"/>
        <v>2.9659029328258011E-2</v>
      </c>
      <c r="N32" s="245">
        <f t="shared" si="8"/>
        <v>2.6878210010819008E-2</v>
      </c>
      <c r="O32" s="245">
        <f t="shared" si="8"/>
        <v>2.7327893377681406E-2</v>
      </c>
      <c r="P32" s="245">
        <f t="shared" si="8"/>
        <v>3.0660210902168659E-2</v>
      </c>
      <c r="Q32" s="245">
        <f t="shared" si="8"/>
        <v>3.4429203543109715E-2</v>
      </c>
      <c r="R32" s="245">
        <f t="shared" si="8"/>
        <v>3.4971823053271858E-2</v>
      </c>
      <c r="S32" s="245">
        <f t="shared" si="8"/>
        <v>3.4564184505094755E-2</v>
      </c>
      <c r="T32" s="245">
        <f t="shared" si="8"/>
        <v>3.1293536330963864E-2</v>
      </c>
      <c r="U32" s="245">
        <f t="shared" si="8"/>
        <v>3.1980603460211712E-2</v>
      </c>
      <c r="V32" s="245">
        <f t="shared" si="8"/>
        <v>3.0628477885989366E-2</v>
      </c>
      <c r="W32" s="245">
        <f t="shared" si="8"/>
        <v>3.1994715043672468E-2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2.1116202205444617E-2</v>
      </c>
      <c r="C33" s="246">
        <f t="shared" si="9"/>
        <v>2.2440879649277559E-2</v>
      </c>
      <c r="D33" s="246">
        <f t="shared" si="9"/>
        <v>2.2154946685795963E-2</v>
      </c>
      <c r="E33" s="246">
        <f t="shared" si="9"/>
        <v>1.9363377029744881E-2</v>
      </c>
      <c r="F33" s="246">
        <f t="shared" si="9"/>
        <v>1.8071510020480859E-2</v>
      </c>
      <c r="G33" s="246">
        <f t="shared" si="9"/>
        <v>1.932341521010492E-2</v>
      </c>
      <c r="H33" s="246">
        <f t="shared" si="9"/>
        <v>2.1761759255110636E-2</v>
      </c>
      <c r="I33" s="246">
        <f t="shared" si="9"/>
        <v>2.1107547593797106E-2</v>
      </c>
      <c r="J33" s="246">
        <f t="shared" si="9"/>
        <v>2.2143463285330237E-2</v>
      </c>
      <c r="K33" s="246">
        <f t="shared" si="9"/>
        <v>2.3378853982148246E-2</v>
      </c>
      <c r="L33" s="246">
        <f t="shared" si="9"/>
        <v>2.0504150497547408E-2</v>
      </c>
      <c r="M33" s="246">
        <f t="shared" si="9"/>
        <v>1.9116968895156957E-2</v>
      </c>
      <c r="N33" s="246">
        <f t="shared" si="9"/>
        <v>1.732456915725037E-2</v>
      </c>
      <c r="O33" s="246">
        <f t="shared" si="9"/>
        <v>1.7614416233560037E-2</v>
      </c>
      <c r="P33" s="246">
        <f t="shared" si="9"/>
        <v>1.976228863219294E-2</v>
      </c>
      <c r="Q33" s="246">
        <f t="shared" si="9"/>
        <v>2.2191623533396102E-2</v>
      </c>
      <c r="R33" s="246">
        <f t="shared" si="9"/>
        <v>2.2541373357736854E-2</v>
      </c>
      <c r="S33" s="246">
        <f t="shared" si="9"/>
        <v>2.2278626611721669E-2</v>
      </c>
      <c r="T33" s="246">
        <f t="shared" si="9"/>
        <v>2.0170503695093E-2</v>
      </c>
      <c r="U33" s="246">
        <f t="shared" si="9"/>
        <v>2.0613358408689501E-2</v>
      </c>
      <c r="V33" s="246">
        <f t="shared" si="9"/>
        <v>1.9741834858182504E-2</v>
      </c>
      <c r="W33" s="246">
        <f t="shared" si="9"/>
        <v>2.0622454144733158E-2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4.1962797649271376E-2</v>
      </c>
      <c r="C34" s="246">
        <f t="shared" si="10"/>
        <v>4.4595239363235603E-2</v>
      </c>
      <c r="D34" s="246">
        <f t="shared" si="10"/>
        <v>4.4027024161889354E-2</v>
      </c>
      <c r="E34" s="246">
        <f t="shared" si="10"/>
        <v>3.847952696229763E-2</v>
      </c>
      <c r="F34" s="246">
        <f t="shared" si="10"/>
        <v>3.5912287201468919E-2</v>
      </c>
      <c r="G34" s="246">
        <f t="shared" si="10"/>
        <v>3.8400113546242315E-2</v>
      </c>
      <c r="H34" s="246">
        <f t="shared" si="10"/>
        <v>4.3245669426243243E-2</v>
      </c>
      <c r="I34" s="246">
        <f t="shared" si="10"/>
        <v>4.1945598926046247E-2</v>
      </c>
      <c r="J34" s="246">
        <f t="shared" si="10"/>
        <v>4.4004203978345931E-2</v>
      </c>
      <c r="K34" s="246">
        <f t="shared" si="10"/>
        <v>4.6459212190712848E-2</v>
      </c>
      <c r="L34" s="246">
        <f t="shared" si="10"/>
        <v>4.0746508767421252E-2</v>
      </c>
      <c r="M34" s="246">
        <f t="shared" si="10"/>
        <v>3.7989856774910319E-2</v>
      </c>
      <c r="N34" s="246">
        <f t="shared" si="10"/>
        <v>3.44279422423346E-2</v>
      </c>
      <c r="O34" s="246">
        <f t="shared" si="10"/>
        <v>3.5003935694854146E-2</v>
      </c>
      <c r="P34" s="246">
        <f t="shared" si="10"/>
        <v>3.9272256956574624E-2</v>
      </c>
      <c r="Q34" s="246">
        <f t="shared" si="10"/>
        <v>4.4099909575624471E-2</v>
      </c>
      <c r="R34" s="246">
        <f t="shared" si="10"/>
        <v>4.4794943699842819E-2</v>
      </c>
      <c r="S34" s="246">
        <f t="shared" si="10"/>
        <v>4.4272804897194117E-2</v>
      </c>
      <c r="T34" s="246">
        <f t="shared" si="10"/>
        <v>4.0083475087335056E-2</v>
      </c>
      <c r="U34" s="246">
        <f t="shared" si="10"/>
        <v>4.0963530248479707E-2</v>
      </c>
      <c r="V34" s="246">
        <f t="shared" si="10"/>
        <v>3.9231610557586151E-2</v>
      </c>
      <c r="W34" s="246">
        <f t="shared" si="10"/>
        <v>4.0981605588323367E-2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0.31788738651133902</v>
      </c>
      <c r="C35" s="247">
        <f t="shared" si="11"/>
        <v>0.3184588570669698</v>
      </c>
      <c r="D35" s="247">
        <f t="shared" si="11"/>
        <v>0.31824031012381326</v>
      </c>
      <c r="E35" s="247">
        <f t="shared" si="11"/>
        <v>0.32624042773801637</v>
      </c>
      <c r="F35" s="247">
        <f t="shared" si="11"/>
        <v>0.3295034077527928</v>
      </c>
      <c r="G35" s="247">
        <f t="shared" si="11"/>
        <v>0.32509716599743649</v>
      </c>
      <c r="H35" s="247">
        <f t="shared" si="11"/>
        <v>0.32509125701733566</v>
      </c>
      <c r="I35" s="247">
        <f t="shared" si="11"/>
        <v>0.32429864148192428</v>
      </c>
      <c r="J35" s="247">
        <f t="shared" si="11"/>
        <v>0.32557244421308806</v>
      </c>
      <c r="K35" s="247">
        <f t="shared" si="11"/>
        <v>0.32249086323915821</v>
      </c>
      <c r="L35" s="247">
        <f t="shared" si="11"/>
        <v>0.32027483164483078</v>
      </c>
      <c r="M35" s="247">
        <f t="shared" si="11"/>
        <v>0.33093439577333916</v>
      </c>
      <c r="N35" s="247">
        <f t="shared" si="11"/>
        <v>0.33632503384438411</v>
      </c>
      <c r="O35" s="247">
        <f t="shared" si="11"/>
        <v>0.33386113325938549</v>
      </c>
      <c r="P35" s="247">
        <f t="shared" si="11"/>
        <v>0.33228724545775612</v>
      </c>
      <c r="Q35" s="247">
        <f t="shared" si="11"/>
        <v>0.32345680445243657</v>
      </c>
      <c r="R35" s="247">
        <f t="shared" si="11"/>
        <v>0.32139189515862154</v>
      </c>
      <c r="S35" s="247">
        <f t="shared" si="11"/>
        <v>0.3214655842196219</v>
      </c>
      <c r="T35" s="247">
        <f t="shared" si="11"/>
        <v>0.31934417421111377</v>
      </c>
      <c r="U35" s="247">
        <f t="shared" si="11"/>
        <v>0.32007054487766323</v>
      </c>
      <c r="V35" s="247">
        <f t="shared" si="11"/>
        <v>0.31950486060492489</v>
      </c>
      <c r="W35" s="247">
        <f t="shared" si="11"/>
        <v>0.31925824536269559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0.21954428486378422</v>
      </c>
      <c r="C36" s="260">
        <f t="shared" si="12"/>
        <v>0.21608237285569384</v>
      </c>
      <c r="D36" s="260">
        <f t="shared" si="12"/>
        <v>0.21672668810166187</v>
      </c>
      <c r="E36" s="260">
        <f t="shared" si="12"/>
        <v>0.21608461710669868</v>
      </c>
      <c r="F36" s="260">
        <f t="shared" si="12"/>
        <v>0.21907823584094915</v>
      </c>
      <c r="G36" s="260">
        <f t="shared" si="12"/>
        <v>0.22007137182130376</v>
      </c>
      <c r="H36" s="260">
        <f t="shared" si="12"/>
        <v>0.2094687470466432</v>
      </c>
      <c r="I36" s="260">
        <f t="shared" si="12"/>
        <v>0.21319506905383914</v>
      </c>
      <c r="J36" s="260">
        <f t="shared" si="12"/>
        <v>0.20860957237113584</v>
      </c>
      <c r="K36" s="260">
        <f t="shared" si="12"/>
        <v>0.21018851334791047</v>
      </c>
      <c r="L36" s="260">
        <f t="shared" si="12"/>
        <v>0.22031995725136538</v>
      </c>
      <c r="M36" s="260">
        <f t="shared" si="12"/>
        <v>0.21128197332384877</v>
      </c>
      <c r="N36" s="260">
        <f t="shared" si="12"/>
        <v>0.21210636473025082</v>
      </c>
      <c r="O36" s="260">
        <f t="shared" si="12"/>
        <v>0.20833803266201334</v>
      </c>
      <c r="P36" s="260">
        <f t="shared" si="12"/>
        <v>0.20123627710863171</v>
      </c>
      <c r="Q36" s="260">
        <f t="shared" si="12"/>
        <v>0.20844035226419838</v>
      </c>
      <c r="R36" s="260">
        <f t="shared" si="12"/>
        <v>0.21150287855106983</v>
      </c>
      <c r="S36" s="260">
        <f t="shared" si="12"/>
        <v>0.21259352363147274</v>
      </c>
      <c r="T36" s="260">
        <f t="shared" si="12"/>
        <v>0.22144718145909453</v>
      </c>
      <c r="U36" s="260">
        <f t="shared" si="12"/>
        <v>0.21858665485353379</v>
      </c>
      <c r="V36" s="260">
        <f t="shared" si="12"/>
        <v>0.22375865027570688</v>
      </c>
      <c r="W36" s="260">
        <f t="shared" si="12"/>
        <v>0.22133464579664192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0.2551995623831993</v>
      </c>
      <c r="C37" s="260">
        <f t="shared" si="13"/>
        <v>0.24739942160982908</v>
      </c>
      <c r="D37" s="260">
        <f t="shared" si="13"/>
        <v>0.2492950730806244</v>
      </c>
      <c r="E37" s="260">
        <f t="shared" si="13"/>
        <v>0.26553359851117736</v>
      </c>
      <c r="F37" s="260">
        <f t="shared" si="13"/>
        <v>0.26975424764691869</v>
      </c>
      <c r="G37" s="260">
        <f t="shared" si="13"/>
        <v>0.26249039665483748</v>
      </c>
      <c r="H37" s="260">
        <f t="shared" si="13"/>
        <v>0.25398970811777749</v>
      </c>
      <c r="I37" s="260">
        <f t="shared" si="13"/>
        <v>0.25606444945449536</v>
      </c>
      <c r="J37" s="260">
        <f t="shared" si="13"/>
        <v>0.25126860630695197</v>
      </c>
      <c r="K37" s="260">
        <f t="shared" si="13"/>
        <v>0.24215457515152866</v>
      </c>
      <c r="L37" s="260">
        <f t="shared" si="13"/>
        <v>0.25708672181977965</v>
      </c>
      <c r="M37" s="260">
        <f t="shared" si="13"/>
        <v>0.26836349648869812</v>
      </c>
      <c r="N37" s="260">
        <f t="shared" si="13"/>
        <v>0.27713291562968223</v>
      </c>
      <c r="O37" s="260">
        <f t="shared" si="13"/>
        <v>0.28143097850921162</v>
      </c>
      <c r="P37" s="260">
        <f t="shared" si="13"/>
        <v>0.27297280603773361</v>
      </c>
      <c r="Q37" s="260">
        <f t="shared" si="13"/>
        <v>0.25317062928472062</v>
      </c>
      <c r="R37" s="260">
        <f t="shared" si="13"/>
        <v>0.24881552555771588</v>
      </c>
      <c r="S37" s="260">
        <f t="shared" si="13"/>
        <v>0.24971730393331856</v>
      </c>
      <c r="T37" s="260">
        <f t="shared" si="13"/>
        <v>0.25954845756531852</v>
      </c>
      <c r="U37" s="260">
        <f t="shared" si="13"/>
        <v>0.25833772528580978</v>
      </c>
      <c r="V37" s="260">
        <f t="shared" si="13"/>
        <v>0.26037557333845701</v>
      </c>
      <c r="W37" s="260">
        <f t="shared" si="13"/>
        <v>0.25595579629703258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2.953108477082203E-2</v>
      </c>
      <c r="C38" s="260">
        <f t="shared" si="14"/>
        <v>2.9065420100737496E-2</v>
      </c>
      <c r="D38" s="260">
        <f t="shared" si="14"/>
        <v>2.9152087481578774E-2</v>
      </c>
      <c r="E38" s="260">
        <f t="shared" si="14"/>
        <v>2.9065721976810975E-2</v>
      </c>
      <c r="F38" s="260">
        <f t="shared" si="14"/>
        <v>2.9468396128258481E-2</v>
      </c>
      <c r="G38" s="260">
        <f t="shared" si="14"/>
        <v>2.9601983676861728E-2</v>
      </c>
      <c r="H38" s="260">
        <f t="shared" si="14"/>
        <v>2.8175815779993049E-2</v>
      </c>
      <c r="I38" s="260">
        <f t="shared" si="14"/>
        <v>2.867704645947149E-2</v>
      </c>
      <c r="J38" s="260">
        <f t="shared" si="14"/>
        <v>2.8060247478175971E-2</v>
      </c>
      <c r="K38" s="260">
        <f t="shared" si="14"/>
        <v>2.8272632145179204E-2</v>
      </c>
      <c r="L38" s="260">
        <f t="shared" si="14"/>
        <v>2.9635421110282025E-2</v>
      </c>
      <c r="M38" s="260">
        <f t="shared" si="14"/>
        <v>2.8419714358059241E-2</v>
      </c>
      <c r="N38" s="260">
        <f t="shared" si="14"/>
        <v>2.8530603933353379E-2</v>
      </c>
      <c r="O38" s="260">
        <f t="shared" si="14"/>
        <v>2.8023722445544342E-2</v>
      </c>
      <c r="P38" s="260">
        <f t="shared" si="14"/>
        <v>2.706845938598125E-2</v>
      </c>
      <c r="Q38" s="260">
        <f t="shared" si="14"/>
        <v>2.803748554052864E-2</v>
      </c>
      <c r="R38" s="260">
        <f t="shared" si="14"/>
        <v>2.8449428504321049E-2</v>
      </c>
      <c r="S38" s="260">
        <f t="shared" si="14"/>
        <v>2.8596132083256127E-2</v>
      </c>
      <c r="T38" s="260">
        <f t="shared" si="14"/>
        <v>2.9787044978126388E-2</v>
      </c>
      <c r="U38" s="260">
        <f t="shared" si="14"/>
        <v>2.9402273159855569E-2</v>
      </c>
      <c r="V38" s="260">
        <f t="shared" si="14"/>
        <v>3.0097962575506995E-2</v>
      </c>
      <c r="W38" s="260">
        <f t="shared" si="14"/>
        <v>2.9771907712359297E-2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3.2486464931453261E-2</v>
      </c>
      <c r="C39" s="260">
        <f t="shared" si="15"/>
        <v>3.4524430229657781E-2</v>
      </c>
      <c r="D39" s="260">
        <f t="shared" si="15"/>
        <v>3.4084533362763028E-2</v>
      </c>
      <c r="E39" s="260">
        <f t="shared" si="15"/>
        <v>2.9789810814992136E-2</v>
      </c>
      <c r="F39" s="260">
        <f t="shared" si="15"/>
        <v>2.7802323108432093E-2</v>
      </c>
      <c r="G39" s="260">
        <f t="shared" si="15"/>
        <v>2.9728331092469119E-2</v>
      </c>
      <c r="H39" s="260">
        <f t="shared" si="15"/>
        <v>3.3479629623247131E-2</v>
      </c>
      <c r="I39" s="260">
        <f t="shared" si="15"/>
        <v>3.2473150144303256E-2</v>
      </c>
      <c r="J39" s="260">
        <f t="shared" si="15"/>
        <v>3.4066866592815763E-2</v>
      </c>
      <c r="K39" s="260">
        <f t="shared" si="15"/>
        <v>3.5967467664843468E-2</v>
      </c>
      <c r="L39" s="260">
        <f t="shared" si="15"/>
        <v>3.1544846919303704E-2</v>
      </c>
      <c r="M39" s="260">
        <f t="shared" si="15"/>
        <v>2.941072137716455E-2</v>
      </c>
      <c r="N39" s="260">
        <f t="shared" si="15"/>
        <v>2.6653183318846741E-2</v>
      </c>
      <c r="O39" s="260">
        <f t="shared" si="15"/>
        <v>2.7099101897784673E-2</v>
      </c>
      <c r="P39" s="260">
        <f t="shared" si="15"/>
        <v>3.0403520972604528E-2</v>
      </c>
      <c r="Q39" s="260">
        <f t="shared" si="15"/>
        <v>3.4140959282147873E-2</v>
      </c>
      <c r="R39" s="260">
        <f t="shared" si="15"/>
        <v>3.4679035934979771E-2</v>
      </c>
      <c r="S39" s="260">
        <f t="shared" si="15"/>
        <v>3.42748101718795E-2</v>
      </c>
      <c r="T39" s="260">
        <f t="shared" si="15"/>
        <v>3.1031544146296948E-2</v>
      </c>
      <c r="U39" s="260">
        <f t="shared" si="15"/>
        <v>3.1712859090291562E-2</v>
      </c>
      <c r="V39" s="260">
        <f t="shared" si="15"/>
        <v>3.0372053627973086E-2</v>
      </c>
      <c r="W39" s="260">
        <f t="shared" si="15"/>
        <v>3.1726852530358715E-2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4.951147600725745E-2</v>
      </c>
      <c r="C40" s="262">
        <f t="shared" si="16"/>
        <v>5.2617467077033193E-2</v>
      </c>
      <c r="D40" s="262">
        <f t="shared" si="16"/>
        <v>5.194703576919827E-2</v>
      </c>
      <c r="E40" s="262">
        <f t="shared" si="16"/>
        <v>4.5401600529308243E-2</v>
      </c>
      <c r="F40" s="262">
        <f t="shared" si="16"/>
        <v>4.237254057754989E-2</v>
      </c>
      <c r="G40" s="262">
        <f t="shared" si="16"/>
        <v>4.5307901451459839E-2</v>
      </c>
      <c r="H40" s="262">
        <f t="shared" si="16"/>
        <v>5.1025123303531865E-2</v>
      </c>
      <c r="I40" s="262">
        <f t="shared" si="16"/>
        <v>4.9491183409527566E-2</v>
      </c>
      <c r="J40" s="262">
        <f t="shared" si="16"/>
        <v>5.1920110467900772E-2</v>
      </c>
      <c r="K40" s="262">
        <f t="shared" si="16"/>
        <v>5.4816749562847635E-2</v>
      </c>
      <c r="L40" s="262">
        <f t="shared" si="16"/>
        <v>4.8076389188334089E-2</v>
      </c>
      <c r="M40" s="262">
        <f t="shared" si="16"/>
        <v>4.4823843680564926E-2</v>
      </c>
      <c r="N40" s="262">
        <f t="shared" si="16"/>
        <v>4.0621177133078765E-2</v>
      </c>
      <c r="O40" s="262">
        <f t="shared" si="16"/>
        <v>4.1300785919964653E-2</v>
      </c>
      <c r="P40" s="262">
        <f t="shared" si="16"/>
        <v>4.633693454635656E-2</v>
      </c>
      <c r="Q40" s="262">
        <f t="shared" si="16"/>
        <v>5.2033032523837605E-2</v>
      </c>
      <c r="R40" s="262">
        <f t="shared" si="16"/>
        <v>5.2853096182440204E-2</v>
      </c>
      <c r="S40" s="262">
        <f t="shared" si="16"/>
        <v>5.2237029946440555E-2</v>
      </c>
      <c r="T40" s="262">
        <f t="shared" si="16"/>
        <v>4.7294082526657989E-2</v>
      </c>
      <c r="U40" s="262">
        <f t="shared" si="16"/>
        <v>4.8332450615465192E-2</v>
      </c>
      <c r="V40" s="262">
        <f t="shared" si="16"/>
        <v>4.6288976275673091E-2</v>
      </c>
      <c r="W40" s="262">
        <f t="shared" si="16"/>
        <v>4.835377752418258E-2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0.39195044466076373</v>
      </c>
      <c r="C44" s="238">
        <f>IF(C$5=0,0,C$5/AGR_fec!C$5)</f>
        <v>0.39535807882128543</v>
      </c>
      <c r="D44" s="238">
        <f>IF(D$5=0,0,D$5/AGR_fec!D$5)</f>
        <v>0.39460623226370684</v>
      </c>
      <c r="E44" s="238">
        <f>IF(E$5=0,0,E$5/AGR_fec!E$5)</f>
        <v>0.39308885607446387</v>
      </c>
      <c r="F44" s="238">
        <f>IF(F$5=0,0,F$5/AGR_fec!F$5)</f>
        <v>0.3917605646272716</v>
      </c>
      <c r="G44" s="238">
        <f>IF(G$5=0,0,G$5/AGR_fec!G$5)</f>
        <v>0.39226393264947212</v>
      </c>
      <c r="H44" s="238">
        <f>IF(H$5=0,0,H$5/AGR_fec!H$5)</f>
        <v>0.39819859519855777</v>
      </c>
      <c r="I44" s="238">
        <f>IF(I$5=0,0,I$5/AGR_fec!I$5)</f>
        <v>0.39603951714994312</v>
      </c>
      <c r="J44" s="238">
        <f>IF(J$5=0,0,J$5/AGR_fec!J$5)</f>
        <v>0.39931026641002837</v>
      </c>
      <c r="K44" s="238">
        <f>IF(K$5=0,0,K$5/AGR_fec!K$5)</f>
        <v>0.39912664743978238</v>
      </c>
      <c r="L44" s="238">
        <f>IF(L$5=0,0,L$5/AGR_fec!L$5)</f>
        <v>0.39101149150335429</v>
      </c>
      <c r="M44" s="238">
        <f>IF(M$5=0,0,M$5/AGR_fec!M$5)</f>
        <v>0.394259281149415</v>
      </c>
      <c r="N44" s="238">
        <f>IF(N$5=0,0,N$5/AGR_fec!N$5)</f>
        <v>0.39238774778390612</v>
      </c>
      <c r="O44" s="238">
        <f>IF(O$5=0,0,O$5/AGR_fec!O$5)</f>
        <v>0.39059602588730941</v>
      </c>
      <c r="P44" s="238">
        <f>IF(P$5=0,0,P$5/AGR_fec!P$5)</f>
        <v>0.39562433499568106</v>
      </c>
      <c r="Q44" s="238">
        <f>IF(Q$5=0,0,Q$5/AGR_fec!Q$5)</f>
        <v>0.39682556612707981</v>
      </c>
      <c r="R44" s="238">
        <f>IF(R$5=0,0,R$5/AGR_fec!R$5)</f>
        <v>0.3964475994875642</v>
      </c>
      <c r="S44" s="238">
        <f>IF(S$5=0,0,S$5/AGR_fec!S$5)</f>
        <v>0.3959707398170445</v>
      </c>
      <c r="T44" s="238">
        <f>IF(T$5=0,0,T$5/AGR_fec!T$5)</f>
        <v>0.38941214352310993</v>
      </c>
      <c r="U44" s="238">
        <f>IF(U$5=0,0,U$5/AGR_fec!U$5)</f>
        <v>0.39116270965840622</v>
      </c>
      <c r="V44" s="238">
        <f>IF(V$5=0,0,V$5/AGR_fec!V$5)</f>
        <v>0.38854340931030873</v>
      </c>
      <c r="W44" s="238">
        <f>IF(W$5=0,0,W$5/AGR_fec!W$5)</f>
        <v>0.39055253818010965</v>
      </c>
      <c r="DA44" s="287"/>
    </row>
    <row r="45" spans="1:105" x14ac:dyDescent="0.25">
      <c r="A45" s="239" t="s">
        <v>125</v>
      </c>
      <c r="B45" s="251">
        <f>IF(B$6=0,0,B$6/AGR_fec!B$6)</f>
        <v>0.47045776224801</v>
      </c>
      <c r="C45" s="251">
        <f>IF(C$6=0,0,C$6/AGR_fec!C$6)</f>
        <v>0.47045776224801</v>
      </c>
      <c r="D45" s="251">
        <f>IF(D$6=0,0,D$6/AGR_fec!D$6)</f>
        <v>0.47045776224800995</v>
      </c>
      <c r="E45" s="251">
        <f>IF(E$6=0,0,E$6/AGR_fec!E$6)</f>
        <v>0.47045776224800978</v>
      </c>
      <c r="F45" s="251">
        <f>IF(F$6=0,0,F$6/AGR_fec!F$6)</f>
        <v>0.47045776224800984</v>
      </c>
      <c r="G45" s="251">
        <f>IF(G$6=0,0,G$6/AGR_fec!G$6)</f>
        <v>0.47045776224800989</v>
      </c>
      <c r="H45" s="251">
        <f>IF(H$6=0,0,H$6/AGR_fec!H$6)</f>
        <v>0.47045776224800984</v>
      </c>
      <c r="I45" s="251">
        <f>IF(I$6=0,0,I$6/AGR_fec!I$6)</f>
        <v>0.47045776224801</v>
      </c>
      <c r="J45" s="251">
        <f>IF(J$6=0,0,J$6/AGR_fec!J$6)</f>
        <v>0.47045776224800989</v>
      </c>
      <c r="K45" s="251">
        <f>IF(K$6=0,0,K$6/AGR_fec!K$6)</f>
        <v>0.47045776224800984</v>
      </c>
      <c r="L45" s="251">
        <f>IF(L$6=0,0,L$6/AGR_fec!L$6)</f>
        <v>0.47045776224801</v>
      </c>
      <c r="M45" s="251">
        <f>IF(M$6=0,0,M$6/AGR_fec!M$6)</f>
        <v>0.47045776224800989</v>
      </c>
      <c r="N45" s="251">
        <f>IF(N$6=0,0,N$6/AGR_fec!N$6)</f>
        <v>0.47045776224800995</v>
      </c>
      <c r="O45" s="251">
        <f>IF(O$6=0,0,O$6/AGR_fec!O$6)</f>
        <v>0.47045776224800995</v>
      </c>
      <c r="P45" s="251">
        <f>IF(P$6=0,0,P$6/AGR_fec!P$6)</f>
        <v>0.47045776224800995</v>
      </c>
      <c r="Q45" s="251">
        <f>IF(Q$6=0,0,Q$6/AGR_fec!Q$6)</f>
        <v>0.47045776224800989</v>
      </c>
      <c r="R45" s="251">
        <f>IF(R$6=0,0,R$6/AGR_fec!R$6)</f>
        <v>0.47045776224800995</v>
      </c>
      <c r="S45" s="251">
        <f>IF(S$6=0,0,S$6/AGR_fec!S$6)</f>
        <v>0.47045776224800984</v>
      </c>
      <c r="T45" s="251">
        <f>IF(T$6=0,0,T$6/AGR_fec!T$6)</f>
        <v>0.47045776224800995</v>
      </c>
      <c r="U45" s="251">
        <f>IF(U$6=0,0,U$6/AGR_fec!U$6)</f>
        <v>0.47045776224800989</v>
      </c>
      <c r="V45" s="251">
        <f>IF(V$6=0,0,V$6/AGR_fec!V$6)</f>
        <v>0.47045776224800989</v>
      </c>
      <c r="W45" s="251">
        <f>IF(W$6=0,0,W$6/AGR_fec!W$6)</f>
        <v>0.47045776224800989</v>
      </c>
      <c r="DA45" s="288"/>
    </row>
    <row r="46" spans="1:105" x14ac:dyDescent="0.25">
      <c r="A46" s="241" t="s">
        <v>124</v>
      </c>
      <c r="B46" s="252">
        <f>IF(B$7=0,0,B$7/AGR_fec!B$7)</f>
        <v>0.46651904929395793</v>
      </c>
      <c r="C46" s="252">
        <f>IF(C$7=0,0,C$7/AGR_fec!C$7)</f>
        <v>0.46651904929395782</v>
      </c>
      <c r="D46" s="252">
        <f>IF(D$7=0,0,D$7/AGR_fec!D$7)</f>
        <v>0.46651904929395782</v>
      </c>
      <c r="E46" s="252">
        <f>IF(E$7=0,0,E$7/AGR_fec!E$7)</f>
        <v>0.46651904929395771</v>
      </c>
      <c r="F46" s="252">
        <f>IF(F$7=0,0,F$7/AGR_fec!F$7)</f>
        <v>0.46651904929395777</v>
      </c>
      <c r="G46" s="252">
        <f>IF(G$7=0,0,G$7/AGR_fec!G$7)</f>
        <v>0.46651904929395771</v>
      </c>
      <c r="H46" s="252">
        <f>IF(H$7=0,0,H$7/AGR_fec!H$7)</f>
        <v>0.46651904929395782</v>
      </c>
      <c r="I46" s="252">
        <f>IF(I$7=0,0,I$7/AGR_fec!I$7)</f>
        <v>0.46651904929395782</v>
      </c>
      <c r="J46" s="252">
        <f>IF(J$7=0,0,J$7/AGR_fec!J$7)</f>
        <v>0.46651904929395793</v>
      </c>
      <c r="K46" s="252">
        <f>IF(K$7=0,0,K$7/AGR_fec!K$7)</f>
        <v>0.46651904929395782</v>
      </c>
      <c r="L46" s="252">
        <f>IF(L$7=0,0,L$7/AGR_fec!L$7)</f>
        <v>0.46651904929395777</v>
      </c>
      <c r="M46" s="252">
        <f>IF(M$7=0,0,M$7/AGR_fec!M$7)</f>
        <v>0.46651904929395793</v>
      </c>
      <c r="N46" s="252">
        <f>IF(N$7=0,0,N$7/AGR_fec!N$7)</f>
        <v>0.46651904929395777</v>
      </c>
      <c r="O46" s="252">
        <f>IF(O$7=0,0,O$7/AGR_fec!O$7)</f>
        <v>0.46651904929395793</v>
      </c>
      <c r="P46" s="252">
        <f>IF(P$7=0,0,P$7/AGR_fec!P$7)</f>
        <v>0.46651904929395777</v>
      </c>
      <c r="Q46" s="252">
        <f>IF(Q$7=0,0,Q$7/AGR_fec!Q$7)</f>
        <v>0.46651904929395788</v>
      </c>
      <c r="R46" s="252">
        <f>IF(R$7=0,0,R$7/AGR_fec!R$7)</f>
        <v>0.46651904929395788</v>
      </c>
      <c r="S46" s="252">
        <f>IF(S$7=0,0,S$7/AGR_fec!S$7)</f>
        <v>0.46651904929395777</v>
      </c>
      <c r="T46" s="252">
        <f>IF(T$7=0,0,T$7/AGR_fec!T$7)</f>
        <v>0.46651904929395771</v>
      </c>
      <c r="U46" s="252">
        <f>IF(U$7=0,0,U$7/AGR_fec!U$7)</f>
        <v>0.46651904929395777</v>
      </c>
      <c r="V46" s="252">
        <f>IF(V$7=0,0,V$7/AGR_fec!V$7)</f>
        <v>0.46651904929395782</v>
      </c>
      <c r="W46" s="252">
        <f>IF(W$7=0,0,W$7/AGR_fec!W$7)</f>
        <v>0.46651904929395793</v>
      </c>
      <c r="DA46" s="289"/>
    </row>
    <row r="47" spans="1:105" x14ac:dyDescent="0.25">
      <c r="A47" s="241" t="s">
        <v>123</v>
      </c>
      <c r="B47" s="252">
        <f>IF(B$8=0,0,B$8/AGR_fec!B$8)</f>
        <v>0.66955899963464427</v>
      </c>
      <c r="C47" s="252">
        <f>IF(C$8=0,0,C$8/AGR_fec!C$8)</f>
        <v>0.66955899963464416</v>
      </c>
      <c r="D47" s="252">
        <f>IF(D$8=0,0,D$8/AGR_fec!D$8)</f>
        <v>0.66955899963464427</v>
      </c>
      <c r="E47" s="252">
        <f>IF(E$8=0,0,E$8/AGR_fec!E$8)</f>
        <v>0.66955899963464438</v>
      </c>
      <c r="F47" s="252">
        <f>IF(F$8=0,0,F$8/AGR_fec!F$8)</f>
        <v>0.66955899963464427</v>
      </c>
      <c r="G47" s="252">
        <f>IF(G$8=0,0,G$8/AGR_fec!G$8)</f>
        <v>0.66955899963464416</v>
      </c>
      <c r="H47" s="252">
        <f>IF(H$8=0,0,H$8/AGR_fec!H$8)</f>
        <v>0.66955899963464416</v>
      </c>
      <c r="I47" s="252">
        <f>IF(I$8=0,0,I$8/AGR_fec!I$8)</f>
        <v>0.66955899963464416</v>
      </c>
      <c r="J47" s="252">
        <f>IF(J$8=0,0,J$8/AGR_fec!J$8)</f>
        <v>0.66955899963464427</v>
      </c>
      <c r="K47" s="252">
        <f>IF(K$8=0,0,K$8/AGR_fec!K$8)</f>
        <v>0.66955899963464438</v>
      </c>
      <c r="L47" s="252">
        <f>IF(L$8=0,0,L$8/AGR_fec!L$8)</f>
        <v>0.66955899963464438</v>
      </c>
      <c r="M47" s="252">
        <f>IF(M$8=0,0,M$8/AGR_fec!M$8)</f>
        <v>0.66955899963464427</v>
      </c>
      <c r="N47" s="252">
        <f>IF(N$8=0,0,N$8/AGR_fec!N$8)</f>
        <v>0.66955899963464427</v>
      </c>
      <c r="O47" s="252">
        <f>IF(O$8=0,0,O$8/AGR_fec!O$8)</f>
        <v>0.66955899963464416</v>
      </c>
      <c r="P47" s="252">
        <f>IF(P$8=0,0,P$8/AGR_fec!P$8)</f>
        <v>0.66955899963464438</v>
      </c>
      <c r="Q47" s="252">
        <f>IF(Q$8=0,0,Q$8/AGR_fec!Q$8)</f>
        <v>0.66955899963464427</v>
      </c>
      <c r="R47" s="252">
        <f>IF(R$8=0,0,R$8/AGR_fec!R$8)</f>
        <v>0.66955899963464427</v>
      </c>
      <c r="S47" s="252">
        <f>IF(S$8=0,0,S$8/AGR_fec!S$8)</f>
        <v>0.66955899963464438</v>
      </c>
      <c r="T47" s="252">
        <f>IF(T$8=0,0,T$8/AGR_fec!T$8)</f>
        <v>0.66955899963464427</v>
      </c>
      <c r="U47" s="252">
        <f>IF(U$8=0,0,U$8/AGR_fec!U$8)</f>
        <v>0.66955899963464427</v>
      </c>
      <c r="V47" s="252">
        <f>IF(V$8=0,0,V$8/AGR_fec!V$8)</f>
        <v>0.66955899963464438</v>
      </c>
      <c r="W47" s="252">
        <f>IF(W$8=0,0,W$8/AGR_fec!W$8)</f>
        <v>0.66955899963464416</v>
      </c>
      <c r="DA47" s="289"/>
    </row>
    <row r="48" spans="1:105" x14ac:dyDescent="0.25">
      <c r="A48" s="243" t="s">
        <v>122</v>
      </c>
      <c r="B48" s="253">
        <f>IF(B$9=0,0,B$9/AGR_fec!B$9)</f>
        <v>0.64406259020407963</v>
      </c>
      <c r="C48" s="253">
        <f>IF(C$9=0,0,C$9/AGR_fec!C$9)</f>
        <v>0.65151081324402593</v>
      </c>
      <c r="D48" s="253">
        <f>IF(D$9=0,0,D$9/AGR_fec!D$9)</f>
        <v>0.64991513823190705</v>
      </c>
      <c r="E48" s="253">
        <f>IF(E$9=0,0,E$9/AGR_fec!E$9)</f>
        <v>0.6453730719521642</v>
      </c>
      <c r="F48" s="253">
        <f>IF(F$9=0,0,F$9/AGR_fec!F$9)</f>
        <v>0.6413493774927671</v>
      </c>
      <c r="G48" s="253">
        <f>IF(G$9=0,0,G$9/AGR_fec!G$9)</f>
        <v>0.64151961722832762</v>
      </c>
      <c r="H48" s="253">
        <f>IF(H$9=0,0,H$9/AGR_fec!H$9)</f>
        <v>0.65716117861869394</v>
      </c>
      <c r="I48" s="253">
        <f>IF(I$9=0,0,I$9/AGR_fec!I$9)</f>
        <v>0.65165054682872636</v>
      </c>
      <c r="J48" s="253">
        <f>IF(J$9=0,0,J$9/AGR_fec!J$9)</f>
        <v>0.65924980820627388</v>
      </c>
      <c r="K48" s="253">
        <f>IF(K$9=0,0,K$9/AGR_fec!K$9)</f>
        <v>0.66199001965457438</v>
      </c>
      <c r="L48" s="253">
        <f>IF(L$9=0,0,L$9/AGR_fec!L$9)</f>
        <v>0.64253786992041684</v>
      </c>
      <c r="M48" s="253">
        <f>IF(M$9=0,0,M$9/AGR_fec!M$9)</f>
        <v>0.6498154137925608</v>
      </c>
      <c r="N48" s="253">
        <f>IF(N$9=0,0,N$9/AGR_fec!N$9)</f>
        <v>0.64687371941354521</v>
      </c>
      <c r="O48" s="253">
        <f>IF(O$9=0,0,O$9/AGR_fec!O$9)</f>
        <v>0.64924419074218154</v>
      </c>
      <c r="P48" s="253">
        <f>IF(P$9=0,0,P$9/AGR_fec!P$9)</f>
        <v>0.65881971559492036</v>
      </c>
      <c r="Q48" s="253">
        <f>IF(Q$9=0,0,Q$9/AGR_fec!Q$9)</f>
        <v>0.659848750861462</v>
      </c>
      <c r="R48" s="253">
        <f>IF(R$9=0,0,R$9/AGR_fec!R$9)</f>
        <v>0.6576031607952435</v>
      </c>
      <c r="S48" s="253">
        <f>IF(S$9=0,0,S$9/AGR_fec!S$9)</f>
        <v>0.65551642685333589</v>
      </c>
      <c r="T48" s="253">
        <f>IF(T$9=0,0,T$9/AGR_fec!T$9)</f>
        <v>0.64047642362302892</v>
      </c>
      <c r="U48" s="253">
        <f>IF(U$9=0,0,U$9/AGR_fec!U$9)</f>
        <v>0.64450819589096686</v>
      </c>
      <c r="V48" s="253">
        <f>IF(V$9=0,0,V$9/AGR_fec!V$9)</f>
        <v>0.63731223932681569</v>
      </c>
      <c r="W48" s="253">
        <f>IF(W$9=0,0,W$9/AGR_fec!W$9)</f>
        <v>0.64148750642472463</v>
      </c>
      <c r="DA48" s="290"/>
    </row>
    <row r="49" spans="1:105" x14ac:dyDescent="0.25">
      <c r="A49" s="128" t="s">
        <v>175</v>
      </c>
      <c r="B49" s="265">
        <f>IF(B$16=0,0,B$16/AGR_fec!B$16)</f>
        <v>0.33665002914486231</v>
      </c>
      <c r="C49" s="265">
        <f>IF(C$16=0,0,C$16/AGR_fec!C$16)</f>
        <v>0.33665002914486208</v>
      </c>
      <c r="D49" s="265">
        <f>IF(D$16=0,0,D$16/AGR_fec!D$16)</f>
        <v>0.33665002914486208</v>
      </c>
      <c r="E49" s="265">
        <f>IF(E$16=0,0,E$16/AGR_fec!E$16)</f>
        <v>0.33665002914486214</v>
      </c>
      <c r="F49" s="265">
        <f>IF(F$16=0,0,F$16/AGR_fec!F$16)</f>
        <v>0.3366500291448622</v>
      </c>
      <c r="G49" s="265">
        <f>IF(G$16=0,0,G$16/AGR_fec!G$16)</f>
        <v>0.3366500291448622</v>
      </c>
      <c r="H49" s="265">
        <f>IF(H$16=0,0,H$16/AGR_fec!H$16)</f>
        <v>0.3366500291448622</v>
      </c>
      <c r="I49" s="265">
        <f>IF(I$16=0,0,I$16/AGR_fec!I$16)</f>
        <v>0.33665002914486214</v>
      </c>
      <c r="J49" s="265">
        <f>IF(J$16=0,0,J$16/AGR_fec!J$16)</f>
        <v>0.3366500291448622</v>
      </c>
      <c r="K49" s="265">
        <f>IF(K$16=0,0,K$16/AGR_fec!K$16)</f>
        <v>0.33665002914486214</v>
      </c>
      <c r="L49" s="265">
        <f>IF(L$16=0,0,L$16/AGR_fec!L$16)</f>
        <v>0.33665002914486208</v>
      </c>
      <c r="M49" s="265">
        <f>IF(M$16=0,0,M$16/AGR_fec!M$16)</f>
        <v>0.3366500291448622</v>
      </c>
      <c r="N49" s="265">
        <f>IF(N$16=0,0,N$16/AGR_fec!N$16)</f>
        <v>0.33665002914486225</v>
      </c>
      <c r="O49" s="265">
        <f>IF(O$16=0,0,O$16/AGR_fec!O$16)</f>
        <v>0.3366500291448622</v>
      </c>
      <c r="P49" s="265">
        <f>IF(P$16=0,0,P$16/AGR_fec!P$16)</f>
        <v>0.3366500291448622</v>
      </c>
      <c r="Q49" s="265">
        <f>IF(Q$16=0,0,Q$16/AGR_fec!Q$16)</f>
        <v>0.33665002914486208</v>
      </c>
      <c r="R49" s="265">
        <f>IF(R$16=0,0,R$16/AGR_fec!R$16)</f>
        <v>0.33665002914486208</v>
      </c>
      <c r="S49" s="265">
        <f>IF(S$16=0,0,S$16/AGR_fec!S$16)</f>
        <v>0.3366500291448622</v>
      </c>
      <c r="T49" s="265">
        <f>IF(T$16=0,0,T$16/AGR_fec!T$16)</f>
        <v>0.3366500291448622</v>
      </c>
      <c r="U49" s="265">
        <f>IF(U$16=0,0,U$16/AGR_fec!U$16)</f>
        <v>0.33665002914486214</v>
      </c>
      <c r="V49" s="265">
        <f>IF(V$16=0,0,V$16/AGR_fec!V$16)</f>
        <v>0.33665002914486214</v>
      </c>
      <c r="W49" s="265">
        <f>IF(W$16=0,0,W$16/AGR_fec!W$16)</f>
        <v>0.3366500291448622</v>
      </c>
      <c r="DA49" s="291"/>
    </row>
    <row r="50" spans="1:105" x14ac:dyDescent="0.25">
      <c r="A50" s="128" t="s">
        <v>121</v>
      </c>
      <c r="B50" s="265">
        <f>IF(B$17=0,0,B$17/AGR_fec!B$17)</f>
        <v>0.27377853259456936</v>
      </c>
      <c r="C50" s="265">
        <f>IF(C$17=0,0,C$17/AGR_fec!C$17)</f>
        <v>0.27326957671376878</v>
      </c>
      <c r="D50" s="265">
        <f>IF(D$17=0,0,D$17/AGR_fec!D$17)</f>
        <v>0.27343399947966662</v>
      </c>
      <c r="E50" s="265">
        <f>IF(E$17=0,0,E$17/AGR_fec!E$17)</f>
        <v>0.27834805634370668</v>
      </c>
      <c r="F50" s="265">
        <f>IF(F$17=0,0,F$17/AGR_fec!F$17)</f>
        <v>0.27952970207850986</v>
      </c>
      <c r="G50" s="265">
        <f>IF(G$17=0,0,G$17/AGR_fec!G$17)</f>
        <v>0.27788556920831753</v>
      </c>
      <c r="H50" s="265">
        <f>IF(H$17=0,0,H$17/AGR_fec!H$17)</f>
        <v>0.2772763081213806</v>
      </c>
      <c r="I50" s="265">
        <f>IF(I$17=0,0,I$17/AGR_fec!I$17)</f>
        <v>0.27702655026340955</v>
      </c>
      <c r="J50" s="265">
        <f>IF(J$17=0,0,J$17/AGR_fec!J$17)</f>
        <v>0.27715141889003353</v>
      </c>
      <c r="K50" s="265">
        <f>IF(K$17=0,0,K$17/AGR_fec!K$17)</f>
        <v>0.27254275615070112</v>
      </c>
      <c r="L50" s="265">
        <f>IF(L$17=0,0,L$17/AGR_fec!L$17)</f>
        <v>0.27328614262300127</v>
      </c>
      <c r="M50" s="265">
        <f>IF(M$17=0,0,M$17/AGR_fec!M$17)</f>
        <v>0.27846832054523024</v>
      </c>
      <c r="N50" s="265">
        <f>IF(N$17=0,0,N$17/AGR_fec!N$17)</f>
        <v>0.27942527106227721</v>
      </c>
      <c r="O50" s="265">
        <f>IF(O$17=0,0,O$17/AGR_fec!O$17)</f>
        <v>0.27652400119561754</v>
      </c>
      <c r="P50" s="265">
        <f>IF(P$17=0,0,P$17/AGR_fec!P$17)</f>
        <v>0.27718547685724615</v>
      </c>
      <c r="Q50" s="265">
        <f>IF(Q$17=0,0,Q$17/AGR_fec!Q$17)</f>
        <v>0.27347576662968881</v>
      </c>
      <c r="R50" s="265">
        <f>IF(R$17=0,0,R$17/AGR_fec!R$17)</f>
        <v>0.27252277865758667</v>
      </c>
      <c r="S50" s="265">
        <f>IF(S$17=0,0,S$17/AGR_fec!S$17)</f>
        <v>0.27296050074905565</v>
      </c>
      <c r="T50" s="265">
        <f>IF(T$17=0,0,T$17/AGR_fec!T$17)</f>
        <v>0.27246729906027678</v>
      </c>
      <c r="U50" s="265">
        <f>IF(U$17=0,0,U$17/AGR_fec!U$17)</f>
        <v>0.27310938328440687</v>
      </c>
      <c r="V50" s="265">
        <f>IF(V$17=0,0,V$17/AGR_fec!V$17)</f>
        <v>0.27279240744419231</v>
      </c>
      <c r="W50" s="265">
        <f>IF(W$17=0,0,W$17/AGR_fec!W$17)</f>
        <v>0.27259684888126867</v>
      </c>
      <c r="DA50" s="291"/>
    </row>
    <row r="51" spans="1:105" x14ac:dyDescent="0.25">
      <c r="A51" s="128" t="s">
        <v>174</v>
      </c>
      <c r="B51" s="265">
        <f>IF(B$25=0,0,B$25/AGR_fec!B$25)</f>
        <v>0.23565502040140357</v>
      </c>
      <c r="C51" s="265">
        <f>IF(C$25=0,0,C$25/AGR_fec!C$25)</f>
        <v>0.23565502040140346</v>
      </c>
      <c r="D51" s="265">
        <f>IF(D$25=0,0,D$25/AGR_fec!D$25)</f>
        <v>0.2356550204014034</v>
      </c>
      <c r="E51" s="265">
        <f>IF(E$25=0,0,E$25/AGR_fec!E$25)</f>
        <v>0.23565502040140357</v>
      </c>
      <c r="F51" s="265">
        <f>IF(F$25=0,0,F$25/AGR_fec!F$25)</f>
        <v>0.23565502040140343</v>
      </c>
      <c r="G51" s="265">
        <f>IF(G$25=0,0,G$25/AGR_fec!G$25)</f>
        <v>0.23565502040140349</v>
      </c>
      <c r="H51" s="265">
        <f>IF(H$25=0,0,H$25/AGR_fec!H$25)</f>
        <v>0.23565502040140363</v>
      </c>
      <c r="I51" s="265">
        <f>IF(I$25=0,0,I$25/AGR_fec!I$25)</f>
        <v>0.23565502040140351</v>
      </c>
      <c r="J51" s="265">
        <f>IF(J$25=0,0,J$25/AGR_fec!J$25)</f>
        <v>0.23565502040140354</v>
      </c>
      <c r="K51" s="265">
        <f>IF(K$25=0,0,K$25/AGR_fec!K$25)</f>
        <v>0.2356550204014036</v>
      </c>
      <c r="L51" s="265">
        <f>IF(L$25=0,0,L$25/AGR_fec!L$25)</f>
        <v>0.23565502040140354</v>
      </c>
      <c r="M51" s="265">
        <f>IF(M$25=0,0,M$25/AGR_fec!M$25)</f>
        <v>0.23565502040140338</v>
      </c>
      <c r="N51" s="265">
        <f>IF(N$25=0,0,N$25/AGR_fec!N$25)</f>
        <v>0.23565502040140349</v>
      </c>
      <c r="O51" s="265">
        <f>IF(O$25=0,0,O$25/AGR_fec!O$25)</f>
        <v>0.23565502040140351</v>
      </c>
      <c r="P51" s="265">
        <f>IF(P$25=0,0,P$25/AGR_fec!P$25)</f>
        <v>0.23565502040140349</v>
      </c>
      <c r="Q51" s="265">
        <f>IF(Q$25=0,0,Q$25/AGR_fec!Q$25)</f>
        <v>0.23565502040140351</v>
      </c>
      <c r="R51" s="265">
        <f>IF(R$25=0,0,R$25/AGR_fec!R$25)</f>
        <v>0.23565502040140343</v>
      </c>
      <c r="S51" s="265">
        <f>IF(S$25=0,0,S$25/AGR_fec!S$25)</f>
        <v>0.23565502040140357</v>
      </c>
      <c r="T51" s="265">
        <f>IF(T$25=0,0,T$25/AGR_fec!T$25)</f>
        <v>0.23565502040140349</v>
      </c>
      <c r="U51" s="265">
        <f>IF(U$25=0,0,U$25/AGR_fec!U$25)</f>
        <v>0.23565502040140354</v>
      </c>
      <c r="V51" s="265">
        <f>IF(V$25=0,0,V$25/AGR_fec!V$25)</f>
        <v>0.23565502040140349</v>
      </c>
      <c r="W51" s="265">
        <f>IF(W$25=0,0,W$25/AGR_fec!W$25)</f>
        <v>0.23565502040140354</v>
      </c>
      <c r="DA51" s="291"/>
    </row>
    <row r="52" spans="1:105" x14ac:dyDescent="0.25">
      <c r="A52" s="128" t="s">
        <v>177</v>
      </c>
      <c r="B52" s="265">
        <f>IF(B$26=0,0,B$26/AGR_fec!B$26)</f>
        <v>0.46651904929395788</v>
      </c>
      <c r="C52" s="265">
        <f>IF(C$26=0,0,C$26/AGR_fec!C$26)</f>
        <v>0.46651904929395771</v>
      </c>
      <c r="D52" s="265">
        <f>IF(D$26=0,0,D$26/AGR_fec!D$26)</f>
        <v>0.46651904929395788</v>
      </c>
      <c r="E52" s="265">
        <f>IF(E$26=0,0,E$26/AGR_fec!E$26)</f>
        <v>0.46651904929395782</v>
      </c>
      <c r="F52" s="265">
        <f>IF(F$26=0,0,F$26/AGR_fec!F$26)</f>
        <v>0.46651904929395788</v>
      </c>
      <c r="G52" s="265">
        <f>IF(G$26=0,0,G$26/AGR_fec!G$26)</f>
        <v>0.46651904929395782</v>
      </c>
      <c r="H52" s="265">
        <f>IF(H$26=0,0,H$26/AGR_fec!H$26)</f>
        <v>0.46651904929395771</v>
      </c>
      <c r="I52" s="265">
        <f>IF(I$26=0,0,I$26/AGR_fec!I$26)</f>
        <v>0.46651904929395782</v>
      </c>
      <c r="J52" s="265">
        <f>IF(J$26=0,0,J$26/AGR_fec!J$26)</f>
        <v>0.46651904929395788</v>
      </c>
      <c r="K52" s="265">
        <f>IF(K$26=0,0,K$26/AGR_fec!K$26)</f>
        <v>0.46651904929395777</v>
      </c>
      <c r="L52" s="265">
        <f>IF(L$26=0,0,L$26/AGR_fec!L$26)</f>
        <v>0.46651904929395782</v>
      </c>
      <c r="M52" s="265">
        <f>IF(M$26=0,0,M$26/AGR_fec!M$26)</f>
        <v>0.46651904929395788</v>
      </c>
      <c r="N52" s="265">
        <f>IF(N$26=0,0,N$26/AGR_fec!N$26)</f>
        <v>0.46651904929395782</v>
      </c>
      <c r="O52" s="265">
        <f>IF(O$26=0,0,O$26/AGR_fec!O$26)</f>
        <v>0.46651904929395788</v>
      </c>
      <c r="P52" s="265">
        <f>IF(P$26=0,0,P$26/AGR_fec!P$26)</f>
        <v>0.46651904929395788</v>
      </c>
      <c r="Q52" s="265">
        <f>IF(Q$26=0,0,Q$26/AGR_fec!Q$26)</f>
        <v>0.46651904929395793</v>
      </c>
      <c r="R52" s="265">
        <f>IF(R$26=0,0,R$26/AGR_fec!R$26)</f>
        <v>0.46651904929395788</v>
      </c>
      <c r="S52" s="265">
        <f>IF(S$26=0,0,S$26/AGR_fec!S$26)</f>
        <v>0.46651904929395782</v>
      </c>
      <c r="T52" s="265">
        <f>IF(T$26=0,0,T$26/AGR_fec!T$26)</f>
        <v>0.46651904929395793</v>
      </c>
      <c r="U52" s="265">
        <f>IF(U$26=0,0,U$26/AGR_fec!U$26)</f>
        <v>0.46651904929395793</v>
      </c>
      <c r="V52" s="265">
        <f>IF(V$26=0,0,V$26/AGR_fec!V$26)</f>
        <v>0.46651904929395777</v>
      </c>
      <c r="W52" s="265">
        <f>IF(W$26=0,0,W$26/AGR_fec!W$26)</f>
        <v>0.46651904929395788</v>
      </c>
      <c r="DA52" s="291"/>
    </row>
    <row r="53" spans="1:105" x14ac:dyDescent="0.25">
      <c r="A53" s="261" t="s">
        <v>33</v>
      </c>
      <c r="B53" s="266">
        <f>IF(B$27=0,0,B$27/AGR_fec!B$27)</f>
        <v>0.49034843969599584</v>
      </c>
      <c r="C53" s="266">
        <f>IF(C$27=0,0,C$27/AGR_fec!C$27)</f>
        <v>0.49034843969599562</v>
      </c>
      <c r="D53" s="266">
        <f>IF(D$27=0,0,D$27/AGR_fec!D$27)</f>
        <v>0.49034843969599567</v>
      </c>
      <c r="E53" s="266">
        <f>IF(E$27=0,0,E$27/AGR_fec!E$27)</f>
        <v>0.49034843969599595</v>
      </c>
      <c r="F53" s="266">
        <f>IF(F$27=0,0,F$27/AGR_fec!F$27)</f>
        <v>0.49034843969599584</v>
      </c>
      <c r="G53" s="266">
        <f>IF(G$27=0,0,G$27/AGR_fec!G$27)</f>
        <v>0.49034843969599545</v>
      </c>
      <c r="H53" s="266">
        <f>IF(H$27=0,0,H$27/AGR_fec!H$27)</f>
        <v>0.49034843969599573</v>
      </c>
      <c r="I53" s="266">
        <f>IF(I$27=0,0,I$27/AGR_fec!I$27)</f>
        <v>0.49034843969599567</v>
      </c>
      <c r="J53" s="266">
        <f>IF(J$27=0,0,J$27/AGR_fec!J$27)</f>
        <v>0.49034843969599579</v>
      </c>
      <c r="K53" s="266">
        <f>IF(K$27=0,0,K$27/AGR_fec!K$27)</f>
        <v>0.49034843969599579</v>
      </c>
      <c r="L53" s="266">
        <f>IF(L$27=0,0,L$27/AGR_fec!L$27)</f>
        <v>0.49034843969599567</v>
      </c>
      <c r="M53" s="266">
        <f>IF(M$27=0,0,M$27/AGR_fec!M$27)</f>
        <v>0.49034843969599567</v>
      </c>
      <c r="N53" s="266">
        <f>IF(N$27=0,0,N$27/AGR_fec!N$27)</f>
        <v>0.49034843969599562</v>
      </c>
      <c r="O53" s="266">
        <f>IF(O$27=0,0,O$27/AGR_fec!O$27)</f>
        <v>0.49034843969599567</v>
      </c>
      <c r="P53" s="266">
        <f>IF(P$27=0,0,P$27/AGR_fec!P$27)</f>
        <v>0.49034843969599567</v>
      </c>
      <c r="Q53" s="266">
        <f>IF(Q$27=0,0,Q$27/AGR_fec!Q$27)</f>
        <v>0.49034843969599584</v>
      </c>
      <c r="R53" s="266">
        <f>IF(R$27=0,0,R$27/AGR_fec!R$27)</f>
        <v>0.49034843969599573</v>
      </c>
      <c r="S53" s="266">
        <f>IF(S$27=0,0,S$27/AGR_fec!S$27)</f>
        <v>0.49034843969599567</v>
      </c>
      <c r="T53" s="266">
        <f>IF(T$27=0,0,T$27/AGR_fec!T$27)</f>
        <v>0.4903484396959959</v>
      </c>
      <c r="U53" s="266">
        <f>IF(U$27=0,0,U$27/AGR_fec!U$27)</f>
        <v>0.49034843969599595</v>
      </c>
      <c r="V53" s="266">
        <f>IF(V$27=0,0,V$27/AGR_fec!V$27)</f>
        <v>0.49034843969599567</v>
      </c>
      <c r="W53" s="266">
        <f>IF(W$27=0,0,W$27/AGR_fec!W$27)</f>
        <v>0.49034843969599595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6530.9283860374953</v>
      </c>
      <c r="C5" s="80">
        <f t="shared" ref="C5:W5" si="0">SUM(C6:C9,C16:C17,C25:C27)</f>
        <v>5982.5652148775298</v>
      </c>
      <c r="D5" s="80">
        <f t="shared" si="0"/>
        <v>5911.6899290377223</v>
      </c>
      <c r="E5" s="80">
        <f t="shared" si="0"/>
        <v>7400.3925578375956</v>
      </c>
      <c r="F5" s="80">
        <f t="shared" si="0"/>
        <v>8494.7685321585668</v>
      </c>
      <c r="G5" s="80">
        <f t="shared" si="0"/>
        <v>7883.451908637102</v>
      </c>
      <c r="H5" s="80">
        <f t="shared" si="0"/>
        <v>6841.6323847184849</v>
      </c>
      <c r="I5" s="80">
        <f t="shared" si="0"/>
        <v>7260.6339543575978</v>
      </c>
      <c r="J5" s="80">
        <f t="shared" si="0"/>
        <v>6478.437432598429</v>
      </c>
      <c r="K5" s="80">
        <f t="shared" si="0"/>
        <v>5590.8814068014344</v>
      </c>
      <c r="L5" s="80">
        <f t="shared" si="0"/>
        <v>5523.2556652783087</v>
      </c>
      <c r="M5" s="80">
        <f t="shared" si="0"/>
        <v>5794.0782461977906</v>
      </c>
      <c r="N5" s="80">
        <f t="shared" si="0"/>
        <v>6645.5491445982561</v>
      </c>
      <c r="O5" s="80">
        <f t="shared" si="0"/>
        <v>7288.9923740386539</v>
      </c>
      <c r="P5" s="80">
        <f t="shared" si="0"/>
        <v>6821.0801279987718</v>
      </c>
      <c r="Q5" s="80">
        <f t="shared" si="0"/>
        <v>6448.54421951723</v>
      </c>
      <c r="R5" s="80">
        <f t="shared" si="0"/>
        <v>6537.6007722013192</v>
      </c>
      <c r="S5" s="80">
        <f t="shared" si="0"/>
        <v>6605.2752659974958</v>
      </c>
      <c r="T5" s="80">
        <f t="shared" si="0"/>
        <v>6892.4145985171672</v>
      </c>
      <c r="U5" s="80">
        <f t="shared" si="0"/>
        <v>7199.3464016381222</v>
      </c>
      <c r="V5" s="80">
        <f t="shared" si="0"/>
        <v>7575.75856079804</v>
      </c>
      <c r="W5" s="80">
        <f t="shared" si="0"/>
        <v>7687.8053855978469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1275.5721149019216</v>
      </c>
      <c r="C9" s="244">
        <f t="shared" ref="C9:W9" si="1">SUM(C10:C15)</f>
        <v>1138.9900441865896</v>
      </c>
      <c r="D9" s="244">
        <f t="shared" si="1"/>
        <v>1131.9194787546485</v>
      </c>
      <c r="E9" s="244">
        <f t="shared" si="1"/>
        <v>1501.9137726546578</v>
      </c>
      <c r="F9" s="244">
        <f t="shared" si="1"/>
        <v>1766.4312015802234</v>
      </c>
      <c r="G9" s="244">
        <f t="shared" si="1"/>
        <v>1616.0585377033622</v>
      </c>
      <c r="H9" s="244">
        <f t="shared" si="1"/>
        <v>1330.5328201040168</v>
      </c>
      <c r="I9" s="244">
        <f t="shared" si="1"/>
        <v>1435.7467726966988</v>
      </c>
      <c r="J9" s="244">
        <f t="shared" si="1"/>
        <v>1258.4822962063597</v>
      </c>
      <c r="K9" s="244">
        <f t="shared" si="1"/>
        <v>1062.3118120402576</v>
      </c>
      <c r="L9" s="244">
        <f t="shared" si="1"/>
        <v>1124.9323143377708</v>
      </c>
      <c r="M9" s="244">
        <f t="shared" si="1"/>
        <v>1211.0147197847464</v>
      </c>
      <c r="N9" s="244">
        <f t="shared" si="1"/>
        <v>1417.7431402679158</v>
      </c>
      <c r="O9" s="244">
        <f t="shared" si="1"/>
        <v>1508.2532823902282</v>
      </c>
      <c r="P9" s="244">
        <f t="shared" si="1"/>
        <v>1375.3642200144882</v>
      </c>
      <c r="Q9" s="244">
        <f t="shared" si="1"/>
        <v>1248.0609997334836</v>
      </c>
      <c r="R9" s="244">
        <f t="shared" si="1"/>
        <v>1260.2478940802848</v>
      </c>
      <c r="S9" s="244">
        <f t="shared" si="1"/>
        <v>1286.6083075956287</v>
      </c>
      <c r="T9" s="244">
        <f t="shared" si="1"/>
        <v>1402.5254029583205</v>
      </c>
      <c r="U9" s="244">
        <f t="shared" si="1"/>
        <v>1450.267365675601</v>
      </c>
      <c r="V9" s="244">
        <f t="shared" si="1"/>
        <v>1556.2739516443098</v>
      </c>
      <c r="W9" s="244">
        <f t="shared" si="1"/>
        <v>1556.0994757146254</v>
      </c>
      <c r="DA9" s="270"/>
    </row>
    <row r="10" spans="1:105" x14ac:dyDescent="0.25">
      <c r="A10" s="254" t="s">
        <v>173</v>
      </c>
      <c r="B10" s="255">
        <v>1201.015448858527</v>
      </c>
      <c r="C10" s="255">
        <v>1108.371874171479</v>
      </c>
      <c r="D10" s="255">
        <v>1091.510651560423</v>
      </c>
      <c r="E10" s="255">
        <v>1151.008319243766</v>
      </c>
      <c r="F10" s="255">
        <v>1308.7980802503421</v>
      </c>
      <c r="G10" s="255">
        <v>1311.015013859793</v>
      </c>
      <c r="H10" s="255">
        <v>1058.9033621085771</v>
      </c>
      <c r="I10" s="255">
        <v>1163.073581767105</v>
      </c>
      <c r="J10" s="255">
        <v>1009.389486274341</v>
      </c>
      <c r="K10" s="255">
        <v>991.58313723748984</v>
      </c>
      <c r="L10" s="255">
        <v>1012.878835344243</v>
      </c>
      <c r="M10" s="255">
        <v>826.89253260689463</v>
      </c>
      <c r="N10" s="255">
        <v>886.53760470633233</v>
      </c>
      <c r="O10" s="255">
        <v>936.00919913968141</v>
      </c>
      <c r="P10" s="255">
        <v>837.26008477963842</v>
      </c>
      <c r="Q10" s="255">
        <v>1038.9916891219109</v>
      </c>
      <c r="R10" s="255">
        <v>1138.873222421136</v>
      </c>
      <c r="S10" s="255">
        <v>1152.3470114601721</v>
      </c>
      <c r="T10" s="255">
        <v>1272.5871973536871</v>
      </c>
      <c r="U10" s="255">
        <v>1288.7574580817129</v>
      </c>
      <c r="V10" s="255">
        <v>1422.496291526179</v>
      </c>
      <c r="W10" s="255">
        <v>1436.9923218318299</v>
      </c>
      <c r="DA10" s="271" t="s">
        <v>1038</v>
      </c>
    </row>
    <row r="11" spans="1:105" x14ac:dyDescent="0.25">
      <c r="A11" s="254" t="s">
        <v>176</v>
      </c>
      <c r="B11" s="256">
        <v>74.55666604339477</v>
      </c>
      <c r="C11" s="256">
        <v>30.618170015110579</v>
      </c>
      <c r="D11" s="256">
        <v>40.40882719422563</v>
      </c>
      <c r="E11" s="256">
        <v>350.90545341089182</v>
      </c>
      <c r="F11" s="256">
        <v>457.63312132988119</v>
      </c>
      <c r="G11" s="256">
        <v>305.04352384356918</v>
      </c>
      <c r="H11" s="256">
        <v>271.62945799543962</v>
      </c>
      <c r="I11" s="256">
        <v>272.67319092959377</v>
      </c>
      <c r="J11" s="256">
        <v>249.0928099320187</v>
      </c>
      <c r="K11" s="256">
        <v>70.728674802767671</v>
      </c>
      <c r="L11" s="256">
        <v>112.0534789935277</v>
      </c>
      <c r="M11" s="256">
        <v>384.12218717785169</v>
      </c>
      <c r="N11" s="256">
        <v>531.20553556158359</v>
      </c>
      <c r="O11" s="256">
        <v>572.24408325054674</v>
      </c>
      <c r="P11" s="256">
        <v>538.10413523484965</v>
      </c>
      <c r="Q11" s="256">
        <v>209.06931061157269</v>
      </c>
      <c r="R11" s="256">
        <v>121.3746716591488</v>
      </c>
      <c r="S11" s="256">
        <v>134.2612961354566</v>
      </c>
      <c r="T11" s="256">
        <v>129.93820560463331</v>
      </c>
      <c r="U11" s="256">
        <v>161.50990759388799</v>
      </c>
      <c r="V11" s="256">
        <v>133.77766011813071</v>
      </c>
      <c r="W11" s="256">
        <v>119.1071538827956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2045.6784865566981</v>
      </c>
      <c r="C16" s="258">
        <v>1893.2027049325809</v>
      </c>
      <c r="D16" s="258">
        <v>1866.3426225401231</v>
      </c>
      <c r="E16" s="258">
        <v>2306.1379304366178</v>
      </c>
      <c r="F16" s="258">
        <v>2644.9037664234738</v>
      </c>
      <c r="G16" s="258">
        <v>2476.4964983555651</v>
      </c>
      <c r="H16" s="258">
        <v>2162.5891205761068</v>
      </c>
      <c r="I16" s="258">
        <v>2291.2758247608781</v>
      </c>
      <c r="J16" s="258">
        <v>2069.801007235571</v>
      </c>
      <c r="K16" s="258">
        <v>1824.7820564770809</v>
      </c>
      <c r="L16" s="258">
        <v>1778.923164579458</v>
      </c>
      <c r="M16" s="258">
        <v>1843.506881149598</v>
      </c>
      <c r="N16" s="258">
        <v>2081.3210843732109</v>
      </c>
      <c r="O16" s="258">
        <v>2234.890482230795</v>
      </c>
      <c r="P16" s="258">
        <v>2112.3070986546209</v>
      </c>
      <c r="Q16" s="258">
        <v>2073.7705844942561</v>
      </c>
      <c r="R16" s="258">
        <v>2114.0655946297761</v>
      </c>
      <c r="S16" s="258">
        <v>2135.5813838447011</v>
      </c>
      <c r="T16" s="258">
        <v>2200.2316548420399</v>
      </c>
      <c r="U16" s="258">
        <v>2300.5942847452452</v>
      </c>
      <c r="V16" s="258">
        <v>2415.570581933734</v>
      </c>
      <c r="W16" s="258">
        <v>2461.0017620102681</v>
      </c>
      <c r="DA16" s="273" t="s">
        <v>1044</v>
      </c>
    </row>
    <row r="17" spans="1:105" x14ac:dyDescent="0.25">
      <c r="A17" s="257" t="s">
        <v>121</v>
      </c>
      <c r="B17" s="258">
        <f>SUM(B18:B24)</f>
        <v>2816.5836152646352</v>
      </c>
      <c r="C17" s="258">
        <f t="shared" ref="C17:W17" si="2">SUM(C18:C24)</f>
        <v>2586.5777885744583</v>
      </c>
      <c r="D17" s="258">
        <f t="shared" si="2"/>
        <v>2554.7945392353054</v>
      </c>
      <c r="E17" s="258">
        <f t="shared" si="2"/>
        <v>3149.19723269312</v>
      </c>
      <c r="F17" s="258">
        <f t="shared" si="2"/>
        <v>3575.1932635354069</v>
      </c>
      <c r="G17" s="258">
        <f t="shared" si="2"/>
        <v>3315.0174319778566</v>
      </c>
      <c r="H17" s="258">
        <f t="shared" si="2"/>
        <v>2932.9509220961927</v>
      </c>
      <c r="I17" s="258">
        <f t="shared" si="2"/>
        <v>3093.3236123091183</v>
      </c>
      <c r="J17" s="258">
        <f t="shared" si="2"/>
        <v>2752.4246164633532</v>
      </c>
      <c r="K17" s="258">
        <f t="shared" si="2"/>
        <v>2353.1404588998007</v>
      </c>
      <c r="L17" s="258">
        <f t="shared" si="2"/>
        <v>2277.5652752303176</v>
      </c>
      <c r="M17" s="258">
        <f t="shared" si="2"/>
        <v>2385.3114347707838</v>
      </c>
      <c r="N17" s="258">
        <f t="shared" si="2"/>
        <v>2746.54172843683</v>
      </c>
      <c r="O17" s="258">
        <f t="shared" si="2"/>
        <v>3116.3957782938346</v>
      </c>
      <c r="P17" s="258">
        <f t="shared" si="2"/>
        <v>2927.5113969362615</v>
      </c>
      <c r="Q17" s="258">
        <f t="shared" si="2"/>
        <v>2728.2203352447232</v>
      </c>
      <c r="R17" s="258">
        <f t="shared" si="2"/>
        <v>2757.0519614414097</v>
      </c>
      <c r="S17" s="258">
        <f t="shared" si="2"/>
        <v>2772.7158143029947</v>
      </c>
      <c r="T17" s="258">
        <f t="shared" si="2"/>
        <v>2866.8646921129034</v>
      </c>
      <c r="U17" s="258">
        <f t="shared" si="2"/>
        <v>3006.4063868828916</v>
      </c>
      <c r="V17" s="258">
        <f t="shared" si="2"/>
        <v>3139.7420091999793</v>
      </c>
      <c r="W17" s="258">
        <f t="shared" si="2"/>
        <v>3197.8021499902588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211.90870475989831</v>
      </c>
      <c r="C19" s="55">
        <v>196.98565571989519</v>
      </c>
      <c r="D19" s="55">
        <v>196.98565571990281</v>
      </c>
      <c r="E19" s="55">
        <v>194.00100047992589</v>
      </c>
      <c r="F19" s="55">
        <v>196.9856557199621</v>
      </c>
      <c r="G19" s="55">
        <v>170.12398571992679</v>
      </c>
      <c r="H19" s="55">
        <v>155.2007095199576</v>
      </c>
      <c r="I19" s="55">
        <v>146.246970959941</v>
      </c>
      <c r="J19" s="55">
        <v>134.30834999995949</v>
      </c>
      <c r="K19" s="55">
        <v>119.3853009600404</v>
      </c>
      <c r="L19" s="55">
        <v>113.4159904799573</v>
      </c>
      <c r="M19" s="55">
        <v>104.46202475995359</v>
      </c>
      <c r="N19" s="55">
        <v>95.508059039971883</v>
      </c>
      <c r="O19" s="55">
        <v>89.538975719981039</v>
      </c>
      <c r="P19" s="55">
        <v>110.43133523997641</v>
      </c>
      <c r="Q19" s="55">
        <v>125.3543842799308</v>
      </c>
      <c r="R19" s="55">
        <v>140.27766048003679</v>
      </c>
      <c r="S19" s="55">
        <v>134.30834999993459</v>
      </c>
      <c r="T19" s="55">
        <v>134.30834999993209</v>
      </c>
      <c r="U19" s="55">
        <v>158.18536475994881</v>
      </c>
      <c r="V19" s="55">
        <v>146.24697095995401</v>
      </c>
      <c r="W19" s="55">
        <v>131.09085575995471</v>
      </c>
      <c r="DA19" s="101" t="s">
        <v>1046</v>
      </c>
    </row>
    <row r="20" spans="1:105" x14ac:dyDescent="0.25">
      <c r="A20" s="61" t="s">
        <v>173</v>
      </c>
      <c r="B20" s="55">
        <v>2258.0532841882991</v>
      </c>
      <c r="C20" s="55">
        <v>2185.165284429781</v>
      </c>
      <c r="D20" s="55">
        <v>2125.7138077497411</v>
      </c>
      <c r="E20" s="55">
        <v>2147.3076468244249</v>
      </c>
      <c r="F20" s="55">
        <v>2442.769923065538</v>
      </c>
      <c r="G20" s="55">
        <v>2510.6828768218052</v>
      </c>
      <c r="H20" s="55">
        <v>2088.7291842918621</v>
      </c>
      <c r="I20" s="55">
        <v>2270.8533488790508</v>
      </c>
      <c r="J20" s="55">
        <v>2032.192575235586</v>
      </c>
      <c r="K20" s="55">
        <v>2026.656608342463</v>
      </c>
      <c r="L20" s="55">
        <v>1900.717029663992</v>
      </c>
      <c r="M20" s="55">
        <v>1531.764494309057</v>
      </c>
      <c r="N20" s="55">
        <v>1590.080771198818</v>
      </c>
      <c r="O20" s="55">
        <v>1551.894676424753</v>
      </c>
      <c r="P20" s="55">
        <v>1455.84837453144</v>
      </c>
      <c r="Q20" s="55">
        <v>1965.9951263367041</v>
      </c>
      <c r="R20" s="55">
        <v>2206.8043683804181</v>
      </c>
      <c r="S20" s="55">
        <v>2237.7787444387059</v>
      </c>
      <c r="T20" s="55">
        <v>2320.859569557821</v>
      </c>
      <c r="U20" s="55">
        <v>2373.0330706769892</v>
      </c>
      <c r="V20" s="55">
        <v>2605.6593603182851</v>
      </c>
      <c r="W20" s="55">
        <v>2699.7236359932308</v>
      </c>
      <c r="DA20" s="101" t="s">
        <v>1047</v>
      </c>
    </row>
    <row r="21" spans="1:105" x14ac:dyDescent="0.25">
      <c r="A21" s="61" t="s">
        <v>129</v>
      </c>
      <c r="B21" s="55">
        <v>206.44613999990091</v>
      </c>
      <c r="C21" s="55">
        <v>144.06284627992341</v>
      </c>
      <c r="D21" s="55">
        <v>153.39900275992429</v>
      </c>
      <c r="E21" s="55">
        <v>153.24347915994139</v>
      </c>
      <c r="F21" s="55">
        <v>81.301021919984365</v>
      </c>
      <c r="G21" s="55">
        <v>50.031483839978478</v>
      </c>
      <c r="H21" s="55">
        <v>153.2210709599581</v>
      </c>
      <c r="I21" s="55">
        <v>143.84009807994201</v>
      </c>
      <c r="J21" s="55">
        <v>84.427919999974563</v>
      </c>
      <c r="K21" s="55">
        <v>62.53907616002116</v>
      </c>
      <c r="L21" s="55">
        <v>53.158381919979973</v>
      </c>
      <c r="M21" s="55">
        <v>37.523612879983347</v>
      </c>
      <c r="N21" s="55">
        <v>108.19048499996811</v>
      </c>
      <c r="O21" s="55">
        <v>526.18667903988853</v>
      </c>
      <c r="P21" s="55">
        <v>425.5630163999092</v>
      </c>
      <c r="Q21" s="55">
        <v>241.26684623986679</v>
      </c>
      <c r="R21" s="55">
        <v>174.78119484004591</v>
      </c>
      <c r="S21" s="55">
        <v>139.90250483993179</v>
      </c>
      <c r="T21" s="55">
        <v>174.72414815991169</v>
      </c>
      <c r="U21" s="55">
        <v>177.79424903994251</v>
      </c>
      <c r="V21" s="55">
        <v>142.7882817599552</v>
      </c>
      <c r="W21" s="55">
        <v>143.21722211995049</v>
      </c>
      <c r="DA21" s="101" t="s">
        <v>1048</v>
      </c>
    </row>
    <row r="22" spans="1:105" x14ac:dyDescent="0.25">
      <c r="A22" s="61" t="s">
        <v>176</v>
      </c>
      <c r="B22" s="55">
        <v>140.17548631653679</v>
      </c>
      <c r="C22" s="55">
        <v>60.364002144858958</v>
      </c>
      <c r="D22" s="55">
        <v>78.696073005736977</v>
      </c>
      <c r="E22" s="55">
        <v>654.6451062288279</v>
      </c>
      <c r="F22" s="55">
        <v>854.13666282992256</v>
      </c>
      <c r="G22" s="55">
        <v>584.17908559614625</v>
      </c>
      <c r="H22" s="55">
        <v>535.79995732441512</v>
      </c>
      <c r="I22" s="55">
        <v>532.38319439018449</v>
      </c>
      <c r="J22" s="55">
        <v>501.49577122783347</v>
      </c>
      <c r="K22" s="55">
        <v>144.55947343727641</v>
      </c>
      <c r="L22" s="55">
        <v>210.27387316638831</v>
      </c>
      <c r="M22" s="55">
        <v>711.5613028217897</v>
      </c>
      <c r="N22" s="55">
        <v>952.76241319807218</v>
      </c>
      <c r="O22" s="55">
        <v>948.77544710921222</v>
      </c>
      <c r="P22" s="55">
        <v>935.66867076493588</v>
      </c>
      <c r="Q22" s="55">
        <v>395.60397838822172</v>
      </c>
      <c r="R22" s="55">
        <v>235.18873774090889</v>
      </c>
      <c r="S22" s="55">
        <v>260.72621502442252</v>
      </c>
      <c r="T22" s="55">
        <v>236.9726243952388</v>
      </c>
      <c r="U22" s="55">
        <v>297.39370240601158</v>
      </c>
      <c r="V22" s="55">
        <v>245.0473961617848</v>
      </c>
      <c r="W22" s="55">
        <v>223.7704361171233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393.09416931424062</v>
      </c>
      <c r="C25" s="258">
        <v>363.79467718390163</v>
      </c>
      <c r="D25" s="258">
        <v>358.63328850764509</v>
      </c>
      <c r="E25" s="258">
        <v>443.14362205320049</v>
      </c>
      <c r="F25" s="258">
        <v>508.24030061946212</v>
      </c>
      <c r="G25" s="258">
        <v>475.87944060031822</v>
      </c>
      <c r="H25" s="258">
        <v>415.55952194216809</v>
      </c>
      <c r="I25" s="258">
        <v>440.28774459090232</v>
      </c>
      <c r="J25" s="258">
        <v>397.72951269314473</v>
      </c>
      <c r="K25" s="258">
        <v>350.64707938429473</v>
      </c>
      <c r="L25" s="258">
        <v>341.83491113076292</v>
      </c>
      <c r="M25" s="258">
        <v>354.24521049266201</v>
      </c>
      <c r="N25" s="258">
        <v>399.94319152029959</v>
      </c>
      <c r="O25" s="258">
        <v>429.45283112379673</v>
      </c>
      <c r="P25" s="258">
        <v>405.897412393401</v>
      </c>
      <c r="Q25" s="258">
        <v>398.49230004476721</v>
      </c>
      <c r="R25" s="258">
        <v>406.23532204984912</v>
      </c>
      <c r="S25" s="258">
        <v>410.36976025417192</v>
      </c>
      <c r="T25" s="258">
        <v>422.79284860390391</v>
      </c>
      <c r="U25" s="258">
        <v>442.07836433438348</v>
      </c>
      <c r="V25" s="258">
        <v>464.17201802001762</v>
      </c>
      <c r="W25" s="258">
        <v>472.90199788269439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1.0000000000000002</v>
      </c>
      <c r="F31" s="236">
        <f t="shared" si="3"/>
        <v>0.99999999999999989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0.99999999999999989</v>
      </c>
      <c r="L31" s="236">
        <f t="shared" si="3"/>
        <v>1.0000000000000002</v>
      </c>
      <c r="M31" s="236">
        <f t="shared" si="3"/>
        <v>0.99999999999999989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1.0000000000000002</v>
      </c>
      <c r="S31" s="236">
        <f t="shared" si="4"/>
        <v>1.0000000000000002</v>
      </c>
      <c r="T31" s="236">
        <f t="shared" si="4"/>
        <v>1</v>
      </c>
      <c r="U31" s="236">
        <f t="shared" si="4"/>
        <v>0.99999999999999989</v>
      </c>
      <c r="V31" s="236">
        <f t="shared" si="4"/>
        <v>1.0000000000000002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0.19531252518845157</v>
      </c>
      <c r="C35" s="247">
        <f t="shared" si="8"/>
        <v>0.19038489398396069</v>
      </c>
      <c r="D35" s="247">
        <f t="shared" si="8"/>
        <v>0.19147138844254255</v>
      </c>
      <c r="E35" s="247">
        <f t="shared" si="8"/>
        <v>0.20295055443565807</v>
      </c>
      <c r="F35" s="247">
        <f t="shared" si="8"/>
        <v>0.20794341775094413</v>
      </c>
      <c r="G35" s="247">
        <f t="shared" si="8"/>
        <v>0.20499377131137314</v>
      </c>
      <c r="H35" s="247">
        <f t="shared" si="8"/>
        <v>0.19447592990759099</v>
      </c>
      <c r="I35" s="247">
        <f t="shared" si="8"/>
        <v>0.19774399614719732</v>
      </c>
      <c r="J35" s="247">
        <f t="shared" si="8"/>
        <v>0.19425707345321949</v>
      </c>
      <c r="K35" s="247">
        <f t="shared" si="8"/>
        <v>0.19000793162021484</v>
      </c>
      <c r="L35" s="247">
        <f t="shared" si="8"/>
        <v>0.20367196134149751</v>
      </c>
      <c r="M35" s="247">
        <f t="shared" si="8"/>
        <v>0.2090090379051133</v>
      </c>
      <c r="N35" s="247">
        <f t="shared" si="8"/>
        <v>0.21333724413434049</v>
      </c>
      <c r="O35" s="247">
        <f t="shared" si="8"/>
        <v>0.20692205520233542</v>
      </c>
      <c r="P35" s="247">
        <f t="shared" si="8"/>
        <v>0.20163437376566995</v>
      </c>
      <c r="Q35" s="247">
        <f t="shared" si="8"/>
        <v>0.19354151219993024</v>
      </c>
      <c r="R35" s="247">
        <f t="shared" si="8"/>
        <v>0.1927691729722949</v>
      </c>
      <c r="S35" s="247">
        <f t="shared" si="8"/>
        <v>0.1947849644084941</v>
      </c>
      <c r="T35" s="247">
        <f t="shared" si="8"/>
        <v>0.20348825261615278</v>
      </c>
      <c r="U35" s="247">
        <f t="shared" si="8"/>
        <v>0.20144430963144247</v>
      </c>
      <c r="V35" s="247">
        <f t="shared" si="8"/>
        <v>0.20542813490618556</v>
      </c>
      <c r="W35" s="247">
        <f t="shared" si="8"/>
        <v>0.2024114032113489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0.31322935509906441</v>
      </c>
      <c r="C36" s="260">
        <f t="shared" si="9"/>
        <v>0.31645333346714499</v>
      </c>
      <c r="D36" s="260">
        <f t="shared" si="9"/>
        <v>0.31570374037596349</v>
      </c>
      <c r="E36" s="260">
        <f t="shared" si="9"/>
        <v>0.31162372974312519</v>
      </c>
      <c r="F36" s="260">
        <f t="shared" si="9"/>
        <v>0.31135677875279194</v>
      </c>
      <c r="G36" s="260">
        <f t="shared" si="9"/>
        <v>0.31413859398854427</v>
      </c>
      <c r="H36" s="260">
        <f t="shared" si="9"/>
        <v>0.31609256372886685</v>
      </c>
      <c r="I36" s="260">
        <f t="shared" si="9"/>
        <v>0.31557517417411307</v>
      </c>
      <c r="J36" s="260">
        <f t="shared" si="9"/>
        <v>0.31949077671425419</v>
      </c>
      <c r="K36" s="260">
        <f t="shared" si="9"/>
        <v>0.32638539859872401</v>
      </c>
      <c r="L36" s="260">
        <f t="shared" si="9"/>
        <v>0.32207872899358547</v>
      </c>
      <c r="M36" s="260">
        <f t="shared" si="9"/>
        <v>0.31817086390908689</v>
      </c>
      <c r="N36" s="260">
        <f t="shared" si="9"/>
        <v>0.31319023290422648</v>
      </c>
      <c r="O36" s="260">
        <f t="shared" si="9"/>
        <v>0.30661171908902635</v>
      </c>
      <c r="P36" s="260">
        <f t="shared" si="9"/>
        <v>0.30967340348109179</v>
      </c>
      <c r="Q36" s="260">
        <f t="shared" si="9"/>
        <v>0.32158740235009337</v>
      </c>
      <c r="R36" s="260">
        <f t="shared" si="9"/>
        <v>0.32337024977405204</v>
      </c>
      <c r="S36" s="260">
        <f t="shared" si="9"/>
        <v>0.32331451723718529</v>
      </c>
      <c r="T36" s="260">
        <f t="shared" si="9"/>
        <v>0.3192250877240318</v>
      </c>
      <c r="U36" s="260">
        <f t="shared" si="9"/>
        <v>0.31955599250256572</v>
      </c>
      <c r="V36" s="260">
        <f t="shared" si="9"/>
        <v>0.3188552753559869</v>
      </c>
      <c r="W36" s="260">
        <f t="shared" si="9"/>
        <v>0.32011759384812871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0.43126848876282636</v>
      </c>
      <c r="C37" s="260">
        <f t="shared" si="10"/>
        <v>0.43235262728806018</v>
      </c>
      <c r="D37" s="260">
        <f t="shared" si="10"/>
        <v>0.43215976648003307</v>
      </c>
      <c r="E37" s="260">
        <f t="shared" si="10"/>
        <v>0.42554461916454328</v>
      </c>
      <c r="F37" s="260">
        <f t="shared" si="10"/>
        <v>0.42087000369707905</v>
      </c>
      <c r="G37" s="260">
        <f t="shared" si="10"/>
        <v>0.42050328592046421</v>
      </c>
      <c r="H37" s="260">
        <f t="shared" si="10"/>
        <v>0.42869168601447383</v>
      </c>
      <c r="I37" s="260">
        <f t="shared" si="10"/>
        <v>0.42604043004434972</v>
      </c>
      <c r="J37" s="260">
        <f t="shared" si="10"/>
        <v>0.42485933453854263</v>
      </c>
      <c r="K37" s="260">
        <f t="shared" si="10"/>
        <v>0.42088899543409236</v>
      </c>
      <c r="L37" s="260">
        <f t="shared" si="10"/>
        <v>0.41235919777317687</v>
      </c>
      <c r="M37" s="260">
        <f t="shared" si="10"/>
        <v>0.41168091513711969</v>
      </c>
      <c r="N37" s="260">
        <f t="shared" si="10"/>
        <v>0.41329040966754704</v>
      </c>
      <c r="O37" s="260">
        <f t="shared" si="10"/>
        <v>0.4275482286678694</v>
      </c>
      <c r="P37" s="260">
        <f t="shared" si="10"/>
        <v>0.42918589754129755</v>
      </c>
      <c r="Q37" s="260">
        <f t="shared" si="10"/>
        <v>0.42307538606736439</v>
      </c>
      <c r="R37" s="260">
        <f t="shared" si="10"/>
        <v>0.42172228888076696</v>
      </c>
      <c r="S37" s="260">
        <f t="shared" si="10"/>
        <v>0.41977293945285304</v>
      </c>
      <c r="T37" s="260">
        <f t="shared" si="10"/>
        <v>0.41594489871948215</v>
      </c>
      <c r="U37" s="260">
        <f t="shared" si="10"/>
        <v>0.41759435081479357</v>
      </c>
      <c r="V37" s="260">
        <f t="shared" si="10"/>
        <v>0.41444589132592879</v>
      </c>
      <c r="W37" s="260">
        <f t="shared" si="10"/>
        <v>0.41595773951054299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6.0189630949657728E-2</v>
      </c>
      <c r="C38" s="260">
        <f t="shared" si="11"/>
        <v>6.0809145260834224E-2</v>
      </c>
      <c r="D38" s="260">
        <f t="shared" si="11"/>
        <v>6.0665104701460852E-2</v>
      </c>
      <c r="E38" s="260">
        <f t="shared" si="11"/>
        <v>5.9881096656673523E-2</v>
      </c>
      <c r="F38" s="260">
        <f t="shared" si="11"/>
        <v>5.9829799799184818E-2</v>
      </c>
      <c r="G38" s="260">
        <f t="shared" si="11"/>
        <v>6.0364348779618375E-2</v>
      </c>
      <c r="H38" s="260">
        <f t="shared" si="11"/>
        <v>6.073982034906824E-2</v>
      </c>
      <c r="I38" s="260">
        <f t="shared" si="11"/>
        <v>6.0640399634339898E-2</v>
      </c>
      <c r="J38" s="260">
        <f t="shared" si="11"/>
        <v>6.1392815293983605E-2</v>
      </c>
      <c r="K38" s="260">
        <f t="shared" si="11"/>
        <v>6.2717674346968719E-2</v>
      </c>
      <c r="L38" s="260">
        <f t="shared" si="11"/>
        <v>6.1890111891740276E-2</v>
      </c>
      <c r="M38" s="260">
        <f t="shared" si="11"/>
        <v>6.1139183048680087E-2</v>
      </c>
      <c r="N38" s="260">
        <f t="shared" si="11"/>
        <v>6.0182113293886022E-2</v>
      </c>
      <c r="O38" s="260">
        <f t="shared" si="11"/>
        <v>5.891799704076893E-2</v>
      </c>
      <c r="P38" s="260">
        <f t="shared" si="11"/>
        <v>5.95063252119407E-2</v>
      </c>
      <c r="Q38" s="260">
        <f t="shared" si="11"/>
        <v>6.1795699382612021E-2</v>
      </c>
      <c r="R38" s="260">
        <f t="shared" si="11"/>
        <v>6.2138288372886208E-2</v>
      </c>
      <c r="S38" s="260">
        <f t="shared" si="11"/>
        <v>6.2127578901467619E-2</v>
      </c>
      <c r="T38" s="260">
        <f t="shared" si="11"/>
        <v>6.1341760940333376E-2</v>
      </c>
      <c r="U38" s="260">
        <f t="shared" si="11"/>
        <v>6.1405347051198149E-2</v>
      </c>
      <c r="V38" s="260">
        <f t="shared" si="11"/>
        <v>6.1270698411898854E-2</v>
      </c>
      <c r="W38" s="260">
        <f t="shared" si="11"/>
        <v>6.1513263429979356E-2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2.5317021379016063</v>
      </c>
      <c r="C44" s="238">
        <f>IF(C$5=0,0,C$5/AGR_fec!C$5)</f>
        <v>2.4878377316448774</v>
      </c>
      <c r="D44" s="238">
        <f>IF(D$5=0,0,D$5/AGR_fec!D$5)</f>
        <v>2.4964241440541062</v>
      </c>
      <c r="E44" s="238">
        <f>IF(E$5=0,0,E$5/AGR_fec!E$5)</f>
        <v>2.5119201437169631</v>
      </c>
      <c r="F44" s="238">
        <f>IF(F$5=0,0,F$5/AGR_fec!F$5)</f>
        <v>2.5402905556878395</v>
      </c>
      <c r="G44" s="238">
        <f>IF(G$5=0,0,G$5/AGR_fec!G$5)</f>
        <v>2.5324588671219557</v>
      </c>
      <c r="H44" s="238">
        <f>IF(H$5=0,0,H$5/AGR_fec!H$5)</f>
        <v>2.4317921190006908</v>
      </c>
      <c r="I44" s="238">
        <f>IF(I$5=0,0,I$5/AGR_fec!I$5)</f>
        <v>2.4656680895115852</v>
      </c>
      <c r="J44" s="238">
        <f>IF(J$5=0,0,J$5/AGR_fec!J$5)</f>
        <v>2.402747593444615</v>
      </c>
      <c r="K44" s="238">
        <f>IF(K$5=0,0,K$5/AGR_fec!K$5)</f>
        <v>2.3687037525050871</v>
      </c>
      <c r="L44" s="238">
        <f>IF(L$5=0,0,L$5/AGR_fec!L$5)</f>
        <v>2.464921444542401</v>
      </c>
      <c r="M44" s="238">
        <f>IF(M$5=0,0,M$5/AGR_fec!M$5)</f>
        <v>2.4127133655963635</v>
      </c>
      <c r="N44" s="238">
        <f>IF(N$5=0,0,N$5/AGR_fec!N$5)</f>
        <v>2.4479778094932172</v>
      </c>
      <c r="O44" s="238">
        <f>IF(O$5=0,0,O$5/AGR_fec!O$5)</f>
        <v>2.4426146026688178</v>
      </c>
      <c r="P44" s="238">
        <f>IF(P$5=0,0,P$5/AGR_fec!P$5)</f>
        <v>2.3658761567096143</v>
      </c>
      <c r="Q44" s="238">
        <f>IF(Q$5=0,0,Q$5/AGR_fec!Q$5)</f>
        <v>2.3637131520206371</v>
      </c>
      <c r="R44" s="238">
        <f>IF(R$5=0,0,R$5/AGR_fec!R$5)</f>
        <v>2.3841972099150679</v>
      </c>
      <c r="S44" s="238">
        <f>IF(S$5=0,0,S$5/AGR_fec!S$5)</f>
        <v>2.3932806922475147</v>
      </c>
      <c r="T44" s="238">
        <f>IF(T$5=0,0,T$5/AGR_fec!T$5)</f>
        <v>2.4807848219698703</v>
      </c>
      <c r="U44" s="238">
        <f>IF(U$5=0,0,U$5/AGR_fec!U$5)</f>
        <v>2.4582170316580951</v>
      </c>
      <c r="V44" s="238">
        <f>IF(V$5=0,0,V$5/AGR_fec!V$5)</f>
        <v>2.5127399272975901</v>
      </c>
      <c r="W44" s="238">
        <f>IF(W$5=0,0,W$5/AGR_fec!W$5)</f>
        <v>2.4877298262828225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2.5560321984192123</v>
      </c>
      <c r="C48" s="253">
        <f>IF(C$9=0,0,C$9/AGR_fec!C$9)</f>
        <v>2.4509373781953103</v>
      </c>
      <c r="D48" s="253">
        <f>IF(D$9=0,0,D$9/AGR_fec!D$9)</f>
        <v>2.4737726555731694</v>
      </c>
      <c r="E48" s="253">
        <f>IF(E$9=0,0,E$9/AGR_fec!E$9)</f>
        <v>2.5655377041978769</v>
      </c>
      <c r="F48" s="253">
        <f>IF(F$9=0,0,F$9/AGR_fec!F$9)</f>
        <v>2.6244760956993174</v>
      </c>
      <c r="G48" s="253">
        <f>IF(G$9=0,0,G$9/AGR_fec!G$9)</f>
        <v>2.6115686416345731</v>
      </c>
      <c r="H48" s="253">
        <f>IF(H$9=0,0,H$9/AGR_fec!H$9)</f>
        <v>2.400817731632412</v>
      </c>
      <c r="I48" s="253">
        <f>IF(I$9=0,0,I$9/AGR_fec!I$9)</f>
        <v>2.4738253373875039</v>
      </c>
      <c r="J48" s="253">
        <f>IF(J$9=0,0,J$9/AGR_fec!J$9)</f>
        <v>2.3668835350088027</v>
      </c>
      <c r="K48" s="253">
        <f>IF(K$9=0,0,K$9/AGR_fec!K$9)</f>
        <v>2.3147590004297771</v>
      </c>
      <c r="L48" s="253">
        <f>IF(L$9=0,0,L$9/AGR_fec!L$9)</f>
        <v>2.575850926577981</v>
      </c>
      <c r="M48" s="253">
        <f>IF(M$9=0,0,M$9/AGR_fec!M$9)</f>
        <v>2.5115219096351593</v>
      </c>
      <c r="N48" s="253">
        <f>IF(N$9=0,0,N$9/AGR_fec!N$9)</f>
        <v>2.5598766088067442</v>
      </c>
      <c r="O48" s="253">
        <f>IF(O$9=0,0,O$9/AGR_fec!O$9)</f>
        <v>2.5163794003376152</v>
      </c>
      <c r="P48" s="253">
        <f>IF(P$9=0,0,P$9/AGR_fec!P$9)</f>
        <v>2.390707788967668</v>
      </c>
      <c r="Q48" s="253">
        <f>IF(Q$9=0,0,Q$9/AGR_fec!Q$9)</f>
        <v>2.3517836371657999</v>
      </c>
      <c r="R48" s="253">
        <f>IF(R$9=0,0,R$9/AGR_fec!R$9)</f>
        <v>2.3720450803502189</v>
      </c>
      <c r="S48" s="253">
        <f>IF(S$9=0,0,S$9/AGR_fec!S$9)</f>
        <v>2.4006843824746484</v>
      </c>
      <c r="T48" s="253">
        <f>IF(T$9=0,0,T$9/AGR_fec!T$9)</f>
        <v>2.5999386369196751</v>
      </c>
      <c r="U48" s="253">
        <f>IF(U$9=0,0,U$9/AGR_fec!U$9)</f>
        <v>2.5491800833743472</v>
      </c>
      <c r="V48" s="253">
        <f>IF(V$9=0,0,V$9/AGR_fec!V$9)</f>
        <v>2.6499806751252644</v>
      </c>
      <c r="W48" s="253">
        <f>IF(W$9=0,0,W$9/AGR_fec!W$9)</f>
        <v>2.5906265028897519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3.1024188000000001</v>
      </c>
      <c r="D49" s="265">
        <f>IF(D$16=0,0,D$16/AGR_fec!D$16)</f>
        <v>3.102418800000001</v>
      </c>
      <c r="E49" s="265">
        <f>IF(E$16=0,0,E$16/AGR_fec!E$16)</f>
        <v>3.1024187999999997</v>
      </c>
      <c r="F49" s="265">
        <f>IF(F$16=0,0,F$16/AGR_fec!F$16)</f>
        <v>3.1024188000000001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3.102418800000001</v>
      </c>
      <c r="J49" s="265">
        <f>IF(J$16=0,0,J$16/AGR_fec!J$16)</f>
        <v>3.1024188000000006</v>
      </c>
      <c r="K49" s="265">
        <f>IF(K$16=0,0,K$16/AGR_fec!K$16)</f>
        <v>3.1024187999999993</v>
      </c>
      <c r="L49" s="265">
        <f>IF(L$16=0,0,L$16/AGR_fec!L$16)</f>
        <v>3.1024187999999993</v>
      </c>
      <c r="M49" s="265">
        <f>IF(M$16=0,0,M$16/AGR_fec!M$16)</f>
        <v>3.1024188000000001</v>
      </c>
      <c r="N49" s="265">
        <f>IF(N$16=0,0,N$16/AGR_fec!N$16)</f>
        <v>3.1011673574049028</v>
      </c>
      <c r="O49" s="265">
        <f>IF(O$16=0,0,O$16/AGR_fec!O$16)</f>
        <v>3.0983179035499298</v>
      </c>
      <c r="P49" s="265">
        <f>IF(P$16=0,0,P$16/AGR_fec!P$16)</f>
        <v>3.098027721420455</v>
      </c>
      <c r="Q49" s="265">
        <f>IF(Q$16=0,0,Q$16/AGR_fec!Q$16)</f>
        <v>3.0937912923017357</v>
      </c>
      <c r="R49" s="265">
        <f>IF(R$16=0,0,R$16/AGR_fec!R$16)</f>
        <v>3.0954145445617525</v>
      </c>
      <c r="S49" s="265">
        <f>IF(S$16=0,0,S$16/AGR_fec!S$16)</f>
        <v>3.0944564413025017</v>
      </c>
      <c r="T49" s="265">
        <f>IF(T$16=0,0,T$16/AGR_fec!T$16)</f>
        <v>3.0916129653317483</v>
      </c>
      <c r="U49" s="265">
        <f>IF(U$16=0,0,U$16/AGR_fec!U$16)</f>
        <v>3.0928920058158602</v>
      </c>
      <c r="V49" s="265">
        <f>IF(V$16=0,0,V$16/AGR_fec!V$16)</f>
        <v>3.1024188000000006</v>
      </c>
      <c r="W49" s="265">
        <f>IF(W$16=0,0,W$16/AGR_fec!W$16)</f>
        <v>3.1014340374950211</v>
      </c>
      <c r="DA49" s="291"/>
    </row>
    <row r="50" spans="1:105" x14ac:dyDescent="0.25">
      <c r="A50" s="128" t="s">
        <v>121</v>
      </c>
      <c r="B50" s="265">
        <f>IF(B$17=0,0,B$17/AGR_fec!B$17)</f>
        <v>2.9884682070369788</v>
      </c>
      <c r="C50" s="265">
        <f>IF(C$17=0,0,C$17/AGR_fec!C$17)</f>
        <v>3.0051222157591413</v>
      </c>
      <c r="D50" s="265">
        <f>IF(D$17=0,0,D$17/AGR_fec!D$17)</f>
        <v>2.9987315277661306</v>
      </c>
      <c r="E50" s="265">
        <f>IF(E$17=0,0,E$17/AGR_fec!E$17)</f>
        <v>2.8505516344209099</v>
      </c>
      <c r="F50" s="265">
        <f>IF(F$17=0,0,F$17/AGR_fec!F$17)</f>
        <v>2.8279408415033878</v>
      </c>
      <c r="G50" s="265">
        <f>IF(G$17=0,0,G$17/AGR_fec!G$17)</f>
        <v>2.8739948855840529</v>
      </c>
      <c r="H50" s="265">
        <f>IF(H$17=0,0,H$17/AGR_fec!H$17)</f>
        <v>2.8580408240417809</v>
      </c>
      <c r="I50" s="265">
        <f>IF(I$17=0,0,I$17/AGR_fec!I$17)</f>
        <v>2.8695844672529978</v>
      </c>
      <c r="J50" s="265">
        <f>IF(J$17=0,0,J$17/AGR_fec!J$17)</f>
        <v>2.8198221308794569</v>
      </c>
      <c r="K50" s="265">
        <f>IF(K$17=0,0,K$17/AGR_fec!K$17)</f>
        <v>2.8113153211990993</v>
      </c>
      <c r="L50" s="265">
        <f>IF(L$17=0,0,L$17/AGR_fec!L$17)</f>
        <v>2.7632947523170439</v>
      </c>
      <c r="M50" s="265">
        <f>IF(M$17=0,0,M$17/AGR_fec!M$17)</f>
        <v>2.6141884561646851</v>
      </c>
      <c r="N50" s="265">
        <f>IF(N$17=0,0,N$17/AGR_fec!N$17)</f>
        <v>2.5997101884437597</v>
      </c>
      <c r="O50" s="265">
        <f>IF(O$17=0,0,O$17/AGR_fec!O$17)</f>
        <v>2.6270792368760465</v>
      </c>
      <c r="P50" s="265">
        <f>IF(P$17=0,0,P$17/AGR_fec!P$17)</f>
        <v>2.6061868002688708</v>
      </c>
      <c r="Q50" s="265">
        <f>IF(Q$17=0,0,Q$17/AGR_fec!Q$17)</f>
        <v>2.7221898727008469</v>
      </c>
      <c r="R50" s="265">
        <f>IF(R$17=0,0,R$17/AGR_fec!R$17)</f>
        <v>2.7778466713224086</v>
      </c>
      <c r="S50" s="265">
        <f>IF(S$17=0,0,S$17/AGR_fec!S$17)</f>
        <v>2.7732955156065575</v>
      </c>
      <c r="T50" s="265">
        <f>IF(T$17=0,0,T$17/AGR_fec!T$17)</f>
        <v>2.7817067365405808</v>
      </c>
      <c r="U50" s="265">
        <f>IF(U$17=0,0,U$17/AGR_fec!U$17)</f>
        <v>2.7743815181658475</v>
      </c>
      <c r="V50" s="265">
        <f>IF(V$17=0,0,V$17/AGR_fec!V$17)</f>
        <v>2.8080696263024132</v>
      </c>
      <c r="W50" s="265">
        <f>IF(W$17=0,0,W$17/AGR_fec!W$17)</f>
        <v>2.8218168356615236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3.1024187999999993</v>
      </c>
      <c r="E51" s="265">
        <f>IF(E$25=0,0,E$25/AGR_fec!E$25)</f>
        <v>3.102418800000001</v>
      </c>
      <c r="F51" s="265">
        <f>IF(F$25=0,0,F$25/AGR_fec!F$25)</f>
        <v>3.1024188000000001</v>
      </c>
      <c r="G51" s="265">
        <f>IF(G$25=0,0,G$25/AGR_fec!G$25)</f>
        <v>3.1024188000000001</v>
      </c>
      <c r="H51" s="265">
        <f>IF(H$25=0,0,H$25/AGR_fec!H$25)</f>
        <v>3.1024188000000015</v>
      </c>
      <c r="I51" s="265">
        <f>IF(I$25=0,0,I$25/AGR_fec!I$25)</f>
        <v>3.102418800000001</v>
      </c>
      <c r="J51" s="265">
        <f>IF(J$25=0,0,J$25/AGR_fec!J$25)</f>
        <v>3.102418800000001</v>
      </c>
      <c r="K51" s="265">
        <f>IF(K$25=0,0,K$25/AGR_fec!K$25)</f>
        <v>3.1024188000000019</v>
      </c>
      <c r="L51" s="265">
        <f>IF(L$25=0,0,L$25/AGR_fec!L$25)</f>
        <v>3.1024188000000006</v>
      </c>
      <c r="M51" s="265">
        <f>IF(M$25=0,0,M$25/AGR_fec!M$25)</f>
        <v>3.1024187999999988</v>
      </c>
      <c r="N51" s="265">
        <f>IF(N$25=0,0,N$25/AGR_fec!N$25)</f>
        <v>3.1011673574049023</v>
      </c>
      <c r="O51" s="265">
        <f>IF(O$25=0,0,O$25/AGR_fec!O$25)</f>
        <v>3.0983179035499306</v>
      </c>
      <c r="P51" s="265">
        <f>IF(P$25=0,0,P$25/AGR_fec!P$25)</f>
        <v>3.098027721420455</v>
      </c>
      <c r="Q51" s="265">
        <f>IF(Q$25=0,0,Q$25/AGR_fec!Q$25)</f>
        <v>3.0937912923017366</v>
      </c>
      <c r="R51" s="265">
        <f>IF(R$25=0,0,R$25/AGR_fec!R$25)</f>
        <v>3.0954145445617525</v>
      </c>
      <c r="S51" s="265">
        <f>IF(S$25=0,0,S$25/AGR_fec!S$25)</f>
        <v>3.0944564413025017</v>
      </c>
      <c r="T51" s="265">
        <f>IF(T$25=0,0,T$25/AGR_fec!T$25)</f>
        <v>3.0916129653317492</v>
      </c>
      <c r="U51" s="265">
        <f>IF(U$25=0,0,U$25/AGR_fec!U$25)</f>
        <v>3.0928920058158615</v>
      </c>
      <c r="V51" s="265">
        <f>IF(V$25=0,0,V$25/AGR_fec!V$25)</f>
        <v>3.1024188000000001</v>
      </c>
      <c r="W51" s="265">
        <f>IF(W$25=0,0,W$25/AGR_fec!W$25)</f>
        <v>3.1014340374950224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C35DF-CBC6-4046-8238-6D98E01D6F5C}"/>
</file>

<file path=customXml/itemProps2.xml><?xml version="1.0" encoding="utf-8"?>
<ds:datastoreItem xmlns:ds="http://schemas.openxmlformats.org/officeDocument/2006/customXml" ds:itemID="{5C1F8446-8D4D-4C83-AD18-DC546257FD2A}"/>
</file>

<file path=customXml/itemProps3.xml><?xml version="1.0" encoding="utf-8"?>
<ds:datastoreItem xmlns:ds="http://schemas.openxmlformats.org/officeDocument/2006/customXml" ds:itemID="{93FB5258-CC4E-40B0-9B24-332D241C3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2024-05-20T16:49:45Z</dcterms:created>
  <dcterms:modified xsi:type="dcterms:W3CDTF">2024-05-20T16:49:45Z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