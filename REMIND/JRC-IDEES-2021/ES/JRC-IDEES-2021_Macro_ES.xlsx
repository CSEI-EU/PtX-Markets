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S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Y20" i="59"/>
  <c r="Y93" i="59"/>
  <c r="W20" i="59"/>
  <c r="V20" i="59"/>
  <c r="X122" i="59"/>
  <c r="T90" i="59"/>
  <c r="Y89" i="59"/>
  <c r="U121" i="59"/>
  <c r="T119" i="59"/>
  <c r="Y118" i="59"/>
  <c r="W84" i="59"/>
  <c r="U116" i="59"/>
  <c r="U113" i="59"/>
  <c r="Y80" i="59"/>
  <c r="X112" i="59"/>
  <c r="Y111" i="59"/>
  <c r="W111" i="59"/>
  <c r="Y75" i="59"/>
  <c r="Y107" i="59"/>
  <c r="W75" i="59"/>
  <c r="O106" i="59"/>
  <c r="M106" i="59"/>
  <c r="G106" i="59"/>
  <c r="Y73" i="59"/>
  <c r="W72" i="59"/>
  <c r="W104" i="59"/>
  <c r="U104" i="59"/>
  <c r="Y71" i="59"/>
  <c r="V103" i="59"/>
  <c r="U103" i="59"/>
  <c r="W101" i="59"/>
  <c r="V101" i="59"/>
  <c r="U101" i="59"/>
  <c r="U100" i="59"/>
  <c r="Y67" i="59"/>
  <c r="W65" i="59"/>
  <c r="U115" i="59"/>
  <c r="V113" i="59"/>
  <c r="T112" i="59"/>
  <c r="V111" i="59"/>
  <c r="X110" i="59"/>
  <c r="T80" i="59"/>
  <c r="W78" i="59"/>
  <c r="Y122" i="59"/>
  <c r="W122" i="59"/>
  <c r="Y120" i="59"/>
  <c r="W87" i="59"/>
  <c r="T118" i="59"/>
  <c r="W85" i="59"/>
  <c r="V115" i="59"/>
  <c r="T83" i="59"/>
  <c r="Y114" i="59"/>
  <c r="W81" i="59"/>
  <c r="W113" i="59"/>
  <c r="W110" i="59"/>
  <c r="Y77" i="59"/>
  <c r="U109" i="59"/>
  <c r="U108" i="59"/>
  <c r="W73" i="59"/>
  <c r="W105" i="59"/>
  <c r="Y102" i="59"/>
  <c r="W69" i="59"/>
  <c r="Y99" i="59"/>
  <c r="W67" i="59"/>
  <c r="W98" i="59"/>
  <c r="U94" i="59"/>
  <c r="X20" i="59"/>
  <c r="U20" i="59"/>
  <c r="X13" i="59"/>
  <c r="Y13" i="59"/>
  <c r="V13" i="59"/>
  <c r="W5" i="59"/>
  <c r="T5" i="59"/>
  <c r="Y5" i="59"/>
  <c r="U5" i="59"/>
  <c r="T71" i="59" l="1"/>
  <c r="W90" i="59"/>
  <c r="W80" i="59"/>
  <c r="U71" i="59"/>
  <c r="Y69" i="59"/>
  <c r="V94" i="59"/>
  <c r="Y70" i="59"/>
  <c r="W74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Y65" i="59"/>
  <c r="Y72" i="59"/>
  <c r="Y84" i="59"/>
  <c r="Y97" i="59"/>
  <c r="T98" i="59"/>
  <c r="Y68" i="59"/>
  <c r="X102" i="59"/>
  <c r="Y105" i="59"/>
  <c r="L106" i="59"/>
  <c r="T106" i="59"/>
  <c r="U110" i="59"/>
  <c r="W117" i="59"/>
  <c r="Y82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4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F95" i="59" l="1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<sst xmlns="http://schemas.openxmlformats.org/spreadsheetml/2006/main" count="722" uniqueCount="281">
  <si>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</si>
  <si>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</si>
  <si>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</si>
  <si>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</si>
  <si>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</si>
  <si>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</si>
  <si>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</si>
  <si>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</si>
  <si>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</si>
  <si>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</si>
  <si>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</si>
  <si>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</si>
  <si>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</si>
  <si>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</si>
  <si>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</si>
  <si>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</si>
  <si>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</si>
  <si>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</si>
  <si>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</si>
  <si>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</si>
  <si>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</si>
  <si>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</si>
  <si>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</si>
  <si>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</si>
  <si>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</si>
  <si>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</si>
  <si>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</si>
  <si>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</si>
  <si>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</si>
  <si>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</si>
  <si>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</si>
  <si>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</si>
  <si>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</si>
  <si>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</si>
  <si>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</si>
  <si>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</si>
  <si>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</si>
  <si>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</si>
  <si>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</si>
  <si>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</si>
  <si>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</si>
  <si>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</si>
  <si>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</si>
  <si>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</si>
  <si>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</si>
  <si>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</si>
  <si>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</si>
  <si>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</si>
  <si>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</si>
  <si>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</si>
  <si>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</si>
  <si>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</si>
  <si>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</si>
  <si>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</si>
  <si>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</si>
  <si>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</si>
  <si>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</si>
  <si>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</si>
  <si>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</si>
  <si>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</si>
  <si>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</si>
  <si>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</si>
  <si>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</si>
  <si>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</si>
  <si>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</si>
  <si>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</si>
  <si>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</si>
  <si>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</si>
  <si>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</si>
  <si>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</si>
  <si>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</si>
  <si>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</si>
  <si>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</si>
  <si>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</si>
  <si>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</si>
  <si>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</si>
  <si>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</si>
  <si>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</si>
  <si>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</si>
  <si>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</si>
  <si>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</si>
  <si>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</si>
  <si>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</si>
  <si>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</si>
  <si>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</si>
  <si>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</si>
  <si>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</si>
  <si>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</si>
  <si>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</si>
  <si>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</si>
  <si>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</si>
  <si>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</si>
  <si>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</si>
  <si>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</si>
  <si>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</si>
  <si>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</si>
  <si>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</si>
  <si>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</si>
  <si>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</si>
  <si>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</si>
  <si>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</si>
  <si>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</si>
  <si>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</si>
  <si>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</si>
  <si>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</si>
  <si>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</si>
  <si>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</si>
  <si>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</si>
  <si>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</si>
  <si>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</si>
  <si>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</si>
  <si>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</si>
  <si>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</si>
  <si>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</si>
  <si>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</si>
  <si>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</si>
  <si>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</si>
  <si>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</si>
  <si>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</si>
  <si>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</si>
  <si>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</si>
  <si>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</si>
  <si>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</si>
  <si>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</si>
  <si>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</si>
  <si>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</si>
  <si>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</si>
  <si>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</si>
  <si>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</si>
  <si>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</si>
  <si>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</si>
  <si>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</si>
  <si>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</si>
  <si>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</si>
  <si>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</si>
  <si>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</si>
  <si>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</si>
  <si>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</si>
  <si>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</si>
  <si>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</si>
  <si>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</si>
  <si>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</si>
  <si>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</si>
  <si>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</si>
  <si>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</si>
  <si>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</si>
  <si>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</si>
  <si>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</si>
  <si>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</si>
  <si>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</si>
  <si>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</si>
  <si>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</si>
  <si>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</si>
  <si>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</si>
  <si>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</si>
  <si>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</si>
  <si>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</si>
  <si>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</si>
  <si>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</si>
  <si>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</si>
  <si>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</si>
  <si>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</si>
  <si>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</si>
  <si>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</si>
  <si>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</si>
  <si>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</si>
  <si>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</si>
  <si>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</si>
  <si>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</si>
  <si>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</si>
  <si>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</si>
  <si>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</si>
  <si>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</si>
  <si>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</si>
  <si>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</si>
  <si>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</si>
  <si>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</si>
  <si>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</si>
  <si>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</si>
  <si>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</si>
  <si>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</si>
  <si>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</si>
  <si>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</si>
  <si>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</si>
  <si>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</si>
  <si>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</si>
  <si>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</si>
  <si>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</si>
  <si>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</si>
  <si>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</si>
  <si>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</si>
  <si>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</si>
  <si>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</si>
  <si>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</si>
  <si>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</si>
  <si>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</si>
  <si>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</si>
  <si>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</si>
  <si>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</si>
  <si>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</si>
  <si>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</si>
  <si>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</si>
  <si>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</si>
  <si>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</si>
  <si>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</si>
  <si>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</si>
  <si>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</si>
  <si>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</si>
  <si>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</si>
  <si>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</si>
  <si>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</si>
  <si>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</si>
  <si>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</si>
  <si>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</si>
  <si>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</si>
  <si>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</si>
  <si>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</si>
  <si>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</si>
  <si>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</si>
  <si>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</si>
  <si>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</si>
  <si>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</si>
  <si>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</si>
  <si>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</si>
  <si>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</si>
  <si>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</si>
  <si>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</si>
  <si>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</si>
  <si>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</si>
  <si>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</si>
  <si>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</si>
  <si>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</si>
  <si>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</si>
  <si>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</si>
  <si>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</si>
  <si>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</si>
  <si>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</si>
  <si>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</si>
  <si>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</si>
  <si>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</si>
  <si>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</si>
  <si>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</si>
  <si>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</si>
  <si>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</si>
  <si>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</si>
  <si>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</si>
  <si>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</si>
  <si>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</si>
  <si>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</si>
  <si>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</si>
  <si>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</si>
  <si>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</si>
  <si>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</si>
  <si>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</si>
  <si>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</si>
  <si>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</si>
  <si>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</si>
  <si>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</si>
  <si>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</si>
  <si>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</si>
  <si>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</si>
  <si>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</si>
  <si>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</si>
  <si>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</si>
  <si>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</si>
  <si>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</si>
  <si>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</si>
  <si>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</si>
  <si>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</si>
  <si>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</si>
  <si>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</si>
  <si>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</si>
  <si>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</si>
  <si>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</si>
  <si>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</si>
  <si>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</si>
  <si>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</si>
  <si>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</si>
  <si>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</si>
  <si>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ES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</si>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</sst>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45432.784375000003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651632.12934691564</v>
      </c>
      <c r="E2" s="19">
        <v>705086.57570173498</v>
      </c>
      <c r="F2" s="19">
        <v>753925.56260675506</v>
      </c>
      <c r="G2" s="19">
        <v>806952.88645769597</v>
      </c>
      <c r="H2" s="19">
        <v>864458.76865516533</v>
      </c>
      <c r="I2" s="19">
        <v>932778.21531020862</v>
      </c>
      <c r="J2" s="19">
        <v>1009680.7848768363</v>
      </c>
      <c r="K2" s="19">
        <v>1081818.7746417851</v>
      </c>
      <c r="L2" s="19">
        <v>1116022.016090957</v>
      </c>
      <c r="M2" s="19">
        <v>1075570.87028922</v>
      </c>
      <c r="N2" s="19">
        <v>1078977.8613745864</v>
      </c>
      <c r="O2" s="19">
        <v>1069970.0678068411</v>
      </c>
      <c r="P2" s="19">
        <v>1037127.4103498984</v>
      </c>
      <c r="Q2" s="19">
        <v>1026636.3504679931</v>
      </c>
      <c r="R2" s="19">
        <v>1038640.1467151963</v>
      </c>
      <c r="S2" s="19">
        <v>1084388.0572800001</v>
      </c>
      <c r="T2" s="19">
        <v>1120929.5404796556</v>
      </c>
      <c r="U2" s="19">
        <v>1169286.7871881919</v>
      </c>
      <c r="V2" s="19">
        <v>1210890.9003508568</v>
      </c>
      <c r="W2" s="19">
        <v>1252791.8171105576</v>
      </c>
      <c r="X2" s="19">
        <v>1125550.1368785994</v>
      </c>
      <c r="Y2" s="19">
        <v>1229429.386280589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407454.77490774909</v>
      </c>
      <c r="E3" s="23">
        <v>438304.35139045172</v>
      </c>
      <c r="F3" s="23">
        <v>464026.10178289615</v>
      </c>
      <c r="G3" s="23">
        <v>490246.68677576294</v>
      </c>
      <c r="H3" s="23">
        <v>528085.4008593855</v>
      </c>
      <c r="I3" s="23">
        <v>568244.43591258116</v>
      </c>
      <c r="J3" s="23">
        <v>611757.29113750719</v>
      </c>
      <c r="K3" s="23">
        <v>653893.14862194937</v>
      </c>
      <c r="L3" s="23">
        <v>672545.4163807251</v>
      </c>
      <c r="M3" s="23">
        <v>642196.89119605802</v>
      </c>
      <c r="N3" s="23">
        <v>657360.32576588739</v>
      </c>
      <c r="O3" s="23">
        <v>656266.26955741993</v>
      </c>
      <c r="P3" s="23">
        <v>647455.61522145336</v>
      </c>
      <c r="Q3" s="23">
        <v>634809.88615218399</v>
      </c>
      <c r="R3" s="23">
        <v>646374.35413835826</v>
      </c>
      <c r="S3" s="23">
        <v>664839.01210000005</v>
      </c>
      <c r="T3" s="23">
        <v>683879.90221232758</v>
      </c>
      <c r="U3" s="23">
        <v>715360.57145947439</v>
      </c>
      <c r="V3" s="23">
        <v>737906.48833827721</v>
      </c>
      <c r="W3" s="23">
        <v>753794.6376053947</v>
      </c>
      <c r="X3" s="23">
        <v>661981.51242021727</v>
      </c>
      <c r="Y3" s="23">
        <v>724888.55098292755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588988</v>
      </c>
      <c r="E4" s="27">
        <v>639118</v>
      </c>
      <c r="F4" s="27">
        <v>683263</v>
      </c>
      <c r="G4" s="27">
        <v>727883</v>
      </c>
      <c r="H4" s="27">
        <v>775375</v>
      </c>
      <c r="I4" s="27">
        <v>832410</v>
      </c>
      <c r="J4" s="27">
        <v>897257</v>
      </c>
      <c r="K4" s="27">
        <v>969173</v>
      </c>
      <c r="L4" s="27">
        <v>1022552</v>
      </c>
      <c r="M4" s="27">
        <v>1002045</v>
      </c>
      <c r="N4" s="27">
        <v>985479</v>
      </c>
      <c r="O4" s="27">
        <v>980239</v>
      </c>
      <c r="P4" s="27">
        <v>948344</v>
      </c>
      <c r="Q4" s="27">
        <v>932777</v>
      </c>
      <c r="R4" s="27">
        <v>940399</v>
      </c>
      <c r="S4" s="27">
        <v>978971</v>
      </c>
      <c r="T4" s="27">
        <v>1011268</v>
      </c>
      <c r="U4" s="27">
        <v>1053805</v>
      </c>
      <c r="V4" s="27">
        <v>1089420</v>
      </c>
      <c r="W4" s="27">
        <v>1129618.9999999998</v>
      </c>
      <c r="X4" s="27">
        <v>1021086</v>
      </c>
      <c r="Y4" s="27">
        <v>1105853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24264</v>
      </c>
      <c r="E6" s="19">
        <v>25780</v>
      </c>
      <c r="F6" s="19">
        <v>26152</v>
      </c>
      <c r="G6" s="19">
        <v>27527</v>
      </c>
      <c r="H6" s="19">
        <v>26886</v>
      </c>
      <c r="I6" s="19">
        <v>25679</v>
      </c>
      <c r="J6" s="19">
        <v>24209</v>
      </c>
      <c r="K6" s="19">
        <v>26974</v>
      </c>
      <c r="L6" s="19">
        <v>26279</v>
      </c>
      <c r="M6" s="19">
        <v>24225</v>
      </c>
      <c r="N6" s="19">
        <v>26079</v>
      </c>
      <c r="O6" s="19">
        <v>25246</v>
      </c>
      <c r="P6" s="19">
        <v>24832</v>
      </c>
      <c r="Q6" s="19">
        <v>26757</v>
      </c>
      <c r="R6" s="19">
        <v>26179</v>
      </c>
      <c r="S6" s="19">
        <v>29476</v>
      </c>
      <c r="T6" s="19">
        <v>31474</v>
      </c>
      <c r="U6" s="19">
        <v>32399</v>
      </c>
      <c r="V6" s="19">
        <v>33181</v>
      </c>
      <c r="W6" s="19">
        <v>30751</v>
      </c>
      <c r="X6" s="19">
        <v>31461</v>
      </c>
      <c r="Y6" s="19">
        <v>33378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121653.00000000004</v>
      </c>
      <c r="E7" s="23">
        <v>128678.00000000006</v>
      </c>
      <c r="F7" s="23">
        <v>133551.00000000009</v>
      </c>
      <c r="G7" s="23">
        <v>139041.00000000009</v>
      </c>
      <c r="H7" s="23">
        <v>144449.00000000003</v>
      </c>
      <c r="I7" s="23">
        <v>152944.99999999994</v>
      </c>
      <c r="J7" s="23">
        <v>161541.00000000003</v>
      </c>
      <c r="K7" s="23">
        <v>169817.99999999997</v>
      </c>
      <c r="L7" s="23">
        <v>176153.99999999997</v>
      </c>
      <c r="M7" s="23">
        <v>158683.00000000012</v>
      </c>
      <c r="N7" s="23">
        <v>160877.00000000003</v>
      </c>
      <c r="O7" s="23">
        <v>161333.99999999997</v>
      </c>
      <c r="P7" s="23">
        <v>154185.00000000003</v>
      </c>
      <c r="Q7" s="23">
        <v>153077.00000000003</v>
      </c>
      <c r="R7" s="23">
        <v>153924.0000000002</v>
      </c>
      <c r="S7" s="23">
        <v>159990</v>
      </c>
      <c r="T7" s="23">
        <v>163438.99999999991</v>
      </c>
      <c r="U7" s="23">
        <v>170968.00000000017</v>
      </c>
      <c r="V7" s="23">
        <v>174698.99999999997</v>
      </c>
      <c r="W7" s="23">
        <v>178799.99999999988</v>
      </c>
      <c r="X7" s="23">
        <v>164062.00000000017</v>
      </c>
      <c r="Y7" s="23">
        <v>185441.00000000009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59545.999999999993</v>
      </c>
      <c r="E8" s="23">
        <v>67287</v>
      </c>
      <c r="F8" s="23">
        <v>74418</v>
      </c>
      <c r="G8" s="23">
        <v>80950</v>
      </c>
      <c r="H8" s="23">
        <v>87547</v>
      </c>
      <c r="I8" s="23">
        <v>99008</v>
      </c>
      <c r="J8" s="23">
        <v>108814</v>
      </c>
      <c r="K8" s="23">
        <v>113088</v>
      </c>
      <c r="L8" s="23">
        <v>115549</v>
      </c>
      <c r="M8" s="23">
        <v>107575</v>
      </c>
      <c r="N8" s="23">
        <v>87560</v>
      </c>
      <c r="O8" s="23">
        <v>73557.000000000015</v>
      </c>
      <c r="P8" s="23">
        <v>62703</v>
      </c>
      <c r="Q8" s="23">
        <v>53763</v>
      </c>
      <c r="R8" s="23">
        <v>53254</v>
      </c>
      <c r="S8" s="23">
        <v>56422</v>
      </c>
      <c r="T8" s="23">
        <v>59362</v>
      </c>
      <c r="U8" s="23">
        <v>62061</v>
      </c>
      <c r="V8" s="23">
        <v>64459</v>
      </c>
      <c r="W8" s="23">
        <v>70821</v>
      </c>
      <c r="X8" s="23">
        <v>61270</v>
      </c>
      <c r="Y8" s="23">
        <v>62978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140160</v>
      </c>
      <c r="E9" s="23">
        <v>151584</v>
      </c>
      <c r="F9" s="23">
        <v>161223</v>
      </c>
      <c r="G9" s="23">
        <v>168952</v>
      </c>
      <c r="H9" s="23">
        <v>180092</v>
      </c>
      <c r="I9" s="23">
        <v>187731</v>
      </c>
      <c r="J9" s="23">
        <v>199608</v>
      </c>
      <c r="K9" s="23">
        <v>212191</v>
      </c>
      <c r="L9" s="23">
        <v>222353</v>
      </c>
      <c r="M9" s="23">
        <v>218507</v>
      </c>
      <c r="N9" s="23">
        <v>220256</v>
      </c>
      <c r="O9" s="23">
        <v>223383</v>
      </c>
      <c r="P9" s="23">
        <v>219196</v>
      </c>
      <c r="Q9" s="23">
        <v>214742</v>
      </c>
      <c r="R9" s="23">
        <v>217167</v>
      </c>
      <c r="S9" s="23">
        <v>229194</v>
      </c>
      <c r="T9" s="23">
        <v>239594</v>
      </c>
      <c r="U9" s="23">
        <v>251365</v>
      </c>
      <c r="V9" s="23">
        <v>258673</v>
      </c>
      <c r="W9" s="23">
        <v>268322</v>
      </c>
      <c r="X9" s="23">
        <v>204879</v>
      </c>
      <c r="Y9" s="23">
        <v>242728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26063</v>
      </c>
      <c r="E10" s="23">
        <v>28534</v>
      </c>
      <c r="F10" s="23">
        <v>31319</v>
      </c>
      <c r="G10" s="23">
        <v>33060</v>
      </c>
      <c r="H10" s="23">
        <v>34427.999999999993</v>
      </c>
      <c r="I10" s="23">
        <v>36266</v>
      </c>
      <c r="J10" s="23">
        <v>37829</v>
      </c>
      <c r="K10" s="23">
        <v>39785</v>
      </c>
      <c r="L10" s="23">
        <v>40857.999999999993</v>
      </c>
      <c r="M10" s="23">
        <v>40993</v>
      </c>
      <c r="N10" s="23">
        <v>39428.999999999993</v>
      </c>
      <c r="O10" s="23">
        <v>38265.000000000007</v>
      </c>
      <c r="P10" s="23">
        <v>37137.000000000007</v>
      </c>
      <c r="Q10" s="23">
        <v>36195</v>
      </c>
      <c r="R10" s="23">
        <v>35505</v>
      </c>
      <c r="S10" s="23">
        <v>36095</v>
      </c>
      <c r="T10" s="23">
        <v>36945</v>
      </c>
      <c r="U10" s="23">
        <v>39274</v>
      </c>
      <c r="V10" s="23">
        <v>39963</v>
      </c>
      <c r="W10" s="23">
        <v>42200</v>
      </c>
      <c r="X10" s="23">
        <v>40259</v>
      </c>
      <c r="Y10" s="23">
        <v>43318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25504</v>
      </c>
      <c r="E11" s="23">
        <v>29917</v>
      </c>
      <c r="F11" s="23">
        <v>31854</v>
      </c>
      <c r="G11" s="23">
        <v>32881</v>
      </c>
      <c r="H11" s="23">
        <v>35270</v>
      </c>
      <c r="I11" s="23">
        <v>37463.999999999993</v>
      </c>
      <c r="J11" s="23">
        <v>41628</v>
      </c>
      <c r="K11" s="23">
        <v>48119</v>
      </c>
      <c r="L11" s="23">
        <v>52085</v>
      </c>
      <c r="M11" s="23">
        <v>55221</v>
      </c>
      <c r="N11" s="23">
        <v>41281</v>
      </c>
      <c r="O11" s="23">
        <v>38835</v>
      </c>
      <c r="P11" s="23">
        <v>39993</v>
      </c>
      <c r="Q11" s="23">
        <v>33771.000000000007</v>
      </c>
      <c r="R11" s="23">
        <v>36903</v>
      </c>
      <c r="S11" s="23">
        <v>37312</v>
      </c>
      <c r="T11" s="23">
        <v>39192</v>
      </c>
      <c r="U11" s="23">
        <v>40698.999999999993</v>
      </c>
      <c r="V11" s="23">
        <v>44598</v>
      </c>
      <c r="W11" s="23">
        <v>44003</v>
      </c>
      <c r="X11" s="23">
        <v>45940</v>
      </c>
      <c r="Y11" s="23">
        <v>46613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36668</v>
      </c>
      <c r="E12" s="23">
        <v>39917</v>
      </c>
      <c r="F12" s="23">
        <v>45952</v>
      </c>
      <c r="G12" s="23">
        <v>52103</v>
      </c>
      <c r="H12" s="23">
        <v>59582</v>
      </c>
      <c r="I12" s="23">
        <v>68645</v>
      </c>
      <c r="J12" s="23">
        <v>78271</v>
      </c>
      <c r="K12" s="23">
        <v>91069</v>
      </c>
      <c r="L12" s="23">
        <v>97249</v>
      </c>
      <c r="M12" s="23">
        <v>95227</v>
      </c>
      <c r="N12" s="23">
        <v>107047</v>
      </c>
      <c r="O12" s="23">
        <v>113851</v>
      </c>
      <c r="P12" s="23">
        <v>115981</v>
      </c>
      <c r="Q12" s="23">
        <v>120342</v>
      </c>
      <c r="R12" s="23">
        <v>119477</v>
      </c>
      <c r="S12" s="23">
        <v>117262</v>
      </c>
      <c r="T12" s="23">
        <v>119282</v>
      </c>
      <c r="U12" s="23">
        <v>121916</v>
      </c>
      <c r="V12" s="23">
        <v>126536</v>
      </c>
      <c r="W12" s="23">
        <v>130503</v>
      </c>
      <c r="X12" s="23">
        <v>130715</v>
      </c>
      <c r="Y12" s="23">
        <v>133896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37611.000000000007</v>
      </c>
      <c r="E13" s="23">
        <v>41734</v>
      </c>
      <c r="F13" s="23">
        <v>44634</v>
      </c>
      <c r="G13" s="23">
        <v>48532</v>
      </c>
      <c r="H13" s="23">
        <v>51249</v>
      </c>
      <c r="I13" s="23">
        <v>56438</v>
      </c>
      <c r="J13" s="23">
        <v>64263</v>
      </c>
      <c r="K13" s="23">
        <v>71833</v>
      </c>
      <c r="L13" s="23">
        <v>77220.999999999985</v>
      </c>
      <c r="M13" s="23">
        <v>75905.999999999985</v>
      </c>
      <c r="N13" s="23">
        <v>74092</v>
      </c>
      <c r="O13" s="23">
        <v>76249</v>
      </c>
      <c r="P13" s="23">
        <v>73195</v>
      </c>
      <c r="Q13" s="23">
        <v>73099</v>
      </c>
      <c r="R13" s="23">
        <v>76899</v>
      </c>
      <c r="S13" s="23">
        <v>83583</v>
      </c>
      <c r="T13" s="23">
        <v>86472</v>
      </c>
      <c r="U13" s="23">
        <v>91160</v>
      </c>
      <c r="V13" s="23">
        <v>95892</v>
      </c>
      <c r="W13" s="23">
        <v>103110</v>
      </c>
      <c r="X13" s="23">
        <v>91938</v>
      </c>
      <c r="Y13" s="23">
        <v>100928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93974</v>
      </c>
      <c r="E14" s="23">
        <v>100387</v>
      </c>
      <c r="F14" s="23">
        <v>107048</v>
      </c>
      <c r="G14" s="23">
        <v>115867.99999999999</v>
      </c>
      <c r="H14" s="23">
        <v>124758</v>
      </c>
      <c r="I14" s="23">
        <v>134082</v>
      </c>
      <c r="J14" s="23">
        <v>144653</v>
      </c>
      <c r="K14" s="23">
        <v>157201</v>
      </c>
      <c r="L14" s="23">
        <v>172392</v>
      </c>
      <c r="M14" s="23">
        <v>181994</v>
      </c>
      <c r="N14" s="23">
        <v>183532</v>
      </c>
      <c r="O14" s="23">
        <v>183373</v>
      </c>
      <c r="P14" s="23">
        <v>175862</v>
      </c>
      <c r="Q14" s="23">
        <v>176353</v>
      </c>
      <c r="R14" s="23">
        <v>175869</v>
      </c>
      <c r="S14" s="23">
        <v>181097</v>
      </c>
      <c r="T14" s="23">
        <v>185697</v>
      </c>
      <c r="U14" s="23">
        <v>190943</v>
      </c>
      <c r="V14" s="23">
        <v>197142</v>
      </c>
      <c r="W14" s="23">
        <v>205729</v>
      </c>
      <c r="X14" s="23">
        <v>206700</v>
      </c>
      <c r="Y14" s="23">
        <v>211221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23545</v>
      </c>
      <c r="E15" s="23">
        <v>25300</v>
      </c>
      <c r="F15" s="23">
        <v>27112</v>
      </c>
      <c r="G15" s="23">
        <v>28968.999999999996</v>
      </c>
      <c r="H15" s="23">
        <v>31114</v>
      </c>
      <c r="I15" s="23">
        <v>34151.999999999993</v>
      </c>
      <c r="J15" s="23">
        <v>36441</v>
      </c>
      <c r="K15" s="23">
        <v>39095.000000000007</v>
      </c>
      <c r="L15" s="23">
        <v>42412</v>
      </c>
      <c r="M15" s="23">
        <v>43714</v>
      </c>
      <c r="N15" s="23">
        <v>45326</v>
      </c>
      <c r="O15" s="23">
        <v>46146</v>
      </c>
      <c r="P15" s="23">
        <v>45260</v>
      </c>
      <c r="Q15" s="23">
        <v>44678</v>
      </c>
      <c r="R15" s="23">
        <v>45222</v>
      </c>
      <c r="S15" s="23">
        <v>48540</v>
      </c>
      <c r="T15" s="23">
        <v>49811</v>
      </c>
      <c r="U15" s="23">
        <v>53020</v>
      </c>
      <c r="V15" s="23">
        <v>54277</v>
      </c>
      <c r="W15" s="23">
        <v>55380</v>
      </c>
      <c r="X15" s="23">
        <v>43862</v>
      </c>
      <c r="Y15" s="23">
        <v>45352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588988</v>
      </c>
      <c r="E16" s="30">
        <f t="shared" ref="E16:S16" si="0">SUM(E6:E15)</f>
        <v>639118</v>
      </c>
      <c r="F16" s="30">
        <f t="shared" si="0"/>
        <v>683263.00000000012</v>
      </c>
      <c r="G16" s="30">
        <f t="shared" si="0"/>
        <v>727883.00000000012</v>
      </c>
      <c r="H16" s="30">
        <f t="shared" si="0"/>
        <v>775375</v>
      </c>
      <c r="I16" s="30">
        <f t="shared" si="0"/>
        <v>832409.99999999988</v>
      </c>
      <c r="J16" s="30">
        <f t="shared" si="0"/>
        <v>897257</v>
      </c>
      <c r="K16" s="30">
        <f t="shared" si="0"/>
        <v>969173</v>
      </c>
      <c r="L16" s="30">
        <f t="shared" si="0"/>
        <v>1022552</v>
      </c>
      <c r="M16" s="30">
        <f t="shared" si="0"/>
        <v>1002045.0000000001</v>
      </c>
      <c r="N16" s="30">
        <f t="shared" si="0"/>
        <v>985479</v>
      </c>
      <c r="O16" s="30">
        <f t="shared" si="0"/>
        <v>980239</v>
      </c>
      <c r="P16" s="30">
        <f t="shared" si="0"/>
        <v>948344</v>
      </c>
      <c r="Q16" s="30">
        <f t="shared" si="0"/>
        <v>932777</v>
      </c>
      <c r="R16" s="30">
        <f t="shared" si="0"/>
        <v>940399.00000000023</v>
      </c>
      <c r="S16" s="30">
        <f t="shared" si="0"/>
        <v>978971</v>
      </c>
      <c r="T16" s="30">
        <f t="shared" ref="T16:Y16" si="1">SUM(T6:T15)</f>
        <v>1011267.9999999999</v>
      </c>
      <c r="U16" s="30">
        <f t="shared" si="1"/>
        <v>1053805.0000000002</v>
      </c>
      <c r="V16" s="30">
        <f t="shared" si="1"/>
        <v>1089420</v>
      </c>
      <c r="W16" s="30">
        <f t="shared" si="1"/>
        <v>1129619</v>
      </c>
      <c r="X16" s="30">
        <f t="shared" si="1"/>
        <v>1021086.0000000002</v>
      </c>
      <c r="Y16" s="30">
        <f t="shared" si="1"/>
        <v>1105853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24264</v>
      </c>
      <c r="E18" s="19">
        <v>25780</v>
      </c>
      <c r="F18" s="19">
        <v>26152</v>
      </c>
      <c r="G18" s="19">
        <v>27527</v>
      </c>
      <c r="H18" s="19">
        <v>26886</v>
      </c>
      <c r="I18" s="19">
        <v>25679</v>
      </c>
      <c r="J18" s="19">
        <v>24209</v>
      </c>
      <c r="K18" s="19">
        <v>26974</v>
      </c>
      <c r="L18" s="19">
        <v>26279</v>
      </c>
      <c r="M18" s="19">
        <v>24225</v>
      </c>
      <c r="N18" s="19">
        <v>26079</v>
      </c>
      <c r="O18" s="19">
        <v>25246</v>
      </c>
      <c r="P18" s="19">
        <v>24832</v>
      </c>
      <c r="Q18" s="19">
        <v>26757</v>
      </c>
      <c r="R18" s="19">
        <v>26179</v>
      </c>
      <c r="S18" s="19">
        <v>29476</v>
      </c>
      <c r="T18" s="19">
        <v>31474</v>
      </c>
      <c r="U18" s="19">
        <v>32399</v>
      </c>
      <c r="V18" s="19">
        <v>33181</v>
      </c>
      <c r="W18" s="19">
        <v>30751</v>
      </c>
      <c r="X18" s="19">
        <v>31461</v>
      </c>
      <c r="Y18" s="19">
        <v>33378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1765</v>
      </c>
      <c r="E19" s="23">
        <v>2222</v>
      </c>
      <c r="F19" s="23">
        <v>2444.9999999999995</v>
      </c>
      <c r="G19" s="23">
        <v>2678</v>
      </c>
      <c r="H19" s="23">
        <v>2874</v>
      </c>
      <c r="I19" s="23">
        <v>2855</v>
      </c>
      <c r="J19" s="23">
        <v>3090</v>
      </c>
      <c r="K19" s="23">
        <v>3379</v>
      </c>
      <c r="L19" s="23">
        <v>3264</v>
      </c>
      <c r="M19" s="23">
        <v>2585.0000000000005</v>
      </c>
      <c r="N19" s="23">
        <v>2639</v>
      </c>
      <c r="O19" s="23">
        <v>2587</v>
      </c>
      <c r="P19" s="23">
        <v>2291.9999999999995</v>
      </c>
      <c r="Q19" s="23">
        <v>1833</v>
      </c>
      <c r="R19" s="23">
        <v>1625</v>
      </c>
      <c r="S19" s="23">
        <v>1483</v>
      </c>
      <c r="T19" s="23">
        <v>1474</v>
      </c>
      <c r="U19" s="23">
        <v>2076</v>
      </c>
      <c r="V19" s="23">
        <v>2681</v>
      </c>
      <c r="W19" s="23">
        <v>3048</v>
      </c>
      <c r="X19" s="23">
        <v>2404.0000000000005</v>
      </c>
      <c r="Y19" s="23">
        <v>4120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105163.00000000004</v>
      </c>
      <c r="E20" s="23">
        <v>110985.00000000004</v>
      </c>
      <c r="F20" s="23">
        <v>114239.00000000009</v>
      </c>
      <c r="G20" s="23">
        <v>117972.00000000007</v>
      </c>
      <c r="H20" s="23">
        <v>121788.00000000001</v>
      </c>
      <c r="I20" s="23">
        <v>127132.99999999994</v>
      </c>
      <c r="J20" s="23">
        <v>133862</v>
      </c>
      <c r="K20" s="23">
        <v>138734.99999999994</v>
      </c>
      <c r="L20" s="23">
        <v>140861.99999999997</v>
      </c>
      <c r="M20" s="23">
        <v>123932.00000000015</v>
      </c>
      <c r="N20" s="23">
        <v>122263.00000000001</v>
      </c>
      <c r="O20" s="23">
        <v>122317.99999999996</v>
      </c>
      <c r="P20" s="23">
        <v>114709.00000000001</v>
      </c>
      <c r="Q20" s="23">
        <v>114183.00000000004</v>
      </c>
      <c r="R20" s="23">
        <v>116718.0000000002</v>
      </c>
      <c r="S20" s="23">
        <v>121760</v>
      </c>
      <c r="T20" s="23">
        <v>125538.99999999991</v>
      </c>
      <c r="U20" s="23">
        <v>131687.00000000017</v>
      </c>
      <c r="V20" s="23">
        <v>132747.99999999997</v>
      </c>
      <c r="W20" s="23">
        <v>135932.99999999988</v>
      </c>
      <c r="X20" s="23">
        <v>122991.00000000017</v>
      </c>
      <c r="Y20" s="23">
        <v>138189.00000000009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9799</v>
      </c>
      <c r="E21" s="23">
        <v>10073</v>
      </c>
      <c r="F21" s="23">
        <v>10923</v>
      </c>
      <c r="G21" s="23">
        <v>12174</v>
      </c>
      <c r="H21" s="23">
        <v>13203</v>
      </c>
      <c r="I21" s="23">
        <v>15802</v>
      </c>
      <c r="J21" s="23">
        <v>16885.000000000004</v>
      </c>
      <c r="K21" s="23">
        <v>19569</v>
      </c>
      <c r="L21" s="23">
        <v>23384</v>
      </c>
      <c r="M21" s="23">
        <v>23315</v>
      </c>
      <c r="N21" s="23">
        <v>25868</v>
      </c>
      <c r="O21" s="23">
        <v>25819</v>
      </c>
      <c r="P21" s="23">
        <v>26538</v>
      </c>
      <c r="Q21" s="23">
        <v>25992</v>
      </c>
      <c r="R21" s="23">
        <v>24843</v>
      </c>
      <c r="S21" s="23">
        <v>25706</v>
      </c>
      <c r="T21" s="23">
        <v>24939</v>
      </c>
      <c r="U21" s="23">
        <v>25285</v>
      </c>
      <c r="V21" s="23">
        <v>27161</v>
      </c>
      <c r="W21" s="23">
        <v>27345</v>
      </c>
      <c r="X21" s="23">
        <v>26006</v>
      </c>
      <c r="Y21" s="23">
        <v>29427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4926</v>
      </c>
      <c r="E22" s="23">
        <v>5398</v>
      </c>
      <c r="F22" s="23">
        <v>5944</v>
      </c>
      <c r="G22" s="23">
        <v>6217</v>
      </c>
      <c r="H22" s="23">
        <v>6584</v>
      </c>
      <c r="I22" s="23">
        <v>7155</v>
      </c>
      <c r="J22" s="23">
        <v>7704</v>
      </c>
      <c r="K22" s="23">
        <v>8135</v>
      </c>
      <c r="L22" s="23">
        <v>8644</v>
      </c>
      <c r="M22" s="23">
        <v>8851.0000000000018</v>
      </c>
      <c r="N22" s="23">
        <v>10107</v>
      </c>
      <c r="O22" s="23">
        <v>10610</v>
      </c>
      <c r="P22" s="23">
        <v>10646</v>
      </c>
      <c r="Q22" s="23">
        <v>11069</v>
      </c>
      <c r="R22" s="23">
        <v>10738</v>
      </c>
      <c r="S22" s="23">
        <v>11041</v>
      </c>
      <c r="T22" s="23">
        <v>11487</v>
      </c>
      <c r="U22" s="23">
        <v>11920</v>
      </c>
      <c r="V22" s="23">
        <v>12109</v>
      </c>
      <c r="W22" s="23">
        <v>12474</v>
      </c>
      <c r="X22" s="23">
        <v>12661</v>
      </c>
      <c r="Y22" s="23">
        <v>13705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59545.999999999993</v>
      </c>
      <c r="E23" s="23">
        <v>67287</v>
      </c>
      <c r="F23" s="23">
        <v>74418</v>
      </c>
      <c r="G23" s="23">
        <v>80950</v>
      </c>
      <c r="H23" s="23">
        <v>87547</v>
      </c>
      <c r="I23" s="23">
        <v>99008</v>
      </c>
      <c r="J23" s="23">
        <v>108814</v>
      </c>
      <c r="K23" s="23">
        <v>113088</v>
      </c>
      <c r="L23" s="23">
        <v>115549</v>
      </c>
      <c r="M23" s="23">
        <v>107575</v>
      </c>
      <c r="N23" s="23">
        <v>87560</v>
      </c>
      <c r="O23" s="23">
        <v>73557.000000000015</v>
      </c>
      <c r="P23" s="23">
        <v>62703</v>
      </c>
      <c r="Q23" s="23">
        <v>53763</v>
      </c>
      <c r="R23" s="23">
        <v>53254</v>
      </c>
      <c r="S23" s="23">
        <v>56422</v>
      </c>
      <c r="T23" s="23">
        <v>59362</v>
      </c>
      <c r="U23" s="23">
        <v>62061</v>
      </c>
      <c r="V23" s="23">
        <v>64459</v>
      </c>
      <c r="W23" s="23">
        <v>70821</v>
      </c>
      <c r="X23" s="23">
        <v>61270</v>
      </c>
      <c r="Y23" s="23">
        <v>62978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68447.000000000015</v>
      </c>
      <c r="E24" s="23">
        <v>74819.000000000015</v>
      </c>
      <c r="F24" s="23">
        <v>80407.000000000015</v>
      </c>
      <c r="G24" s="23">
        <v>84657</v>
      </c>
      <c r="H24" s="23">
        <v>91405</v>
      </c>
      <c r="I24" s="23">
        <v>97110.999999999985</v>
      </c>
      <c r="J24" s="23">
        <v>104489.99999999999</v>
      </c>
      <c r="K24" s="23">
        <v>113260</v>
      </c>
      <c r="L24" s="23">
        <v>119382</v>
      </c>
      <c r="M24" s="23">
        <v>116806</v>
      </c>
      <c r="N24" s="23">
        <v>117988.00000000001</v>
      </c>
      <c r="O24" s="23">
        <v>120226.99999999999</v>
      </c>
      <c r="P24" s="23">
        <v>118492</v>
      </c>
      <c r="Q24" s="23">
        <v>118048</v>
      </c>
      <c r="R24" s="23">
        <v>117413.00000000001</v>
      </c>
      <c r="S24" s="23">
        <v>123306</v>
      </c>
      <c r="T24" s="23">
        <v>130428.00000000001</v>
      </c>
      <c r="U24" s="23">
        <v>135728.99999999997</v>
      </c>
      <c r="V24" s="23">
        <v>139910.99999999997</v>
      </c>
      <c r="W24" s="23">
        <v>143674</v>
      </c>
      <c r="X24" s="23">
        <v>132362</v>
      </c>
      <c r="Y24" s="23">
        <v>151354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27988</v>
      </c>
      <c r="E25" s="23">
        <v>31061</v>
      </c>
      <c r="F25" s="23">
        <v>32494.000000000004</v>
      </c>
      <c r="G25" s="23">
        <v>34152</v>
      </c>
      <c r="H25" s="23">
        <v>35846</v>
      </c>
      <c r="I25" s="23">
        <v>35719</v>
      </c>
      <c r="J25" s="23">
        <v>37948</v>
      </c>
      <c r="K25" s="23">
        <v>40573.999999999993</v>
      </c>
      <c r="L25" s="23">
        <v>42316</v>
      </c>
      <c r="M25" s="23">
        <v>41854</v>
      </c>
      <c r="N25" s="23">
        <v>43633</v>
      </c>
      <c r="O25" s="23">
        <v>44506</v>
      </c>
      <c r="P25" s="23">
        <v>43212</v>
      </c>
      <c r="Q25" s="23">
        <v>42125</v>
      </c>
      <c r="R25" s="23">
        <v>44221</v>
      </c>
      <c r="S25" s="23">
        <v>47088</v>
      </c>
      <c r="T25" s="23">
        <v>46637</v>
      </c>
      <c r="U25" s="23">
        <v>48408</v>
      </c>
      <c r="V25" s="23">
        <v>49518</v>
      </c>
      <c r="W25" s="23">
        <v>51674</v>
      </c>
      <c r="X25" s="23">
        <v>40015.999999999993</v>
      </c>
      <c r="Y25" s="23">
        <v>43872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43725</v>
      </c>
      <c r="E26" s="23">
        <v>45704</v>
      </c>
      <c r="F26" s="23">
        <v>48322</v>
      </c>
      <c r="G26" s="23">
        <v>50143</v>
      </c>
      <c r="H26" s="23">
        <v>52841</v>
      </c>
      <c r="I26" s="23">
        <v>54901</v>
      </c>
      <c r="J26" s="23">
        <v>57170</v>
      </c>
      <c r="K26" s="23">
        <v>58357</v>
      </c>
      <c r="L26" s="23">
        <v>60655</v>
      </c>
      <c r="M26" s="23">
        <v>59847</v>
      </c>
      <c r="N26" s="23">
        <v>58635</v>
      </c>
      <c r="O26" s="23">
        <v>58650</v>
      </c>
      <c r="P26" s="23">
        <v>57492</v>
      </c>
      <c r="Q26" s="23">
        <v>54569</v>
      </c>
      <c r="R26" s="23">
        <v>55533</v>
      </c>
      <c r="S26" s="23">
        <v>58800</v>
      </c>
      <c r="T26" s="23">
        <v>62529</v>
      </c>
      <c r="U26" s="23">
        <v>67228</v>
      </c>
      <c r="V26" s="23">
        <v>69244.000000000015</v>
      </c>
      <c r="W26" s="23">
        <v>72974.000000000015</v>
      </c>
      <c r="X26" s="23">
        <v>32501</v>
      </c>
      <c r="Y26" s="23">
        <v>47502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26063</v>
      </c>
      <c r="E27" s="23">
        <v>28534</v>
      </c>
      <c r="F27" s="23">
        <v>31319</v>
      </c>
      <c r="G27" s="23">
        <v>33060</v>
      </c>
      <c r="H27" s="23">
        <v>34427.999999999993</v>
      </c>
      <c r="I27" s="23">
        <v>36266</v>
      </c>
      <c r="J27" s="23">
        <v>37829</v>
      </c>
      <c r="K27" s="23">
        <v>39785</v>
      </c>
      <c r="L27" s="23">
        <v>40857.999999999993</v>
      </c>
      <c r="M27" s="23">
        <v>40993</v>
      </c>
      <c r="N27" s="23">
        <v>39428.999999999993</v>
      </c>
      <c r="O27" s="23">
        <v>38265.000000000007</v>
      </c>
      <c r="P27" s="23">
        <v>37137.000000000007</v>
      </c>
      <c r="Q27" s="23">
        <v>36195</v>
      </c>
      <c r="R27" s="23">
        <v>35505</v>
      </c>
      <c r="S27" s="23">
        <v>36095</v>
      </c>
      <c r="T27" s="23">
        <v>36945</v>
      </c>
      <c r="U27" s="23">
        <v>39274</v>
      </c>
      <c r="V27" s="23">
        <v>39963</v>
      </c>
      <c r="W27" s="23">
        <v>42200</v>
      </c>
      <c r="X27" s="23">
        <v>40259</v>
      </c>
      <c r="Y27" s="23">
        <v>43318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25504</v>
      </c>
      <c r="E28" s="23">
        <v>29917</v>
      </c>
      <c r="F28" s="23">
        <v>31854</v>
      </c>
      <c r="G28" s="23">
        <v>32881</v>
      </c>
      <c r="H28" s="23">
        <v>35270</v>
      </c>
      <c r="I28" s="23">
        <v>37463.999999999993</v>
      </c>
      <c r="J28" s="23">
        <v>41628</v>
      </c>
      <c r="K28" s="23">
        <v>48119</v>
      </c>
      <c r="L28" s="23">
        <v>52085</v>
      </c>
      <c r="M28" s="23">
        <v>55221</v>
      </c>
      <c r="N28" s="23">
        <v>41281</v>
      </c>
      <c r="O28" s="23">
        <v>38835</v>
      </c>
      <c r="P28" s="23">
        <v>39993</v>
      </c>
      <c r="Q28" s="23">
        <v>33771.000000000007</v>
      </c>
      <c r="R28" s="23">
        <v>36903</v>
      </c>
      <c r="S28" s="23">
        <v>37312</v>
      </c>
      <c r="T28" s="23">
        <v>39192</v>
      </c>
      <c r="U28" s="23">
        <v>40698.999999999993</v>
      </c>
      <c r="V28" s="23">
        <v>44598</v>
      </c>
      <c r="W28" s="23">
        <v>44003</v>
      </c>
      <c r="X28" s="23">
        <v>45940</v>
      </c>
      <c r="Y28" s="23">
        <v>46613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36668</v>
      </c>
      <c r="E29" s="23">
        <v>39917</v>
      </c>
      <c r="F29" s="23">
        <v>45952</v>
      </c>
      <c r="G29" s="23">
        <v>52103</v>
      </c>
      <c r="H29" s="23">
        <v>59582</v>
      </c>
      <c r="I29" s="23">
        <v>68645</v>
      </c>
      <c r="J29" s="23">
        <v>78271</v>
      </c>
      <c r="K29" s="23">
        <v>91069</v>
      </c>
      <c r="L29" s="23">
        <v>97249</v>
      </c>
      <c r="M29" s="23">
        <v>95227</v>
      </c>
      <c r="N29" s="23">
        <v>107047</v>
      </c>
      <c r="O29" s="23">
        <v>113851</v>
      </c>
      <c r="P29" s="23">
        <v>115981</v>
      </c>
      <c r="Q29" s="23">
        <v>120342</v>
      </c>
      <c r="R29" s="23">
        <v>119477</v>
      </c>
      <c r="S29" s="23">
        <v>117262</v>
      </c>
      <c r="T29" s="23">
        <v>119282</v>
      </c>
      <c r="U29" s="23">
        <v>121916</v>
      </c>
      <c r="V29" s="23">
        <v>126536</v>
      </c>
      <c r="W29" s="23">
        <v>130503</v>
      </c>
      <c r="X29" s="23">
        <v>130715</v>
      </c>
      <c r="Y29" s="23">
        <v>133896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20881.000000000004</v>
      </c>
      <c r="E30" s="23">
        <v>23181</v>
      </c>
      <c r="F30" s="23">
        <v>24385.999999999996</v>
      </c>
      <c r="G30" s="23">
        <v>26657</v>
      </c>
      <c r="H30" s="23">
        <v>28265</v>
      </c>
      <c r="I30" s="23">
        <v>31343</v>
      </c>
      <c r="J30" s="23">
        <v>35454</v>
      </c>
      <c r="K30" s="23">
        <v>38675.000000000007</v>
      </c>
      <c r="L30" s="23">
        <v>42343</v>
      </c>
      <c r="M30" s="23">
        <v>43051.999999999993</v>
      </c>
      <c r="N30" s="23">
        <v>40842</v>
      </c>
      <c r="O30" s="23">
        <v>41790.000000000007</v>
      </c>
      <c r="P30" s="23">
        <v>40286</v>
      </c>
      <c r="Q30" s="23">
        <v>40240</v>
      </c>
      <c r="R30" s="23">
        <v>42089.000000000007</v>
      </c>
      <c r="S30" s="23">
        <v>44903</v>
      </c>
      <c r="T30" s="23">
        <v>45743</v>
      </c>
      <c r="U30" s="23">
        <v>48564</v>
      </c>
      <c r="V30" s="23">
        <v>51796</v>
      </c>
      <c r="W30" s="23">
        <v>55706</v>
      </c>
      <c r="X30" s="23">
        <v>53079.999999999993</v>
      </c>
      <c r="Y30" s="23">
        <v>58123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16730</v>
      </c>
      <c r="E31" s="23">
        <v>18553</v>
      </c>
      <c r="F31" s="23">
        <v>20248</v>
      </c>
      <c r="G31" s="23">
        <v>21875</v>
      </c>
      <c r="H31" s="23">
        <v>22984</v>
      </c>
      <c r="I31" s="23">
        <v>25095</v>
      </c>
      <c r="J31" s="23">
        <v>28809</v>
      </c>
      <c r="K31" s="23">
        <v>33157.999999999993</v>
      </c>
      <c r="L31" s="23">
        <v>34877.999999999993</v>
      </c>
      <c r="M31" s="23">
        <v>32854</v>
      </c>
      <c r="N31" s="23">
        <v>33250</v>
      </c>
      <c r="O31" s="23">
        <v>34459</v>
      </c>
      <c r="P31" s="23">
        <v>32909</v>
      </c>
      <c r="Q31" s="23">
        <v>32858.999999999993</v>
      </c>
      <c r="R31" s="23">
        <v>34810</v>
      </c>
      <c r="S31" s="23">
        <v>38680</v>
      </c>
      <c r="T31" s="23">
        <v>40729</v>
      </c>
      <c r="U31" s="23">
        <v>42596</v>
      </c>
      <c r="V31" s="23">
        <v>44096</v>
      </c>
      <c r="W31" s="23">
        <v>47404</v>
      </c>
      <c r="X31" s="23">
        <v>38858</v>
      </c>
      <c r="Y31" s="23">
        <v>42805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35096</v>
      </c>
      <c r="E32" s="23">
        <v>37279.999999999993</v>
      </c>
      <c r="F32" s="23">
        <v>38774.000000000007</v>
      </c>
      <c r="G32" s="23">
        <v>41326.999999999985</v>
      </c>
      <c r="H32" s="23">
        <v>44199.999999999993</v>
      </c>
      <c r="I32" s="23">
        <v>47150</v>
      </c>
      <c r="J32" s="23">
        <v>51288.999999999993</v>
      </c>
      <c r="K32" s="23">
        <v>55457.999999999993</v>
      </c>
      <c r="L32" s="23">
        <v>60600.000000000007</v>
      </c>
      <c r="M32" s="23">
        <v>63774.000000000022</v>
      </c>
      <c r="N32" s="23">
        <v>65365.999999999993</v>
      </c>
      <c r="O32" s="23">
        <v>65216.000000000022</v>
      </c>
      <c r="P32" s="23">
        <v>62002</v>
      </c>
      <c r="Q32" s="23">
        <v>62874.999999999993</v>
      </c>
      <c r="R32" s="23">
        <v>62584.999999999978</v>
      </c>
      <c r="S32" s="23">
        <v>63276</v>
      </c>
      <c r="T32" s="23">
        <v>63596.000000000007</v>
      </c>
      <c r="U32" s="23">
        <v>63937</v>
      </c>
      <c r="V32" s="23">
        <v>66121.999999999985</v>
      </c>
      <c r="W32" s="23">
        <v>68560.000000000015</v>
      </c>
      <c r="X32" s="23">
        <v>69872.000000000015</v>
      </c>
      <c r="Y32" s="23">
        <v>72705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30751.999999999996</v>
      </c>
      <c r="E33" s="23">
        <v>32985</v>
      </c>
      <c r="F33" s="23">
        <v>34844.000000000007</v>
      </c>
      <c r="G33" s="23">
        <v>36866.000000000007</v>
      </c>
      <c r="H33" s="23">
        <v>39345</v>
      </c>
      <c r="I33" s="23">
        <v>41422</v>
      </c>
      <c r="J33" s="23">
        <v>44027</v>
      </c>
      <c r="K33" s="23">
        <v>47310</v>
      </c>
      <c r="L33" s="23">
        <v>50978</v>
      </c>
      <c r="M33" s="23">
        <v>53744</v>
      </c>
      <c r="N33" s="23">
        <v>53624</v>
      </c>
      <c r="O33" s="23">
        <v>53313</v>
      </c>
      <c r="P33" s="23">
        <v>51497</v>
      </c>
      <c r="Q33" s="23">
        <v>51376</v>
      </c>
      <c r="R33" s="23">
        <v>51534</v>
      </c>
      <c r="S33" s="23">
        <v>53290</v>
      </c>
      <c r="T33" s="23">
        <v>54775</v>
      </c>
      <c r="U33" s="23">
        <v>56455</v>
      </c>
      <c r="V33" s="23">
        <v>57820</v>
      </c>
      <c r="W33" s="23">
        <v>59084</v>
      </c>
      <c r="X33" s="23">
        <v>58418</v>
      </c>
      <c r="Y33" s="23">
        <v>58961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28126</v>
      </c>
      <c r="E34" s="23">
        <v>30122</v>
      </c>
      <c r="F34" s="23">
        <v>33430</v>
      </c>
      <c r="G34" s="23">
        <v>37675</v>
      </c>
      <c r="H34" s="23">
        <v>41212.999999999993</v>
      </c>
      <c r="I34" s="23">
        <v>45510</v>
      </c>
      <c r="J34" s="23">
        <v>49337</v>
      </c>
      <c r="K34" s="23">
        <v>54433</v>
      </c>
      <c r="L34" s="23">
        <v>60814</v>
      </c>
      <c r="M34" s="23">
        <v>64476</v>
      </c>
      <c r="N34" s="23">
        <v>64542</v>
      </c>
      <c r="O34" s="23">
        <v>64844</v>
      </c>
      <c r="P34" s="23">
        <v>62363</v>
      </c>
      <c r="Q34" s="23">
        <v>62102</v>
      </c>
      <c r="R34" s="23">
        <v>61750</v>
      </c>
      <c r="S34" s="23">
        <v>64531</v>
      </c>
      <c r="T34" s="23">
        <v>67325.999999999985</v>
      </c>
      <c r="U34" s="23">
        <v>70551</v>
      </c>
      <c r="V34" s="23">
        <v>73200</v>
      </c>
      <c r="W34" s="23">
        <v>78085</v>
      </c>
      <c r="X34" s="23">
        <v>78410</v>
      </c>
      <c r="Y34" s="23">
        <v>79555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9308.0000000000018</v>
      </c>
      <c r="E35" s="23">
        <v>10257.000000000002</v>
      </c>
      <c r="F35" s="23">
        <v>11175.000000000002</v>
      </c>
      <c r="G35" s="23">
        <v>12035.999999999998</v>
      </c>
      <c r="H35" s="23">
        <v>13121</v>
      </c>
      <c r="I35" s="23">
        <v>14770</v>
      </c>
      <c r="J35" s="23">
        <v>15718</v>
      </c>
      <c r="K35" s="23">
        <v>16661.000000000004</v>
      </c>
      <c r="L35" s="23">
        <v>18283.999999999996</v>
      </c>
      <c r="M35" s="23">
        <v>18744</v>
      </c>
      <c r="N35" s="23">
        <v>19287.999999999996</v>
      </c>
      <c r="O35" s="23">
        <v>19512.000000000004</v>
      </c>
      <c r="P35" s="23">
        <v>18917.999999999996</v>
      </c>
      <c r="Q35" s="23">
        <v>18431.000000000004</v>
      </c>
      <c r="R35" s="23">
        <v>18499.999999999996</v>
      </c>
      <c r="S35" s="23">
        <v>20405</v>
      </c>
      <c r="T35" s="23">
        <v>20700.999999999996</v>
      </c>
      <c r="U35" s="23">
        <v>22763.000000000004</v>
      </c>
      <c r="V35" s="23">
        <v>23650.000000000004</v>
      </c>
      <c r="W35" s="23">
        <v>23389</v>
      </c>
      <c r="X35" s="23">
        <v>16099</v>
      </c>
      <c r="Y35" s="23">
        <v>17239.000000000004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8428</v>
      </c>
      <c r="E36" s="23">
        <v>8865</v>
      </c>
      <c r="F36" s="23">
        <v>9408</v>
      </c>
      <c r="G36" s="23">
        <v>9904</v>
      </c>
      <c r="H36" s="23">
        <v>10501</v>
      </c>
      <c r="I36" s="23">
        <v>11314</v>
      </c>
      <c r="J36" s="23">
        <v>12051</v>
      </c>
      <c r="K36" s="23">
        <v>13140</v>
      </c>
      <c r="L36" s="23">
        <v>14352</v>
      </c>
      <c r="M36" s="23">
        <v>14898</v>
      </c>
      <c r="N36" s="23">
        <v>15416</v>
      </c>
      <c r="O36" s="23">
        <v>16154</v>
      </c>
      <c r="P36" s="23">
        <v>16621</v>
      </c>
      <c r="Q36" s="23">
        <v>16828</v>
      </c>
      <c r="R36" s="23">
        <v>17203.000000000004</v>
      </c>
      <c r="S36" s="23">
        <v>18417</v>
      </c>
      <c r="T36" s="23">
        <v>19349</v>
      </c>
      <c r="U36" s="23">
        <v>20369.999999999996</v>
      </c>
      <c r="V36" s="23">
        <v>20488.999999999996</v>
      </c>
      <c r="W36" s="23">
        <v>22172</v>
      </c>
      <c r="X36" s="23">
        <v>18690</v>
      </c>
      <c r="Y36" s="23">
        <v>18490.999999999996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5809</v>
      </c>
      <c r="E37" s="23">
        <v>6178</v>
      </c>
      <c r="F37" s="23">
        <v>6529</v>
      </c>
      <c r="G37" s="23">
        <v>7029</v>
      </c>
      <c r="H37" s="23">
        <v>7492</v>
      </c>
      <c r="I37" s="23">
        <v>8067.9999999999991</v>
      </c>
      <c r="J37" s="23">
        <v>8672</v>
      </c>
      <c r="K37" s="23">
        <v>9294</v>
      </c>
      <c r="L37" s="23">
        <v>9776</v>
      </c>
      <c r="M37" s="23">
        <v>10072</v>
      </c>
      <c r="N37" s="23">
        <v>10622</v>
      </c>
      <c r="O37" s="23">
        <v>10480</v>
      </c>
      <c r="P37" s="23">
        <v>9721</v>
      </c>
      <c r="Q37" s="23">
        <v>9419</v>
      </c>
      <c r="R37" s="23">
        <v>9518.9999999999982</v>
      </c>
      <c r="S37" s="23">
        <v>9718</v>
      </c>
      <c r="T37" s="23">
        <v>9761.0000000000018</v>
      </c>
      <c r="U37" s="23">
        <v>9887</v>
      </c>
      <c r="V37" s="23">
        <v>10138</v>
      </c>
      <c r="W37" s="23">
        <v>9819</v>
      </c>
      <c r="X37" s="23">
        <v>9073.0000000000018</v>
      </c>
      <c r="Y37" s="23">
        <v>9622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588988</v>
      </c>
      <c r="E39" s="30">
        <f t="shared" ref="E39:S39" si="2">SUM(E18:E38)</f>
        <v>639118</v>
      </c>
      <c r="F39" s="30">
        <f t="shared" si="2"/>
        <v>683263.00000000012</v>
      </c>
      <c r="G39" s="30">
        <f t="shared" si="2"/>
        <v>727883</v>
      </c>
      <c r="H39" s="30">
        <f t="shared" si="2"/>
        <v>775375</v>
      </c>
      <c r="I39" s="30">
        <f t="shared" si="2"/>
        <v>832409.99999999988</v>
      </c>
      <c r="J39" s="30">
        <f t="shared" si="2"/>
        <v>897257</v>
      </c>
      <c r="K39" s="30">
        <f t="shared" si="2"/>
        <v>969173</v>
      </c>
      <c r="L39" s="30">
        <f t="shared" si="2"/>
        <v>1022552</v>
      </c>
      <c r="M39" s="30">
        <f t="shared" si="2"/>
        <v>1002045.0000000001</v>
      </c>
      <c r="N39" s="30">
        <f t="shared" si="2"/>
        <v>985479</v>
      </c>
      <c r="O39" s="30">
        <f t="shared" si="2"/>
        <v>980239</v>
      </c>
      <c r="P39" s="30">
        <f t="shared" si="2"/>
        <v>948344</v>
      </c>
      <c r="Q39" s="30">
        <f t="shared" si="2"/>
        <v>932777</v>
      </c>
      <c r="R39" s="30">
        <f t="shared" si="2"/>
        <v>940399.00000000023</v>
      </c>
      <c r="S39" s="30">
        <f t="shared" si="2"/>
        <v>978971</v>
      </c>
      <c r="T39" s="30">
        <f t="shared" ref="T39:Y39" si="3">SUM(T18:T38)</f>
        <v>1011268</v>
      </c>
      <c r="U39" s="30">
        <f t="shared" si="3"/>
        <v>1053805</v>
      </c>
      <c r="V39" s="30">
        <f t="shared" si="3"/>
        <v>1089420</v>
      </c>
      <c r="W39" s="30">
        <f t="shared" si="3"/>
        <v>1129619</v>
      </c>
      <c r="X39" s="30">
        <f t="shared" si="3"/>
        <v>1021086.0000000002</v>
      </c>
      <c r="Y39" s="30">
        <f t="shared" si="3"/>
        <v>1105853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14504</v>
      </c>
      <c r="E41" s="19">
        <v>15281</v>
      </c>
      <c r="F41" s="19">
        <v>16098</v>
      </c>
      <c r="G41" s="19">
        <v>17437</v>
      </c>
      <c r="H41" s="19">
        <v>18398</v>
      </c>
      <c r="I41" s="19">
        <v>20505</v>
      </c>
      <c r="J41" s="19">
        <v>21144</v>
      </c>
      <c r="K41" s="19">
        <v>23260</v>
      </c>
      <c r="L41" s="19">
        <v>24415</v>
      </c>
      <c r="M41" s="19">
        <v>24168</v>
      </c>
      <c r="N41" s="19">
        <v>24546</v>
      </c>
      <c r="O41" s="19">
        <v>25399</v>
      </c>
      <c r="P41" s="19">
        <v>24829</v>
      </c>
      <c r="Q41" s="19">
        <v>24376</v>
      </c>
      <c r="R41" s="19">
        <v>24309</v>
      </c>
      <c r="S41" s="19">
        <v>24496</v>
      </c>
      <c r="T41" s="19">
        <v>25045</v>
      </c>
      <c r="U41" s="19">
        <v>25800</v>
      </c>
      <c r="V41" s="19">
        <v>24411</v>
      </c>
      <c r="W41" s="19">
        <v>25978</v>
      </c>
      <c r="X41" s="19">
        <v>24543</v>
      </c>
      <c r="Y41" s="19">
        <v>25741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7572</v>
      </c>
      <c r="E42" s="23">
        <v>8109</v>
      </c>
      <c r="F42" s="23">
        <v>8153</v>
      </c>
      <c r="G42" s="23">
        <v>8556</v>
      </c>
      <c r="H42" s="23">
        <v>8337</v>
      </c>
      <c r="I42" s="23">
        <v>8289</v>
      </c>
      <c r="J42" s="23">
        <v>8642.9999999999982</v>
      </c>
      <c r="K42" s="23">
        <v>8689</v>
      </c>
      <c r="L42" s="23">
        <v>8778</v>
      </c>
      <c r="M42" s="23">
        <v>7771</v>
      </c>
      <c r="N42" s="23">
        <v>7932</v>
      </c>
      <c r="O42" s="23">
        <v>8831</v>
      </c>
      <c r="P42" s="23">
        <v>7984</v>
      </c>
      <c r="Q42" s="23">
        <v>8161</v>
      </c>
      <c r="R42" s="23">
        <v>8243</v>
      </c>
      <c r="S42" s="23">
        <v>8667</v>
      </c>
      <c r="T42" s="23">
        <v>8993</v>
      </c>
      <c r="U42" s="23">
        <v>9347.0000000000018</v>
      </c>
      <c r="V42" s="23">
        <v>9054</v>
      </c>
      <c r="W42" s="23">
        <v>8753</v>
      </c>
      <c r="X42" s="23">
        <v>7606</v>
      </c>
      <c r="Y42" s="23">
        <v>8228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8917</v>
      </c>
      <c r="E43" s="23">
        <v>9171.0000000000018</v>
      </c>
      <c r="F43" s="23">
        <v>9464</v>
      </c>
      <c r="G43" s="23">
        <v>9457</v>
      </c>
      <c r="H43" s="23">
        <v>9597</v>
      </c>
      <c r="I43" s="23">
        <v>10173</v>
      </c>
      <c r="J43" s="23">
        <v>10472</v>
      </c>
      <c r="K43" s="23">
        <v>10699</v>
      </c>
      <c r="L43" s="23">
        <v>10565</v>
      </c>
      <c r="M43" s="23">
        <v>8957</v>
      </c>
      <c r="N43" s="23">
        <v>9101.0000000000018</v>
      </c>
      <c r="O43" s="23">
        <v>8658.9999999999982</v>
      </c>
      <c r="P43" s="23">
        <v>7769</v>
      </c>
      <c r="Q43" s="23">
        <v>7346</v>
      </c>
      <c r="R43" s="23">
        <v>6890</v>
      </c>
      <c r="S43" s="23">
        <v>7209</v>
      </c>
      <c r="T43" s="23">
        <v>7340</v>
      </c>
      <c r="U43" s="23">
        <v>7850</v>
      </c>
      <c r="V43" s="23">
        <v>8104</v>
      </c>
      <c r="W43" s="23">
        <v>8298</v>
      </c>
      <c r="X43" s="23">
        <v>7582</v>
      </c>
      <c r="Y43" s="23">
        <v>8416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2713</v>
      </c>
      <c r="E44" s="23">
        <v>2894</v>
      </c>
      <c r="F44" s="23">
        <v>2783</v>
      </c>
      <c r="G44" s="23">
        <v>3318</v>
      </c>
      <c r="H44" s="23">
        <v>3483</v>
      </c>
      <c r="I44" s="23">
        <v>3818</v>
      </c>
      <c r="J44" s="23">
        <v>3345</v>
      </c>
      <c r="K44" s="23">
        <v>2707</v>
      </c>
      <c r="L44" s="23">
        <v>1920</v>
      </c>
      <c r="M44" s="23">
        <v>1249.9999999999998</v>
      </c>
      <c r="N44" s="23">
        <v>1883</v>
      </c>
      <c r="O44" s="23">
        <v>2579</v>
      </c>
      <c r="P44" s="23">
        <v>2286</v>
      </c>
      <c r="Q44" s="23">
        <v>1457</v>
      </c>
      <c r="R44" s="23">
        <v>873</v>
      </c>
      <c r="S44" s="23">
        <v>2917</v>
      </c>
      <c r="T44" s="23">
        <v>3410</v>
      </c>
      <c r="U44" s="23">
        <v>3482</v>
      </c>
      <c r="V44" s="23">
        <v>3215</v>
      </c>
      <c r="W44" s="23">
        <v>2638</v>
      </c>
      <c r="X44" s="23">
        <v>-521</v>
      </c>
      <c r="Y44" s="23">
        <v>1840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6684</v>
      </c>
      <c r="E45" s="23">
        <v>7185</v>
      </c>
      <c r="F45" s="23">
        <v>7302.9999999999991</v>
      </c>
      <c r="G45" s="23">
        <v>7214</v>
      </c>
      <c r="H45" s="23">
        <v>7588</v>
      </c>
      <c r="I45" s="23">
        <v>7855.9999999999991</v>
      </c>
      <c r="J45" s="23">
        <v>8166</v>
      </c>
      <c r="K45" s="23">
        <v>8319.0000000000018</v>
      </c>
      <c r="L45" s="23">
        <v>8549.9999999999982</v>
      </c>
      <c r="M45" s="23">
        <v>7725</v>
      </c>
      <c r="N45" s="23">
        <v>8461</v>
      </c>
      <c r="O45" s="23">
        <v>8830</v>
      </c>
      <c r="P45" s="23">
        <v>7883</v>
      </c>
      <c r="Q45" s="23">
        <v>7413</v>
      </c>
      <c r="R45" s="23">
        <v>7709</v>
      </c>
      <c r="S45" s="23">
        <v>8061</v>
      </c>
      <c r="T45" s="23">
        <v>8722</v>
      </c>
      <c r="U45" s="23">
        <v>9201</v>
      </c>
      <c r="V45" s="23">
        <v>8979</v>
      </c>
      <c r="W45" s="23">
        <v>9573</v>
      </c>
      <c r="X45" s="23">
        <v>9333</v>
      </c>
      <c r="Y45" s="23">
        <v>10992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3512</v>
      </c>
      <c r="E46" s="23">
        <v>3922</v>
      </c>
      <c r="F46" s="23">
        <v>4177</v>
      </c>
      <c r="G46" s="23">
        <v>4466.9999999999991</v>
      </c>
      <c r="H46" s="23">
        <v>4820.0000000000009</v>
      </c>
      <c r="I46" s="23">
        <v>5275</v>
      </c>
      <c r="J46" s="23">
        <v>5816</v>
      </c>
      <c r="K46" s="23">
        <v>6335</v>
      </c>
      <c r="L46" s="23">
        <v>6896</v>
      </c>
      <c r="M46" s="23">
        <v>6568</v>
      </c>
      <c r="N46" s="23">
        <v>5353</v>
      </c>
      <c r="O46" s="23">
        <v>4904</v>
      </c>
      <c r="P46" s="23">
        <v>5135.9999999999991</v>
      </c>
      <c r="Q46" s="23">
        <v>6068</v>
      </c>
      <c r="R46" s="23">
        <v>6862</v>
      </c>
      <c r="S46" s="23">
        <v>6833</v>
      </c>
      <c r="T46" s="23">
        <v>7026</v>
      </c>
      <c r="U46" s="23">
        <v>7171</v>
      </c>
      <c r="V46" s="23">
        <v>6476</v>
      </c>
      <c r="W46" s="23">
        <v>7028</v>
      </c>
      <c r="X46" s="23">
        <v>7745</v>
      </c>
      <c r="Y46" s="23">
        <v>8836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12918</v>
      </c>
      <c r="E47" s="23">
        <v>13582</v>
      </c>
      <c r="F47" s="23">
        <v>13915.999999999998</v>
      </c>
      <c r="G47" s="23">
        <v>13895</v>
      </c>
      <c r="H47" s="23">
        <v>14307</v>
      </c>
      <c r="I47" s="23">
        <v>15141.999999999998</v>
      </c>
      <c r="J47" s="23">
        <v>15304</v>
      </c>
      <c r="K47" s="23">
        <v>15511</v>
      </c>
      <c r="L47" s="23">
        <v>15909</v>
      </c>
      <c r="M47" s="23">
        <v>12630</v>
      </c>
      <c r="N47" s="23">
        <v>11894</v>
      </c>
      <c r="O47" s="23">
        <v>11250</v>
      </c>
      <c r="P47" s="23">
        <v>10047</v>
      </c>
      <c r="Q47" s="23">
        <v>10031.000000000002</v>
      </c>
      <c r="R47" s="23">
        <v>10298.999999999998</v>
      </c>
      <c r="S47" s="23">
        <v>10793</v>
      </c>
      <c r="T47" s="23">
        <v>11179</v>
      </c>
      <c r="U47" s="23">
        <v>11764</v>
      </c>
      <c r="V47" s="23">
        <v>12244</v>
      </c>
      <c r="W47" s="23">
        <v>13134</v>
      </c>
      <c r="X47" s="23">
        <v>12488</v>
      </c>
      <c r="Y47" s="23">
        <v>13758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16490</v>
      </c>
      <c r="E48" s="23">
        <v>17478</v>
      </c>
      <c r="F48" s="23">
        <v>17895</v>
      </c>
      <c r="G48" s="23">
        <v>18037</v>
      </c>
      <c r="H48" s="23">
        <v>18531</v>
      </c>
      <c r="I48" s="23">
        <v>19019</v>
      </c>
      <c r="J48" s="23">
        <v>20645</v>
      </c>
      <c r="K48" s="23">
        <v>21204</v>
      </c>
      <c r="L48" s="23">
        <v>21146</v>
      </c>
      <c r="M48" s="23">
        <v>16683.999999999996</v>
      </c>
      <c r="N48" s="23">
        <v>17141.999999999996</v>
      </c>
      <c r="O48" s="23">
        <v>16484</v>
      </c>
      <c r="P48" s="23">
        <v>15106</v>
      </c>
      <c r="Q48" s="23">
        <v>14650</v>
      </c>
      <c r="R48" s="23">
        <v>15460</v>
      </c>
      <c r="S48" s="23">
        <v>15965</v>
      </c>
      <c r="T48" s="23">
        <v>16575.000000000004</v>
      </c>
      <c r="U48" s="23">
        <v>17954.999999999996</v>
      </c>
      <c r="V48" s="23">
        <v>18850.000000000004</v>
      </c>
      <c r="W48" s="23">
        <v>17905</v>
      </c>
      <c r="X48" s="23">
        <v>15835</v>
      </c>
      <c r="Y48" s="23">
        <v>18668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3075</v>
      </c>
      <c r="E49" s="23">
        <v>3103</v>
      </c>
      <c r="F49" s="23">
        <v>2532</v>
      </c>
      <c r="G49" s="23">
        <v>2418</v>
      </c>
      <c r="H49" s="23">
        <v>2223.9999999999995</v>
      </c>
      <c r="I49" s="23">
        <v>2327</v>
      </c>
      <c r="J49" s="23">
        <v>2339.0000000000005</v>
      </c>
      <c r="K49" s="23">
        <v>2621</v>
      </c>
      <c r="L49" s="23">
        <v>2705</v>
      </c>
      <c r="M49" s="23">
        <v>2405.0000000000005</v>
      </c>
      <c r="N49" s="23">
        <v>2129</v>
      </c>
      <c r="O49" s="23">
        <v>2079.0000000000005</v>
      </c>
      <c r="P49" s="23">
        <v>1955</v>
      </c>
      <c r="Q49" s="23">
        <v>1855</v>
      </c>
      <c r="R49" s="23">
        <v>1628</v>
      </c>
      <c r="S49" s="23">
        <v>1561</v>
      </c>
      <c r="T49" s="23">
        <v>1570</v>
      </c>
      <c r="U49" s="23">
        <v>1675</v>
      </c>
      <c r="V49" s="23">
        <v>1791</v>
      </c>
      <c r="W49" s="23">
        <v>1922</v>
      </c>
      <c r="X49" s="23">
        <v>1745</v>
      </c>
      <c r="Y49" s="23">
        <v>1974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3988</v>
      </c>
      <c r="E50" s="23">
        <v>4190</v>
      </c>
      <c r="F50" s="23">
        <v>4329</v>
      </c>
      <c r="G50" s="23">
        <v>4529</v>
      </c>
      <c r="H50" s="23">
        <v>4724</v>
      </c>
      <c r="I50" s="23">
        <v>4554.0000000000009</v>
      </c>
      <c r="J50" s="23">
        <v>5488</v>
      </c>
      <c r="K50" s="23">
        <v>5625</v>
      </c>
      <c r="L50" s="23">
        <v>5898</v>
      </c>
      <c r="M50" s="23">
        <v>4950</v>
      </c>
      <c r="N50" s="23">
        <v>4779</v>
      </c>
      <c r="O50" s="23">
        <v>4030</v>
      </c>
      <c r="P50" s="23">
        <v>3739</v>
      </c>
      <c r="Q50" s="23">
        <v>3671</v>
      </c>
      <c r="R50" s="23">
        <v>3751</v>
      </c>
      <c r="S50" s="23">
        <v>4022</v>
      </c>
      <c r="T50" s="23">
        <v>4200.0000000000009</v>
      </c>
      <c r="U50" s="23">
        <v>4347.9999999999991</v>
      </c>
      <c r="V50" s="23">
        <v>4704.9999999999991</v>
      </c>
      <c r="W50" s="23">
        <v>4570</v>
      </c>
      <c r="X50" s="23">
        <v>4152</v>
      </c>
      <c r="Y50" s="23">
        <v>4585.9999999999991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5598</v>
      </c>
      <c r="E51" s="23">
        <v>6034</v>
      </c>
      <c r="F51" s="23">
        <v>6240</v>
      </c>
      <c r="G51" s="23">
        <v>6208</v>
      </c>
      <c r="H51" s="23">
        <v>6521</v>
      </c>
      <c r="I51" s="23">
        <v>6609</v>
      </c>
      <c r="J51" s="23">
        <v>6887</v>
      </c>
      <c r="K51" s="23">
        <v>7077</v>
      </c>
      <c r="L51" s="23">
        <v>7436</v>
      </c>
      <c r="M51" s="23">
        <v>6551</v>
      </c>
      <c r="N51" s="23">
        <v>6217</v>
      </c>
      <c r="O51" s="23">
        <v>6368</v>
      </c>
      <c r="P51" s="23">
        <v>6545</v>
      </c>
      <c r="Q51" s="23">
        <v>6543</v>
      </c>
      <c r="R51" s="23">
        <v>6886</v>
      </c>
      <c r="S51" s="23">
        <v>6538</v>
      </c>
      <c r="T51" s="23">
        <v>6437</v>
      </c>
      <c r="U51" s="23">
        <v>6869</v>
      </c>
      <c r="V51" s="23">
        <v>7267</v>
      </c>
      <c r="W51" s="23">
        <v>7530</v>
      </c>
      <c r="X51" s="23">
        <v>7055</v>
      </c>
      <c r="Y51" s="23">
        <v>7763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12059</v>
      </c>
      <c r="E52" s="23">
        <v>12414</v>
      </c>
      <c r="F52" s="23">
        <v>13458</v>
      </c>
      <c r="G52" s="23">
        <v>14221</v>
      </c>
      <c r="H52" s="23">
        <v>14299</v>
      </c>
      <c r="I52" s="23">
        <v>14102</v>
      </c>
      <c r="J52" s="23">
        <v>15225</v>
      </c>
      <c r="K52" s="23">
        <v>15764</v>
      </c>
      <c r="L52" s="23">
        <v>15113</v>
      </c>
      <c r="M52" s="23">
        <v>13403</v>
      </c>
      <c r="N52" s="23">
        <v>12593</v>
      </c>
      <c r="O52" s="23">
        <v>13204</v>
      </c>
      <c r="P52" s="23">
        <v>11977</v>
      </c>
      <c r="Q52" s="23">
        <v>13593</v>
      </c>
      <c r="R52" s="23">
        <v>14619</v>
      </c>
      <c r="S52" s="23">
        <v>14876</v>
      </c>
      <c r="T52" s="23">
        <v>15125</v>
      </c>
      <c r="U52" s="23">
        <v>15923</v>
      </c>
      <c r="V52" s="23">
        <v>17149</v>
      </c>
      <c r="W52" s="23">
        <v>17395</v>
      </c>
      <c r="X52" s="23">
        <v>15307</v>
      </c>
      <c r="Y52" s="23">
        <v>16446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7133.0000000000446</v>
      </c>
      <c r="E53" s="23">
        <v>7622.0000000000291</v>
      </c>
      <c r="F53" s="23">
        <v>7891.0000000000991</v>
      </c>
      <c r="G53" s="23">
        <v>8215.0000000000819</v>
      </c>
      <c r="H53" s="23">
        <v>8959.0000000000109</v>
      </c>
      <c r="I53" s="23">
        <v>9463.9999999999563</v>
      </c>
      <c r="J53" s="23">
        <v>10387.999999999995</v>
      </c>
      <c r="K53" s="23">
        <v>10923.999999999949</v>
      </c>
      <c r="L53" s="23">
        <v>11530.999999999958</v>
      </c>
      <c r="M53" s="23">
        <v>10870.00000000016</v>
      </c>
      <c r="N53" s="23">
        <v>10233.000000000015</v>
      </c>
      <c r="O53" s="23">
        <v>9700.9999999999673</v>
      </c>
      <c r="P53" s="23">
        <v>9453.0000000000309</v>
      </c>
      <c r="Q53" s="23">
        <v>9019.0000000000437</v>
      </c>
      <c r="R53" s="23">
        <v>9189.0000000002165</v>
      </c>
      <c r="S53" s="23">
        <v>9822</v>
      </c>
      <c r="T53" s="23">
        <v>9916.9999999998909</v>
      </c>
      <c r="U53" s="23">
        <v>10302.000000000169</v>
      </c>
      <c r="V53" s="23">
        <v>10502.999999999951</v>
      </c>
      <c r="W53" s="23">
        <v>11208.9999999999</v>
      </c>
      <c r="X53" s="23">
        <v>10121.000000000135</v>
      </c>
      <c r="Y53" s="23">
        <v>10941.000000000073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105163.00000000004</v>
      </c>
      <c r="E54" s="30">
        <f t="shared" ref="E54:S54" si="4">SUM(E41:E53)</f>
        <v>110985.00000000003</v>
      </c>
      <c r="F54" s="30">
        <f t="shared" si="4"/>
        <v>114239.0000000001</v>
      </c>
      <c r="G54" s="30">
        <f t="shared" si="4"/>
        <v>117972.00000000009</v>
      </c>
      <c r="H54" s="30">
        <f t="shared" si="4"/>
        <v>121788.00000000001</v>
      </c>
      <c r="I54" s="30">
        <f t="shared" si="4"/>
        <v>127132.99999999996</v>
      </c>
      <c r="J54" s="30">
        <f t="shared" si="4"/>
        <v>133862</v>
      </c>
      <c r="K54" s="30">
        <f t="shared" si="4"/>
        <v>138734.99999999994</v>
      </c>
      <c r="L54" s="30">
        <f t="shared" si="4"/>
        <v>140861.99999999997</v>
      </c>
      <c r="M54" s="30">
        <f t="shared" si="4"/>
        <v>123932.00000000016</v>
      </c>
      <c r="N54" s="30">
        <f t="shared" si="4"/>
        <v>122263.00000000001</v>
      </c>
      <c r="O54" s="30">
        <f t="shared" si="4"/>
        <v>122317.99999999997</v>
      </c>
      <c r="P54" s="30">
        <f t="shared" si="4"/>
        <v>114709.00000000003</v>
      </c>
      <c r="Q54" s="30">
        <f t="shared" si="4"/>
        <v>114183.00000000004</v>
      </c>
      <c r="R54" s="30">
        <f t="shared" si="4"/>
        <v>116718.00000000022</v>
      </c>
      <c r="S54" s="30">
        <f t="shared" si="4"/>
        <v>121760</v>
      </c>
      <c r="T54" s="30">
        <f t="shared" ref="T54:Y54" si="5">SUM(T41:T53)</f>
        <v>125538.99999999988</v>
      </c>
      <c r="U54" s="30">
        <f t="shared" si="5"/>
        <v>131687.00000000017</v>
      </c>
      <c r="V54" s="30">
        <f t="shared" si="5"/>
        <v>132747.99999999994</v>
      </c>
      <c r="W54" s="30">
        <f t="shared" si="5"/>
        <v>135932.99999999991</v>
      </c>
      <c r="X54" s="30">
        <f t="shared" si="5"/>
        <v>122991.00000000013</v>
      </c>
      <c r="Y54" s="30">
        <f t="shared" si="5"/>
        <v>138189.00000000006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14504</v>
      </c>
      <c r="E56" s="19">
        <v>15281</v>
      </c>
      <c r="F56" s="19">
        <v>16098</v>
      </c>
      <c r="G56" s="19">
        <v>17437</v>
      </c>
      <c r="H56" s="19">
        <v>18398</v>
      </c>
      <c r="I56" s="19">
        <v>20505</v>
      </c>
      <c r="J56" s="19">
        <v>21144</v>
      </c>
      <c r="K56" s="19">
        <v>23260</v>
      </c>
      <c r="L56" s="19">
        <v>24415</v>
      </c>
      <c r="M56" s="19">
        <v>24168</v>
      </c>
      <c r="N56" s="19">
        <v>24546</v>
      </c>
      <c r="O56" s="19">
        <v>25399</v>
      </c>
      <c r="P56" s="19">
        <v>24829</v>
      </c>
      <c r="Q56" s="19">
        <v>24376</v>
      </c>
      <c r="R56" s="19">
        <v>24309</v>
      </c>
      <c r="S56" s="19">
        <v>24496</v>
      </c>
      <c r="T56" s="19">
        <v>25045</v>
      </c>
      <c r="U56" s="19">
        <v>25800</v>
      </c>
      <c r="V56" s="19">
        <v>24411</v>
      </c>
      <c r="W56" s="19">
        <v>25978</v>
      </c>
      <c r="X56" s="19">
        <v>24543</v>
      </c>
      <c r="Y56" s="19">
        <v>25741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7572</v>
      </c>
      <c r="E57" s="23">
        <v>8109</v>
      </c>
      <c r="F57" s="23">
        <v>8153</v>
      </c>
      <c r="G57" s="23">
        <v>8556</v>
      </c>
      <c r="H57" s="23">
        <v>8337</v>
      </c>
      <c r="I57" s="23">
        <v>8289</v>
      </c>
      <c r="J57" s="23">
        <v>8642.9999999999982</v>
      </c>
      <c r="K57" s="23">
        <v>8689</v>
      </c>
      <c r="L57" s="23">
        <v>8778</v>
      </c>
      <c r="M57" s="23">
        <v>7771</v>
      </c>
      <c r="N57" s="23">
        <v>7932</v>
      </c>
      <c r="O57" s="23">
        <v>8831</v>
      </c>
      <c r="P57" s="23">
        <v>7984</v>
      </c>
      <c r="Q57" s="23">
        <v>8161</v>
      </c>
      <c r="R57" s="23">
        <v>8243</v>
      </c>
      <c r="S57" s="23">
        <v>8667</v>
      </c>
      <c r="T57" s="23">
        <v>8993</v>
      </c>
      <c r="U57" s="23">
        <v>9347.0000000000018</v>
      </c>
      <c r="V57" s="23">
        <v>9054</v>
      </c>
      <c r="W57" s="23">
        <v>8753</v>
      </c>
      <c r="X57" s="23">
        <v>7606</v>
      </c>
      <c r="Y57" s="23">
        <v>8228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2531</v>
      </c>
      <c r="E58" s="23">
        <v>2558</v>
      </c>
      <c r="F58" s="23">
        <v>2601</v>
      </c>
      <c r="G58" s="23">
        <v>2619</v>
      </c>
      <c r="H58" s="23">
        <v>2648</v>
      </c>
      <c r="I58" s="23">
        <v>2783</v>
      </c>
      <c r="J58" s="23">
        <v>2978</v>
      </c>
      <c r="K58" s="23">
        <v>3037</v>
      </c>
      <c r="L58" s="23">
        <v>2987</v>
      </c>
      <c r="M58" s="23">
        <v>2196</v>
      </c>
      <c r="N58" s="23">
        <v>2014</v>
      </c>
      <c r="O58" s="23">
        <v>1805</v>
      </c>
      <c r="P58" s="23">
        <v>1604</v>
      </c>
      <c r="Q58" s="23">
        <v>1493</v>
      </c>
      <c r="R58" s="23">
        <v>1473</v>
      </c>
      <c r="S58" s="23">
        <v>1602</v>
      </c>
      <c r="T58" s="23">
        <v>1659</v>
      </c>
      <c r="U58" s="23">
        <v>1913</v>
      </c>
      <c r="V58" s="23">
        <v>2003</v>
      </c>
      <c r="W58" s="23">
        <v>2063</v>
      </c>
      <c r="X58" s="23">
        <v>1951</v>
      </c>
      <c r="Y58" s="23">
        <v>2491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2981</v>
      </c>
      <c r="E59" s="23">
        <v>3167</v>
      </c>
      <c r="F59" s="23">
        <v>3218</v>
      </c>
      <c r="G59" s="23">
        <v>3160</v>
      </c>
      <c r="H59" s="23">
        <v>3205</v>
      </c>
      <c r="I59" s="23">
        <v>3241</v>
      </c>
      <c r="J59" s="23">
        <v>3317</v>
      </c>
      <c r="K59" s="23">
        <v>3554</v>
      </c>
      <c r="L59" s="23">
        <v>3555</v>
      </c>
      <c r="M59" s="23">
        <v>3252</v>
      </c>
      <c r="N59" s="23">
        <v>3586</v>
      </c>
      <c r="O59" s="23">
        <v>3689</v>
      </c>
      <c r="P59" s="23">
        <v>3518</v>
      </c>
      <c r="Q59" s="23">
        <v>3438</v>
      </c>
      <c r="R59" s="23">
        <v>3037</v>
      </c>
      <c r="S59" s="23">
        <v>3387</v>
      </c>
      <c r="T59" s="23">
        <v>3454</v>
      </c>
      <c r="U59" s="23">
        <v>3726</v>
      </c>
      <c r="V59" s="23">
        <v>3853</v>
      </c>
      <c r="W59" s="23">
        <v>3978</v>
      </c>
      <c r="X59" s="23">
        <v>3720</v>
      </c>
      <c r="Y59" s="23">
        <v>3827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3405</v>
      </c>
      <c r="E60" s="23">
        <v>3446</v>
      </c>
      <c r="F60" s="23">
        <v>3645.0000000000005</v>
      </c>
      <c r="G60" s="23">
        <v>3678</v>
      </c>
      <c r="H60" s="23">
        <v>3744</v>
      </c>
      <c r="I60" s="23">
        <v>4149</v>
      </c>
      <c r="J60" s="23">
        <v>4177.0000000000009</v>
      </c>
      <c r="K60" s="23">
        <v>4108</v>
      </c>
      <c r="L60" s="23">
        <v>4023</v>
      </c>
      <c r="M60" s="23">
        <v>3509.0000000000005</v>
      </c>
      <c r="N60" s="23">
        <v>3501.0000000000005</v>
      </c>
      <c r="O60" s="23">
        <v>3164.9999999999995</v>
      </c>
      <c r="P60" s="23">
        <v>2647.0000000000005</v>
      </c>
      <c r="Q60" s="23">
        <v>2415</v>
      </c>
      <c r="R60" s="23">
        <v>2380</v>
      </c>
      <c r="S60" s="23">
        <v>2220</v>
      </c>
      <c r="T60" s="23">
        <v>2227</v>
      </c>
      <c r="U60" s="23">
        <v>2211.0000000000005</v>
      </c>
      <c r="V60" s="23">
        <v>2248</v>
      </c>
      <c r="W60" s="23">
        <v>2256.9999999999995</v>
      </c>
      <c r="X60" s="23">
        <v>1911.0000000000007</v>
      </c>
      <c r="Y60" s="23">
        <v>2098.0000000000005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2713</v>
      </c>
      <c r="E61" s="23">
        <v>2894</v>
      </c>
      <c r="F61" s="23">
        <v>2783</v>
      </c>
      <c r="G61" s="23">
        <v>3318</v>
      </c>
      <c r="H61" s="23">
        <v>3483</v>
      </c>
      <c r="I61" s="23">
        <v>3818</v>
      </c>
      <c r="J61" s="23">
        <v>3345</v>
      </c>
      <c r="K61" s="23">
        <v>2707</v>
      </c>
      <c r="L61" s="23">
        <v>1920</v>
      </c>
      <c r="M61" s="23">
        <v>1249.9999999999998</v>
      </c>
      <c r="N61" s="23">
        <v>1883</v>
      </c>
      <c r="O61" s="23">
        <v>2579</v>
      </c>
      <c r="P61" s="23">
        <v>2286</v>
      </c>
      <c r="Q61" s="23">
        <v>1457</v>
      </c>
      <c r="R61" s="23">
        <v>873</v>
      </c>
      <c r="S61" s="23">
        <v>2917</v>
      </c>
      <c r="T61" s="23">
        <v>3410</v>
      </c>
      <c r="U61" s="23">
        <v>3482</v>
      </c>
      <c r="V61" s="23">
        <v>3215</v>
      </c>
      <c r="W61" s="23">
        <v>2638</v>
      </c>
      <c r="X61" s="23">
        <v>-521</v>
      </c>
      <c r="Y61" s="23">
        <v>1840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6684</v>
      </c>
      <c r="E62" s="23">
        <v>7185</v>
      </c>
      <c r="F62" s="23">
        <v>7302.9999999999991</v>
      </c>
      <c r="G62" s="23">
        <v>7214</v>
      </c>
      <c r="H62" s="23">
        <v>7588</v>
      </c>
      <c r="I62" s="23">
        <v>7855.9999999999991</v>
      </c>
      <c r="J62" s="23">
        <v>8166</v>
      </c>
      <c r="K62" s="23">
        <v>8319.0000000000018</v>
      </c>
      <c r="L62" s="23">
        <v>8549.9999999999982</v>
      </c>
      <c r="M62" s="23">
        <v>7725</v>
      </c>
      <c r="N62" s="23">
        <v>8461</v>
      </c>
      <c r="O62" s="23">
        <v>8830</v>
      </c>
      <c r="P62" s="23">
        <v>7883</v>
      </c>
      <c r="Q62" s="23">
        <v>7413</v>
      </c>
      <c r="R62" s="23">
        <v>7709</v>
      </c>
      <c r="S62" s="23">
        <v>8061</v>
      </c>
      <c r="T62" s="23">
        <v>8722</v>
      </c>
      <c r="U62" s="23">
        <v>9201</v>
      </c>
      <c r="V62" s="23">
        <v>8979</v>
      </c>
      <c r="W62" s="23">
        <v>9573</v>
      </c>
      <c r="X62" s="23">
        <v>9333</v>
      </c>
      <c r="Y62" s="23">
        <v>10992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3512</v>
      </c>
      <c r="E63" s="23">
        <v>3922</v>
      </c>
      <c r="F63" s="23">
        <v>4177</v>
      </c>
      <c r="G63" s="23">
        <v>4466.9999999999991</v>
      </c>
      <c r="H63" s="23">
        <v>4820.0000000000009</v>
      </c>
      <c r="I63" s="23">
        <v>5275</v>
      </c>
      <c r="J63" s="23">
        <v>5816</v>
      </c>
      <c r="K63" s="23">
        <v>6335</v>
      </c>
      <c r="L63" s="23">
        <v>6896</v>
      </c>
      <c r="M63" s="23">
        <v>6568</v>
      </c>
      <c r="N63" s="23">
        <v>5353</v>
      </c>
      <c r="O63" s="23">
        <v>4904</v>
      </c>
      <c r="P63" s="23">
        <v>5135.9999999999991</v>
      </c>
      <c r="Q63" s="23">
        <v>6068</v>
      </c>
      <c r="R63" s="23">
        <v>6862</v>
      </c>
      <c r="S63" s="23">
        <v>6833</v>
      </c>
      <c r="T63" s="23">
        <v>7026</v>
      </c>
      <c r="U63" s="23">
        <v>7171</v>
      </c>
      <c r="V63" s="23">
        <v>6476</v>
      </c>
      <c r="W63" s="23">
        <v>7028</v>
      </c>
      <c r="X63" s="23">
        <v>7745</v>
      </c>
      <c r="Y63" s="23">
        <v>8836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4804</v>
      </c>
      <c r="E64" s="23">
        <v>4933.9999999999991</v>
      </c>
      <c r="F64" s="23">
        <v>5133</v>
      </c>
      <c r="G64" s="23">
        <v>5160.9999999999991</v>
      </c>
      <c r="H64" s="23">
        <v>5223</v>
      </c>
      <c r="I64" s="23">
        <v>5244</v>
      </c>
      <c r="J64" s="23">
        <v>5145</v>
      </c>
      <c r="K64" s="23">
        <v>5332</v>
      </c>
      <c r="L64" s="23">
        <v>5870</v>
      </c>
      <c r="M64" s="23">
        <v>5292</v>
      </c>
      <c r="N64" s="23">
        <v>5516</v>
      </c>
      <c r="O64" s="23">
        <v>5416</v>
      </c>
      <c r="P64" s="23">
        <v>5099</v>
      </c>
      <c r="Q64" s="23">
        <v>5462</v>
      </c>
      <c r="R64" s="23">
        <v>5550</v>
      </c>
      <c r="S64" s="23">
        <v>5823</v>
      </c>
      <c r="T64" s="23">
        <v>5882</v>
      </c>
      <c r="U64" s="23">
        <v>6130</v>
      </c>
      <c r="V64" s="23">
        <v>6399</v>
      </c>
      <c r="W64" s="23">
        <v>6603</v>
      </c>
      <c r="X64" s="23">
        <v>6274</v>
      </c>
      <c r="Y64" s="23">
        <v>6960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8114</v>
      </c>
      <c r="E65" s="23">
        <v>8647.9999999999982</v>
      </c>
      <c r="F65" s="23">
        <v>8782.9999999999982</v>
      </c>
      <c r="G65" s="23">
        <v>8734</v>
      </c>
      <c r="H65" s="23">
        <v>9084</v>
      </c>
      <c r="I65" s="23">
        <v>9897.9999999999982</v>
      </c>
      <c r="J65" s="23">
        <v>10159</v>
      </c>
      <c r="K65" s="23">
        <v>10179</v>
      </c>
      <c r="L65" s="23">
        <v>10039.000000000002</v>
      </c>
      <c r="M65" s="23">
        <v>7338.0000000000009</v>
      </c>
      <c r="N65" s="23">
        <v>6378.0000000000009</v>
      </c>
      <c r="O65" s="23">
        <v>5834</v>
      </c>
      <c r="P65" s="23">
        <v>4948</v>
      </c>
      <c r="Q65" s="23">
        <v>4569.0000000000009</v>
      </c>
      <c r="R65" s="23">
        <v>4748.9999999999991</v>
      </c>
      <c r="S65" s="23">
        <v>4970</v>
      </c>
      <c r="T65" s="23">
        <v>5297</v>
      </c>
      <c r="U65" s="23">
        <v>5634.0000000000009</v>
      </c>
      <c r="V65" s="23">
        <v>5845.0000000000009</v>
      </c>
      <c r="W65" s="23">
        <v>6531</v>
      </c>
      <c r="X65" s="23">
        <v>6214</v>
      </c>
      <c r="Y65" s="23">
        <v>6798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6559.0000000000009</v>
      </c>
      <c r="E66" s="23">
        <v>6772</v>
      </c>
      <c r="F66" s="23">
        <v>6555</v>
      </c>
      <c r="G66" s="23">
        <v>6175</v>
      </c>
      <c r="H66" s="23">
        <v>6436</v>
      </c>
      <c r="I66" s="23">
        <v>6142</v>
      </c>
      <c r="J66" s="23">
        <v>7044</v>
      </c>
      <c r="K66" s="23">
        <v>6585</v>
      </c>
      <c r="L66" s="23">
        <v>6040</v>
      </c>
      <c r="M66" s="23">
        <v>4617.9999999999991</v>
      </c>
      <c r="N66" s="23">
        <v>5768</v>
      </c>
      <c r="O66" s="23">
        <v>5572</v>
      </c>
      <c r="P66" s="23">
        <v>5381</v>
      </c>
      <c r="Q66" s="23">
        <v>5128</v>
      </c>
      <c r="R66" s="23">
        <v>5605</v>
      </c>
      <c r="S66" s="23">
        <v>5935</v>
      </c>
      <c r="T66" s="23">
        <v>6047</v>
      </c>
      <c r="U66" s="23">
        <v>6589</v>
      </c>
      <c r="V66" s="23">
        <v>6626</v>
      </c>
      <c r="W66" s="23">
        <v>5692</v>
      </c>
      <c r="X66" s="23">
        <v>4691</v>
      </c>
      <c r="Y66" s="23">
        <v>5794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9930.9999999999982</v>
      </c>
      <c r="E67" s="23">
        <v>10706</v>
      </c>
      <c r="F67" s="23">
        <v>11340</v>
      </c>
      <c r="G67" s="23">
        <v>11862.000000000002</v>
      </c>
      <c r="H67" s="23">
        <v>12095</v>
      </c>
      <c r="I67" s="23">
        <v>12877</v>
      </c>
      <c r="J67" s="23">
        <v>13600.999999999998</v>
      </c>
      <c r="K67" s="23">
        <v>14618.999999999998</v>
      </c>
      <c r="L67" s="23">
        <v>15106.000000000002</v>
      </c>
      <c r="M67" s="23">
        <v>12066</v>
      </c>
      <c r="N67" s="23">
        <v>11374</v>
      </c>
      <c r="O67" s="23">
        <v>10912</v>
      </c>
      <c r="P67" s="23">
        <v>9724.9999999999982</v>
      </c>
      <c r="Q67" s="23">
        <v>9522.0000000000018</v>
      </c>
      <c r="R67" s="23">
        <v>9855.0000000000018</v>
      </c>
      <c r="S67" s="23">
        <v>10030</v>
      </c>
      <c r="T67" s="23">
        <v>10528.000000000002</v>
      </c>
      <c r="U67" s="23">
        <v>11365.999999999998</v>
      </c>
      <c r="V67" s="23">
        <v>12224.000000000002</v>
      </c>
      <c r="W67" s="23">
        <v>12213.000000000002</v>
      </c>
      <c r="X67" s="23">
        <v>11143.999999999998</v>
      </c>
      <c r="Y67" s="23">
        <v>12874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3075</v>
      </c>
      <c r="E68" s="23">
        <v>3103</v>
      </c>
      <c r="F68" s="23">
        <v>2532</v>
      </c>
      <c r="G68" s="23">
        <v>2418</v>
      </c>
      <c r="H68" s="23">
        <v>2223.9999999999995</v>
      </c>
      <c r="I68" s="23">
        <v>2327</v>
      </c>
      <c r="J68" s="23">
        <v>2339.0000000000005</v>
      </c>
      <c r="K68" s="23">
        <v>2621</v>
      </c>
      <c r="L68" s="23">
        <v>2705</v>
      </c>
      <c r="M68" s="23">
        <v>2405.0000000000005</v>
      </c>
      <c r="N68" s="23">
        <v>2129</v>
      </c>
      <c r="O68" s="23">
        <v>2079.0000000000005</v>
      </c>
      <c r="P68" s="23">
        <v>1955</v>
      </c>
      <c r="Q68" s="23">
        <v>1855</v>
      </c>
      <c r="R68" s="23">
        <v>1628</v>
      </c>
      <c r="S68" s="23">
        <v>1561</v>
      </c>
      <c r="T68" s="23">
        <v>1570</v>
      </c>
      <c r="U68" s="23">
        <v>1675</v>
      </c>
      <c r="V68" s="23">
        <v>1791</v>
      </c>
      <c r="W68" s="23">
        <v>1922</v>
      </c>
      <c r="X68" s="23">
        <v>1745</v>
      </c>
      <c r="Y68" s="23">
        <v>1974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3988</v>
      </c>
      <c r="E69" s="23">
        <v>4190</v>
      </c>
      <c r="F69" s="23">
        <v>4329</v>
      </c>
      <c r="G69" s="23">
        <v>4529</v>
      </c>
      <c r="H69" s="23">
        <v>4724</v>
      </c>
      <c r="I69" s="23">
        <v>4554.0000000000009</v>
      </c>
      <c r="J69" s="23">
        <v>5488</v>
      </c>
      <c r="K69" s="23">
        <v>5625</v>
      </c>
      <c r="L69" s="23">
        <v>5898</v>
      </c>
      <c r="M69" s="23">
        <v>4950</v>
      </c>
      <c r="N69" s="23">
        <v>4779</v>
      </c>
      <c r="O69" s="23">
        <v>4030</v>
      </c>
      <c r="P69" s="23">
        <v>3739</v>
      </c>
      <c r="Q69" s="23">
        <v>3671</v>
      </c>
      <c r="R69" s="23">
        <v>3751</v>
      </c>
      <c r="S69" s="23">
        <v>4022</v>
      </c>
      <c r="T69" s="23">
        <v>4200.0000000000009</v>
      </c>
      <c r="U69" s="23">
        <v>4347.9999999999991</v>
      </c>
      <c r="V69" s="23">
        <v>4704.9999999999991</v>
      </c>
      <c r="W69" s="23">
        <v>4570</v>
      </c>
      <c r="X69" s="23">
        <v>4152</v>
      </c>
      <c r="Y69" s="23">
        <v>4585.9999999999991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5598</v>
      </c>
      <c r="E70" s="23">
        <v>6034</v>
      </c>
      <c r="F70" s="23">
        <v>6240</v>
      </c>
      <c r="G70" s="23">
        <v>6208</v>
      </c>
      <c r="H70" s="23">
        <v>6521</v>
      </c>
      <c r="I70" s="23">
        <v>6609</v>
      </c>
      <c r="J70" s="23">
        <v>6887</v>
      </c>
      <c r="K70" s="23">
        <v>7077</v>
      </c>
      <c r="L70" s="23">
        <v>7436</v>
      </c>
      <c r="M70" s="23">
        <v>6551</v>
      </c>
      <c r="N70" s="23">
        <v>6217</v>
      </c>
      <c r="O70" s="23">
        <v>6368</v>
      </c>
      <c r="P70" s="23">
        <v>6545</v>
      </c>
      <c r="Q70" s="23">
        <v>6543</v>
      </c>
      <c r="R70" s="23">
        <v>6886</v>
      </c>
      <c r="S70" s="23">
        <v>6538</v>
      </c>
      <c r="T70" s="23">
        <v>6437</v>
      </c>
      <c r="U70" s="23">
        <v>6869</v>
      </c>
      <c r="V70" s="23">
        <v>7267</v>
      </c>
      <c r="W70" s="23">
        <v>7530</v>
      </c>
      <c r="X70" s="23">
        <v>7055</v>
      </c>
      <c r="Y70" s="23">
        <v>7763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9816</v>
      </c>
      <c r="E71" s="23">
        <v>10015</v>
      </c>
      <c r="F71" s="23">
        <v>10486</v>
      </c>
      <c r="G71" s="23">
        <v>11063</v>
      </c>
      <c r="H71" s="23">
        <v>11352</v>
      </c>
      <c r="I71" s="23">
        <v>10882</v>
      </c>
      <c r="J71" s="23">
        <v>11551</v>
      </c>
      <c r="K71" s="23">
        <v>11857</v>
      </c>
      <c r="L71" s="23">
        <v>10688</v>
      </c>
      <c r="M71" s="23">
        <v>9177</v>
      </c>
      <c r="N71" s="23">
        <v>8897</v>
      </c>
      <c r="O71" s="23">
        <v>8498</v>
      </c>
      <c r="P71" s="23">
        <v>7421</v>
      </c>
      <c r="Q71" s="23">
        <v>8527</v>
      </c>
      <c r="R71" s="23">
        <v>9758.9999999999982</v>
      </c>
      <c r="S71" s="23">
        <v>10741</v>
      </c>
      <c r="T71" s="23">
        <v>11240</v>
      </c>
      <c r="U71" s="23">
        <v>11748</v>
      </c>
      <c r="V71" s="23">
        <v>12404</v>
      </c>
      <c r="W71" s="23">
        <v>12309</v>
      </c>
      <c r="X71" s="23">
        <v>10831</v>
      </c>
      <c r="Y71" s="23">
        <v>11906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2242.9999999999995</v>
      </c>
      <c r="E72" s="23">
        <v>2399.0000000000005</v>
      </c>
      <c r="F72" s="23">
        <v>2972.0000000000014</v>
      </c>
      <c r="G72" s="23">
        <v>3158.0000000000018</v>
      </c>
      <c r="H72" s="23">
        <v>2947</v>
      </c>
      <c r="I72" s="23">
        <v>3220.0000000000014</v>
      </c>
      <c r="J72" s="23">
        <v>3673.9999999999995</v>
      </c>
      <c r="K72" s="23">
        <v>3907</v>
      </c>
      <c r="L72" s="23">
        <v>4425</v>
      </c>
      <c r="M72" s="23">
        <v>4226</v>
      </c>
      <c r="N72" s="23">
        <v>3696.0000000000005</v>
      </c>
      <c r="O72" s="23">
        <v>4705.9999999999991</v>
      </c>
      <c r="P72" s="23">
        <v>4556</v>
      </c>
      <c r="Q72" s="23">
        <v>5066</v>
      </c>
      <c r="R72" s="23">
        <v>4860.0000000000009</v>
      </c>
      <c r="S72" s="23">
        <v>4135</v>
      </c>
      <c r="T72" s="23">
        <v>3885</v>
      </c>
      <c r="U72" s="23">
        <v>4174.9999999999991</v>
      </c>
      <c r="V72" s="23">
        <v>4745.0000000000009</v>
      </c>
      <c r="W72" s="23">
        <v>5086.0000000000009</v>
      </c>
      <c r="X72" s="23">
        <v>4476.0000000000009</v>
      </c>
      <c r="Y72" s="23">
        <v>4540.0000000000009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5218</v>
      </c>
      <c r="E73" s="23">
        <v>5387</v>
      </c>
      <c r="F73" s="23">
        <v>5371</v>
      </c>
      <c r="G73" s="23">
        <v>5480</v>
      </c>
      <c r="H73" s="23">
        <v>5954</v>
      </c>
      <c r="I73" s="23">
        <v>6143</v>
      </c>
      <c r="J73" s="23">
        <v>6442</v>
      </c>
      <c r="K73" s="23">
        <v>6486</v>
      </c>
      <c r="L73" s="23">
        <v>6569</v>
      </c>
      <c r="M73" s="23">
        <v>5614</v>
      </c>
      <c r="N73" s="23">
        <v>4935</v>
      </c>
      <c r="O73" s="23">
        <v>4622</v>
      </c>
      <c r="P73" s="23">
        <v>4554</v>
      </c>
      <c r="Q73" s="23">
        <v>4114.0000000000009</v>
      </c>
      <c r="R73" s="23">
        <v>4102.9999999999991</v>
      </c>
      <c r="S73" s="23">
        <v>4034</v>
      </c>
      <c r="T73" s="23">
        <v>4070</v>
      </c>
      <c r="U73" s="23">
        <v>4330</v>
      </c>
      <c r="V73" s="23">
        <v>4418.9999999999991</v>
      </c>
      <c r="W73" s="23">
        <v>4795</v>
      </c>
      <c r="X73" s="23">
        <v>4161</v>
      </c>
      <c r="Y73" s="23">
        <v>4970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1915.0000000000439</v>
      </c>
      <c r="E74" s="23">
        <v>2235.0000000000291</v>
      </c>
      <c r="F74" s="23">
        <v>2520.0000000000982</v>
      </c>
      <c r="G74" s="23">
        <v>2735.0000000000828</v>
      </c>
      <c r="H74" s="23">
        <v>3005.0000000000109</v>
      </c>
      <c r="I74" s="23">
        <v>3320.9999999999577</v>
      </c>
      <c r="J74" s="23">
        <v>3945.9999999999932</v>
      </c>
      <c r="K74" s="23">
        <v>4437.9999999999482</v>
      </c>
      <c r="L74" s="23">
        <v>4961.9999999999573</v>
      </c>
      <c r="M74" s="23">
        <v>5256.0000000001592</v>
      </c>
      <c r="N74" s="23">
        <v>5298.0000000000155</v>
      </c>
      <c r="O74" s="23">
        <v>5078.9999999999673</v>
      </c>
      <c r="P74" s="23">
        <v>4899.0000000000309</v>
      </c>
      <c r="Q74" s="23">
        <v>4905.0000000000427</v>
      </c>
      <c r="R74" s="23">
        <v>5086.0000000002165</v>
      </c>
      <c r="S74" s="23">
        <v>5788</v>
      </c>
      <c r="T74" s="23">
        <v>5846.9999999998927</v>
      </c>
      <c r="U74" s="23">
        <v>5972.0000000001692</v>
      </c>
      <c r="V74" s="23">
        <v>6083.9999999999527</v>
      </c>
      <c r="W74" s="23">
        <v>6413.999999999899</v>
      </c>
      <c r="X74" s="23">
        <v>5960.0000000001346</v>
      </c>
      <c r="Y74" s="23">
        <v>5971.0000000000709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105163.00000000004</v>
      </c>
      <c r="E75" s="30">
        <f t="shared" ref="E75:S75" si="6">SUM(E56:E74)</f>
        <v>110985.00000000003</v>
      </c>
      <c r="F75" s="30">
        <f t="shared" si="6"/>
        <v>114239.0000000001</v>
      </c>
      <c r="G75" s="30">
        <f t="shared" si="6"/>
        <v>117972.00000000009</v>
      </c>
      <c r="H75" s="30">
        <f t="shared" si="6"/>
        <v>121788.00000000001</v>
      </c>
      <c r="I75" s="30">
        <f t="shared" si="6"/>
        <v>127132.99999999996</v>
      </c>
      <c r="J75" s="30">
        <f t="shared" si="6"/>
        <v>133862</v>
      </c>
      <c r="K75" s="30">
        <f t="shared" si="6"/>
        <v>138734.99999999994</v>
      </c>
      <c r="L75" s="30">
        <f t="shared" si="6"/>
        <v>140861.99999999997</v>
      </c>
      <c r="M75" s="30">
        <f t="shared" si="6"/>
        <v>123932.00000000016</v>
      </c>
      <c r="N75" s="30">
        <f t="shared" si="6"/>
        <v>122263.00000000001</v>
      </c>
      <c r="O75" s="30">
        <f t="shared" si="6"/>
        <v>122317.99999999997</v>
      </c>
      <c r="P75" s="30">
        <f t="shared" si="6"/>
        <v>114709.00000000003</v>
      </c>
      <c r="Q75" s="30">
        <f t="shared" si="6"/>
        <v>114183.00000000004</v>
      </c>
      <c r="R75" s="30">
        <f t="shared" si="6"/>
        <v>116718.00000000022</v>
      </c>
      <c r="S75" s="30">
        <f t="shared" si="6"/>
        <v>121760</v>
      </c>
      <c r="T75" s="30">
        <f t="shared" ref="T75:Y75" si="7">SUM(T56:T74)</f>
        <v>125538.9999999999</v>
      </c>
      <c r="U75" s="30">
        <f t="shared" si="7"/>
        <v>131687.00000000017</v>
      </c>
      <c r="V75" s="30">
        <f t="shared" si="7"/>
        <v>132747.99999999994</v>
      </c>
      <c r="W75" s="30">
        <f t="shared" si="7"/>
        <v>135932.99999999991</v>
      </c>
      <c r="X75" s="30">
        <f t="shared" si="7"/>
        <v>122991.00000000013</v>
      </c>
      <c r="Y75" s="30">
        <f t="shared" si="7"/>
        <v>138189.00000000006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875261.42289713316</v>
      </c>
      <c r="E2" s="19">
        <v>909683.48927445209</v>
      </c>
      <c r="F2" s="19">
        <v>934521.92452030384</v>
      </c>
      <c r="G2" s="19">
        <v>962399.68330514268</v>
      </c>
      <c r="H2" s="19">
        <v>992444.39825400128</v>
      </c>
      <c r="I2" s="19">
        <v>1028693.6072502191</v>
      </c>
      <c r="J2" s="19">
        <v>1070893.0305002294</v>
      </c>
      <c r="K2" s="19">
        <v>1109500.8201033641</v>
      </c>
      <c r="L2" s="19">
        <v>1119346.4751220695</v>
      </c>
      <c r="M2" s="19">
        <v>1077219.0153827555</v>
      </c>
      <c r="N2" s="19">
        <v>1078977.8613745864</v>
      </c>
      <c r="O2" s="19">
        <v>1070184.1046277666</v>
      </c>
      <c r="P2" s="19">
        <v>1038519.02584453</v>
      </c>
      <c r="Q2" s="19">
        <v>1023943.379380223</v>
      </c>
      <c r="R2" s="19">
        <v>1038235.2349735567</v>
      </c>
      <c r="S2" s="19">
        <v>1078092</v>
      </c>
      <c r="T2" s="19">
        <v>1110843.0852654453</v>
      </c>
      <c r="U2" s="19">
        <v>1143903.5670356704</v>
      </c>
      <c r="V2" s="19">
        <v>1170033.3362490402</v>
      </c>
      <c r="W2" s="19">
        <v>1193248.7066487833</v>
      </c>
      <c r="X2" s="19">
        <v>1059989.7696271597</v>
      </c>
      <c r="Y2" s="19">
        <v>1127865.1312147048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535793.35793357936</v>
      </c>
      <c r="E3" s="23">
        <v>556555.75202271878</v>
      </c>
      <c r="F3" s="23">
        <v>573679.13085440767</v>
      </c>
      <c r="G3" s="23">
        <v>587248.37303342391</v>
      </c>
      <c r="H3" s="23">
        <v>611075.57465301093</v>
      </c>
      <c r="I3" s="23">
        <v>636331.95510927343</v>
      </c>
      <c r="J3" s="23">
        <v>661688.28946017183</v>
      </c>
      <c r="K3" s="23">
        <v>684153.2467245775</v>
      </c>
      <c r="L3" s="23">
        <v>679352.52871848422</v>
      </c>
      <c r="M3" s="23">
        <v>654942.06375676463</v>
      </c>
      <c r="N3" s="23">
        <v>657360.32576588739</v>
      </c>
      <c r="O3" s="23">
        <v>641179.32015419181</v>
      </c>
      <c r="P3" s="23">
        <v>619901.01510024746</v>
      </c>
      <c r="Q3" s="23">
        <v>602000.84035294829</v>
      </c>
      <c r="R3" s="23">
        <v>612172.28838622011</v>
      </c>
      <c r="S3" s="23">
        <v>630215</v>
      </c>
      <c r="T3" s="23">
        <v>647190.66349859233</v>
      </c>
      <c r="U3" s="23">
        <v>666760.4055024042</v>
      </c>
      <c r="V3" s="23">
        <v>678060.83871342987</v>
      </c>
      <c r="W3" s="23">
        <v>685398.70121149917</v>
      </c>
      <c r="X3" s="23">
        <v>601369.4822992736</v>
      </c>
      <c r="Y3" s="23">
        <v>643853.18865838344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794523.20891394967</v>
      </c>
      <c r="E4" s="27">
        <v>826150.12732513796</v>
      </c>
      <c r="F4" s="27">
        <v>847920.72572939028</v>
      </c>
      <c r="G4" s="27">
        <v>870819.27595530357</v>
      </c>
      <c r="H4" s="27">
        <v>895228.1439061563</v>
      </c>
      <c r="I4" s="27">
        <v>926206.98096202419</v>
      </c>
      <c r="J4" s="27">
        <v>965456.87354738743</v>
      </c>
      <c r="K4" s="27">
        <v>1004626.2607415699</v>
      </c>
      <c r="L4" s="27">
        <v>1017464.6766169154</v>
      </c>
      <c r="M4" s="27">
        <v>984452.82796427829</v>
      </c>
      <c r="N4" s="27">
        <v>983413.83095499454</v>
      </c>
      <c r="O4" s="27">
        <v>979132.5801843917</v>
      </c>
      <c r="P4" s="27">
        <v>950863.78904095851</v>
      </c>
      <c r="Q4" s="27">
        <v>938926.97166440182</v>
      </c>
      <c r="R4" s="27">
        <v>947906.41883719061</v>
      </c>
      <c r="S4" s="27">
        <v>978971</v>
      </c>
      <c r="T4" s="27">
        <v>1006607.4077023382</v>
      </c>
      <c r="U4" s="27">
        <v>1037699.8975894123</v>
      </c>
      <c r="V4" s="27">
        <v>1061616.2698915405</v>
      </c>
      <c r="W4" s="27">
        <v>1083723.3175037175</v>
      </c>
      <c r="X4" s="27">
        <v>963734.17900727701</v>
      </c>
      <c r="Y4" s="27">
        <v>1022158.6497578289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32731.246037420242</v>
      </c>
      <c r="E6" s="19">
        <v>33324.284846369614</v>
      </c>
      <c r="F6" s="19">
        <v>32454.300641590449</v>
      </c>
      <c r="G6" s="19">
        <v>32932.548512908863</v>
      </c>
      <c r="H6" s="19">
        <v>31041.887960097909</v>
      </c>
      <c r="I6" s="19">
        <v>28572.541252656523</v>
      </c>
      <c r="J6" s="19">
        <v>26049.109064302313</v>
      </c>
      <c r="K6" s="19">
        <v>27960.734313938901</v>
      </c>
      <c r="L6" s="19">
        <v>26148.258706467663</v>
      </c>
      <c r="M6" s="19">
        <v>23799.699372218456</v>
      </c>
      <c r="N6" s="19">
        <v>26024.348867378507</v>
      </c>
      <c r="O6" s="19">
        <v>25217.504220231138</v>
      </c>
      <c r="P6" s="19">
        <v>24897.979646062064</v>
      </c>
      <c r="Q6" s="19">
        <v>26933.413860788161</v>
      </c>
      <c r="R6" s="19">
        <v>26387.99290379808</v>
      </c>
      <c r="S6" s="19">
        <v>29476</v>
      </c>
      <c r="T6" s="19">
        <v>31328.946975503422</v>
      </c>
      <c r="U6" s="19">
        <v>31903.852213644241</v>
      </c>
      <c r="V6" s="19">
        <v>32334.168136504937</v>
      </c>
      <c r="W6" s="19">
        <v>29501.606945843527</v>
      </c>
      <c r="X6" s="19">
        <v>29693.915111702583</v>
      </c>
      <c r="Y6" s="19">
        <v>30851.850482493435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164105.43497322313</v>
      </c>
      <c r="E7" s="23">
        <v>166334.45793099888</v>
      </c>
      <c r="F7" s="23">
        <v>165735.09884464089</v>
      </c>
      <c r="G7" s="23">
        <v>166344.84243772889</v>
      </c>
      <c r="H7" s="23">
        <v>166777.12095321668</v>
      </c>
      <c r="I7" s="23">
        <v>170179.03040957788</v>
      </c>
      <c r="J7" s="23">
        <v>173819.61780149781</v>
      </c>
      <c r="K7" s="23">
        <v>176030.10231053887</v>
      </c>
      <c r="L7" s="23">
        <v>175277.61194029846</v>
      </c>
      <c r="M7" s="23">
        <v>155897.11849253846</v>
      </c>
      <c r="N7" s="23">
        <v>160539.86628081033</v>
      </c>
      <c r="O7" s="23">
        <v>161151.89835485897</v>
      </c>
      <c r="P7" s="23">
        <v>154594.67589111149</v>
      </c>
      <c r="Q7" s="23">
        <v>154086.26503598574</v>
      </c>
      <c r="R7" s="23">
        <v>155152.81025723752</v>
      </c>
      <c r="S7" s="23">
        <v>159990</v>
      </c>
      <c r="T7" s="23">
        <v>162685.76490847371</v>
      </c>
      <c r="U7" s="23">
        <v>168355.12840712164</v>
      </c>
      <c r="V7" s="23">
        <v>170240.40382385324</v>
      </c>
      <c r="W7" s="23">
        <v>171535.47272988909</v>
      </c>
      <c r="X7" s="23">
        <v>154847.0519391041</v>
      </c>
      <c r="Y7" s="23">
        <v>171406.25577698089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80325.369953190966</v>
      </c>
      <c r="E8" s="23">
        <v>86977.934618218482</v>
      </c>
      <c r="F8" s="23">
        <v>92351.795088172148</v>
      </c>
      <c r="G8" s="23">
        <v>96846.361830928625</v>
      </c>
      <c r="H8" s="23">
        <v>101079.527086316</v>
      </c>
      <c r="I8" s="23">
        <v>110164.34301736894</v>
      </c>
      <c r="J8" s="23">
        <v>117084.87561332529</v>
      </c>
      <c r="K8" s="23">
        <v>117224.86550362284</v>
      </c>
      <c r="L8" s="23">
        <v>114974.12935323383</v>
      </c>
      <c r="M8" s="23">
        <v>105686.3843123385</v>
      </c>
      <c r="N8" s="23">
        <v>87376.509330406159</v>
      </c>
      <c r="O8" s="23">
        <v>73473.974408917929</v>
      </c>
      <c r="P8" s="23">
        <v>62869.604451797262</v>
      </c>
      <c r="Q8" s="23">
        <v>54117.469424731993</v>
      </c>
      <c r="R8" s="23">
        <v>53679.138779130713</v>
      </c>
      <c r="S8" s="23">
        <v>56422</v>
      </c>
      <c r="T8" s="23">
        <v>59088.42061256383</v>
      </c>
      <c r="U8" s="23">
        <v>61112.533480384431</v>
      </c>
      <c r="V8" s="23">
        <v>62813.903857960024</v>
      </c>
      <c r="W8" s="23">
        <v>67943.589005612317</v>
      </c>
      <c r="X8" s="23">
        <v>57828.618889864185</v>
      </c>
      <c r="Y8" s="23">
        <v>58211.63160424446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189070.69916768963</v>
      </c>
      <c r="E9" s="23">
        <v>195943.69255826579</v>
      </c>
      <c r="F9" s="23">
        <v>200075.70022710066</v>
      </c>
      <c r="G9" s="23">
        <v>202129.54322494197</v>
      </c>
      <c r="H9" s="23">
        <v>207929.61714312105</v>
      </c>
      <c r="I9" s="23">
        <v>208884.75960522069</v>
      </c>
      <c r="J9" s="23">
        <v>214780.06369975035</v>
      </c>
      <c r="K9" s="23">
        <v>219953.14654144767</v>
      </c>
      <c r="L9" s="23">
        <v>221246.76616915423</v>
      </c>
      <c r="M9" s="23">
        <v>214670.83222808412</v>
      </c>
      <c r="N9" s="23">
        <v>219794.4316934438</v>
      </c>
      <c r="O9" s="23">
        <v>223130.86212579784</v>
      </c>
      <c r="P9" s="23">
        <v>219778.41279390384</v>
      </c>
      <c r="Q9" s="23">
        <v>216157.8338114651</v>
      </c>
      <c r="R9" s="23">
        <v>218900.6934924603</v>
      </c>
      <c r="S9" s="23">
        <v>229194</v>
      </c>
      <c r="T9" s="23">
        <v>238489.79226182777</v>
      </c>
      <c r="U9" s="23">
        <v>247523.43626910349</v>
      </c>
      <c r="V9" s="23">
        <v>252071.2538613707</v>
      </c>
      <c r="W9" s="23">
        <v>257420.25231448171</v>
      </c>
      <c r="X9" s="23">
        <v>193371.46416739814</v>
      </c>
      <c r="Y9" s="23">
        <v>224357.59973379673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35158.031053135666</v>
      </c>
      <c r="E10" s="23">
        <v>36884.218146094281</v>
      </c>
      <c r="F10" s="23">
        <v>38866.482173217009</v>
      </c>
      <c r="G10" s="23">
        <v>39552.078099203216</v>
      </c>
      <c r="H10" s="23">
        <v>39749.688264905555</v>
      </c>
      <c r="I10" s="23">
        <v>40352.497413016143</v>
      </c>
      <c r="J10" s="23">
        <v>40704.35568563312</v>
      </c>
      <c r="K10" s="23">
        <v>41240.372754506534</v>
      </c>
      <c r="L10" s="23">
        <v>40654.726368159201</v>
      </c>
      <c r="M10" s="23">
        <v>40273.315845834928</v>
      </c>
      <c r="N10" s="23">
        <v>39346.372617503243</v>
      </c>
      <c r="O10" s="23">
        <v>38221.80935542837</v>
      </c>
      <c r="P10" s="23">
        <v>37235.674537524443</v>
      </c>
      <c r="Q10" s="23">
        <v>36433.640344254869</v>
      </c>
      <c r="R10" s="23">
        <v>35788.444480283848</v>
      </c>
      <c r="S10" s="23">
        <v>36095</v>
      </c>
      <c r="T10" s="23">
        <v>36774.732986273557</v>
      </c>
      <c r="U10" s="23">
        <v>38673.782889554117</v>
      </c>
      <c r="V10" s="23">
        <v>38943.080716046738</v>
      </c>
      <c r="W10" s="23">
        <v>40485.441550342977</v>
      </c>
      <c r="X10" s="23">
        <v>37997.753678587273</v>
      </c>
      <c r="Y10" s="23">
        <v>40039.560764594964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34403.960556312471</v>
      </c>
      <c r="E11" s="23">
        <v>38671.940641925517</v>
      </c>
      <c r="F11" s="23">
        <v>39530.410394509869</v>
      </c>
      <c r="G11" s="23">
        <v>39337.927404110735</v>
      </c>
      <c r="H11" s="23">
        <v>40721.839929801878</v>
      </c>
      <c r="I11" s="23">
        <v>41685.489524106233</v>
      </c>
      <c r="J11" s="23">
        <v>44792.11500387363</v>
      </c>
      <c r="K11" s="23">
        <v>49879.238320324243</v>
      </c>
      <c r="L11" s="23">
        <v>51825.870646766169</v>
      </c>
      <c r="M11" s="23">
        <v>54251.52524389165</v>
      </c>
      <c r="N11" s="23">
        <v>41194.491567707817</v>
      </c>
      <c r="O11" s="23">
        <v>38791.165982439845</v>
      </c>
      <c r="P11" s="23">
        <v>40099.263047074746</v>
      </c>
      <c r="Q11" s="23">
        <v>33993.65846293221</v>
      </c>
      <c r="R11" s="23">
        <v>37197.605031852268</v>
      </c>
      <c r="S11" s="23">
        <v>37312</v>
      </c>
      <c r="T11" s="23">
        <v>39011.377322994536</v>
      </c>
      <c r="U11" s="23">
        <v>40077.004884197253</v>
      </c>
      <c r="V11" s="23">
        <v>43459.788148393571</v>
      </c>
      <c r="W11" s="23">
        <v>42215.186837434645</v>
      </c>
      <c r="X11" s="23">
        <v>43359.666260818682</v>
      </c>
      <c r="Y11" s="23">
        <v>43085.185048249339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49463.787079629306</v>
      </c>
      <c r="E12" s="23">
        <v>51598.350590090609</v>
      </c>
      <c r="F12" s="23">
        <v>57025.849766073887</v>
      </c>
      <c r="G12" s="23">
        <v>62334.601488287517</v>
      </c>
      <c r="H12" s="23">
        <v>68791.853322865194</v>
      </c>
      <c r="I12" s="23">
        <v>76380.002892971184</v>
      </c>
      <c r="J12" s="23">
        <v>84220.323663596442</v>
      </c>
      <c r="K12" s="23">
        <v>94400.389754433971</v>
      </c>
      <c r="L12" s="23">
        <v>96765.17412935324</v>
      </c>
      <c r="M12" s="23">
        <v>93555.169127688205</v>
      </c>
      <c r="N12" s="23">
        <v>106822.67238798524</v>
      </c>
      <c r="O12" s="23">
        <v>113722.49358225205</v>
      </c>
      <c r="P12" s="23">
        <v>116289.16629067028</v>
      </c>
      <c r="Q12" s="23">
        <v>121135.43711309075</v>
      </c>
      <c r="R12" s="23">
        <v>120430.8120312878</v>
      </c>
      <c r="S12" s="23">
        <v>117262</v>
      </c>
      <c r="T12" s="23">
        <v>118732.26959179001</v>
      </c>
      <c r="U12" s="23">
        <v>120052.78084134236</v>
      </c>
      <c r="V12" s="23">
        <v>123306.60014227385</v>
      </c>
      <c r="W12" s="23">
        <v>125200.74830910923</v>
      </c>
      <c r="X12" s="23">
        <v>123373.06868269295</v>
      </c>
      <c r="Y12" s="23">
        <v>123762.33963101268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50735.859491980416</v>
      </c>
      <c r="E13" s="23">
        <v>53947.079277672208</v>
      </c>
      <c r="F13" s="23">
        <v>55390.228465767359</v>
      </c>
      <c r="G13" s="23">
        <v>58062.354939822457</v>
      </c>
      <c r="H13" s="23">
        <v>59170.784648778463</v>
      </c>
      <c r="I13" s="23">
        <v>62797.503143324466</v>
      </c>
      <c r="J13" s="23">
        <v>69147.585435138157</v>
      </c>
      <c r="K13" s="23">
        <v>74460.718765224781</v>
      </c>
      <c r="L13" s="23">
        <v>76836.815920398003</v>
      </c>
      <c r="M13" s="23">
        <v>74573.373810015022</v>
      </c>
      <c r="N13" s="23">
        <v>73936.73286099192</v>
      </c>
      <c r="O13" s="23">
        <v>76162.935882452832</v>
      </c>
      <c r="P13" s="23">
        <v>73389.482127638243</v>
      </c>
      <c r="Q13" s="23">
        <v>73580.95525693291</v>
      </c>
      <c r="R13" s="23">
        <v>77512.902185307641</v>
      </c>
      <c r="S13" s="23">
        <v>83583</v>
      </c>
      <c r="T13" s="23">
        <v>86073.479788578887</v>
      </c>
      <c r="U13" s="23">
        <v>89766.818969591928</v>
      </c>
      <c r="V13" s="23">
        <v>93444.683733031896</v>
      </c>
      <c r="W13" s="23">
        <v>98920.708015541808</v>
      </c>
      <c r="X13" s="23">
        <v>86774.074808166042</v>
      </c>
      <c r="Y13" s="23">
        <v>93289.459089732685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126767.47919224076</v>
      </c>
      <c r="E14" s="23">
        <v>129764.35154664495</v>
      </c>
      <c r="F14" s="23">
        <v>132845.21165038904</v>
      </c>
      <c r="G14" s="23">
        <v>138621.3002177398</v>
      </c>
      <c r="H14" s="23">
        <v>144042.39597284442</v>
      </c>
      <c r="I14" s="23">
        <v>149190.52440666273</v>
      </c>
      <c r="J14" s="23">
        <v>155647.97279848496</v>
      </c>
      <c r="K14" s="23">
        <v>162951.5605726073</v>
      </c>
      <c r="L14" s="23">
        <v>171534.32835820896</v>
      </c>
      <c r="M14" s="23">
        <v>178798.8642950475</v>
      </c>
      <c r="N14" s="23">
        <v>183147.39047999203</v>
      </c>
      <c r="O14" s="23">
        <v>183166.02239469401</v>
      </c>
      <c r="P14" s="23">
        <v>176329.27257231664</v>
      </c>
      <c r="Q14" s="23">
        <v>177515.7280185213</v>
      </c>
      <c r="R14" s="23">
        <v>177273.00217724376</v>
      </c>
      <c r="S14" s="23">
        <v>181097</v>
      </c>
      <c r="T14" s="23">
        <v>184841.18531200543</v>
      </c>
      <c r="U14" s="23">
        <v>188024.85426185597</v>
      </c>
      <c r="V14" s="23">
        <v>192110.62278915211</v>
      </c>
      <c r="W14" s="23">
        <v>197370.36504053342</v>
      </c>
      <c r="X14" s="23">
        <v>195090.18319789338</v>
      </c>
      <c r="Y14" s="23">
        <v>195235.14622693829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31761.341409127086</v>
      </c>
      <c r="E15" s="23">
        <v>32703.817168857691</v>
      </c>
      <c r="F15" s="23">
        <v>33645.64847792904</v>
      </c>
      <c r="G15" s="23">
        <v>34657.717799631515</v>
      </c>
      <c r="H15" s="23">
        <v>35923.428624209118</v>
      </c>
      <c r="I15" s="23">
        <v>38000.289297119263</v>
      </c>
      <c r="J15" s="23">
        <v>39210.85478178531</v>
      </c>
      <c r="K15" s="23">
        <v>40525.131904924798</v>
      </c>
      <c r="L15" s="23">
        <v>42200.995024875621</v>
      </c>
      <c r="M15" s="23">
        <v>42946.545236621569</v>
      </c>
      <c r="N15" s="23">
        <v>45231.014868775572</v>
      </c>
      <c r="O15" s="23">
        <v>46093.913877318628</v>
      </c>
      <c r="P15" s="23">
        <v>45380.257682859577</v>
      </c>
      <c r="Q15" s="23">
        <v>44972.570335698831</v>
      </c>
      <c r="R15" s="23">
        <v>45583.017498588822</v>
      </c>
      <c r="S15" s="23">
        <v>48540</v>
      </c>
      <c r="T15" s="23">
        <v>49581.437942327029</v>
      </c>
      <c r="U15" s="23">
        <v>52209.705372616983</v>
      </c>
      <c r="V15" s="23">
        <v>52891.76468295345</v>
      </c>
      <c r="W15" s="23">
        <v>53129.946754928766</v>
      </c>
      <c r="X15" s="23">
        <v>41398.382271049828</v>
      </c>
      <c r="Y15" s="23">
        <v>41919.621399785559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794523.20891394955</v>
      </c>
      <c r="E16" s="30">
        <f t="shared" ref="E16:S16" si="0">SUM(E6:E15)</f>
        <v>826150.12732513796</v>
      </c>
      <c r="F16" s="30">
        <f t="shared" si="0"/>
        <v>847920.72572939028</v>
      </c>
      <c r="G16" s="30">
        <f t="shared" si="0"/>
        <v>870819.27595530357</v>
      </c>
      <c r="H16" s="30">
        <f t="shared" si="0"/>
        <v>895228.14390615642</v>
      </c>
      <c r="I16" s="30">
        <f t="shared" si="0"/>
        <v>926206.98096202407</v>
      </c>
      <c r="J16" s="30">
        <f t="shared" si="0"/>
        <v>965456.87354738743</v>
      </c>
      <c r="K16" s="30">
        <f t="shared" si="0"/>
        <v>1004626.2607415699</v>
      </c>
      <c r="L16" s="30">
        <f t="shared" si="0"/>
        <v>1017464.6766169154</v>
      </c>
      <c r="M16" s="30">
        <f t="shared" si="0"/>
        <v>984452.82796427829</v>
      </c>
      <c r="N16" s="30">
        <f t="shared" si="0"/>
        <v>983413.83095499477</v>
      </c>
      <c r="O16" s="30">
        <f t="shared" si="0"/>
        <v>979132.5801843917</v>
      </c>
      <c r="P16" s="30">
        <f t="shared" si="0"/>
        <v>950863.78904095863</v>
      </c>
      <c r="Q16" s="30">
        <f t="shared" si="0"/>
        <v>938926.97166440182</v>
      </c>
      <c r="R16" s="30">
        <f t="shared" si="0"/>
        <v>947906.41883719072</v>
      </c>
      <c r="S16" s="30">
        <f t="shared" si="0"/>
        <v>978971</v>
      </c>
      <c r="T16" s="30">
        <f t="shared" ref="T16:Y16" si="1">SUM(T6:T15)</f>
        <v>1006607.4077023383</v>
      </c>
      <c r="U16" s="30">
        <f t="shared" si="1"/>
        <v>1037699.8975894125</v>
      </c>
      <c r="V16" s="30">
        <f t="shared" si="1"/>
        <v>1061616.2698915405</v>
      </c>
      <c r="W16" s="30">
        <f t="shared" si="1"/>
        <v>1083723.3175037173</v>
      </c>
      <c r="X16" s="30">
        <f t="shared" si="1"/>
        <v>963734.17900727689</v>
      </c>
      <c r="Y16" s="30">
        <f t="shared" si="1"/>
        <v>1022158.6497578289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32731.246037420242</v>
      </c>
      <c r="E18" s="19">
        <v>33324.284846369614</v>
      </c>
      <c r="F18" s="19">
        <v>32454.300641590449</v>
      </c>
      <c r="G18" s="19">
        <v>32932.548512908863</v>
      </c>
      <c r="H18" s="19">
        <v>31041.887960097909</v>
      </c>
      <c r="I18" s="19">
        <v>28572.541252656523</v>
      </c>
      <c r="J18" s="19">
        <v>26049.109064302313</v>
      </c>
      <c r="K18" s="19">
        <v>27960.734313938901</v>
      </c>
      <c r="L18" s="19">
        <v>26148.258706467663</v>
      </c>
      <c r="M18" s="19">
        <v>23799.699372218456</v>
      </c>
      <c r="N18" s="19">
        <v>26024.348867378507</v>
      </c>
      <c r="O18" s="19">
        <v>25217.504220231138</v>
      </c>
      <c r="P18" s="19">
        <v>24897.979646062064</v>
      </c>
      <c r="Q18" s="19">
        <v>26933.413860788161</v>
      </c>
      <c r="R18" s="19">
        <v>26387.99290379808</v>
      </c>
      <c r="S18" s="19">
        <v>29476</v>
      </c>
      <c r="T18" s="19">
        <v>31328.946975503422</v>
      </c>
      <c r="U18" s="19">
        <v>31903.852213644241</v>
      </c>
      <c r="V18" s="19">
        <v>32334.168136504937</v>
      </c>
      <c r="W18" s="19">
        <v>29501.606945843527</v>
      </c>
      <c r="X18" s="19">
        <v>29693.915111702583</v>
      </c>
      <c r="Y18" s="19">
        <v>30851.850482493435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2380.9202627780551</v>
      </c>
      <c r="E19" s="23">
        <v>2872.2482904822841</v>
      </c>
      <c r="F19" s="23">
        <v>3034.2140206748486</v>
      </c>
      <c r="G19" s="23">
        <v>3203.88581819922</v>
      </c>
      <c r="H19" s="23">
        <v>3318.2468941948</v>
      </c>
      <c r="I19" s="23">
        <v>3176.704905811534</v>
      </c>
      <c r="J19" s="23">
        <v>3324.8687268658</v>
      </c>
      <c r="K19" s="23">
        <v>3502.6070010676781</v>
      </c>
      <c r="L19" s="23">
        <v>3247.7611940298507</v>
      </c>
      <c r="M19" s="23">
        <v>2539.6170434338374</v>
      </c>
      <c r="N19" s="23">
        <v>2633.469713601437</v>
      </c>
      <c r="O19" s="23">
        <v>2584.0799896117387</v>
      </c>
      <c r="P19" s="23">
        <v>2298.0899383365918</v>
      </c>
      <c r="Q19" s="23">
        <v>1845.0853087724597</v>
      </c>
      <c r="R19" s="23">
        <v>1637.9727441335376</v>
      </c>
      <c r="S19" s="23">
        <v>1483</v>
      </c>
      <c r="T19" s="23">
        <v>1467.2068323661449</v>
      </c>
      <c r="U19" s="23">
        <v>2044.2728848274774</v>
      </c>
      <c r="V19" s="23">
        <v>2612.5766183650203</v>
      </c>
      <c r="W19" s="23">
        <v>2924.1617498920709</v>
      </c>
      <c r="X19" s="23">
        <v>2268.9733933610823</v>
      </c>
      <c r="Y19" s="23">
        <v>3808.1857507302102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141861.02979859983</v>
      </c>
      <c r="E20" s="23">
        <v>143463.76080971037</v>
      </c>
      <c r="F20" s="23">
        <v>141769.15153696292</v>
      </c>
      <c r="G20" s="23">
        <v>141138.46816452526</v>
      </c>
      <c r="H20" s="23">
        <v>140613.30993395837</v>
      </c>
      <c r="I20" s="23">
        <v>141458.50255360335</v>
      </c>
      <c r="J20" s="23">
        <v>144036.75647757595</v>
      </c>
      <c r="K20" s="23">
        <v>143810.05690829363</v>
      </c>
      <c r="L20" s="23">
        <v>140161.19402985071</v>
      </c>
      <c r="M20" s="23">
        <v>121756.21641270509</v>
      </c>
      <c r="N20" s="23">
        <v>122006.78574992518</v>
      </c>
      <c r="O20" s="23">
        <v>122179.9366715611</v>
      </c>
      <c r="P20" s="23">
        <v>115013.78653431596</v>
      </c>
      <c r="Q20" s="23">
        <v>114935.82968443308</v>
      </c>
      <c r="R20" s="23">
        <v>117649.78630755606</v>
      </c>
      <c r="S20" s="23">
        <v>121760</v>
      </c>
      <c r="T20" s="23">
        <v>124960.43319431026</v>
      </c>
      <c r="U20" s="23">
        <v>129674.45249724295</v>
      </c>
      <c r="V20" s="23">
        <v>129360.06002787004</v>
      </c>
      <c r="W20" s="23">
        <v>130410.13095409401</v>
      </c>
      <c r="X20" s="23">
        <v>116082.90624911532</v>
      </c>
      <c r="Y20" s="23">
        <v>127730.43221059644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13218.491589213689</v>
      </c>
      <c r="E21" s="23">
        <v>13020.772740786701</v>
      </c>
      <c r="F21" s="23">
        <v>13555.30460034003</v>
      </c>
      <c r="G21" s="23">
        <v>14564.640011485177</v>
      </c>
      <c r="H21" s="23">
        <v>15243.846118320787</v>
      </c>
      <c r="I21" s="23">
        <v>17582.588764144959</v>
      </c>
      <c r="J21" s="23">
        <v>18168.416975122665</v>
      </c>
      <c r="K21" s="23">
        <v>20284.852442702988</v>
      </c>
      <c r="L21" s="23">
        <v>23267.661691542289</v>
      </c>
      <c r="M21" s="23">
        <v>22905.675577431302</v>
      </c>
      <c r="N21" s="23">
        <v>25813.791038818483</v>
      </c>
      <c r="O21" s="23">
        <v>25789.857461068994</v>
      </c>
      <c r="P21" s="23">
        <v>26608.512558279439</v>
      </c>
      <c r="Q21" s="23">
        <v>26163.370073984599</v>
      </c>
      <c r="R21" s="23">
        <v>25041.327312313522</v>
      </c>
      <c r="S21" s="23">
        <v>25706</v>
      </c>
      <c r="T21" s="23">
        <v>24824.064580990016</v>
      </c>
      <c r="U21" s="23">
        <v>24898.574129510002</v>
      </c>
      <c r="V21" s="23">
        <v>26467.808105711418</v>
      </c>
      <c r="W21" s="23">
        <v>26233.990502230536</v>
      </c>
      <c r="X21" s="23">
        <v>24545.308680427748</v>
      </c>
      <c r="Y21" s="23">
        <v>27199.874292897548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6644.9933226315579</v>
      </c>
      <c r="E22" s="23">
        <v>6977.6760900195186</v>
      </c>
      <c r="F22" s="23">
        <v>7376.4286866631091</v>
      </c>
      <c r="G22" s="23">
        <v>7437.8484435192495</v>
      </c>
      <c r="H22" s="23">
        <v>7601.7180067427153</v>
      </c>
      <c r="I22" s="23">
        <v>7961.2341860180477</v>
      </c>
      <c r="J22" s="23">
        <v>8289.5756219333725</v>
      </c>
      <c r="K22" s="23">
        <v>8432.5859584745667</v>
      </c>
      <c r="L22" s="23">
        <v>8600.9950248756213</v>
      </c>
      <c r="M22" s="23">
        <v>8695.609458968238</v>
      </c>
      <c r="N22" s="23">
        <v>10085.819778465224</v>
      </c>
      <c r="O22" s="23">
        <v>10598.024232617143</v>
      </c>
      <c r="P22" s="23">
        <v>10674.286860179476</v>
      </c>
      <c r="Q22" s="23">
        <v>11141.979968795611</v>
      </c>
      <c r="R22" s="23">
        <v>10823.723893234417</v>
      </c>
      <c r="S22" s="23">
        <v>11041</v>
      </c>
      <c r="T22" s="23">
        <v>11434.060300807263</v>
      </c>
      <c r="U22" s="23">
        <v>11737.828895541199</v>
      </c>
      <c r="V22" s="23">
        <v>11799.959071906762</v>
      </c>
      <c r="W22" s="23">
        <v>11967.18952367247</v>
      </c>
      <c r="X22" s="23">
        <v>11949.863616199942</v>
      </c>
      <c r="Y22" s="23">
        <v>12667.763522756683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80325.369953190966</v>
      </c>
      <c r="E23" s="23">
        <v>86977.934618218482</v>
      </c>
      <c r="F23" s="23">
        <v>92351.795088172148</v>
      </c>
      <c r="G23" s="23">
        <v>96846.361830928625</v>
      </c>
      <c r="H23" s="23">
        <v>101079.527086316</v>
      </c>
      <c r="I23" s="23">
        <v>110164.34301736894</v>
      </c>
      <c r="J23" s="23">
        <v>117084.87561332529</v>
      </c>
      <c r="K23" s="23">
        <v>117224.86550362284</v>
      </c>
      <c r="L23" s="23">
        <v>114974.12935323383</v>
      </c>
      <c r="M23" s="23">
        <v>105686.3843123385</v>
      </c>
      <c r="N23" s="23">
        <v>87376.509330406159</v>
      </c>
      <c r="O23" s="23">
        <v>73473.974408917929</v>
      </c>
      <c r="P23" s="23">
        <v>62869.604451797262</v>
      </c>
      <c r="Q23" s="23">
        <v>54117.469424731993</v>
      </c>
      <c r="R23" s="23">
        <v>53679.138779130713</v>
      </c>
      <c r="S23" s="23">
        <v>56422</v>
      </c>
      <c r="T23" s="23">
        <v>59088.42061256383</v>
      </c>
      <c r="U23" s="23">
        <v>61112.533480384431</v>
      </c>
      <c r="V23" s="23">
        <v>62813.903857960024</v>
      </c>
      <c r="W23" s="23">
        <v>67943.589005612317</v>
      </c>
      <c r="X23" s="23">
        <v>57828.618889864185</v>
      </c>
      <c r="Y23" s="23">
        <v>58211.63160424446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92332.492479529494</v>
      </c>
      <c r="E24" s="23">
        <v>96714.106591176445</v>
      </c>
      <c r="F24" s="23">
        <v>99784.068204663636</v>
      </c>
      <c r="G24" s="23">
        <v>101281.31505276002</v>
      </c>
      <c r="H24" s="23">
        <v>105533.87521359627</v>
      </c>
      <c r="I24" s="23">
        <v>108053.58672793829</v>
      </c>
      <c r="J24" s="23">
        <v>112432.2114143066</v>
      </c>
      <c r="K24" s="23">
        <v>117403.15742554757</v>
      </c>
      <c r="L24" s="23">
        <v>118788.05970149254</v>
      </c>
      <c r="M24" s="23">
        <v>114755.32238891016</v>
      </c>
      <c r="N24" s="23">
        <v>117740.74443668299</v>
      </c>
      <c r="O24" s="23">
        <v>120091.2968345769</v>
      </c>
      <c r="P24" s="23">
        <v>118806.8381210207</v>
      </c>
      <c r="Q24" s="23">
        <v>118826.31234586542</v>
      </c>
      <c r="R24" s="23">
        <v>118350.33465043144</v>
      </c>
      <c r="S24" s="23">
        <v>123306</v>
      </c>
      <c r="T24" s="23">
        <v>129826.90144630364</v>
      </c>
      <c r="U24" s="23">
        <v>133654.67937608316</v>
      </c>
      <c r="V24" s="23">
        <v>136340.24888178601</v>
      </c>
      <c r="W24" s="23">
        <v>137836.61917781935</v>
      </c>
      <c r="X24" s="23">
        <v>124927.56085360215</v>
      </c>
      <c r="Y24" s="23">
        <v>139899.06459126706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37754.785447383685</v>
      </c>
      <c r="E25" s="23">
        <v>40150.721939995601</v>
      </c>
      <c r="F25" s="23">
        <v>40324.642285402268</v>
      </c>
      <c r="G25" s="23">
        <v>40858.516976527171</v>
      </c>
      <c r="H25" s="23">
        <v>41386.87479794948</v>
      </c>
      <c r="I25" s="23">
        <v>39743.860781324758</v>
      </c>
      <c r="J25" s="23">
        <v>40832.40079194284</v>
      </c>
      <c r="K25" s="23">
        <v>42058.235117289129</v>
      </c>
      <c r="L25" s="23">
        <v>42105.472636815917</v>
      </c>
      <c r="M25" s="23">
        <v>41119.199897825849</v>
      </c>
      <c r="N25" s="23">
        <v>43541.562718291592</v>
      </c>
      <c r="O25" s="23">
        <v>44455.764985566311</v>
      </c>
      <c r="P25" s="23">
        <v>43326.816062565798</v>
      </c>
      <c r="Q25" s="23">
        <v>42402.737933464188</v>
      </c>
      <c r="R25" s="23">
        <v>44574.026288202564</v>
      </c>
      <c r="S25" s="23">
        <v>47088</v>
      </c>
      <c r="T25" s="23">
        <v>46422.065835183108</v>
      </c>
      <c r="U25" s="23">
        <v>47668.189695919325</v>
      </c>
      <c r="V25" s="23">
        <v>48254.221927713188</v>
      </c>
      <c r="W25" s="23">
        <v>49574.519115460258</v>
      </c>
      <c r="X25" s="23">
        <v>37768.402374682635</v>
      </c>
      <c r="Y25" s="23">
        <v>40551.632343698009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58983.421240776464</v>
      </c>
      <c r="E26" s="23">
        <v>59078.864027093754</v>
      </c>
      <c r="F26" s="23">
        <v>59966.989737034783</v>
      </c>
      <c r="G26" s="23">
        <v>59989.711195654774</v>
      </c>
      <c r="H26" s="23">
        <v>61008.867131575302</v>
      </c>
      <c r="I26" s="23">
        <v>61087.312095957626</v>
      </c>
      <c r="J26" s="23">
        <v>61515.451493500899</v>
      </c>
      <c r="K26" s="23">
        <v>60491.753998610977</v>
      </c>
      <c r="L26" s="23">
        <v>60353.233830845769</v>
      </c>
      <c r="M26" s="23">
        <v>58796.309941348103</v>
      </c>
      <c r="N26" s="23">
        <v>58512.124538469216</v>
      </c>
      <c r="O26" s="23">
        <v>58583.800305654608</v>
      </c>
      <c r="P26" s="23">
        <v>57644.758610317338</v>
      </c>
      <c r="Q26" s="23">
        <v>54928.783532135487</v>
      </c>
      <c r="R26" s="23">
        <v>55976.332553826302</v>
      </c>
      <c r="S26" s="23">
        <v>58800</v>
      </c>
      <c r="T26" s="23">
        <v>62240.824980341022</v>
      </c>
      <c r="U26" s="23">
        <v>66200.567197100987</v>
      </c>
      <c r="V26" s="23">
        <v>67476.783051871491</v>
      </c>
      <c r="W26" s="23">
        <v>70009.114021202098</v>
      </c>
      <c r="X26" s="23">
        <v>30675.500939113364</v>
      </c>
      <c r="Y26" s="23">
        <v>43906.902798831659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35158.031053135666</v>
      </c>
      <c r="E27" s="23">
        <v>36884.218146094281</v>
      </c>
      <c r="F27" s="23">
        <v>38866.482173217009</v>
      </c>
      <c r="G27" s="23">
        <v>39552.078099203216</v>
      </c>
      <c r="H27" s="23">
        <v>39749.688264905555</v>
      </c>
      <c r="I27" s="23">
        <v>40352.497413016143</v>
      </c>
      <c r="J27" s="23">
        <v>40704.35568563312</v>
      </c>
      <c r="K27" s="23">
        <v>41240.372754506534</v>
      </c>
      <c r="L27" s="23">
        <v>40654.726368159201</v>
      </c>
      <c r="M27" s="23">
        <v>40273.315845834928</v>
      </c>
      <c r="N27" s="23">
        <v>39346.372617503243</v>
      </c>
      <c r="O27" s="23">
        <v>38221.80935542837</v>
      </c>
      <c r="P27" s="23">
        <v>37235.674537524443</v>
      </c>
      <c r="Q27" s="23">
        <v>36433.640344254869</v>
      </c>
      <c r="R27" s="23">
        <v>35788.444480283848</v>
      </c>
      <c r="S27" s="23">
        <v>36095</v>
      </c>
      <c r="T27" s="23">
        <v>36774.732986273557</v>
      </c>
      <c r="U27" s="23">
        <v>38673.782889554117</v>
      </c>
      <c r="V27" s="23">
        <v>38943.080716046738</v>
      </c>
      <c r="W27" s="23">
        <v>40485.441550342977</v>
      </c>
      <c r="X27" s="23">
        <v>37997.753678587273</v>
      </c>
      <c r="Y27" s="23">
        <v>40039.560764594964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34403.960556312471</v>
      </c>
      <c r="E28" s="23">
        <v>38671.940641925517</v>
      </c>
      <c r="F28" s="23">
        <v>39530.410394509869</v>
      </c>
      <c r="G28" s="23">
        <v>39337.927404110735</v>
      </c>
      <c r="H28" s="23">
        <v>40721.839929801878</v>
      </c>
      <c r="I28" s="23">
        <v>41685.489524106233</v>
      </c>
      <c r="J28" s="23">
        <v>44792.11500387363</v>
      </c>
      <c r="K28" s="23">
        <v>49879.238320324243</v>
      </c>
      <c r="L28" s="23">
        <v>51825.870646766169</v>
      </c>
      <c r="M28" s="23">
        <v>54251.52524389165</v>
      </c>
      <c r="N28" s="23">
        <v>41194.491567707817</v>
      </c>
      <c r="O28" s="23">
        <v>38791.165982439845</v>
      </c>
      <c r="P28" s="23">
        <v>40099.263047074746</v>
      </c>
      <c r="Q28" s="23">
        <v>33993.65846293221</v>
      </c>
      <c r="R28" s="23">
        <v>37197.605031852268</v>
      </c>
      <c r="S28" s="23">
        <v>37312</v>
      </c>
      <c r="T28" s="23">
        <v>39011.377322994536</v>
      </c>
      <c r="U28" s="23">
        <v>40077.004884197253</v>
      </c>
      <c r="V28" s="23">
        <v>43459.788148393571</v>
      </c>
      <c r="W28" s="23">
        <v>42215.186837434645</v>
      </c>
      <c r="X28" s="23">
        <v>43359.666260818682</v>
      </c>
      <c r="Y28" s="23">
        <v>43085.185048249339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49463.787079629306</v>
      </c>
      <c r="E29" s="23">
        <v>51598.350590090609</v>
      </c>
      <c r="F29" s="23">
        <v>57025.849766073887</v>
      </c>
      <c r="G29" s="23">
        <v>62334.601488287517</v>
      </c>
      <c r="H29" s="23">
        <v>68791.853322865194</v>
      </c>
      <c r="I29" s="23">
        <v>76380.002892971184</v>
      </c>
      <c r="J29" s="23">
        <v>84220.323663596442</v>
      </c>
      <c r="K29" s="23">
        <v>94400.389754433971</v>
      </c>
      <c r="L29" s="23">
        <v>96765.17412935324</v>
      </c>
      <c r="M29" s="23">
        <v>93555.169127688205</v>
      </c>
      <c r="N29" s="23">
        <v>106822.67238798524</v>
      </c>
      <c r="O29" s="23">
        <v>113722.49358225205</v>
      </c>
      <c r="P29" s="23">
        <v>116289.16629067028</v>
      </c>
      <c r="Q29" s="23">
        <v>121135.43711309075</v>
      </c>
      <c r="R29" s="23">
        <v>120430.8120312878</v>
      </c>
      <c r="S29" s="23">
        <v>117262</v>
      </c>
      <c r="T29" s="23">
        <v>118732.26959179001</v>
      </c>
      <c r="U29" s="23">
        <v>120052.78084134236</v>
      </c>
      <c r="V29" s="23">
        <v>123306.60014227385</v>
      </c>
      <c r="W29" s="23">
        <v>125200.74830910923</v>
      </c>
      <c r="X29" s="23">
        <v>123373.06868269295</v>
      </c>
      <c r="Y29" s="23">
        <v>123762.33963101268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28167.703120152168</v>
      </c>
      <c r="E30" s="23">
        <v>29964.710900841506</v>
      </c>
      <c r="F30" s="23">
        <v>30262.717017659244</v>
      </c>
      <c r="G30" s="23">
        <v>31891.704352403511</v>
      </c>
      <c r="H30" s="23">
        <v>32634.046090611002</v>
      </c>
      <c r="I30" s="23">
        <v>34874.76772779366</v>
      </c>
      <c r="J30" s="23">
        <v>38148.833605922351</v>
      </c>
      <c r="K30" s="23">
        <v>40089.767909527218</v>
      </c>
      <c r="L30" s="23">
        <v>42132.338308457707</v>
      </c>
      <c r="M30" s="23">
        <v>42296.167487007173</v>
      </c>
      <c r="N30" s="23">
        <v>40756.411535774874</v>
      </c>
      <c r="O30" s="23">
        <v>41742.830601420399</v>
      </c>
      <c r="P30" s="23">
        <v>40393.041560134356</v>
      </c>
      <c r="Q30" s="23">
        <v>40505.309779052797</v>
      </c>
      <c r="R30" s="23">
        <v>42425.006047899369</v>
      </c>
      <c r="S30" s="23">
        <v>44903</v>
      </c>
      <c r="T30" s="23">
        <v>45532.185978917616</v>
      </c>
      <c r="U30" s="23">
        <v>47821.805577438157</v>
      </c>
      <c r="V30" s="23">
        <v>50474.083746674594</v>
      </c>
      <c r="W30" s="23">
        <v>53442.701587758434</v>
      </c>
      <c r="X30" s="23">
        <v>50098.630499004255</v>
      </c>
      <c r="Y30" s="23">
        <v>53724.072910119423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22568.156371828249</v>
      </c>
      <c r="E31" s="23">
        <v>23982.368376830702</v>
      </c>
      <c r="F31" s="23">
        <v>25127.511448108115</v>
      </c>
      <c r="G31" s="23">
        <v>26170.650587418946</v>
      </c>
      <c r="H31" s="23">
        <v>26536.738558167461</v>
      </c>
      <c r="I31" s="23">
        <v>27922.735415530802</v>
      </c>
      <c r="J31" s="23">
        <v>30998.751829215802</v>
      </c>
      <c r="K31" s="23">
        <v>34370.950855697563</v>
      </c>
      <c r="L31" s="23">
        <v>34704.477611940296</v>
      </c>
      <c r="M31" s="23">
        <v>32277.206323007849</v>
      </c>
      <c r="N31" s="23">
        <v>33180.321325217046</v>
      </c>
      <c r="O31" s="23">
        <v>34420.105281032433</v>
      </c>
      <c r="P31" s="23">
        <v>32996.440567503887</v>
      </c>
      <c r="Q31" s="23">
        <v>33075.645477880113</v>
      </c>
      <c r="R31" s="23">
        <v>35087.896137408272</v>
      </c>
      <c r="S31" s="23">
        <v>38680</v>
      </c>
      <c r="T31" s="23">
        <v>40541.293809661271</v>
      </c>
      <c r="U31" s="23">
        <v>41945.013392153771</v>
      </c>
      <c r="V31" s="23">
        <v>42970.599986357302</v>
      </c>
      <c r="W31" s="23">
        <v>45478.006427783374</v>
      </c>
      <c r="X31" s="23">
        <v>36675.444309161787</v>
      </c>
      <c r="Y31" s="23">
        <v>39565.386179613262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47343.216737936898</v>
      </c>
      <c r="E32" s="23">
        <v>48189.656286759469</v>
      </c>
      <c r="F32" s="23">
        <v>48118.042714783885</v>
      </c>
      <c r="G32" s="23">
        <v>49442.490369200568</v>
      </c>
      <c r="H32" s="23">
        <v>51032.189534937417</v>
      </c>
      <c r="I32" s="23">
        <v>52462.919898078399</v>
      </c>
      <c r="J32" s="23">
        <v>55187.440819488664</v>
      </c>
      <c r="K32" s="23">
        <v>57486.705849426238</v>
      </c>
      <c r="L32" s="23">
        <v>60298.507462686575</v>
      </c>
      <c r="M32" s="23">
        <v>62654.366471160378</v>
      </c>
      <c r="N32" s="23">
        <v>65229.019059974053</v>
      </c>
      <c r="O32" s="23">
        <v>65142.389100316657</v>
      </c>
      <c r="P32" s="23">
        <v>62166.741865944758</v>
      </c>
      <c r="Q32" s="23">
        <v>63289.546529769985</v>
      </c>
      <c r="R32" s="23">
        <v>63084.630271752256</v>
      </c>
      <c r="S32" s="23">
        <v>63276</v>
      </c>
      <c r="T32" s="23">
        <v>63302.907538098618</v>
      </c>
      <c r="U32" s="23">
        <v>62959.862927367256</v>
      </c>
      <c r="V32" s="23">
        <v>64434.461454506469</v>
      </c>
      <c r="W32" s="23">
        <v>65774.451959514568</v>
      </c>
      <c r="X32" s="23">
        <v>65947.466281583009</v>
      </c>
      <c r="Y32" s="23">
        <v>67202.46238030096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41483.320068527333</v>
      </c>
      <c r="E33" s="23">
        <v>42637.763214022569</v>
      </c>
      <c r="F33" s="23">
        <v>43240.962509772777</v>
      </c>
      <c r="G33" s="23">
        <v>44105.472208264546</v>
      </c>
      <c r="H33" s="23">
        <v>45426.730707061382</v>
      </c>
      <c r="I33" s="23">
        <v>46089.481824352137</v>
      </c>
      <c r="J33" s="23">
        <v>47373.461306705685</v>
      </c>
      <c r="K33" s="23">
        <v>49040.644338713188</v>
      </c>
      <c r="L33" s="23">
        <v>50724.378109452737</v>
      </c>
      <c r="M33" s="23">
        <v>52800.455853890962</v>
      </c>
      <c r="N33" s="23">
        <v>53511.625586268841</v>
      </c>
      <c r="O33" s="23">
        <v>53252.824308531359</v>
      </c>
      <c r="P33" s="23">
        <v>51633.82964856871</v>
      </c>
      <c r="Q33" s="23">
        <v>51714.731491267805</v>
      </c>
      <c r="R33" s="23">
        <v>51945.407628417066</v>
      </c>
      <c r="S33" s="23">
        <v>53290</v>
      </c>
      <c r="T33" s="23">
        <v>54522.560544678141</v>
      </c>
      <c r="U33" s="23">
        <v>55592.208917598859</v>
      </c>
      <c r="V33" s="23">
        <v>56344.341691109832</v>
      </c>
      <c r="W33" s="23">
        <v>56683.455653091572</v>
      </c>
      <c r="X33" s="23">
        <v>55136.808524695378</v>
      </c>
      <c r="Y33" s="23">
        <v>54498.650497282506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37940.942385776529</v>
      </c>
      <c r="E34" s="23">
        <v>38936.932045862901</v>
      </c>
      <c r="F34" s="23">
        <v>41486.206425832388</v>
      </c>
      <c r="G34" s="23">
        <v>45073.337640274687</v>
      </c>
      <c r="H34" s="23">
        <v>47583.47573084561</v>
      </c>
      <c r="I34" s="23">
        <v>50638.122684232192</v>
      </c>
      <c r="J34" s="23">
        <v>53087.070672290603</v>
      </c>
      <c r="K34" s="23">
        <v>56424.210384467871</v>
      </c>
      <c r="L34" s="23">
        <v>60511.442786069652</v>
      </c>
      <c r="M34" s="23">
        <v>63344.041969996164</v>
      </c>
      <c r="N34" s="23">
        <v>64406.745833749133</v>
      </c>
      <c r="O34" s="23">
        <v>64770.808985845993</v>
      </c>
      <c r="P34" s="23">
        <v>62528.701057803177</v>
      </c>
      <c r="Q34" s="23">
        <v>62511.44999748352</v>
      </c>
      <c r="R34" s="23">
        <v>62242.964277074432</v>
      </c>
      <c r="S34" s="23">
        <v>64531</v>
      </c>
      <c r="T34" s="23">
        <v>67015.71722922867</v>
      </c>
      <c r="U34" s="23">
        <v>69472.782416889866</v>
      </c>
      <c r="V34" s="23">
        <v>71331.819643535797</v>
      </c>
      <c r="W34" s="23">
        <v>74912.457427927278</v>
      </c>
      <c r="X34" s="23">
        <v>74005.908391614998</v>
      </c>
      <c r="Y34" s="23">
        <v>73534.033349354824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12556.150598265236</v>
      </c>
      <c r="E35" s="23">
        <v>13258.618683832941</v>
      </c>
      <c r="F35" s="23">
        <v>13868.033407378913</v>
      </c>
      <c r="G35" s="23">
        <v>14399.540592922256</v>
      </c>
      <c r="H35" s="23">
        <v>15149.171015563665</v>
      </c>
      <c r="I35" s="23">
        <v>16434.301736895395</v>
      </c>
      <c r="J35" s="23">
        <v>16912.714125850045</v>
      </c>
      <c r="K35" s="23">
        <v>17270.475065045455</v>
      </c>
      <c r="L35" s="23">
        <v>18193.034825870644</v>
      </c>
      <c r="M35" s="23">
        <v>18414.925285154291</v>
      </c>
      <c r="N35" s="23">
        <v>19247.580081828157</v>
      </c>
      <c r="O35" s="23">
        <v>19489.976326750773</v>
      </c>
      <c r="P35" s="23">
        <v>18968.265904647313</v>
      </c>
      <c r="Q35" s="23">
        <v>18552.518999446376</v>
      </c>
      <c r="R35" s="23">
        <v>18647.689702443349</v>
      </c>
      <c r="S35" s="23">
        <v>20405</v>
      </c>
      <c r="T35" s="23">
        <v>20605.596090102823</v>
      </c>
      <c r="U35" s="23">
        <v>22415.11737828896</v>
      </c>
      <c r="V35" s="23">
        <v>23046.414406688826</v>
      </c>
      <c r="W35" s="23">
        <v>22438.720199549098</v>
      </c>
      <c r="X35" s="23">
        <v>15194.759841813669</v>
      </c>
      <c r="Y35" s="23">
        <v>15934.299552630609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11369.062875180423</v>
      </c>
      <c r="E36" s="23">
        <v>11459.262419048357</v>
      </c>
      <c r="F36" s="23">
        <v>11675.208796118191</v>
      </c>
      <c r="G36" s="23">
        <v>11848.874213385017</v>
      </c>
      <c r="H36" s="23">
        <v>12124.186025031175</v>
      </c>
      <c r="I36" s="23">
        <v>12588.875413082906</v>
      </c>
      <c r="J36" s="23">
        <v>12966.988034776619</v>
      </c>
      <c r="K36" s="23">
        <v>13620.673570295736</v>
      </c>
      <c r="L36" s="23">
        <v>14280.597014925374</v>
      </c>
      <c r="M36" s="23">
        <v>14636.446697515399</v>
      </c>
      <c r="N36" s="23">
        <v>15383.694242091609</v>
      </c>
      <c r="O36" s="23">
        <v>16135.766583760351</v>
      </c>
      <c r="P36" s="23">
        <v>16665.162681104928</v>
      </c>
      <c r="Q36" s="23">
        <v>16938.950123307666</v>
      </c>
      <c r="R36" s="23">
        <v>17340.335456818</v>
      </c>
      <c r="S36" s="23">
        <v>18417</v>
      </c>
      <c r="T36" s="23">
        <v>19259.827000985439</v>
      </c>
      <c r="U36" s="23">
        <v>20058.689144477703</v>
      </c>
      <c r="V36" s="23">
        <v>19966.088151317006</v>
      </c>
      <c r="W36" s="23">
        <v>21271.16611502854</v>
      </c>
      <c r="X36" s="23">
        <v>17640.229917603421</v>
      </c>
      <c r="Y36" s="23">
        <v>17091.544348726289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7836.1279356814284</v>
      </c>
      <c r="E37" s="23">
        <v>7985.9360659763961</v>
      </c>
      <c r="F37" s="23">
        <v>8102.4062744319381</v>
      </c>
      <c r="G37" s="23">
        <v>8409.3029933242415</v>
      </c>
      <c r="H37" s="23">
        <v>8650.0715836142808</v>
      </c>
      <c r="I37" s="23">
        <v>8977.1121471409642</v>
      </c>
      <c r="J37" s="23">
        <v>9331.1526211586461</v>
      </c>
      <c r="K37" s="23">
        <v>9633.9832695836049</v>
      </c>
      <c r="L37" s="23">
        <v>9727.3631840796024</v>
      </c>
      <c r="M37" s="23">
        <v>9895.1732539518798</v>
      </c>
      <c r="N37" s="23">
        <v>10599.740544855804</v>
      </c>
      <c r="O37" s="23">
        <v>10468.170966807507</v>
      </c>
      <c r="P37" s="23">
        <v>9746.8290971073347</v>
      </c>
      <c r="Q37" s="23">
        <v>9481.1012129447881</v>
      </c>
      <c r="R37" s="23">
        <v>9594.992339327473</v>
      </c>
      <c r="S37" s="23">
        <v>9718</v>
      </c>
      <c r="T37" s="23">
        <v>9716.0148512387659</v>
      </c>
      <c r="U37" s="23">
        <v>9735.8988498503222</v>
      </c>
      <c r="V37" s="23">
        <v>9879.2621249476215</v>
      </c>
      <c r="W37" s="23">
        <v>9420.0604403511297</v>
      </c>
      <c r="X37" s="23">
        <v>8563.3925116327373</v>
      </c>
      <c r="Y37" s="23">
        <v>8893.7774984286607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794523.20891394967</v>
      </c>
      <c r="E39" s="30">
        <f t="shared" ref="E39:S39" si="2">SUM(E18:E38)</f>
        <v>826150.12732513808</v>
      </c>
      <c r="F39" s="30">
        <f t="shared" si="2"/>
        <v>847920.7257293904</v>
      </c>
      <c r="G39" s="30">
        <f t="shared" si="2"/>
        <v>870819.27595530357</v>
      </c>
      <c r="H39" s="30">
        <f t="shared" si="2"/>
        <v>895228.14390615618</v>
      </c>
      <c r="I39" s="30">
        <f t="shared" si="2"/>
        <v>926206.98096202419</v>
      </c>
      <c r="J39" s="30">
        <f t="shared" si="2"/>
        <v>965456.87354738719</v>
      </c>
      <c r="K39" s="30">
        <f t="shared" si="2"/>
        <v>1004626.2607415697</v>
      </c>
      <c r="L39" s="30">
        <f t="shared" si="2"/>
        <v>1017464.6766169155</v>
      </c>
      <c r="M39" s="30">
        <f t="shared" si="2"/>
        <v>984452.82796427829</v>
      </c>
      <c r="N39" s="30">
        <f t="shared" si="2"/>
        <v>983413.83095499466</v>
      </c>
      <c r="O39" s="30">
        <f t="shared" si="2"/>
        <v>979132.58018439158</v>
      </c>
      <c r="P39" s="30">
        <f t="shared" si="2"/>
        <v>950863.78904095863</v>
      </c>
      <c r="Q39" s="30">
        <f t="shared" si="2"/>
        <v>938926.97166440194</v>
      </c>
      <c r="R39" s="30">
        <f t="shared" si="2"/>
        <v>947906.41883719061</v>
      </c>
      <c r="S39" s="30">
        <f t="shared" si="2"/>
        <v>978971</v>
      </c>
      <c r="T39" s="30">
        <f t="shared" ref="T39:Y39" si="3">SUM(T18:T38)</f>
        <v>1006607.4077023382</v>
      </c>
      <c r="U39" s="30">
        <f t="shared" si="3"/>
        <v>1037699.8975894125</v>
      </c>
      <c r="V39" s="30">
        <f t="shared" si="3"/>
        <v>1061616.2698915405</v>
      </c>
      <c r="W39" s="30">
        <f t="shared" si="3"/>
        <v>1083723.3175037175</v>
      </c>
      <c r="X39" s="30">
        <f t="shared" si="3"/>
        <v>963734.17900727724</v>
      </c>
      <c r="Y39" s="30">
        <f t="shared" si="3"/>
        <v>1022158.6497578291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19565.364017752356</v>
      </c>
      <c r="E41" s="19">
        <v>19752.847041791083</v>
      </c>
      <c r="F41" s="19">
        <v>19977.414030602748</v>
      </c>
      <c r="G41" s="19">
        <v>20861.148996243392</v>
      </c>
      <c r="H41" s="19">
        <v>21241.860250311736</v>
      </c>
      <c r="I41" s="19">
        <v>22815.528579217338</v>
      </c>
      <c r="J41" s="19">
        <v>22751.14056985452</v>
      </c>
      <c r="K41" s="19">
        <v>24110.872697494582</v>
      </c>
      <c r="L41" s="19">
        <v>24293.532338308458</v>
      </c>
      <c r="M41" s="19">
        <v>23743.700079577942</v>
      </c>
      <c r="N41" s="19">
        <v>24494.561421015867</v>
      </c>
      <c r="O41" s="19">
        <v>25370.331525376325</v>
      </c>
      <c r="P41" s="19">
        <v>24894.971674938588</v>
      </c>
      <c r="Q41" s="19">
        <v>24536.715486436158</v>
      </c>
      <c r="R41" s="19">
        <v>24503.064269010563</v>
      </c>
      <c r="S41" s="19">
        <v>24496</v>
      </c>
      <c r="T41" s="19">
        <v>24929.576062829103</v>
      </c>
      <c r="U41" s="19">
        <v>25405.703481959979</v>
      </c>
      <c r="V41" s="19">
        <v>23787.99247702667</v>
      </c>
      <c r="W41" s="19">
        <v>24922.530819782223</v>
      </c>
      <c r="X41" s="19">
        <v>23164.481694368154</v>
      </c>
      <c r="Y41" s="19">
        <v>23792.842089695714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10214.350271816109</v>
      </c>
      <c r="E42" s="23">
        <v>10482.025826967076</v>
      </c>
      <c r="F42" s="23">
        <v>10117.769697571388</v>
      </c>
      <c r="G42" s="23">
        <v>10236.163950900869</v>
      </c>
      <c r="H42" s="23">
        <v>9625.686971782201</v>
      </c>
      <c r="I42" s="23">
        <v>9223.0146985190204</v>
      </c>
      <c r="J42" s="23">
        <v>9299.9483515537559</v>
      </c>
      <c r="K42" s="23">
        <v>9006.851800022805</v>
      </c>
      <c r="L42" s="23">
        <v>8734.3283582089553</v>
      </c>
      <c r="M42" s="23">
        <v>7634.5702299900768</v>
      </c>
      <c r="N42" s="23">
        <v>7915.3777068156878</v>
      </c>
      <c r="O42" s="23">
        <v>8821.0322335760593</v>
      </c>
      <c r="P42" s="23">
        <v>8005.2138166140276</v>
      </c>
      <c r="Q42" s="23">
        <v>8214.8069857567061</v>
      </c>
      <c r="R42" s="23">
        <v>8308.8057414724626</v>
      </c>
      <c r="S42" s="23">
        <v>8667</v>
      </c>
      <c r="T42" s="23">
        <v>8951.5543035744504</v>
      </c>
      <c r="U42" s="23">
        <v>9204.1515676697654</v>
      </c>
      <c r="V42" s="23">
        <v>8822.9275280406164</v>
      </c>
      <c r="W42" s="23">
        <v>8397.3713244111859</v>
      </c>
      <c r="X42" s="23">
        <v>7178.7901954677163</v>
      </c>
      <c r="Y42" s="23">
        <v>7605.2796983029539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12028.705939485506</v>
      </c>
      <c r="E43" s="23">
        <v>11854.81056346221</v>
      </c>
      <c r="F43" s="23">
        <v>11744.704086571275</v>
      </c>
      <c r="G43" s="23">
        <v>11314.095661952959</v>
      </c>
      <c r="H43" s="23">
        <v>11080.450745855078</v>
      </c>
      <c r="I43" s="23">
        <v>11319.306131986246</v>
      </c>
      <c r="J43" s="23">
        <v>11267.969355255229</v>
      </c>
      <c r="K43" s="23">
        <v>11090.379492282655</v>
      </c>
      <c r="L43" s="23">
        <v>10512.437810945274</v>
      </c>
      <c r="M43" s="23">
        <v>8799.7484944049829</v>
      </c>
      <c r="N43" s="23">
        <v>9081.9279513022666</v>
      </c>
      <c r="O43" s="23">
        <v>8649.2263741971565</v>
      </c>
      <c r="P43" s="23">
        <v>7789.6425527648271</v>
      </c>
      <c r="Q43" s="23">
        <v>7394.4335396849365</v>
      </c>
      <c r="R43" s="23">
        <v>6945.0044351261995</v>
      </c>
      <c r="S43" s="23">
        <v>7209</v>
      </c>
      <c r="T43" s="23">
        <v>7306.1724216875873</v>
      </c>
      <c r="U43" s="23">
        <v>7730.0299354025519</v>
      </c>
      <c r="V43" s="23">
        <v>7897.17303813134</v>
      </c>
      <c r="W43" s="23">
        <v>7960.8576773636496</v>
      </c>
      <c r="X43" s="23">
        <v>7156.1382148351604</v>
      </c>
      <c r="Y43" s="23">
        <v>7779.051281103265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3659.7374917375996</v>
      </c>
      <c r="E44" s="23">
        <v>3740.9030389989784</v>
      </c>
      <c r="F44" s="23">
        <v>3453.6677380523943</v>
      </c>
      <c r="G44" s="23">
        <v>3969.5642810997056</v>
      </c>
      <c r="H44" s="23">
        <v>4021.3827183300236</v>
      </c>
      <c r="I44" s="23">
        <v>4248.2169283322019</v>
      </c>
      <c r="J44" s="23">
        <v>3599.2510975294822</v>
      </c>
      <c r="K44" s="23">
        <v>2806.0246084315495</v>
      </c>
      <c r="L44" s="23">
        <v>1910.4477611940299</v>
      </c>
      <c r="M44" s="23">
        <v>1228.0546631691668</v>
      </c>
      <c r="N44" s="23">
        <v>1879.0539866280812</v>
      </c>
      <c r="O44" s="23">
        <v>2576.0890194080689</v>
      </c>
      <c r="P44" s="23">
        <v>2292.0739960896376</v>
      </c>
      <c r="Q44" s="23">
        <v>1466.6062710755448</v>
      </c>
      <c r="R44" s="23">
        <v>879.96935730989435</v>
      </c>
      <c r="S44" s="23">
        <v>2917</v>
      </c>
      <c r="T44" s="23">
        <v>3394.2844629366036</v>
      </c>
      <c r="U44" s="23">
        <v>3428.7852528753738</v>
      </c>
      <c r="V44" s="23">
        <v>3132.9480895350762</v>
      </c>
      <c r="W44" s="23">
        <v>2530.8197822228617</v>
      </c>
      <c r="X44" s="23">
        <v>-491.73674623174867</v>
      </c>
      <c r="Y44" s="23">
        <v>1700.7431508115503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9016.4708421578016</v>
      </c>
      <c r="E45" s="23">
        <v>9287.625547756621</v>
      </c>
      <c r="F45" s="23">
        <v>9062.9304674799259</v>
      </c>
      <c r="G45" s="23">
        <v>8630.6319240064131</v>
      </c>
      <c r="H45" s="23">
        <v>8760.9107283055473</v>
      </c>
      <c r="I45" s="23">
        <v>8741.2237268145036</v>
      </c>
      <c r="J45" s="23">
        <v>8786.6919170181627</v>
      </c>
      <c r="K45" s="23">
        <v>8623.3168516963651</v>
      </c>
      <c r="L45" s="23">
        <v>8507.4626865671635</v>
      </c>
      <c r="M45" s="23">
        <v>7589.3778183854511</v>
      </c>
      <c r="N45" s="23">
        <v>8443.2691348168846</v>
      </c>
      <c r="O45" s="23">
        <v>8820.0333623006009</v>
      </c>
      <c r="P45" s="23">
        <v>7903.9454554569611</v>
      </c>
      <c r="Q45" s="23">
        <v>7461.8752831043339</v>
      </c>
      <c r="R45" s="23">
        <v>7770.5426981695027</v>
      </c>
      <c r="S45" s="23">
        <v>8061</v>
      </c>
      <c r="T45" s="23">
        <v>8681.8032509481109</v>
      </c>
      <c r="U45" s="23">
        <v>9060.3828580431691</v>
      </c>
      <c r="V45" s="23">
        <v>8749.8416472583049</v>
      </c>
      <c r="W45" s="23">
        <v>9184.0552597496044</v>
      </c>
      <c r="X45" s="23">
        <v>8808.7889684854326</v>
      </c>
      <c r="Y45" s="23">
        <v>10160.091692239435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4737.5591857657391</v>
      </c>
      <c r="E46" s="23">
        <v>5069.7379816703506</v>
      </c>
      <c r="F46" s="23">
        <v>5183.6040754023898</v>
      </c>
      <c r="G46" s="23">
        <v>5344.1963965257337</v>
      </c>
      <c r="H46" s="23">
        <v>5565.0487230406879</v>
      </c>
      <c r="I46" s="23">
        <v>5869.3934774626414</v>
      </c>
      <c r="J46" s="23">
        <v>6258.0700697254024</v>
      </c>
      <c r="K46" s="23">
        <v>6566.7402639135071</v>
      </c>
      <c r="L46" s="23">
        <v>6861.6915422885568</v>
      </c>
      <c r="M46" s="23">
        <v>6452.6904221560708</v>
      </c>
      <c r="N46" s="23">
        <v>5341.7822572597552</v>
      </c>
      <c r="O46" s="23">
        <v>4898.4647348496201</v>
      </c>
      <c r="P46" s="23">
        <v>5149.6465633929911</v>
      </c>
      <c r="Q46" s="23">
        <v>6108.0074487895718</v>
      </c>
      <c r="R46" s="23">
        <v>6916.7809047657447</v>
      </c>
      <c r="S46" s="23">
        <v>6833</v>
      </c>
      <c r="T46" s="23">
        <v>6993.6195415227503</v>
      </c>
      <c r="U46" s="23">
        <v>7061.4069639199615</v>
      </c>
      <c r="V46" s="23">
        <v>6310.7221859499705</v>
      </c>
      <c r="W46" s="23">
        <v>6742.4569482419529</v>
      </c>
      <c r="X46" s="23">
        <v>7309.9829166312738</v>
      </c>
      <c r="Y46" s="23">
        <v>8167.2643916145962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17425.908189556325</v>
      </c>
      <c r="E47" s="23">
        <v>17556.649991597831</v>
      </c>
      <c r="F47" s="23">
        <v>17269.57967759149</v>
      </c>
      <c r="G47" s="23">
        <v>16623.597253128515</v>
      </c>
      <c r="H47" s="23">
        <v>16518.496282270356</v>
      </c>
      <c r="I47" s="23">
        <v>16848.219153694656</v>
      </c>
      <c r="J47" s="23">
        <v>16467.246277007831</v>
      </c>
      <c r="K47" s="23">
        <v>16078.40698240922</v>
      </c>
      <c r="L47" s="23">
        <v>15829.850746268658</v>
      </c>
      <c r="M47" s="23">
        <v>12408.264316661263</v>
      </c>
      <c r="N47" s="23">
        <v>11869.074942620498</v>
      </c>
      <c r="O47" s="23">
        <v>11237.301848910731</v>
      </c>
      <c r="P47" s="23">
        <v>10073.695292525192</v>
      </c>
      <c r="Q47" s="23">
        <v>10097.13624238764</v>
      </c>
      <c r="R47" s="23">
        <v>10381.219256511571</v>
      </c>
      <c r="S47" s="23">
        <v>10793</v>
      </c>
      <c r="T47" s="23">
        <v>11127.479768671054</v>
      </c>
      <c r="U47" s="23">
        <v>11584.213014022373</v>
      </c>
      <c r="V47" s="23">
        <v>11931.513657314923</v>
      </c>
      <c r="W47" s="23">
        <v>12600.374154554613</v>
      </c>
      <c r="X47" s="23">
        <v>11786.580589140263</v>
      </c>
      <c r="Y47" s="23">
        <v>12716.752320035494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22244.405174623302</v>
      </c>
      <c r="E48" s="23">
        <v>22592.779307402954</v>
      </c>
      <c r="F48" s="23">
        <v>22207.468261749047</v>
      </c>
      <c r="G48" s="23">
        <v>21578.972555212596</v>
      </c>
      <c r="H48" s="23">
        <v>21395.418648686096</v>
      </c>
      <c r="I48" s="23">
        <v>21162.084274476205</v>
      </c>
      <c r="J48" s="23">
        <v>22214.21193079108</v>
      </c>
      <c r="K48" s="23">
        <v>21979.662281929282</v>
      </c>
      <c r="L48" s="23">
        <v>21040.796019900499</v>
      </c>
      <c r="M48" s="23">
        <v>16391.091200251503</v>
      </c>
      <c r="N48" s="23">
        <v>17106.077237800619</v>
      </c>
      <c r="O48" s="23">
        <v>16465.394104661733</v>
      </c>
      <c r="P48" s="23">
        <v>15146.137263748935</v>
      </c>
      <c r="Q48" s="23">
        <v>14746.590165584579</v>
      </c>
      <c r="R48" s="23">
        <v>15583.420691879688</v>
      </c>
      <c r="S48" s="23">
        <v>15965</v>
      </c>
      <c r="T48" s="23">
        <v>16498.611429083347</v>
      </c>
      <c r="U48" s="23">
        <v>17680.597132503543</v>
      </c>
      <c r="V48" s="23">
        <v>18368.9180366209</v>
      </c>
      <c r="W48" s="23">
        <v>17177.531539310214</v>
      </c>
      <c r="X48" s="23">
        <v>14945.588054855547</v>
      </c>
      <c r="Y48" s="23">
        <v>17255.148445298924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4148.062214188396</v>
      </c>
      <c r="E49" s="23">
        <v>4011.0650069156291</v>
      </c>
      <c r="F49" s="23">
        <v>3142.1799183430335</v>
      </c>
      <c r="G49" s="23">
        <v>2892.8289426458978</v>
      </c>
      <c r="H49" s="23">
        <v>2567.7735186810141</v>
      </c>
      <c r="I49" s="23">
        <v>2589.2092174512923</v>
      </c>
      <c r="J49" s="23">
        <v>2516.785745028837</v>
      </c>
      <c r="K49" s="23">
        <v>2716.8786474691874</v>
      </c>
      <c r="L49" s="23">
        <v>2691.5422885572139</v>
      </c>
      <c r="M49" s="23">
        <v>2362.7771719374773</v>
      </c>
      <c r="N49" s="23">
        <v>2124.5384692146495</v>
      </c>
      <c r="O49" s="23">
        <v>2076.6533816787032</v>
      </c>
      <c r="P49" s="23">
        <v>1960.194515465985</v>
      </c>
      <c r="Q49" s="23">
        <v>1867.2303588504706</v>
      </c>
      <c r="R49" s="23">
        <v>1640.9966938150149</v>
      </c>
      <c r="S49" s="23">
        <v>1561</v>
      </c>
      <c r="T49" s="23">
        <v>1562.7644008241841</v>
      </c>
      <c r="U49" s="23">
        <v>1649.4012919489521</v>
      </c>
      <c r="V49" s="23">
        <v>1745.2908330815931</v>
      </c>
      <c r="W49" s="23">
        <v>1843.9103947810236</v>
      </c>
      <c r="X49" s="23">
        <v>1646.9877584921333</v>
      </c>
      <c r="Y49" s="23">
        <v>1824.6016194032609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5379.6657268888857</v>
      </c>
      <c r="E50" s="23">
        <v>5416.1657682811747</v>
      </c>
      <c r="F50" s="23">
        <v>5372.2341494893335</v>
      </c>
      <c r="G50" s="23">
        <v>5418.3714976192186</v>
      </c>
      <c r="H50" s="23">
        <v>5454.2095783494206</v>
      </c>
      <c r="I50" s="23">
        <v>5067.1503121070846</v>
      </c>
      <c r="J50" s="23">
        <v>5905.1390204011359</v>
      </c>
      <c r="K50" s="23">
        <v>5830.7677955033114</v>
      </c>
      <c r="L50" s="23">
        <v>5868.6567164179105</v>
      </c>
      <c r="M50" s="23">
        <v>4863.0964661499011</v>
      </c>
      <c r="N50" s="23">
        <v>4768.9851312244291</v>
      </c>
      <c r="O50" s="23">
        <v>4025.4512400986887</v>
      </c>
      <c r="P50" s="23">
        <v>3748.9346768937685</v>
      </c>
      <c r="Q50" s="23">
        <v>3695.2035834717399</v>
      </c>
      <c r="R50" s="23">
        <v>3780.9450850737844</v>
      </c>
      <c r="S50" s="23">
        <v>4022</v>
      </c>
      <c r="T50" s="23">
        <v>4180.6436200392191</v>
      </c>
      <c r="U50" s="23">
        <v>4281.5503387427125</v>
      </c>
      <c r="V50" s="23">
        <v>4584.9209210769932</v>
      </c>
      <c r="W50" s="23">
        <v>4384.3238835324028</v>
      </c>
      <c r="X50" s="23">
        <v>3918.7926494322851</v>
      </c>
      <c r="Y50" s="23">
        <v>4238.9174400118309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7551.4966748054121</v>
      </c>
      <c r="E51" s="23">
        <v>7799.7957627228188</v>
      </c>
      <c r="F51" s="23">
        <v>7743.7609362008407</v>
      </c>
      <c r="G51" s="23">
        <v>7427.0810901347113</v>
      </c>
      <c r="H51" s="23">
        <v>7528.9798180390717</v>
      </c>
      <c r="I51" s="23">
        <v>7353.7102355546158</v>
      </c>
      <c r="J51" s="23">
        <v>7410.4760265128689</v>
      </c>
      <c r="K51" s="23">
        <v>7335.8833224492328</v>
      </c>
      <c r="L51" s="23">
        <v>7399.0049751243778</v>
      </c>
      <c r="M51" s="23">
        <v>6435.98887873697</v>
      </c>
      <c r="N51" s="23">
        <v>6203.9716595150185</v>
      </c>
      <c r="O51" s="23">
        <v>6360.8122821212028</v>
      </c>
      <c r="P51" s="23">
        <v>6562.390334386123</v>
      </c>
      <c r="Q51" s="23">
        <v>6586.1392118375361</v>
      </c>
      <c r="R51" s="23">
        <v>6940.9725022175635</v>
      </c>
      <c r="S51" s="23">
        <v>6538</v>
      </c>
      <c r="T51" s="23">
        <v>6407.3340433791545</v>
      </c>
      <c r="U51" s="23">
        <v>6764.0223727745388</v>
      </c>
      <c r="V51" s="23">
        <v>7081.5346086007467</v>
      </c>
      <c r="W51" s="23">
        <v>7224.0610159735215</v>
      </c>
      <c r="X51" s="23">
        <v>6658.7384734452726</v>
      </c>
      <c r="Y51" s="23">
        <v>7175.472325951122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16267.14869622695</v>
      </c>
      <c r="E52" s="23">
        <v>16046.84530965215</v>
      </c>
      <c r="F52" s="23">
        <v>16701.207480671623</v>
      </c>
      <c r="G52" s="23">
        <v>17013.614720168451</v>
      </c>
      <c r="H52" s="23">
        <v>16509.259686879417</v>
      </c>
      <c r="I52" s="23">
        <v>15691.030676621454</v>
      </c>
      <c r="J52" s="23">
        <v>16382.241542566926</v>
      </c>
      <c r="K52" s="23">
        <v>16340.661960589192</v>
      </c>
      <c r="L52" s="23">
        <v>15037.810945273632</v>
      </c>
      <c r="M52" s="23">
        <v>13167.693320365075</v>
      </c>
      <c r="N52" s="23">
        <v>12566.610118750625</v>
      </c>
      <c r="O52" s="23">
        <v>13189.096321157092</v>
      </c>
      <c r="P52" s="23">
        <v>12008.8233819622</v>
      </c>
      <c r="Q52" s="23">
        <v>13682.621168654689</v>
      </c>
      <c r="R52" s="23">
        <v>14735.706797838884</v>
      </c>
      <c r="S52" s="23">
        <v>14876</v>
      </c>
      <c r="T52" s="23">
        <v>15055.293988831711</v>
      </c>
      <c r="U52" s="23">
        <v>15679.651804001889</v>
      </c>
      <c r="V52" s="23">
        <v>16711.33026047808</v>
      </c>
      <c r="W52" s="23">
        <v>16688.252506355831</v>
      </c>
      <c r="X52" s="23">
        <v>14447.244480939304</v>
      </c>
      <c r="Y52" s="23">
        <v>15201.31622730802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9622.1553735954512</v>
      </c>
      <c r="E53" s="23">
        <v>9852.5096624914731</v>
      </c>
      <c r="F53" s="23">
        <v>9792.631017237436</v>
      </c>
      <c r="G53" s="23">
        <v>9828.2008948868024</v>
      </c>
      <c r="H53" s="23">
        <v>10343.832263427714</v>
      </c>
      <c r="I53" s="23">
        <v>10530.415141366102</v>
      </c>
      <c r="J53" s="23">
        <v>11177.584574330715</v>
      </c>
      <c r="K53" s="23">
        <v>11323.610204102733</v>
      </c>
      <c r="L53" s="23">
        <v>11473.631840795977</v>
      </c>
      <c r="M53" s="23">
        <v>10679.163350919232</v>
      </c>
      <c r="N53" s="23">
        <v>10211.555732960798</v>
      </c>
      <c r="O53" s="23">
        <v>9690.0502432251233</v>
      </c>
      <c r="P53" s="23">
        <v>9478.117010076734</v>
      </c>
      <c r="Q53" s="23">
        <v>9078.4639387991774</v>
      </c>
      <c r="R53" s="23">
        <v>9262.3578743651888</v>
      </c>
      <c r="S53" s="23">
        <v>9822</v>
      </c>
      <c r="T53" s="23">
        <v>9871.2958999829716</v>
      </c>
      <c r="U53" s="23">
        <v>10144.556483378139</v>
      </c>
      <c r="V53" s="23">
        <v>10234.946744754823</v>
      </c>
      <c r="W53" s="23">
        <v>10753.585647814936</v>
      </c>
      <c r="X53" s="23">
        <v>9552.5289992545004</v>
      </c>
      <c r="Y53" s="23">
        <v>10112.951528820267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141861.02979859983</v>
      </c>
      <c r="E54" s="30">
        <f t="shared" ref="E54:S54" si="4">SUM(E41:E53)</f>
        <v>143463.76080971037</v>
      </c>
      <c r="F54" s="30">
        <f t="shared" si="4"/>
        <v>141769.15153696292</v>
      </c>
      <c r="G54" s="30">
        <f t="shared" si="4"/>
        <v>141138.46816452526</v>
      </c>
      <c r="H54" s="30">
        <f t="shared" si="4"/>
        <v>140613.30993395837</v>
      </c>
      <c r="I54" s="30">
        <f t="shared" si="4"/>
        <v>141458.50255360335</v>
      </c>
      <c r="J54" s="30">
        <f t="shared" si="4"/>
        <v>144036.75647757595</v>
      </c>
      <c r="K54" s="30">
        <f t="shared" si="4"/>
        <v>143810.05690829363</v>
      </c>
      <c r="L54" s="30">
        <f t="shared" si="4"/>
        <v>140161.19402985071</v>
      </c>
      <c r="M54" s="30">
        <f t="shared" si="4"/>
        <v>121756.21641270509</v>
      </c>
      <c r="N54" s="30">
        <f t="shared" si="4"/>
        <v>122006.78574992518</v>
      </c>
      <c r="O54" s="30">
        <f t="shared" si="4"/>
        <v>122179.9366715611</v>
      </c>
      <c r="P54" s="30">
        <f t="shared" si="4"/>
        <v>115013.78653431596</v>
      </c>
      <c r="Q54" s="30">
        <f t="shared" si="4"/>
        <v>114935.82968443308</v>
      </c>
      <c r="R54" s="30">
        <f t="shared" si="4"/>
        <v>117649.78630755606</v>
      </c>
      <c r="S54" s="30">
        <f t="shared" si="4"/>
        <v>121760</v>
      </c>
      <c r="T54" s="30">
        <f t="shared" ref="T54:Y54" si="5">SUM(T41:T53)</f>
        <v>124960.43319431026</v>
      </c>
      <c r="U54" s="30">
        <f t="shared" si="5"/>
        <v>129674.45249724295</v>
      </c>
      <c r="V54" s="30">
        <f t="shared" si="5"/>
        <v>129360.06002787004</v>
      </c>
      <c r="W54" s="30">
        <f t="shared" si="5"/>
        <v>130410.13095409401</v>
      </c>
      <c r="X54" s="30">
        <f t="shared" si="5"/>
        <v>116082.90624911532</v>
      </c>
      <c r="Y54" s="30">
        <f t="shared" si="5"/>
        <v>127730.43221059644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19565.364017752356</v>
      </c>
      <c r="E56" s="19">
        <v>19752.847041791083</v>
      </c>
      <c r="F56" s="19">
        <v>19977.414030602748</v>
      </c>
      <c r="G56" s="19">
        <v>20861.148996243392</v>
      </c>
      <c r="H56" s="19">
        <v>21241.860250311736</v>
      </c>
      <c r="I56" s="19">
        <v>22815.528579217338</v>
      </c>
      <c r="J56" s="19">
        <v>22751.14056985452</v>
      </c>
      <c r="K56" s="19">
        <v>24110.872697494582</v>
      </c>
      <c r="L56" s="19">
        <v>24293.532338308458</v>
      </c>
      <c r="M56" s="19">
        <v>23743.700079577942</v>
      </c>
      <c r="N56" s="19">
        <v>24494.561421015867</v>
      </c>
      <c r="O56" s="19">
        <v>25370.331525376325</v>
      </c>
      <c r="P56" s="19">
        <v>24894.971674938588</v>
      </c>
      <c r="Q56" s="19">
        <v>24536.715486436158</v>
      </c>
      <c r="R56" s="19">
        <v>24503.064269010563</v>
      </c>
      <c r="S56" s="19">
        <v>24496</v>
      </c>
      <c r="T56" s="19">
        <v>24929.576062829103</v>
      </c>
      <c r="U56" s="19">
        <v>25405.703481959979</v>
      </c>
      <c r="V56" s="19">
        <v>23787.99247702667</v>
      </c>
      <c r="W56" s="19">
        <v>24922.530819782223</v>
      </c>
      <c r="X56" s="19">
        <v>23164.481694368154</v>
      </c>
      <c r="Y56" s="19">
        <v>23792.842089695714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10214.350271816109</v>
      </c>
      <c r="E57" s="23">
        <v>10482.025826967076</v>
      </c>
      <c r="F57" s="23">
        <v>10117.769697571388</v>
      </c>
      <c r="G57" s="23">
        <v>10236.163950900869</v>
      </c>
      <c r="H57" s="23">
        <v>9625.686971782201</v>
      </c>
      <c r="I57" s="23">
        <v>9223.0146985190204</v>
      </c>
      <c r="J57" s="23">
        <v>9299.9483515537559</v>
      </c>
      <c r="K57" s="23">
        <v>9006.851800022805</v>
      </c>
      <c r="L57" s="23">
        <v>8734.3283582089553</v>
      </c>
      <c r="M57" s="23">
        <v>7634.5702299900768</v>
      </c>
      <c r="N57" s="23">
        <v>7915.3777068156878</v>
      </c>
      <c r="O57" s="23">
        <v>8821.0322335760593</v>
      </c>
      <c r="P57" s="23">
        <v>8005.2138166140276</v>
      </c>
      <c r="Q57" s="23">
        <v>8214.8069857567061</v>
      </c>
      <c r="R57" s="23">
        <v>8308.8057414724626</v>
      </c>
      <c r="S57" s="23">
        <v>8667</v>
      </c>
      <c r="T57" s="23">
        <v>8951.5543035744504</v>
      </c>
      <c r="U57" s="23">
        <v>9204.1515676697654</v>
      </c>
      <c r="V57" s="23">
        <v>8822.9275280406164</v>
      </c>
      <c r="W57" s="23">
        <v>8397.3713244111859</v>
      </c>
      <c r="X57" s="23">
        <v>7178.7901954677163</v>
      </c>
      <c r="Y57" s="23">
        <v>7605.2796983029539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3414.2261671905139</v>
      </c>
      <c r="E58" s="23">
        <v>3306.5756647406315</v>
      </c>
      <c r="F58" s="23">
        <v>3227.8080440798699</v>
      </c>
      <c r="G58" s="23">
        <v>3133.2998349005816</v>
      </c>
      <c r="H58" s="23">
        <v>3057.3130744007763</v>
      </c>
      <c r="I58" s="23">
        <v>3096.5918573987738</v>
      </c>
      <c r="J58" s="23">
        <v>3204.3556856331238</v>
      </c>
      <c r="K58" s="23">
        <v>3148.0963191010769</v>
      </c>
      <c r="L58" s="23">
        <v>2972.1393034825869</v>
      </c>
      <c r="M58" s="23">
        <v>2157.4464322555923</v>
      </c>
      <c r="N58" s="23">
        <v>2009.7794631274326</v>
      </c>
      <c r="O58" s="23">
        <v>1802.9626522030105</v>
      </c>
      <c r="P58" s="23">
        <v>1608.2618940191508</v>
      </c>
      <c r="Q58" s="23">
        <v>1502.8436257486537</v>
      </c>
      <c r="R58" s="23">
        <v>1484.7592936053545</v>
      </c>
      <c r="S58" s="23">
        <v>1602</v>
      </c>
      <c r="T58" s="23">
        <v>1651.3542299154915</v>
      </c>
      <c r="U58" s="23">
        <v>1883.7639829840869</v>
      </c>
      <c r="V58" s="23">
        <v>1951.8802560929262</v>
      </c>
      <c r="W58" s="23">
        <v>1979.1816568331176</v>
      </c>
      <c r="X58" s="23">
        <v>1841.4172589215771</v>
      </c>
      <c r="Y58" s="23">
        <v>2302.473472104115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4021.2596619497917</v>
      </c>
      <c r="E59" s="23">
        <v>4093.7940305838856</v>
      </c>
      <c r="F59" s="23">
        <v>3993.4972263933182</v>
      </c>
      <c r="G59" s="23">
        <v>3780.5374105711485</v>
      </c>
      <c r="H59" s="23">
        <v>3700.411028494897</v>
      </c>
      <c r="I59" s="23">
        <v>3606.1998598021651</v>
      </c>
      <c r="J59" s="23">
        <v>3569.1228372213131</v>
      </c>
      <c r="K59" s="23">
        <v>3684.0086658166701</v>
      </c>
      <c r="L59" s="23">
        <v>3537.313432835821</v>
      </c>
      <c r="M59" s="23">
        <v>3194.9070117009046</v>
      </c>
      <c r="N59" s="23">
        <v>3578.485181119649</v>
      </c>
      <c r="O59" s="23">
        <v>3684.8361351672611</v>
      </c>
      <c r="P59" s="23">
        <v>3527.3474707976138</v>
      </c>
      <c r="Q59" s="23">
        <v>3460.6673712818965</v>
      </c>
      <c r="R59" s="23">
        <v>3061.2450608821869</v>
      </c>
      <c r="S59" s="23">
        <v>3387</v>
      </c>
      <c r="T59" s="23">
        <v>3438.0816818132053</v>
      </c>
      <c r="U59" s="23">
        <v>3669.0562470458481</v>
      </c>
      <c r="V59" s="23">
        <v>3754.6653153899374</v>
      </c>
      <c r="W59" s="23">
        <v>3816.376457044179</v>
      </c>
      <c r="X59" s="23">
        <v>3511.0569980462669</v>
      </c>
      <c r="Y59" s="23">
        <v>3537.3608903020668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4593.2201103451998</v>
      </c>
      <c r="E60" s="23">
        <v>4454.4408681376917</v>
      </c>
      <c r="F60" s="23">
        <v>4523.398816098088</v>
      </c>
      <c r="G60" s="23">
        <v>4400.2584164812288</v>
      </c>
      <c r="H60" s="23">
        <v>4322.7266429594056</v>
      </c>
      <c r="I60" s="23">
        <v>4616.514414785308</v>
      </c>
      <c r="J60" s="23">
        <v>4494.490832400792</v>
      </c>
      <c r="K60" s="23">
        <v>4258.2745073649075</v>
      </c>
      <c r="L60" s="23">
        <v>4002.9850746268658</v>
      </c>
      <c r="M60" s="23">
        <v>3447.395050448486</v>
      </c>
      <c r="N60" s="23">
        <v>3493.6633070551848</v>
      </c>
      <c r="O60" s="23">
        <v>3161.4275868268851</v>
      </c>
      <c r="P60" s="23">
        <v>2654.0331879480627</v>
      </c>
      <c r="Q60" s="23">
        <v>2430.9225426543862</v>
      </c>
      <c r="R60" s="23">
        <v>2399.0000806386583</v>
      </c>
      <c r="S60" s="23">
        <v>2220</v>
      </c>
      <c r="T60" s="23">
        <v>2216.7365099588906</v>
      </c>
      <c r="U60" s="23">
        <v>2177.2097053726175</v>
      </c>
      <c r="V60" s="23">
        <v>2190.6274666484765</v>
      </c>
      <c r="W60" s="23">
        <v>2165.2995634863528</v>
      </c>
      <c r="X60" s="23">
        <v>1803.6639578673166</v>
      </c>
      <c r="Y60" s="23">
        <v>1939.2169186970832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3659.7374917375996</v>
      </c>
      <c r="E61" s="23">
        <v>3740.9030389989784</v>
      </c>
      <c r="F61" s="23">
        <v>3453.6677380523943</v>
      </c>
      <c r="G61" s="23">
        <v>3969.5642810997056</v>
      </c>
      <c r="H61" s="23">
        <v>4021.3827183300236</v>
      </c>
      <c r="I61" s="23">
        <v>4248.2169283322019</v>
      </c>
      <c r="J61" s="23">
        <v>3599.2510975294822</v>
      </c>
      <c r="K61" s="23">
        <v>2806.0246084315495</v>
      </c>
      <c r="L61" s="23">
        <v>1910.4477611940299</v>
      </c>
      <c r="M61" s="23">
        <v>1228.0546631691668</v>
      </c>
      <c r="N61" s="23">
        <v>1879.0539866280812</v>
      </c>
      <c r="O61" s="23">
        <v>2576.0890194080689</v>
      </c>
      <c r="P61" s="23">
        <v>2292.0739960896376</v>
      </c>
      <c r="Q61" s="23">
        <v>1466.6062710755448</v>
      </c>
      <c r="R61" s="23">
        <v>879.96935730989435</v>
      </c>
      <c r="S61" s="23">
        <v>2917</v>
      </c>
      <c r="T61" s="23">
        <v>3394.2844629366036</v>
      </c>
      <c r="U61" s="23">
        <v>3428.7852528753738</v>
      </c>
      <c r="V61" s="23">
        <v>3132.9480895350762</v>
      </c>
      <c r="W61" s="23">
        <v>2530.8197822228617</v>
      </c>
      <c r="X61" s="23">
        <v>-491.73674623174867</v>
      </c>
      <c r="Y61" s="23">
        <v>1700.7431508115503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9016.4708421578016</v>
      </c>
      <c r="E62" s="23">
        <v>9287.625547756621</v>
      </c>
      <c r="F62" s="23">
        <v>9062.9304674799259</v>
      </c>
      <c r="G62" s="23">
        <v>8630.6319240064131</v>
      </c>
      <c r="H62" s="23">
        <v>8760.9107283055473</v>
      </c>
      <c r="I62" s="23">
        <v>8741.2237268145036</v>
      </c>
      <c r="J62" s="23">
        <v>8786.6919170181627</v>
      </c>
      <c r="K62" s="23">
        <v>8623.3168516963651</v>
      </c>
      <c r="L62" s="23">
        <v>8507.4626865671635</v>
      </c>
      <c r="M62" s="23">
        <v>7589.3778183854511</v>
      </c>
      <c r="N62" s="23">
        <v>8443.2691348168846</v>
      </c>
      <c r="O62" s="23">
        <v>8820.0333623006009</v>
      </c>
      <c r="P62" s="23">
        <v>7903.9454554569611</v>
      </c>
      <c r="Q62" s="23">
        <v>7461.8752831043339</v>
      </c>
      <c r="R62" s="23">
        <v>7770.5426981695027</v>
      </c>
      <c r="S62" s="23">
        <v>8061</v>
      </c>
      <c r="T62" s="23">
        <v>8681.8032509481109</v>
      </c>
      <c r="U62" s="23">
        <v>9060.3828580431691</v>
      </c>
      <c r="V62" s="23">
        <v>8749.8416472583049</v>
      </c>
      <c r="W62" s="23">
        <v>9184.0552597496044</v>
      </c>
      <c r="X62" s="23">
        <v>8808.7889684854326</v>
      </c>
      <c r="Y62" s="23">
        <v>10160.091692239435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4737.5591857657391</v>
      </c>
      <c r="E63" s="23">
        <v>5069.7379816703506</v>
      </c>
      <c r="F63" s="23">
        <v>5183.6040754023898</v>
      </c>
      <c r="G63" s="23">
        <v>5344.1963965257337</v>
      </c>
      <c r="H63" s="23">
        <v>5565.0487230406879</v>
      </c>
      <c r="I63" s="23">
        <v>5869.3934774626414</v>
      </c>
      <c r="J63" s="23">
        <v>6258.0700697254024</v>
      </c>
      <c r="K63" s="23">
        <v>6566.7402639135071</v>
      </c>
      <c r="L63" s="23">
        <v>6861.6915422885568</v>
      </c>
      <c r="M63" s="23">
        <v>6452.6904221560708</v>
      </c>
      <c r="N63" s="23">
        <v>5341.7822572597552</v>
      </c>
      <c r="O63" s="23">
        <v>4898.4647348496201</v>
      </c>
      <c r="P63" s="23">
        <v>5149.6465633929911</v>
      </c>
      <c r="Q63" s="23">
        <v>6108.0074487895718</v>
      </c>
      <c r="R63" s="23">
        <v>6916.7809047657447</v>
      </c>
      <c r="S63" s="23">
        <v>6833</v>
      </c>
      <c r="T63" s="23">
        <v>6993.6195415227503</v>
      </c>
      <c r="U63" s="23">
        <v>7061.4069639199615</v>
      </c>
      <c r="V63" s="23">
        <v>6310.7221859499705</v>
      </c>
      <c r="W63" s="23">
        <v>6742.4569482419529</v>
      </c>
      <c r="X63" s="23">
        <v>7309.9829166312738</v>
      </c>
      <c r="Y63" s="23">
        <v>8167.2643916145962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6480.419797385709</v>
      </c>
      <c r="E64" s="23">
        <v>6377.8906684246576</v>
      </c>
      <c r="F64" s="23">
        <v>6369.9879624229034</v>
      </c>
      <c r="G64" s="23">
        <v>6174.4789797334479</v>
      </c>
      <c r="H64" s="23">
        <v>6030.3422158592348</v>
      </c>
      <c r="I64" s="23">
        <v>5834.900359396036</v>
      </c>
      <c r="J64" s="23">
        <v>5536.0678316260646</v>
      </c>
      <c r="K64" s="23">
        <v>5527.0495796664281</v>
      </c>
      <c r="L64" s="23">
        <v>5840.7960199004974</v>
      </c>
      <c r="M64" s="23">
        <v>5199.0922219929853</v>
      </c>
      <c r="N64" s="23">
        <v>5504.4406745833749</v>
      </c>
      <c r="O64" s="23">
        <v>5409.8868278844902</v>
      </c>
      <c r="P64" s="23">
        <v>5112.5482528701059</v>
      </c>
      <c r="Q64" s="23">
        <v>5498.011978458906</v>
      </c>
      <c r="R64" s="23">
        <v>5594.3069107330057</v>
      </c>
      <c r="S64" s="23">
        <v>5823</v>
      </c>
      <c r="T64" s="23">
        <v>5854.8918507311155</v>
      </c>
      <c r="U64" s="23">
        <v>6036.3163699385532</v>
      </c>
      <c r="V64" s="23">
        <v>6235.6873483467971</v>
      </c>
      <c r="W64" s="23">
        <v>6334.7244207799686</v>
      </c>
      <c r="X64" s="23">
        <v>5921.6052703608275</v>
      </c>
      <c r="Y64" s="23">
        <v>6433.2458313306461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10945.488392170617</v>
      </c>
      <c r="E65" s="23">
        <v>11178.759323173173</v>
      </c>
      <c r="F65" s="23">
        <v>10899.591715168586</v>
      </c>
      <c r="G65" s="23">
        <v>10449.118273395066</v>
      </c>
      <c r="H65" s="23">
        <v>10488.154066411122</v>
      </c>
      <c r="I65" s="23">
        <v>11013.318794298619</v>
      </c>
      <c r="J65" s="23">
        <v>10931.178445381767</v>
      </c>
      <c r="K65" s="23">
        <v>10551.357402742793</v>
      </c>
      <c r="L65" s="23">
        <v>9989.0547263681601</v>
      </c>
      <c r="M65" s="23">
        <v>7209.1720946682781</v>
      </c>
      <c r="N65" s="23">
        <v>6364.6342680371235</v>
      </c>
      <c r="O65" s="23">
        <v>5827.4150210262405</v>
      </c>
      <c r="P65" s="23">
        <v>4961.1470396550858</v>
      </c>
      <c r="Q65" s="23">
        <v>4599.1242639287339</v>
      </c>
      <c r="R65" s="23">
        <v>4786.9123457785654</v>
      </c>
      <c r="S65" s="23">
        <v>4970</v>
      </c>
      <c r="T65" s="23">
        <v>5272.5879179399381</v>
      </c>
      <c r="U65" s="23">
        <v>5547.8966440838194</v>
      </c>
      <c r="V65" s="23">
        <v>5695.8263089681259</v>
      </c>
      <c r="W65" s="23">
        <v>6265.6497337746441</v>
      </c>
      <c r="X65" s="23">
        <v>5864.9753187794358</v>
      </c>
      <c r="Y65" s="23">
        <v>6283.5064887048475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8847.8504269468922</v>
      </c>
      <c r="E66" s="23">
        <v>8753.7648168974029</v>
      </c>
      <c r="F66" s="23">
        <v>8134.6719449994416</v>
      </c>
      <c r="G66" s="23">
        <v>7387.6007943914055</v>
      </c>
      <c r="H66" s="23">
        <v>7430.8409920103459</v>
      </c>
      <c r="I66" s="23">
        <v>6834.0881020996294</v>
      </c>
      <c r="J66" s="23">
        <v>7579.4094860979594</v>
      </c>
      <c r="K66" s="23">
        <v>6825.8854992692104</v>
      </c>
      <c r="L66" s="23">
        <v>6009.9502487562186</v>
      </c>
      <c r="M66" s="23">
        <v>4536.9251476121699</v>
      </c>
      <c r="N66" s="23">
        <v>5755.9125835744935</v>
      </c>
      <c r="O66" s="23">
        <v>5565.7107468560525</v>
      </c>
      <c r="P66" s="23">
        <v>5395.2975384769643</v>
      </c>
      <c r="Q66" s="23">
        <v>5161.8098545472849</v>
      </c>
      <c r="R66" s="23">
        <v>5649.7459882267558</v>
      </c>
      <c r="S66" s="23">
        <v>5935</v>
      </c>
      <c r="T66" s="23">
        <v>6019.1314215183702</v>
      </c>
      <c r="U66" s="23">
        <v>6488.3015597920275</v>
      </c>
      <c r="V66" s="23">
        <v>6456.8939475145926</v>
      </c>
      <c r="W66" s="23">
        <v>5460.7377560320429</v>
      </c>
      <c r="X66" s="23">
        <v>4427.5183811384513</v>
      </c>
      <c r="Y66" s="23">
        <v>5355.4922911968051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13396.55474767641</v>
      </c>
      <c r="E67" s="23">
        <v>13839.014490505551</v>
      </c>
      <c r="F67" s="23">
        <v>14072.796316749605</v>
      </c>
      <c r="G67" s="23">
        <v>14191.371760821192</v>
      </c>
      <c r="H67" s="23">
        <v>13964.57765667575</v>
      </c>
      <c r="I67" s="23">
        <v>14327.996172376575</v>
      </c>
      <c r="J67" s="23">
        <v>14634.802444693119</v>
      </c>
      <c r="K67" s="23">
        <v>15153.776782660072</v>
      </c>
      <c r="L67" s="23">
        <v>15030.845771144281</v>
      </c>
      <c r="M67" s="23">
        <v>11854.166052639333</v>
      </c>
      <c r="N67" s="23">
        <v>11350.164654226126</v>
      </c>
      <c r="O67" s="23">
        <v>10899.683357805679</v>
      </c>
      <c r="P67" s="23">
        <v>9750.8397252719697</v>
      </c>
      <c r="Q67" s="23">
        <v>9584.7803110372952</v>
      </c>
      <c r="R67" s="23">
        <v>9933.6747036529323</v>
      </c>
      <c r="S67" s="23">
        <v>10030</v>
      </c>
      <c r="T67" s="23">
        <v>10479.480007564976</v>
      </c>
      <c r="U67" s="23">
        <v>11192.295572711515</v>
      </c>
      <c r="V67" s="23">
        <v>11912.024089106308</v>
      </c>
      <c r="W67" s="23">
        <v>11716.793783278172</v>
      </c>
      <c r="X67" s="23">
        <v>10518.069673717095</v>
      </c>
      <c r="Y67" s="23">
        <v>11899.656154102118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4148.062214188396</v>
      </c>
      <c r="E68" s="23">
        <v>4011.0650069156291</v>
      </c>
      <c r="F68" s="23">
        <v>3142.1799183430335</v>
      </c>
      <c r="G68" s="23">
        <v>2892.8289426458978</v>
      </c>
      <c r="H68" s="23">
        <v>2567.7735186810141</v>
      </c>
      <c r="I68" s="23">
        <v>2589.2092174512923</v>
      </c>
      <c r="J68" s="23">
        <v>2516.785745028837</v>
      </c>
      <c r="K68" s="23">
        <v>2716.8786474691874</v>
      </c>
      <c r="L68" s="23">
        <v>2691.5422885572139</v>
      </c>
      <c r="M68" s="23">
        <v>2362.7771719374773</v>
      </c>
      <c r="N68" s="23">
        <v>2124.5384692146495</v>
      </c>
      <c r="O68" s="23">
        <v>2076.6533816787032</v>
      </c>
      <c r="P68" s="23">
        <v>1960.194515465985</v>
      </c>
      <c r="Q68" s="23">
        <v>1867.2303588504706</v>
      </c>
      <c r="R68" s="23">
        <v>1640.9966938150149</v>
      </c>
      <c r="S68" s="23">
        <v>1561</v>
      </c>
      <c r="T68" s="23">
        <v>1562.7644008241841</v>
      </c>
      <c r="U68" s="23">
        <v>1649.4012919489521</v>
      </c>
      <c r="V68" s="23">
        <v>1745.2908330815931</v>
      </c>
      <c r="W68" s="23">
        <v>1843.9103947810236</v>
      </c>
      <c r="X68" s="23">
        <v>1646.9877584921333</v>
      </c>
      <c r="Y68" s="23">
        <v>1824.6016194032609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5379.6657268888857</v>
      </c>
      <c r="E69" s="23">
        <v>5416.1657682811747</v>
      </c>
      <c r="F69" s="23">
        <v>5372.2341494893335</v>
      </c>
      <c r="G69" s="23">
        <v>5418.3714976192186</v>
      </c>
      <c r="H69" s="23">
        <v>5454.2095783494206</v>
      </c>
      <c r="I69" s="23">
        <v>5067.1503121070846</v>
      </c>
      <c r="J69" s="23">
        <v>5905.1390204011359</v>
      </c>
      <c r="K69" s="23">
        <v>5830.7677955033114</v>
      </c>
      <c r="L69" s="23">
        <v>5868.6567164179105</v>
      </c>
      <c r="M69" s="23">
        <v>4863.0964661499011</v>
      </c>
      <c r="N69" s="23">
        <v>4768.9851312244291</v>
      </c>
      <c r="O69" s="23">
        <v>4025.4512400986887</v>
      </c>
      <c r="P69" s="23">
        <v>3748.9346768937685</v>
      </c>
      <c r="Q69" s="23">
        <v>3695.2035834717399</v>
      </c>
      <c r="R69" s="23">
        <v>3780.9450850737844</v>
      </c>
      <c r="S69" s="23">
        <v>4022</v>
      </c>
      <c r="T69" s="23">
        <v>4180.6436200392191</v>
      </c>
      <c r="U69" s="23">
        <v>4281.5503387427125</v>
      </c>
      <c r="V69" s="23">
        <v>4584.9209210769932</v>
      </c>
      <c r="W69" s="23">
        <v>4384.3238835324028</v>
      </c>
      <c r="X69" s="23">
        <v>3918.7926494322851</v>
      </c>
      <c r="Y69" s="23">
        <v>4238.9174400118309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7551.4966748054121</v>
      </c>
      <c r="E70" s="23">
        <v>7799.7957627228188</v>
      </c>
      <c r="F70" s="23">
        <v>7743.7609362008407</v>
      </c>
      <c r="G70" s="23">
        <v>7427.0810901347113</v>
      </c>
      <c r="H70" s="23">
        <v>7528.9798180390717</v>
      </c>
      <c r="I70" s="23">
        <v>7353.7102355546158</v>
      </c>
      <c r="J70" s="23">
        <v>7410.4760265128689</v>
      </c>
      <c r="K70" s="23">
        <v>7335.8833224492328</v>
      </c>
      <c r="L70" s="23">
        <v>7399.0049751243778</v>
      </c>
      <c r="M70" s="23">
        <v>6435.98887873697</v>
      </c>
      <c r="N70" s="23">
        <v>6203.9716595150185</v>
      </c>
      <c r="O70" s="23">
        <v>6360.8122821212028</v>
      </c>
      <c r="P70" s="23">
        <v>6562.390334386123</v>
      </c>
      <c r="Q70" s="23">
        <v>6586.1392118375361</v>
      </c>
      <c r="R70" s="23">
        <v>6940.9725022175635</v>
      </c>
      <c r="S70" s="23">
        <v>6538</v>
      </c>
      <c r="T70" s="23">
        <v>6407.3340433791545</v>
      </c>
      <c r="U70" s="23">
        <v>6764.0223727745388</v>
      </c>
      <c r="V70" s="23">
        <v>7081.5346086007467</v>
      </c>
      <c r="W70" s="23">
        <v>7224.0610159735215</v>
      </c>
      <c r="X70" s="23">
        <v>6658.7384734452726</v>
      </c>
      <c r="Y70" s="23">
        <v>7175.472325951122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13241.423965682374</v>
      </c>
      <c r="E71" s="23">
        <v>12945.799563087343</v>
      </c>
      <c r="F71" s="23">
        <v>13012.993137340067</v>
      </c>
      <c r="G71" s="23">
        <v>13235.470054793865</v>
      </c>
      <c r="H71" s="23">
        <v>13106.728859742299</v>
      </c>
      <c r="I71" s="23">
        <v>12108.197122606343</v>
      </c>
      <c r="J71" s="23">
        <v>12428.983386416458</v>
      </c>
      <c r="K71" s="23">
        <v>12290.740222450269</v>
      </c>
      <c r="L71" s="23">
        <v>10634.825870646766</v>
      </c>
      <c r="M71" s="23">
        <v>9015.8861151227557</v>
      </c>
      <c r="N71" s="23">
        <v>8878.3554535475505</v>
      </c>
      <c r="O71" s="23">
        <v>8488.408098848302</v>
      </c>
      <c r="P71" s="23">
        <v>7440.71790244147</v>
      </c>
      <c r="Q71" s="23">
        <v>8583.2200915999802</v>
      </c>
      <c r="R71" s="23">
        <v>9836.9083138456572</v>
      </c>
      <c r="S71" s="23">
        <v>10741</v>
      </c>
      <c r="T71" s="23">
        <v>11188.198640295434</v>
      </c>
      <c r="U71" s="23">
        <v>11568.4575389948</v>
      </c>
      <c r="V71" s="23">
        <v>12087.430202983853</v>
      </c>
      <c r="W71" s="23">
        <v>11808.893365951935</v>
      </c>
      <c r="X71" s="23">
        <v>10222.650092967504</v>
      </c>
      <c r="Y71" s="23">
        <v>11004.917366066476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3025.7247305445762</v>
      </c>
      <c r="E72" s="23">
        <v>3101.0457465648069</v>
      </c>
      <c r="F72" s="23">
        <v>3688.2143433315559</v>
      </c>
      <c r="G72" s="23">
        <v>3778.1446653745861</v>
      </c>
      <c r="H72" s="23">
        <v>3402.5308271371177</v>
      </c>
      <c r="I72" s="23">
        <v>3582.8335540151111</v>
      </c>
      <c r="J72" s="23">
        <v>3953.2581561504685</v>
      </c>
      <c r="K72" s="23">
        <v>4049.9217381389226</v>
      </c>
      <c r="L72" s="23">
        <v>4402.9850746268658</v>
      </c>
      <c r="M72" s="23">
        <v>4151.8072052423195</v>
      </c>
      <c r="N72" s="23">
        <v>3688.2546652030742</v>
      </c>
      <c r="O72" s="23">
        <v>4700.6882223087905</v>
      </c>
      <c r="P72" s="23">
        <v>4568.1054795207301</v>
      </c>
      <c r="Q72" s="23">
        <v>5099.4010770547084</v>
      </c>
      <c r="R72" s="23">
        <v>4898.7984839932269</v>
      </c>
      <c r="S72" s="23">
        <v>4135</v>
      </c>
      <c r="T72" s="23">
        <v>3867.095348536277</v>
      </c>
      <c r="U72" s="23">
        <v>4111.1942650070887</v>
      </c>
      <c r="V72" s="23">
        <v>4623.9000574942274</v>
      </c>
      <c r="W72" s="23">
        <v>4879.3591404038962</v>
      </c>
      <c r="X72" s="23">
        <v>4224.5943879717997</v>
      </c>
      <c r="Y72" s="23">
        <v>4196.3988612415433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7038.8906125642443</v>
      </c>
      <c r="E73" s="23">
        <v>6963.4570390765366</v>
      </c>
      <c r="F73" s="23">
        <v>6665.3429468485128</v>
      </c>
      <c r="G73" s="23">
        <v>6556.121838585409</v>
      </c>
      <c r="H73" s="23">
        <v>6874.3361197062768</v>
      </c>
      <c r="I73" s="23">
        <v>6835.2007833275838</v>
      </c>
      <c r="J73" s="23">
        <v>6931.6518894723249</v>
      </c>
      <c r="K73" s="23">
        <v>6723.2639860683521</v>
      </c>
      <c r="L73" s="23">
        <v>6536.3184079601988</v>
      </c>
      <c r="M73" s="23">
        <v>5515.4391032253625</v>
      </c>
      <c r="N73" s="23">
        <v>4924.6582177427408</v>
      </c>
      <c r="O73" s="23">
        <v>4616.7830351702578</v>
      </c>
      <c r="P73" s="23">
        <v>4566.1001654384118</v>
      </c>
      <c r="Q73" s="23">
        <v>4141.1243645880522</v>
      </c>
      <c r="R73" s="23">
        <v>4135.7551810337873</v>
      </c>
      <c r="S73" s="23">
        <v>4034</v>
      </c>
      <c r="T73" s="23">
        <v>4051.2427460856238</v>
      </c>
      <c r="U73" s="23">
        <v>4263.8254293366945</v>
      </c>
      <c r="V73" s="23">
        <v>4306.2200956937795</v>
      </c>
      <c r="W73" s="23">
        <v>4600.1822804240419</v>
      </c>
      <c r="X73" s="23">
        <v>3927.2871421694936</v>
      </c>
      <c r="Y73" s="23">
        <v>4593.8551410507635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2583.2647610312069</v>
      </c>
      <c r="E74" s="23">
        <v>2889.0526234149365</v>
      </c>
      <c r="F74" s="23">
        <v>3127.2880703889232</v>
      </c>
      <c r="G74" s="23">
        <v>3272.0790563013934</v>
      </c>
      <c r="H74" s="23">
        <v>3469.496143721437</v>
      </c>
      <c r="I74" s="23">
        <v>3695.2143580385182</v>
      </c>
      <c r="J74" s="23">
        <v>4245.9326848583896</v>
      </c>
      <c r="K74" s="23">
        <v>4600.3462180343813</v>
      </c>
      <c r="L74" s="23">
        <v>4937.3134328357783</v>
      </c>
      <c r="M74" s="23">
        <v>5163.72424769387</v>
      </c>
      <c r="N74" s="23">
        <v>5286.8975152180574</v>
      </c>
      <c r="O74" s="23">
        <v>5073.2672080548655</v>
      </c>
      <c r="P74" s="23">
        <v>4912.0168446383223</v>
      </c>
      <c r="Q74" s="23">
        <v>4937.3395742111252</v>
      </c>
      <c r="R74" s="23">
        <v>5126.6026933314015</v>
      </c>
      <c r="S74" s="23">
        <v>5788</v>
      </c>
      <c r="T74" s="23">
        <v>5820.0531538973482</v>
      </c>
      <c r="U74" s="23">
        <v>5880.7310540414446</v>
      </c>
      <c r="V74" s="23">
        <v>5928.7266490610436</v>
      </c>
      <c r="W74" s="23">
        <v>6153.4033673908943</v>
      </c>
      <c r="X74" s="23">
        <v>5625.2418570850068</v>
      </c>
      <c r="Y74" s="23">
        <v>5519.096387769504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141861.02979859983</v>
      </c>
      <c r="E75" s="30">
        <f t="shared" ref="E75:S75" si="6">SUM(E56:E74)</f>
        <v>143463.76080971034</v>
      </c>
      <c r="F75" s="30">
        <f t="shared" si="6"/>
        <v>141769.15153696292</v>
      </c>
      <c r="G75" s="30">
        <f t="shared" si="6"/>
        <v>141138.46816452526</v>
      </c>
      <c r="H75" s="30">
        <f t="shared" si="6"/>
        <v>140613.3099339584</v>
      </c>
      <c r="I75" s="30">
        <f t="shared" si="6"/>
        <v>141458.50255360338</v>
      </c>
      <c r="J75" s="30">
        <f t="shared" si="6"/>
        <v>144036.75647757595</v>
      </c>
      <c r="K75" s="30">
        <f t="shared" si="6"/>
        <v>143810.05690829363</v>
      </c>
      <c r="L75" s="30">
        <f t="shared" si="6"/>
        <v>140161.19402985068</v>
      </c>
      <c r="M75" s="30">
        <f t="shared" si="6"/>
        <v>121756.21641270514</v>
      </c>
      <c r="N75" s="30">
        <f t="shared" si="6"/>
        <v>122006.78574992518</v>
      </c>
      <c r="O75" s="30">
        <f t="shared" si="6"/>
        <v>122179.93667156111</v>
      </c>
      <c r="P75" s="30">
        <f t="shared" si="6"/>
        <v>115013.78653431596</v>
      </c>
      <c r="Q75" s="30">
        <f t="shared" si="6"/>
        <v>114935.82968443308</v>
      </c>
      <c r="R75" s="30">
        <f t="shared" si="6"/>
        <v>117649.78630755607</v>
      </c>
      <c r="S75" s="30">
        <f t="shared" si="6"/>
        <v>121760</v>
      </c>
      <c r="T75" s="30">
        <f t="shared" ref="T75:Y75" si="7">SUM(T56:T74)</f>
        <v>124960.43319431023</v>
      </c>
      <c r="U75" s="30">
        <f t="shared" si="7"/>
        <v>129674.45249724292</v>
      </c>
      <c r="V75" s="30">
        <f t="shared" si="7"/>
        <v>129360.06002787006</v>
      </c>
      <c r="W75" s="30">
        <f t="shared" si="7"/>
        <v>130410.13095409403</v>
      </c>
      <c r="X75" s="30">
        <f t="shared" si="7"/>
        <v>116082.9062491153</v>
      </c>
      <c r="Y75" s="30">
        <f t="shared" si="7"/>
        <v>127730.43221059644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40470182</v>
      </c>
      <c r="E3" s="42">
        <v>40665545</v>
      </c>
      <c r="F3" s="42">
        <v>41035278</v>
      </c>
      <c r="G3" s="42">
        <v>41827838</v>
      </c>
      <c r="H3" s="42">
        <v>42547451</v>
      </c>
      <c r="I3" s="42">
        <v>43296338</v>
      </c>
      <c r="J3" s="42">
        <v>44009971</v>
      </c>
      <c r="K3" s="42">
        <v>44784666</v>
      </c>
      <c r="L3" s="42">
        <v>45668939</v>
      </c>
      <c r="M3" s="42">
        <v>46239273</v>
      </c>
      <c r="N3" s="42">
        <v>46486619</v>
      </c>
      <c r="O3" s="42">
        <v>46667174</v>
      </c>
      <c r="P3" s="42">
        <v>46818219</v>
      </c>
      <c r="Q3" s="42">
        <v>46727890</v>
      </c>
      <c r="R3" s="42">
        <v>46512199</v>
      </c>
      <c r="S3" s="42">
        <v>46449565</v>
      </c>
      <c r="T3" s="42">
        <v>46440099</v>
      </c>
      <c r="U3" s="42">
        <v>46528024</v>
      </c>
      <c r="V3" s="42">
        <v>46658447</v>
      </c>
      <c r="W3" s="42">
        <v>46937060</v>
      </c>
      <c r="X3" s="42">
        <v>47332614</v>
      </c>
      <c r="Y3" s="42">
        <v>47398695</v>
      </c>
    </row>
    <row r="4" spans="1:25" x14ac:dyDescent="0.25">
      <c r="A4" s="43" t="s">
        <v>239</v>
      </c>
      <c r="B4" s="44"/>
      <c r="C4" s="44"/>
      <c r="D4" s="45">
        <v>14471308</v>
      </c>
      <c r="E4" s="45">
        <v>14622972</v>
      </c>
      <c r="F4" s="45">
        <v>14839410</v>
      </c>
      <c r="G4" s="45">
        <v>15212086</v>
      </c>
      <c r="H4" s="45">
        <v>15562345</v>
      </c>
      <c r="I4" s="45">
        <v>15784301</v>
      </c>
      <c r="J4" s="45">
        <v>16215907</v>
      </c>
      <c r="K4" s="45">
        <v>16611523</v>
      </c>
      <c r="L4" s="45">
        <v>17130135</v>
      </c>
      <c r="M4" s="45">
        <v>17475160</v>
      </c>
      <c r="N4" s="45">
        <v>17763324</v>
      </c>
      <c r="O4" s="45">
        <v>18011260</v>
      </c>
      <c r="P4" s="45">
        <v>18281226</v>
      </c>
      <c r="Q4" s="45">
        <v>18447647</v>
      </c>
      <c r="R4" s="45">
        <v>18516003</v>
      </c>
      <c r="S4" s="45">
        <v>18579826</v>
      </c>
      <c r="T4" s="45">
        <v>18673140</v>
      </c>
      <c r="U4" s="45">
        <v>18731089</v>
      </c>
      <c r="V4" s="45">
        <v>18760936</v>
      </c>
      <c r="W4" s="45">
        <v>18872963</v>
      </c>
      <c r="X4" s="45">
        <v>19024363</v>
      </c>
      <c r="Y4" s="45">
        <v>19089285</v>
      </c>
    </row>
    <row r="5" spans="1:25" x14ac:dyDescent="0.25">
      <c r="A5" s="46" t="s">
        <v>240</v>
      </c>
      <c r="B5" s="47"/>
      <c r="C5" s="47"/>
      <c r="D5" s="48">
        <f>D3/D4</f>
        <v>2.7965807928350359</v>
      </c>
      <c r="E5" s="48">
        <f t="shared" ref="E5:S5" si="0">E3/E4</f>
        <v>2.7809357085550053</v>
      </c>
      <c r="F5" s="48">
        <f t="shared" si="0"/>
        <v>2.7652903990118207</v>
      </c>
      <c r="G5" s="48">
        <f t="shared" si="0"/>
        <v>2.7496451177044356</v>
      </c>
      <c r="H5" s="48">
        <f t="shared" si="0"/>
        <v>2.7339999852207364</v>
      </c>
      <c r="I5" s="48">
        <f t="shared" si="0"/>
        <v>2.7430000226174096</v>
      </c>
      <c r="J5" s="48">
        <f t="shared" si="0"/>
        <v>2.7139999631226299</v>
      </c>
      <c r="K5" s="48">
        <f t="shared" si="0"/>
        <v>2.6959999995184067</v>
      </c>
      <c r="L5" s="48">
        <f t="shared" si="0"/>
        <v>2.6659999468772431</v>
      </c>
      <c r="M5" s="48">
        <f t="shared" si="0"/>
        <v>2.6459999793993303</v>
      </c>
      <c r="N5" s="48">
        <f t="shared" si="0"/>
        <v>2.6170000051792108</v>
      </c>
      <c r="O5" s="48">
        <f t="shared" si="0"/>
        <v>2.5909999633562562</v>
      </c>
      <c r="P5" s="48">
        <f t="shared" si="0"/>
        <v>2.5609999570050719</v>
      </c>
      <c r="Q5" s="48">
        <f t="shared" si="0"/>
        <v>2.5330000080769111</v>
      </c>
      <c r="R5" s="48">
        <f t="shared" si="0"/>
        <v>2.511999971052068</v>
      </c>
      <c r="S5" s="48">
        <f t="shared" si="0"/>
        <v>2.5</v>
      </c>
      <c r="T5" s="48">
        <f t="shared" ref="T5:Y5" si="1">T3/T4</f>
        <v>2.4869999903604856</v>
      </c>
      <c r="U5" s="48">
        <f t="shared" si="1"/>
        <v>2.4839999425553954</v>
      </c>
      <c r="V5" s="48">
        <f t="shared" si="1"/>
        <v>2.4869999556525326</v>
      </c>
      <c r="W5" s="48">
        <f t="shared" si="1"/>
        <v>2.4870000539925821</v>
      </c>
      <c r="X5" s="48">
        <f t="shared" si="1"/>
        <v>2.4879999398665804</v>
      </c>
      <c r="Y5" s="48">
        <f t="shared" si="1"/>
        <v>2.4830000180729659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1814.6</v>
      </c>
      <c r="E8" s="42">
        <v>1787.38</v>
      </c>
      <c r="F8" s="42">
        <v>1680.7</v>
      </c>
      <c r="G8" s="42">
        <v>1776.37</v>
      </c>
      <c r="H8" s="42">
        <v>1935.16</v>
      </c>
      <c r="I8" s="42">
        <v>1962.13</v>
      </c>
      <c r="J8" s="42">
        <v>1684.49</v>
      </c>
      <c r="K8" s="42">
        <v>1829.89</v>
      </c>
      <c r="L8" s="42">
        <v>1864.97</v>
      </c>
      <c r="M8" s="42">
        <v>1720.56</v>
      </c>
      <c r="N8" s="42">
        <v>1953.46</v>
      </c>
      <c r="O8" s="42">
        <v>1572.46</v>
      </c>
      <c r="P8" s="42">
        <v>1873.15</v>
      </c>
      <c r="Q8" s="42">
        <v>1921.25</v>
      </c>
      <c r="R8" s="42">
        <v>1554.36</v>
      </c>
      <c r="S8" s="42">
        <v>1610.6</v>
      </c>
      <c r="T8" s="42">
        <v>1724.77</v>
      </c>
      <c r="U8" s="42">
        <v>1606.48</v>
      </c>
      <c r="V8" s="42">
        <v>1796.63</v>
      </c>
      <c r="W8" s="42">
        <v>1670.72</v>
      </c>
      <c r="X8" s="42">
        <v>1553.94</v>
      </c>
      <c r="Y8" s="42">
        <v>1663.07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1756.8604761904762</v>
      </c>
      <c r="E9" s="45">
        <f t="shared" si="2"/>
        <v>1756.8604761904762</v>
      </c>
      <c r="F9" s="45">
        <f t="shared" si="2"/>
        <v>1756.8604761904762</v>
      </c>
      <c r="G9" s="45">
        <f t="shared" si="2"/>
        <v>1756.8604761904762</v>
      </c>
      <c r="H9" s="45">
        <f t="shared" si="2"/>
        <v>1756.8604761904762</v>
      </c>
      <c r="I9" s="45">
        <f t="shared" si="2"/>
        <v>1756.8604761904762</v>
      </c>
      <c r="J9" s="45">
        <f t="shared" si="2"/>
        <v>1756.8604761904762</v>
      </c>
      <c r="K9" s="45">
        <f t="shared" si="2"/>
        <v>1756.8604761904762</v>
      </c>
      <c r="L9" s="45">
        <f t="shared" si="2"/>
        <v>1756.8604761904762</v>
      </c>
      <c r="M9" s="45">
        <f t="shared" si="2"/>
        <v>1756.8604761904762</v>
      </c>
      <c r="N9" s="45">
        <f t="shared" si="2"/>
        <v>1756.8604761904762</v>
      </c>
      <c r="O9" s="45">
        <f t="shared" si="2"/>
        <v>1756.8604761904762</v>
      </c>
      <c r="P9" s="45">
        <f t="shared" si="2"/>
        <v>1756.8604761904762</v>
      </c>
      <c r="Q9" s="45">
        <f t="shared" si="2"/>
        <v>1756.8604761904762</v>
      </c>
      <c r="R9" s="45">
        <f t="shared" si="2"/>
        <v>1756.8604761904762</v>
      </c>
      <c r="S9" s="45">
        <f t="shared" si="2"/>
        <v>1756.8604761904762</v>
      </c>
      <c r="T9" s="45">
        <f t="shared" si="2"/>
        <v>1756.8604761904762</v>
      </c>
      <c r="U9" s="45">
        <f t="shared" si="2"/>
        <v>1756.8604761904762</v>
      </c>
      <c r="V9" s="45">
        <f t="shared" si="2"/>
        <v>1756.8604761904762</v>
      </c>
      <c r="W9" s="45">
        <f t="shared" si="2"/>
        <v>1756.8604761904762</v>
      </c>
      <c r="X9" s="45">
        <f>AVERAGE($D8:$X8)</f>
        <v>1756.8604761904762</v>
      </c>
      <c r="Y9" s="45">
        <f t="shared" ref="Y9" si="3">AVERAGE($D8:$X8)</f>
        <v>1756.8604761904762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1.032865173183658</v>
      </c>
      <c r="E10" s="53">
        <f t="shared" si="4"/>
        <v>1.0173716263887396</v>
      </c>
      <c r="F10" s="53">
        <f t="shared" si="4"/>
        <v>0.95664967296912484</v>
      </c>
      <c r="G10" s="53">
        <f t="shared" si="4"/>
        <v>1.0111047656168051</v>
      </c>
      <c r="H10" s="53">
        <f t="shared" si="4"/>
        <v>1.1014875832349209</v>
      </c>
      <c r="I10" s="53">
        <f t="shared" si="4"/>
        <v>1.1168388307389236</v>
      </c>
      <c r="J10" s="53">
        <f t="shared" si="4"/>
        <v>0.95880693021940921</v>
      </c>
      <c r="K10" s="53">
        <f t="shared" si="4"/>
        <v>1.0415681978160718</v>
      </c>
      <c r="L10" s="53">
        <f t="shared" si="4"/>
        <v>1.061535634317385</v>
      </c>
      <c r="M10" s="53">
        <f t="shared" si="4"/>
        <v>0.97933787191274912</v>
      </c>
      <c r="N10" s="53">
        <f t="shared" si="4"/>
        <v>1.1119038913299617</v>
      </c>
      <c r="O10" s="53">
        <f t="shared" si="4"/>
        <v>0.89503977197419526</v>
      </c>
      <c r="P10" s="53">
        <f t="shared" si="4"/>
        <v>1.0661916671161518</v>
      </c>
      <c r="Q10" s="53">
        <f t="shared" si="4"/>
        <v>1.0935700506883625</v>
      </c>
      <c r="R10" s="53">
        <f t="shared" si="4"/>
        <v>0.88473730331188716</v>
      </c>
      <c r="S10" s="53">
        <f t="shared" si="4"/>
        <v>0.91674895179631843</v>
      </c>
      <c r="T10" s="53">
        <f t="shared" ref="T10:Y10" si="5">IF(T8=0,0,T8/T9)</f>
        <v>0.98173419197177214</v>
      </c>
      <c r="U10" s="53">
        <f t="shared" si="5"/>
        <v>0.91440385948202518</v>
      </c>
      <c r="V10" s="53">
        <f t="shared" si="5"/>
        <v>1.0226367001526262</v>
      </c>
      <c r="W10" s="53">
        <f t="shared" si="5"/>
        <v>0.95096908527576385</v>
      </c>
      <c r="X10" s="53">
        <f t="shared" si="5"/>
        <v>0.88449824050314863</v>
      </c>
      <c r="Y10" s="53">
        <f t="shared" si="5"/>
        <v>0.9466147269737385</v>
      </c>
    </row>
    <row r="11" spans="1:25" x14ac:dyDescent="0.25">
      <c r="A11" s="43" t="s">
        <v>251</v>
      </c>
      <c r="B11" s="44"/>
      <c r="C11" s="44"/>
      <c r="D11" s="45">
        <v>179.83</v>
      </c>
      <c r="E11" s="45">
        <v>204.33</v>
      </c>
      <c r="F11" s="45">
        <v>148.1</v>
      </c>
      <c r="G11" s="45">
        <v>283.2</v>
      </c>
      <c r="H11" s="45">
        <v>215.18</v>
      </c>
      <c r="I11" s="45">
        <v>233.51</v>
      </c>
      <c r="J11" s="45">
        <v>256.82</v>
      </c>
      <c r="K11" s="45">
        <v>153.02000000000001</v>
      </c>
      <c r="L11" s="45">
        <v>178.91</v>
      </c>
      <c r="M11" s="45">
        <v>258.35000000000002</v>
      </c>
      <c r="N11" s="45">
        <v>246.35</v>
      </c>
      <c r="O11" s="45">
        <v>217.62</v>
      </c>
      <c r="P11" s="45">
        <v>263.33</v>
      </c>
      <c r="Q11" s="45">
        <v>210.52</v>
      </c>
      <c r="R11" s="45">
        <v>178.24</v>
      </c>
      <c r="S11" s="45">
        <v>286.97000000000003</v>
      </c>
      <c r="T11" s="45">
        <v>281.51</v>
      </c>
      <c r="U11" s="45">
        <v>310.38</v>
      </c>
      <c r="V11" s="45">
        <v>239.51</v>
      </c>
      <c r="W11" s="45">
        <v>247.65</v>
      </c>
      <c r="X11" s="45">
        <v>279.47000000000003</v>
      </c>
      <c r="Y11" s="45">
        <v>238.71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232.03809523809525</v>
      </c>
      <c r="E12" s="45">
        <f t="shared" ref="E12" si="7">AVERAGE($D11:$X11)</f>
        <v>232.03809523809525</v>
      </c>
      <c r="F12" s="45">
        <f t="shared" ref="F12" si="8">AVERAGE($D11:$X11)</f>
        <v>232.03809523809525</v>
      </c>
      <c r="G12" s="45">
        <f t="shared" ref="G12" si="9">AVERAGE($D11:$X11)</f>
        <v>232.03809523809525</v>
      </c>
      <c r="H12" s="45">
        <f t="shared" ref="H12" si="10">AVERAGE($D11:$X11)</f>
        <v>232.03809523809525</v>
      </c>
      <c r="I12" s="45">
        <f t="shared" ref="I12" si="11">AVERAGE($D11:$X11)</f>
        <v>232.03809523809525</v>
      </c>
      <c r="J12" s="45">
        <f t="shared" ref="J12" si="12">AVERAGE($D11:$X11)</f>
        <v>232.03809523809525</v>
      </c>
      <c r="K12" s="45">
        <f t="shared" ref="K12" si="13">AVERAGE($D11:$X11)</f>
        <v>232.03809523809525</v>
      </c>
      <c r="L12" s="45">
        <f t="shared" ref="L12" si="14">AVERAGE($D11:$X11)</f>
        <v>232.03809523809525</v>
      </c>
      <c r="M12" s="45">
        <f t="shared" ref="M12" si="15">AVERAGE($D11:$X11)</f>
        <v>232.03809523809525</v>
      </c>
      <c r="N12" s="45">
        <f t="shared" ref="N12" si="16">AVERAGE($D11:$X11)</f>
        <v>232.03809523809525</v>
      </c>
      <c r="O12" s="45">
        <f t="shared" ref="O12" si="17">AVERAGE($D11:$X11)</f>
        <v>232.03809523809525</v>
      </c>
      <c r="P12" s="45">
        <f t="shared" ref="P12" si="18">AVERAGE($D11:$X11)</f>
        <v>232.03809523809525</v>
      </c>
      <c r="Q12" s="45">
        <f t="shared" ref="Q12" si="19">AVERAGE($D11:$X11)</f>
        <v>232.03809523809525</v>
      </c>
      <c r="R12" s="45">
        <f t="shared" ref="R12" si="20">AVERAGE($D11:$X11)</f>
        <v>232.03809523809525</v>
      </c>
      <c r="S12" s="45">
        <f t="shared" ref="S12" si="21">AVERAGE($D11:$X11)</f>
        <v>232.03809523809525</v>
      </c>
      <c r="T12" s="45">
        <f t="shared" ref="T12" si="22">AVERAGE($D11:$X11)</f>
        <v>232.03809523809525</v>
      </c>
      <c r="U12" s="45">
        <f t="shared" ref="U12" si="23">AVERAGE($D11:$X11)</f>
        <v>232.03809523809525</v>
      </c>
      <c r="V12" s="45">
        <f t="shared" ref="V12" si="24">AVERAGE($D11:$X11)</f>
        <v>232.03809523809525</v>
      </c>
      <c r="W12" s="45">
        <f t="shared" ref="W12" si="25">AVERAGE($D11:$X11)</f>
        <v>232.03809523809525</v>
      </c>
      <c r="X12" s="45">
        <f>AVERAGE($D11:$X11)</f>
        <v>232.03809523809525</v>
      </c>
      <c r="Y12" s="45">
        <f t="shared" ref="Y12" si="26">AVERAGE($D11:$X11)</f>
        <v>232.03809523809525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0.77500205220817597</v>
      </c>
      <c r="E13" s="55">
        <f t="shared" si="27"/>
        <v>0.88058816286324082</v>
      </c>
      <c r="F13" s="55">
        <f t="shared" ref="F13" si="28">IF(F11=0,0,F11/F12)</f>
        <v>0.638257264816943</v>
      </c>
      <c r="G13" s="55">
        <f t="shared" ref="G13" si="29">IF(G11=0,0,G11/G12)</f>
        <v>1.2204892464291577</v>
      </c>
      <c r="H13" s="55">
        <f t="shared" ref="H13" si="30">IF(H11=0,0,H11/H12)</f>
        <v>0.92734772615334093</v>
      </c>
      <c r="I13" s="55">
        <f t="shared" ref="I13" si="31">IF(I11=0,0,I11/I12)</f>
        <v>1.0063433754720077</v>
      </c>
      <c r="J13" s="55">
        <f t="shared" ref="J13" si="32">IF(J11=0,0,J11/J12)</f>
        <v>1.1068010178952552</v>
      </c>
      <c r="K13" s="55">
        <f t="shared" ref="K13" si="33">IF(K11=0,0,K11/K12)</f>
        <v>0.65946067969134792</v>
      </c>
      <c r="L13" s="55">
        <f t="shared" ref="L13" si="34">IF(L11=0,0,L11/L12)</f>
        <v>0.77103718601214899</v>
      </c>
      <c r="M13" s="55">
        <f t="shared" ref="M13" si="35">IF(M11=0,0,M11/M12)</f>
        <v>1.1133947627647349</v>
      </c>
      <c r="N13" s="55">
        <f t="shared" ref="N13" si="36">IF(N11=0,0,N11/N12)</f>
        <v>1.0616791167296009</v>
      </c>
      <c r="O13" s="55">
        <f t="shared" ref="O13" si="37">IF(O11=0,0,O11/O12)</f>
        <v>0.93786324084715145</v>
      </c>
      <c r="P13" s="55">
        <f t="shared" ref="P13" si="38">IF(P11=0,0,P11/P12)</f>
        <v>1.1348567558693152</v>
      </c>
      <c r="Q13" s="55">
        <f t="shared" ref="Q13" si="39">IF(Q11=0,0,Q11/Q12)</f>
        <v>0.90726481694303074</v>
      </c>
      <c r="R13" s="55">
        <f t="shared" ref="R13" si="40">IF(R11=0,0,R11/R12)</f>
        <v>0.76814972910852075</v>
      </c>
      <c r="S13" s="55">
        <f t="shared" ref="S13:Y13" si="41">IF(S11=0,0,S11/S12)</f>
        <v>1.2367365785585289</v>
      </c>
      <c r="T13" s="55">
        <f t="shared" si="41"/>
        <v>1.2132059596125431</v>
      </c>
      <c r="U13" s="55">
        <f t="shared" si="41"/>
        <v>1.3376251846987357</v>
      </c>
      <c r="V13" s="55">
        <f t="shared" si="41"/>
        <v>1.0322011984895747</v>
      </c>
      <c r="W13" s="55">
        <f t="shared" si="41"/>
        <v>1.0672816450500739</v>
      </c>
      <c r="X13" s="55">
        <f t="shared" si="41"/>
        <v>1.2044142997865703</v>
      </c>
      <c r="Y13" s="55">
        <f t="shared" si="41"/>
        <v>1.0287534887538992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875261.42289713316</v>
      </c>
      <c r="E16" s="42">
        <v>909683.48927445209</v>
      </c>
      <c r="F16" s="42">
        <v>934521.92452030384</v>
      </c>
      <c r="G16" s="42">
        <v>962399.68330514268</v>
      </c>
      <c r="H16" s="42">
        <v>992444.39825400128</v>
      </c>
      <c r="I16" s="42">
        <v>1028693.6072502191</v>
      </c>
      <c r="J16" s="42">
        <v>1070893.0305002294</v>
      </c>
      <c r="K16" s="42">
        <v>1109500.8201033641</v>
      </c>
      <c r="L16" s="42">
        <v>1119346.4751220695</v>
      </c>
      <c r="M16" s="42">
        <v>1077219.0153827555</v>
      </c>
      <c r="N16" s="42">
        <v>1078977.8613745864</v>
      </c>
      <c r="O16" s="42">
        <v>1070184.1046277666</v>
      </c>
      <c r="P16" s="42">
        <v>1038519.02584453</v>
      </c>
      <c r="Q16" s="42">
        <v>1023943.379380223</v>
      </c>
      <c r="R16" s="42">
        <v>1038235.2349735567</v>
      </c>
      <c r="S16" s="42">
        <v>1078092</v>
      </c>
      <c r="T16" s="42">
        <v>1110843.0852654453</v>
      </c>
      <c r="U16" s="42">
        <v>1143903.5670356704</v>
      </c>
      <c r="V16" s="42">
        <v>1170033.3362490402</v>
      </c>
      <c r="W16" s="42">
        <v>1193248.7066487833</v>
      </c>
      <c r="X16" s="42">
        <v>1059989.7696271597</v>
      </c>
      <c r="Y16" s="42">
        <v>1127865.1312147048</v>
      </c>
    </row>
    <row r="17" spans="1:25" x14ac:dyDescent="0.25">
      <c r="A17" s="46" t="s">
        <v>141</v>
      </c>
      <c r="B17" s="47"/>
      <c r="C17" s="47"/>
      <c r="D17" s="57">
        <v>535793.35793357936</v>
      </c>
      <c r="E17" s="57">
        <v>556555.75202271878</v>
      </c>
      <c r="F17" s="57">
        <v>573679.13085440767</v>
      </c>
      <c r="G17" s="57">
        <v>587248.37303342391</v>
      </c>
      <c r="H17" s="57">
        <v>611075.57465301093</v>
      </c>
      <c r="I17" s="57">
        <v>636331.95510927343</v>
      </c>
      <c r="J17" s="57">
        <v>661688.28946017183</v>
      </c>
      <c r="K17" s="57">
        <v>684153.2467245775</v>
      </c>
      <c r="L17" s="57">
        <v>679352.52871848422</v>
      </c>
      <c r="M17" s="57">
        <v>654942.06375676463</v>
      </c>
      <c r="N17" s="57">
        <v>657360.32576588739</v>
      </c>
      <c r="O17" s="57">
        <v>641179.32015419181</v>
      </c>
      <c r="P17" s="57">
        <v>619901.01510024746</v>
      </c>
      <c r="Q17" s="57">
        <v>602000.84035294829</v>
      </c>
      <c r="R17" s="57">
        <v>612172.28838622011</v>
      </c>
      <c r="S17" s="57">
        <v>630215</v>
      </c>
      <c r="T17" s="57">
        <v>647190.66349859233</v>
      </c>
      <c r="U17" s="57">
        <v>666760.4055024042</v>
      </c>
      <c r="V17" s="57">
        <v>678060.83871342987</v>
      </c>
      <c r="W17" s="57">
        <v>685398.70121149917</v>
      </c>
      <c r="X17" s="57">
        <v>601369.4822992736</v>
      </c>
      <c r="Y17" s="57">
        <v>643853.18865838344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21627.316202757211</v>
      </c>
      <c r="E20" s="42">
        <f t="shared" ref="E20:S20" si="42">1000000*E16/E$3</f>
        <v>22369.883135082837</v>
      </c>
      <c r="F20" s="42">
        <f t="shared" si="42"/>
        <v>22773.622357823526</v>
      </c>
      <c r="G20" s="42">
        <f t="shared" si="42"/>
        <v>23008.59258623749</v>
      </c>
      <c r="H20" s="42">
        <f t="shared" si="42"/>
        <v>23325.590016050581</v>
      </c>
      <c r="I20" s="42">
        <f t="shared" si="42"/>
        <v>23759.367530118117</v>
      </c>
      <c r="J20" s="42">
        <f t="shared" si="42"/>
        <v>24332.963784507596</v>
      </c>
      <c r="K20" s="42">
        <f t="shared" si="42"/>
        <v>24774.122913038227</v>
      </c>
      <c r="L20" s="42">
        <f t="shared" si="42"/>
        <v>24510.017084523675</v>
      </c>
      <c r="M20" s="42">
        <f t="shared" si="42"/>
        <v>23296.625260149645</v>
      </c>
      <c r="N20" s="42">
        <f t="shared" si="42"/>
        <v>23210.50411032444</v>
      </c>
      <c r="O20" s="42">
        <f t="shared" si="42"/>
        <v>22932.267221232778</v>
      </c>
      <c r="P20" s="42">
        <f t="shared" si="42"/>
        <v>22181.942158981528</v>
      </c>
      <c r="Q20" s="42">
        <f t="shared" si="42"/>
        <v>21912.895689923578</v>
      </c>
      <c r="R20" s="42">
        <f t="shared" si="42"/>
        <v>22321.783473913085</v>
      </c>
      <c r="S20" s="42">
        <f t="shared" si="42"/>
        <v>23209.948252475562</v>
      </c>
      <c r="T20" s="42">
        <f t="shared" ref="T20:Y20" si="43">1000000*T16/T$3</f>
        <v>23919.912084283998</v>
      </c>
      <c r="U20" s="42">
        <f t="shared" si="43"/>
        <v>24585.259993754957</v>
      </c>
      <c r="V20" s="42">
        <f t="shared" si="43"/>
        <v>25076.559797394035</v>
      </c>
      <c r="W20" s="42">
        <f t="shared" si="43"/>
        <v>25422.31461980753</v>
      </c>
      <c r="X20" s="42">
        <f t="shared" si="43"/>
        <v>22394.49039571657</v>
      </c>
      <c r="Y20" s="42">
        <f t="shared" si="43"/>
        <v>23795.278144571381</v>
      </c>
    </row>
    <row r="21" spans="1:25" x14ac:dyDescent="0.25">
      <c r="A21" s="46" t="s">
        <v>141</v>
      </c>
      <c r="B21" s="47"/>
      <c r="C21" s="47"/>
      <c r="D21" s="57">
        <f>1000000*D17/D$3</f>
        <v>13239.212957667929</v>
      </c>
      <c r="E21" s="57">
        <f t="shared" ref="E21:S21" si="44">1000000*E17/E$3</f>
        <v>13686.174672507617</v>
      </c>
      <c r="F21" s="57">
        <f t="shared" si="44"/>
        <v>13980.14486107314</v>
      </c>
      <c r="G21" s="57">
        <f t="shared" si="44"/>
        <v>14039.653998693979</v>
      </c>
      <c r="H21" s="57">
        <f t="shared" si="44"/>
        <v>14362.213488488676</v>
      </c>
      <c r="I21" s="57">
        <f t="shared" si="44"/>
        <v>14697.131085526758</v>
      </c>
      <c r="J21" s="57">
        <f t="shared" si="44"/>
        <v>15034.96308734609</v>
      </c>
      <c r="K21" s="57">
        <f t="shared" si="44"/>
        <v>15276.506622257215</v>
      </c>
      <c r="L21" s="57">
        <f t="shared" si="44"/>
        <v>14875.592549204706</v>
      </c>
      <c r="M21" s="57">
        <f t="shared" si="44"/>
        <v>14164.194661035537</v>
      </c>
      <c r="N21" s="57">
        <f t="shared" si="44"/>
        <v>14140.850419039669</v>
      </c>
      <c r="O21" s="57">
        <f t="shared" si="44"/>
        <v>13739.407493459788</v>
      </c>
      <c r="P21" s="57">
        <f t="shared" si="44"/>
        <v>13240.593690679421</v>
      </c>
      <c r="Q21" s="57">
        <f t="shared" si="44"/>
        <v>12883.116279227421</v>
      </c>
      <c r="R21" s="57">
        <f t="shared" si="44"/>
        <v>13161.542596302963</v>
      </c>
      <c r="S21" s="57">
        <f t="shared" si="44"/>
        <v>13567.726629947987</v>
      </c>
      <c r="T21" s="57">
        <f t="shared" ref="T21:Y21" si="45">1000000*T17/T$3</f>
        <v>13936.031090256554</v>
      </c>
      <c r="U21" s="57">
        <f t="shared" si="45"/>
        <v>14330.297059303532</v>
      </c>
      <c r="V21" s="57">
        <f t="shared" si="45"/>
        <v>14532.434796070898</v>
      </c>
      <c r="W21" s="57">
        <f t="shared" si="45"/>
        <v>14602.506020008479</v>
      </c>
      <c r="X21" s="57">
        <f t="shared" si="45"/>
        <v>12705.182145640078</v>
      </c>
      <c r="Y21" s="57">
        <f t="shared" si="45"/>
        <v>13583.774588274708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794523.20891394967</v>
      </c>
      <c r="E23" s="60">
        <v>826150.12732513796</v>
      </c>
      <c r="F23" s="60">
        <v>847920.72572939028</v>
      </c>
      <c r="G23" s="60">
        <v>870819.27595530357</v>
      </c>
      <c r="H23" s="60">
        <v>895228.1439061563</v>
      </c>
      <c r="I23" s="60">
        <v>926206.98096202419</v>
      </c>
      <c r="J23" s="60">
        <v>965456.87354738743</v>
      </c>
      <c r="K23" s="60">
        <v>1004626.2607415699</v>
      </c>
      <c r="L23" s="60">
        <v>1017464.6766169154</v>
      </c>
      <c r="M23" s="60">
        <v>984452.82796427829</v>
      </c>
      <c r="N23" s="60">
        <v>983413.83095499454</v>
      </c>
      <c r="O23" s="60">
        <v>979132.5801843917</v>
      </c>
      <c r="P23" s="60">
        <v>950863.78904095851</v>
      </c>
      <c r="Q23" s="60">
        <v>938926.97166440182</v>
      </c>
      <c r="R23" s="60">
        <v>947906.41883719061</v>
      </c>
      <c r="S23" s="60">
        <v>978971</v>
      </c>
      <c r="T23" s="60">
        <v>1006607.4077023382</v>
      </c>
      <c r="U23" s="60">
        <v>1037699.8975894123</v>
      </c>
      <c r="V23" s="60">
        <v>1061616.2698915405</v>
      </c>
      <c r="W23" s="60">
        <v>1083723.3175037175</v>
      </c>
      <c r="X23" s="60">
        <v>963734.17900727701</v>
      </c>
      <c r="Y23" s="60">
        <v>1022158.6497578289</v>
      </c>
    </row>
    <row r="24" spans="1:25" x14ac:dyDescent="0.25">
      <c r="A24" s="61" t="s">
        <v>33</v>
      </c>
      <c r="B24" s="62"/>
      <c r="C24" s="62"/>
      <c r="D24" s="63">
        <v>32731.246037420242</v>
      </c>
      <c r="E24" s="63">
        <v>33324.284846369614</v>
      </c>
      <c r="F24" s="63">
        <v>32454.300641590449</v>
      </c>
      <c r="G24" s="63">
        <v>32932.548512908863</v>
      </c>
      <c r="H24" s="63">
        <v>31041.887960097909</v>
      </c>
      <c r="I24" s="63">
        <v>28572.541252656523</v>
      </c>
      <c r="J24" s="63">
        <v>26049.109064302313</v>
      </c>
      <c r="K24" s="63">
        <v>27960.734313938901</v>
      </c>
      <c r="L24" s="63">
        <v>26148.258706467663</v>
      </c>
      <c r="M24" s="63">
        <v>23799.699372218456</v>
      </c>
      <c r="N24" s="63">
        <v>26024.348867378507</v>
      </c>
      <c r="O24" s="63">
        <v>25217.504220231138</v>
      </c>
      <c r="P24" s="63">
        <v>24897.979646062064</v>
      </c>
      <c r="Q24" s="63">
        <v>26933.413860788161</v>
      </c>
      <c r="R24" s="63">
        <v>26387.99290379808</v>
      </c>
      <c r="S24" s="63">
        <v>29476</v>
      </c>
      <c r="T24" s="63">
        <v>31328.946975503422</v>
      </c>
      <c r="U24" s="63">
        <v>31903.852213644241</v>
      </c>
      <c r="V24" s="63">
        <v>32334.168136504937</v>
      </c>
      <c r="W24" s="63">
        <v>29501.606945843527</v>
      </c>
      <c r="X24" s="63">
        <v>29693.915111702583</v>
      </c>
      <c r="Y24" s="63">
        <v>30851.850482493435</v>
      </c>
    </row>
    <row r="25" spans="1:25" x14ac:dyDescent="0.25">
      <c r="A25" s="64" t="s">
        <v>56</v>
      </c>
      <c r="B25" s="65"/>
      <c r="C25" s="65"/>
      <c r="D25" s="66">
        <v>2380.9202627780551</v>
      </c>
      <c r="E25" s="66">
        <v>2872.2482904822841</v>
      </c>
      <c r="F25" s="66">
        <v>3034.2140206748486</v>
      </c>
      <c r="G25" s="66">
        <v>3203.88581819922</v>
      </c>
      <c r="H25" s="66">
        <v>3318.2468941948</v>
      </c>
      <c r="I25" s="66">
        <v>3176.704905811534</v>
      </c>
      <c r="J25" s="66">
        <v>3324.8687268658</v>
      </c>
      <c r="K25" s="66">
        <v>3502.6070010676781</v>
      </c>
      <c r="L25" s="66">
        <v>3247.7611940298507</v>
      </c>
      <c r="M25" s="66">
        <v>2539.6170434338374</v>
      </c>
      <c r="N25" s="66">
        <v>2633.469713601437</v>
      </c>
      <c r="O25" s="66">
        <v>2584.0799896117387</v>
      </c>
      <c r="P25" s="66">
        <v>2298.0899383365918</v>
      </c>
      <c r="Q25" s="66">
        <v>1845.0853087724597</v>
      </c>
      <c r="R25" s="66">
        <v>1637.9727441335376</v>
      </c>
      <c r="S25" s="66">
        <v>1483</v>
      </c>
      <c r="T25" s="66">
        <v>1467.2068323661449</v>
      </c>
      <c r="U25" s="66">
        <v>2044.2728848274774</v>
      </c>
      <c r="V25" s="66">
        <v>2612.5766183650203</v>
      </c>
      <c r="W25" s="66">
        <v>2924.1617498920709</v>
      </c>
      <c r="X25" s="66">
        <v>2268.9733933610823</v>
      </c>
      <c r="Y25" s="66">
        <v>3808.1857507302102</v>
      </c>
    </row>
    <row r="26" spans="1:25" x14ac:dyDescent="0.25">
      <c r="A26" s="67" t="s">
        <v>146</v>
      </c>
      <c r="B26" s="44"/>
      <c r="C26" s="44"/>
      <c r="D26" s="45">
        <v>526589.41603377811</v>
      </c>
      <c r="E26" s="45">
        <v>549380.17864298541</v>
      </c>
      <c r="F26" s="45">
        <v>567883.24791203893</v>
      </c>
      <c r="G26" s="45">
        <v>585405.45067355782</v>
      </c>
      <c r="H26" s="45">
        <v>607400.82205698988</v>
      </c>
      <c r="I26" s="45">
        <v>628947.51482647716</v>
      </c>
      <c r="J26" s="45">
        <v>661038.77937505371</v>
      </c>
      <c r="K26" s="45">
        <v>696443.49078997818</v>
      </c>
      <c r="L26" s="45">
        <v>714602.98507462675</v>
      </c>
      <c r="M26" s="45">
        <v>712928.95949384512</v>
      </c>
      <c r="N26" s="45">
        <v>724845.82377008279</v>
      </c>
      <c r="O26" s="45">
        <v>734960.49464105559</v>
      </c>
      <c r="P26" s="45">
        <v>724087.83275680558</v>
      </c>
      <c r="Q26" s="45">
        <v>719869.14288590278</v>
      </c>
      <c r="R26" s="45">
        <v>728636.80348359025</v>
      </c>
      <c r="S26" s="45">
        <v>749912</v>
      </c>
      <c r="T26" s="45">
        <v>770758.38866050181</v>
      </c>
      <c r="U26" s="45">
        <v>793946.94343784463</v>
      </c>
      <c r="V26" s="45">
        <v>813956.47979419015</v>
      </c>
      <c r="W26" s="45">
        <v>832863.24171343597</v>
      </c>
      <c r="X26" s="45">
        <v>738939.69853989116</v>
      </c>
      <c r="Y26" s="45">
        <v>779875.77180463634</v>
      </c>
    </row>
    <row r="27" spans="1:25" x14ac:dyDescent="0.25">
      <c r="A27" s="68" t="s">
        <v>148</v>
      </c>
      <c r="B27" s="69"/>
      <c r="C27" s="69"/>
      <c r="D27" s="70">
        <v>236061.83647866614</v>
      </c>
      <c r="E27" s="70">
        <v>242252.5561975672</v>
      </c>
      <c r="F27" s="70">
        <v>247004.87708020501</v>
      </c>
      <c r="G27" s="70">
        <v>253869.06898284401</v>
      </c>
      <c r="H27" s="70">
        <v>261587.30891793285</v>
      </c>
      <c r="I27" s="70">
        <v>266455.99902084051</v>
      </c>
      <c r="J27" s="70">
        <v>274908.53920977877</v>
      </c>
      <c r="K27" s="70">
        <v>282772.02475355286</v>
      </c>
      <c r="L27" s="70">
        <v>292186.0696517413</v>
      </c>
      <c r="M27" s="70">
        <v>297129.29941937578</v>
      </c>
      <c r="N27" s="70">
        <v>304448.65781858104</v>
      </c>
      <c r="O27" s="70">
        <v>305695.56401266571</v>
      </c>
      <c r="P27" s="70">
        <v>296269.11314984708</v>
      </c>
      <c r="Q27" s="70">
        <v>293399.76848356734</v>
      </c>
      <c r="R27" s="70">
        <v>296471.05072171596</v>
      </c>
      <c r="S27" s="70">
        <v>307390</v>
      </c>
      <c r="T27" s="70">
        <v>314109.67221763229</v>
      </c>
      <c r="U27" s="70">
        <v>324308.72853316524</v>
      </c>
      <c r="V27" s="70">
        <v>330888.04217542562</v>
      </c>
      <c r="W27" s="70">
        <v>339392.71837674489</v>
      </c>
      <c r="X27" s="70">
        <v>278728.846353503</v>
      </c>
      <c r="Y27" s="70">
        <v>295627.98092209856</v>
      </c>
    </row>
    <row r="28" spans="1:25" x14ac:dyDescent="0.25">
      <c r="A28" s="68" t="s">
        <v>150</v>
      </c>
      <c r="B28" s="71"/>
      <c r="C28" s="71"/>
      <c r="D28" s="70">
        <v>188966.82899191973</v>
      </c>
      <c r="E28" s="70">
        <v>200546.78714080737</v>
      </c>
      <c r="F28" s="70">
        <v>210590.58587011826</v>
      </c>
      <c r="G28" s="70">
        <v>219545.13913813318</v>
      </c>
      <c r="H28" s="70">
        <v>229208.42377499651</v>
      </c>
      <c r="I28" s="70">
        <v>242781.48053364191</v>
      </c>
      <c r="J28" s="70">
        <v>261162.52044417663</v>
      </c>
      <c r="K28" s="70">
        <v>283235.3764343689</v>
      </c>
      <c r="L28" s="70">
        <v>290090.5472636816</v>
      </c>
      <c r="M28" s="70">
        <v>287185.003978897</v>
      </c>
      <c r="N28" s="70">
        <v>287283.70422113565</v>
      </c>
      <c r="O28" s="70">
        <v>293502.34235314094</v>
      </c>
      <c r="P28" s="70">
        <v>293425.57778111997</v>
      </c>
      <c r="Q28" s="70">
        <v>291563.74251346319</v>
      </c>
      <c r="R28" s="70">
        <v>297865.091524877</v>
      </c>
      <c r="S28" s="70">
        <v>302387</v>
      </c>
      <c r="T28" s="70">
        <v>309567.70154186117</v>
      </c>
      <c r="U28" s="70">
        <v>318364.9755790137</v>
      </c>
      <c r="V28" s="70">
        <v>328999.50301601068</v>
      </c>
      <c r="W28" s="70">
        <v>337513.31126780831</v>
      </c>
      <c r="X28" s="70">
        <v>317708.18585950113</v>
      </c>
      <c r="Y28" s="70">
        <v>326161.86638074461</v>
      </c>
    </row>
    <row r="29" spans="1:25" x14ac:dyDescent="0.25">
      <c r="A29" s="68" t="s">
        <v>152</v>
      </c>
      <c r="B29" s="71"/>
      <c r="C29" s="71"/>
      <c r="D29" s="70">
        <v>101560.75056319227</v>
      </c>
      <c r="E29" s="70">
        <v>106580.8353046109</v>
      </c>
      <c r="F29" s="70">
        <v>110287.78496171568</v>
      </c>
      <c r="G29" s="70">
        <v>111991.24255258066</v>
      </c>
      <c r="H29" s="70">
        <v>116605.08936406042</v>
      </c>
      <c r="I29" s="70">
        <v>119710.03527199486</v>
      </c>
      <c r="J29" s="70">
        <v>124967.71972109836</v>
      </c>
      <c r="K29" s="70">
        <v>130436.08960205651</v>
      </c>
      <c r="L29" s="70">
        <v>132326.36815920394</v>
      </c>
      <c r="M29" s="70">
        <v>128614.65609557227</v>
      </c>
      <c r="N29" s="70">
        <v>133113.46173036628</v>
      </c>
      <c r="O29" s="70">
        <v>135762.58827524891</v>
      </c>
      <c r="P29" s="70">
        <v>134393.14182583851</v>
      </c>
      <c r="Q29" s="70">
        <v>134905.63188887216</v>
      </c>
      <c r="R29" s="70">
        <v>134300.66123699726</v>
      </c>
      <c r="S29" s="70">
        <v>140135</v>
      </c>
      <c r="T29" s="70">
        <v>147081.01490100825</v>
      </c>
      <c r="U29" s="70">
        <v>151273.23932566581</v>
      </c>
      <c r="V29" s="70">
        <v>154068.93460275381</v>
      </c>
      <c r="W29" s="70">
        <v>155957.21206888271</v>
      </c>
      <c r="X29" s="70">
        <v>142502.66632688709</v>
      </c>
      <c r="Y29" s="70">
        <v>158085.92450179326</v>
      </c>
    </row>
    <row r="30" spans="1:25" x14ac:dyDescent="0.25">
      <c r="A30" s="64" t="s">
        <v>154</v>
      </c>
      <c r="B30" s="65"/>
      <c r="C30" s="65"/>
      <c r="D30" s="66">
        <v>16878.229080951289</v>
      </c>
      <c r="E30" s="66">
        <v>16761.675779785677</v>
      </c>
      <c r="F30" s="66">
        <v>17008.972338392425</v>
      </c>
      <c r="G30" s="66">
        <v>18534.204292584884</v>
      </c>
      <c r="H30" s="66">
        <v>19265.228836650811</v>
      </c>
      <c r="I30" s="66">
        <v>21830.805692477159</v>
      </c>
      <c r="J30" s="66">
        <v>21767.668072652148</v>
      </c>
      <c r="K30" s="66">
        <v>23090.877051134536</v>
      </c>
      <c r="L30" s="66">
        <v>25178.10945273632</v>
      </c>
      <c r="M30" s="66">
        <v>24133.730240600467</v>
      </c>
      <c r="N30" s="66">
        <v>27692.845025446564</v>
      </c>
      <c r="O30" s="66">
        <v>28365.946480477061</v>
      </c>
      <c r="P30" s="66">
        <v>28900.586554369078</v>
      </c>
      <c r="Q30" s="66">
        <v>27629.976345060142</v>
      </c>
      <c r="R30" s="66">
        <v>25921.296669623418</v>
      </c>
      <c r="S30" s="66">
        <v>28623</v>
      </c>
      <c r="T30" s="66">
        <v>28218.349043926621</v>
      </c>
      <c r="U30" s="66">
        <v>28327.359382385373</v>
      </c>
      <c r="V30" s="66">
        <v>29600.756195246493</v>
      </c>
      <c r="W30" s="66">
        <v>28764.810284453397</v>
      </c>
      <c r="X30" s="66">
        <v>24053.571934195999</v>
      </c>
      <c r="Y30" s="66">
        <v>28900.617443709099</v>
      </c>
    </row>
    <row r="31" spans="1:25" x14ac:dyDescent="0.25">
      <c r="A31" s="64" t="s">
        <v>37</v>
      </c>
      <c r="B31" s="65"/>
      <c r="C31" s="65"/>
      <c r="D31" s="66">
        <v>80325.369953190966</v>
      </c>
      <c r="E31" s="66">
        <v>86977.934618218482</v>
      </c>
      <c r="F31" s="66">
        <v>92351.795088172148</v>
      </c>
      <c r="G31" s="66">
        <v>96846.361830928625</v>
      </c>
      <c r="H31" s="66">
        <v>101079.527086316</v>
      </c>
      <c r="I31" s="66">
        <v>110164.34301736894</v>
      </c>
      <c r="J31" s="66">
        <v>117084.87561332529</v>
      </c>
      <c r="K31" s="66">
        <v>117224.86550362284</v>
      </c>
      <c r="L31" s="66">
        <v>114974.12935323383</v>
      </c>
      <c r="M31" s="66">
        <v>105686.3843123385</v>
      </c>
      <c r="N31" s="66">
        <v>87376.509330406159</v>
      </c>
      <c r="O31" s="66">
        <v>73473.974408917929</v>
      </c>
      <c r="P31" s="66">
        <v>62869.604451797262</v>
      </c>
      <c r="Q31" s="66">
        <v>54117.469424731993</v>
      </c>
      <c r="R31" s="66">
        <v>53679.138779130713</v>
      </c>
      <c r="S31" s="66">
        <v>56422</v>
      </c>
      <c r="T31" s="66">
        <v>59088.42061256383</v>
      </c>
      <c r="U31" s="66">
        <v>61112.533480384431</v>
      </c>
      <c r="V31" s="66">
        <v>62813.903857960024</v>
      </c>
      <c r="W31" s="66">
        <v>67943.589005612317</v>
      </c>
      <c r="X31" s="66">
        <v>57828.618889864185</v>
      </c>
      <c r="Y31" s="66">
        <v>58211.63160424446</v>
      </c>
    </row>
    <row r="32" spans="1:25" x14ac:dyDescent="0.25">
      <c r="A32" s="64" t="s">
        <v>58</v>
      </c>
      <c r="B32" s="65"/>
      <c r="C32" s="65"/>
      <c r="D32" s="66">
        <v>135618.02754583105</v>
      </c>
      <c r="E32" s="66">
        <v>136833.80514729646</v>
      </c>
      <c r="F32" s="66">
        <v>135188.19572852159</v>
      </c>
      <c r="G32" s="66">
        <v>133896.82482712416</v>
      </c>
      <c r="H32" s="66">
        <v>133122.43107190693</v>
      </c>
      <c r="I32" s="66">
        <v>133515.07126723262</v>
      </c>
      <c r="J32" s="66">
        <v>136191.57269518808</v>
      </c>
      <c r="K32" s="66">
        <v>136403.68608182768</v>
      </c>
      <c r="L32" s="66">
        <v>133313.43283582092</v>
      </c>
      <c r="M32" s="66">
        <v>115364.43750184205</v>
      </c>
      <c r="N32" s="66">
        <v>114840.83424807905</v>
      </c>
      <c r="O32" s="66">
        <v>114530.58044409816</v>
      </c>
      <c r="P32" s="66">
        <v>107809.69569358802</v>
      </c>
      <c r="Q32" s="66">
        <v>108531.88383914639</v>
      </c>
      <c r="R32" s="66">
        <v>111643.21425691477</v>
      </c>
      <c r="S32" s="66">
        <v>113055</v>
      </c>
      <c r="T32" s="66">
        <v>115746.09557747631</v>
      </c>
      <c r="U32" s="66">
        <v>120364.93619032613</v>
      </c>
      <c r="V32" s="66">
        <v>120298.38528927392</v>
      </c>
      <c r="W32" s="66">
        <v>121725.90780448024</v>
      </c>
      <c r="X32" s="66">
        <v>110949.40113826205</v>
      </c>
      <c r="Y32" s="66">
        <v>120510.59267201538</v>
      </c>
    </row>
    <row r="33" spans="1:25" x14ac:dyDescent="0.25">
      <c r="A33" s="72" t="s">
        <v>158</v>
      </c>
      <c r="B33" s="65"/>
      <c r="C33" s="65"/>
      <c r="D33" s="66">
        <v>8847.8504269468922</v>
      </c>
      <c r="E33" s="66">
        <v>8753.7648168974029</v>
      </c>
      <c r="F33" s="66">
        <v>8134.6719449994416</v>
      </c>
      <c r="G33" s="66">
        <v>7387.6007943914055</v>
      </c>
      <c r="H33" s="66">
        <v>7430.8409920103459</v>
      </c>
      <c r="I33" s="66">
        <v>6834.0881020996294</v>
      </c>
      <c r="J33" s="66">
        <v>7579.4094860979594</v>
      </c>
      <c r="K33" s="66">
        <v>6825.8854992692104</v>
      </c>
      <c r="L33" s="66">
        <v>6009.9502487562186</v>
      </c>
      <c r="M33" s="66">
        <v>4536.9251476121699</v>
      </c>
      <c r="N33" s="66">
        <v>5755.9125835744935</v>
      </c>
      <c r="O33" s="66">
        <v>5565.7107468560525</v>
      </c>
      <c r="P33" s="66">
        <v>5395.2975384769643</v>
      </c>
      <c r="Q33" s="66">
        <v>5161.8098545472849</v>
      </c>
      <c r="R33" s="66">
        <v>5649.7459882267558</v>
      </c>
      <c r="S33" s="66">
        <v>5935</v>
      </c>
      <c r="T33" s="66">
        <v>6019.1314215183702</v>
      </c>
      <c r="U33" s="66">
        <v>6488.3015597920275</v>
      </c>
      <c r="V33" s="66">
        <v>6456.8939475145926</v>
      </c>
      <c r="W33" s="66">
        <v>5460.7377560320429</v>
      </c>
      <c r="X33" s="66">
        <v>4427.5183811384513</v>
      </c>
      <c r="Y33" s="66">
        <v>5355.4922911968051</v>
      </c>
    </row>
    <row r="34" spans="1:25" x14ac:dyDescent="0.25">
      <c r="A34" s="73" t="s">
        <v>5</v>
      </c>
      <c r="B34" s="65"/>
      <c r="C34" s="65"/>
      <c r="D34" s="66">
        <v>6425.5420203935437</v>
      </c>
      <c r="E34" s="66">
        <v>6357.2145722886198</v>
      </c>
      <c r="F34" s="66">
        <v>5907.6130226522127</v>
      </c>
      <c r="G34" s="66">
        <v>5365.0702762427745</v>
      </c>
      <c r="H34" s="66">
        <v>5396.4724466416346</v>
      </c>
      <c r="I34" s="66">
        <v>4963.0947803291028</v>
      </c>
      <c r="J34" s="66">
        <v>5504.3668001401002</v>
      </c>
      <c r="K34" s="66">
        <v>4957.1378341082518</v>
      </c>
      <c r="L34" s="66">
        <v>4364.5841645611172</v>
      </c>
      <c r="M34" s="66">
        <v>2774.5298758105714</v>
      </c>
      <c r="N34" s="66">
        <v>3628.3078800957805</v>
      </c>
      <c r="O34" s="66">
        <v>3557.4725085315163</v>
      </c>
      <c r="P34" s="66">
        <v>3320.2684005960618</v>
      </c>
      <c r="Q34" s="66">
        <v>3277.0713811849046</v>
      </c>
      <c r="R34" s="66">
        <v>3464.5990898875189</v>
      </c>
      <c r="S34" s="66">
        <v>3646.1710381349499</v>
      </c>
      <c r="T34" s="66">
        <v>3654.8553492027922</v>
      </c>
      <c r="U34" s="66">
        <v>3902.4956261511516</v>
      </c>
      <c r="V34" s="66">
        <v>4151.785604886466</v>
      </c>
      <c r="W34" s="66">
        <v>3429.1016325359706</v>
      </c>
      <c r="X34" s="66">
        <v>2604.837408031728</v>
      </c>
      <c r="Y34" s="66">
        <v>3496.4181359575095</v>
      </c>
    </row>
    <row r="35" spans="1:25" x14ac:dyDescent="0.25">
      <c r="A35" s="74" t="s">
        <v>270</v>
      </c>
      <c r="B35" s="44"/>
      <c r="C35" s="44"/>
      <c r="D35" s="45">
        <v>1887.364775582565</v>
      </c>
      <c r="E35" s="45">
        <v>1802.4368064374844</v>
      </c>
      <c r="F35" s="45">
        <v>1677.0538691509626</v>
      </c>
      <c r="G35" s="45">
        <v>1381.5657845811995</v>
      </c>
      <c r="H35" s="45">
        <v>1440.2668808688979</v>
      </c>
      <c r="I35" s="45">
        <v>1356.5222099905081</v>
      </c>
      <c r="J35" s="45">
        <v>1211.035471700807</v>
      </c>
      <c r="K35" s="45">
        <v>1227.4874826643504</v>
      </c>
      <c r="L35" s="45">
        <v>1071.9475556949637</v>
      </c>
      <c r="M35" s="45">
        <v>674.51802914346138</v>
      </c>
      <c r="N35" s="45">
        <v>958.36494208107808</v>
      </c>
      <c r="O35" s="45">
        <v>989.05084913577059</v>
      </c>
      <c r="P35" s="45">
        <v>933.01295309866441</v>
      </c>
      <c r="Q35" s="45">
        <v>1078.3027832697637</v>
      </c>
      <c r="R35" s="45">
        <v>1137.9973432078536</v>
      </c>
      <c r="S35" s="45">
        <v>1280.5326599820564</v>
      </c>
      <c r="T35" s="45">
        <v>1347.9781191096461</v>
      </c>
      <c r="U35" s="45">
        <v>1438.5345162096503</v>
      </c>
      <c r="V35" s="45">
        <v>1567.8956900250657</v>
      </c>
      <c r="W35" s="45">
        <v>1186.7892194742237</v>
      </c>
      <c r="X35" s="45">
        <v>799.69326834639094</v>
      </c>
      <c r="Y35" s="45">
        <v>1072.5548248597709</v>
      </c>
    </row>
    <row r="36" spans="1:25" x14ac:dyDescent="0.25">
      <c r="A36" s="74" t="s">
        <v>15</v>
      </c>
      <c r="B36" s="44"/>
      <c r="C36" s="44"/>
      <c r="D36" s="45">
        <v>4538.1772448109787</v>
      </c>
      <c r="E36" s="45">
        <v>4554.777765851135</v>
      </c>
      <c r="F36" s="45">
        <v>4230.55915350125</v>
      </c>
      <c r="G36" s="45">
        <v>3983.5044916615752</v>
      </c>
      <c r="H36" s="45">
        <v>3956.2055657727369</v>
      </c>
      <c r="I36" s="45">
        <v>3606.5725703385947</v>
      </c>
      <c r="J36" s="45">
        <v>4293.3313284392934</v>
      </c>
      <c r="K36" s="45">
        <v>3729.6503514439014</v>
      </c>
      <c r="L36" s="45">
        <v>3292.6366088661534</v>
      </c>
      <c r="M36" s="45">
        <v>2100.0118466671101</v>
      </c>
      <c r="N36" s="45">
        <v>2669.9429380147026</v>
      </c>
      <c r="O36" s="45">
        <v>2568.4216593957458</v>
      </c>
      <c r="P36" s="45">
        <v>2387.2554474973977</v>
      </c>
      <c r="Q36" s="45">
        <v>2198.7685979151411</v>
      </c>
      <c r="R36" s="45">
        <v>2326.6017466796652</v>
      </c>
      <c r="S36" s="45">
        <v>2365.6383781528934</v>
      </c>
      <c r="T36" s="45">
        <v>2306.877230093146</v>
      </c>
      <c r="U36" s="45">
        <v>2463.9611099415015</v>
      </c>
      <c r="V36" s="45">
        <v>2583.8899148614</v>
      </c>
      <c r="W36" s="45">
        <v>2242.3124130617471</v>
      </c>
      <c r="X36" s="45">
        <v>1805.144139685337</v>
      </c>
      <c r="Y36" s="45">
        <v>2423.8633110977389</v>
      </c>
    </row>
    <row r="37" spans="1:25" x14ac:dyDescent="0.25">
      <c r="A37" s="73" t="s">
        <v>269</v>
      </c>
      <c r="B37" s="65"/>
      <c r="C37" s="65"/>
      <c r="D37" s="66">
        <v>2422.3084065533485</v>
      </c>
      <c r="E37" s="66">
        <v>2396.5502446087839</v>
      </c>
      <c r="F37" s="66">
        <v>2227.0589223472289</v>
      </c>
      <c r="G37" s="66">
        <v>2022.530518148631</v>
      </c>
      <c r="H37" s="66">
        <v>2034.3685453687103</v>
      </c>
      <c r="I37" s="66">
        <v>1870.9933217705266</v>
      </c>
      <c r="J37" s="66">
        <v>2075.0426859578592</v>
      </c>
      <c r="K37" s="66">
        <v>1868.7476651609586</v>
      </c>
      <c r="L37" s="66">
        <v>1645.3660841951012</v>
      </c>
      <c r="M37" s="66">
        <v>1762.3952718015985</v>
      </c>
      <c r="N37" s="66">
        <v>2127.6047034787125</v>
      </c>
      <c r="O37" s="66">
        <v>2008.2382383245363</v>
      </c>
      <c r="P37" s="66">
        <v>2075.029137880902</v>
      </c>
      <c r="Q37" s="66">
        <v>1884.7384733623794</v>
      </c>
      <c r="R37" s="66">
        <v>2185.1468983392369</v>
      </c>
      <c r="S37" s="66">
        <v>2288.8289618650506</v>
      </c>
      <c r="T37" s="66">
        <v>2364.2760723155779</v>
      </c>
      <c r="U37" s="66">
        <v>2585.8059336408751</v>
      </c>
      <c r="V37" s="66">
        <v>2305.1083426281266</v>
      </c>
      <c r="W37" s="66">
        <v>2031.6361234960721</v>
      </c>
      <c r="X37" s="66">
        <v>1822.6809731067235</v>
      </c>
      <c r="Y37" s="66">
        <v>1859.0741552392954</v>
      </c>
    </row>
    <row r="38" spans="1:25" x14ac:dyDescent="0.25">
      <c r="A38" s="74" t="s">
        <v>14</v>
      </c>
      <c r="B38" s="44"/>
      <c r="C38" s="44"/>
      <c r="D38" s="45">
        <v>477.54925140231904</v>
      </c>
      <c r="E38" s="45">
        <v>472.47112389351474</v>
      </c>
      <c r="F38" s="45">
        <v>439.05652901937839</v>
      </c>
      <c r="G38" s="45">
        <v>398.73450146446135</v>
      </c>
      <c r="H38" s="45">
        <v>401.06832527555611</v>
      </c>
      <c r="I38" s="45">
        <v>368.85949690509608</v>
      </c>
      <c r="J38" s="45">
        <v>409.0870834721718</v>
      </c>
      <c r="K38" s="45">
        <v>368.41677390999587</v>
      </c>
      <c r="L38" s="45">
        <v>324.37791144363541</v>
      </c>
      <c r="M38" s="45">
        <v>245.26390694194902</v>
      </c>
      <c r="N38" s="45">
        <v>261.30883296452964</v>
      </c>
      <c r="O38" s="45">
        <v>278.71466886603673</v>
      </c>
      <c r="P38" s="45">
        <v>188.64569878184676</v>
      </c>
      <c r="Q38" s="45">
        <v>184.97722976056167</v>
      </c>
      <c r="R38" s="45">
        <v>266.36544157211904</v>
      </c>
      <c r="S38" s="45">
        <v>80.589199887388034</v>
      </c>
      <c r="T38" s="45">
        <v>95.287898543865154</v>
      </c>
      <c r="U38" s="45">
        <v>278.35224855002838</v>
      </c>
      <c r="V38" s="45">
        <v>262.39085671647439</v>
      </c>
      <c r="W38" s="45">
        <v>131.73784505056926</v>
      </c>
      <c r="X38" s="45">
        <v>123.73652897376006</v>
      </c>
      <c r="Y38" s="45">
        <v>131.9576455363696</v>
      </c>
    </row>
    <row r="39" spans="1:25" x14ac:dyDescent="0.25">
      <c r="A39" s="74" t="s">
        <v>19</v>
      </c>
      <c r="B39" s="44"/>
      <c r="C39" s="44"/>
      <c r="D39" s="45">
        <v>1114.2815866054113</v>
      </c>
      <c r="E39" s="45">
        <v>1102.4326224182014</v>
      </c>
      <c r="F39" s="45">
        <v>1024.4652343785499</v>
      </c>
      <c r="G39" s="45">
        <v>930.38050341707662</v>
      </c>
      <c r="H39" s="45">
        <v>935.82609230963101</v>
      </c>
      <c r="I39" s="45">
        <v>860.67215944522445</v>
      </c>
      <c r="J39" s="45">
        <v>954.53652810173423</v>
      </c>
      <c r="K39" s="45">
        <v>859.63913912332373</v>
      </c>
      <c r="L39" s="45">
        <v>756.88179336848259</v>
      </c>
      <c r="M39" s="45">
        <v>572.28244953121441</v>
      </c>
      <c r="N39" s="45">
        <v>609.72061025056917</v>
      </c>
      <c r="O39" s="45">
        <v>650.33422735408578</v>
      </c>
      <c r="P39" s="45">
        <v>440.17329715764242</v>
      </c>
      <c r="Q39" s="45">
        <v>431.61353610797727</v>
      </c>
      <c r="R39" s="45">
        <v>621.51936366827783</v>
      </c>
      <c r="S39" s="45">
        <v>188.04146640390542</v>
      </c>
      <c r="T39" s="45">
        <v>222.33842993568533</v>
      </c>
      <c r="U39" s="45">
        <v>649.4885799500662</v>
      </c>
      <c r="V39" s="45">
        <v>612.24533233844022</v>
      </c>
      <c r="W39" s="45">
        <v>307.38830511799495</v>
      </c>
      <c r="X39" s="45">
        <v>288.71856760544023</v>
      </c>
      <c r="Y39" s="45">
        <v>307.90117291819581</v>
      </c>
    </row>
    <row r="40" spans="1:25" x14ac:dyDescent="0.25">
      <c r="A40" s="75" t="s">
        <v>273</v>
      </c>
      <c r="B40" s="76"/>
      <c r="C40" s="76"/>
      <c r="D40" s="45">
        <v>735.12450982641769</v>
      </c>
      <c r="E40" s="45">
        <v>755.24149041285284</v>
      </c>
      <c r="F40" s="45">
        <v>684.55271894516261</v>
      </c>
      <c r="G40" s="45">
        <v>626.04407629779087</v>
      </c>
      <c r="H40" s="45">
        <v>634.4257283152491</v>
      </c>
      <c r="I40" s="45">
        <v>584.6497462395721</v>
      </c>
      <c r="J40" s="45">
        <v>618.8794789493495</v>
      </c>
      <c r="K40" s="45">
        <v>590.68957307874302</v>
      </c>
      <c r="L40" s="45">
        <v>521.40710530433751</v>
      </c>
      <c r="M40" s="45">
        <v>572.28244953121441</v>
      </c>
      <c r="N40" s="45">
        <v>609.72061025056917</v>
      </c>
      <c r="O40" s="45">
        <v>650.33422735408578</v>
      </c>
      <c r="P40" s="45">
        <v>440.17329715764242</v>
      </c>
      <c r="Q40" s="45">
        <v>431.61353610797727</v>
      </c>
      <c r="R40" s="45">
        <v>621.51936366827783</v>
      </c>
      <c r="S40" s="45">
        <v>188.04146640390542</v>
      </c>
      <c r="T40" s="45">
        <v>222.33842993568533</v>
      </c>
      <c r="U40" s="45">
        <v>649.4885799500662</v>
      </c>
      <c r="V40" s="45">
        <v>612.24533233844022</v>
      </c>
      <c r="W40" s="45">
        <v>307.38830511799495</v>
      </c>
      <c r="X40" s="45">
        <v>288.71856760544023</v>
      </c>
      <c r="Y40" s="45">
        <v>307.90117291819581</v>
      </c>
    </row>
    <row r="41" spans="1:25" x14ac:dyDescent="0.25">
      <c r="A41" s="75" t="s">
        <v>274</v>
      </c>
      <c r="B41" s="76"/>
      <c r="C41" s="76"/>
      <c r="D41" s="45">
        <v>379.15707677899366</v>
      </c>
      <c r="E41" s="45">
        <v>347.19113200534855</v>
      </c>
      <c r="F41" s="45">
        <v>339.91251543338728</v>
      </c>
      <c r="G41" s="45">
        <v>304.33642711928576</v>
      </c>
      <c r="H41" s="45">
        <v>301.40036399438191</v>
      </c>
      <c r="I41" s="45">
        <v>276.02241320565236</v>
      </c>
      <c r="J41" s="45">
        <v>335.65704915238473</v>
      </c>
      <c r="K41" s="45">
        <v>268.94956604458071</v>
      </c>
      <c r="L41" s="45">
        <v>235.47468806414508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830.47756854561817</v>
      </c>
      <c r="E42" s="45">
        <v>821.64649829706786</v>
      </c>
      <c r="F42" s="45">
        <v>763.53715894930065</v>
      </c>
      <c r="G42" s="45">
        <v>693.41551326709305</v>
      </c>
      <c r="H42" s="45">
        <v>697.47412778352316</v>
      </c>
      <c r="I42" s="45">
        <v>641.46166542020592</v>
      </c>
      <c r="J42" s="45">
        <v>711.41907438395322</v>
      </c>
      <c r="K42" s="45">
        <v>640.69175212763912</v>
      </c>
      <c r="L42" s="45">
        <v>564.10637938298328</v>
      </c>
      <c r="M42" s="45">
        <v>944.84891532843506</v>
      </c>
      <c r="N42" s="45">
        <v>1256.5752602636139</v>
      </c>
      <c r="O42" s="45">
        <v>1079.1893421044138</v>
      </c>
      <c r="P42" s="45">
        <v>1446.2101419414128</v>
      </c>
      <c r="Q42" s="45">
        <v>1268.1477074938405</v>
      </c>
      <c r="R42" s="45">
        <v>1297.2620930988401</v>
      </c>
      <c r="S42" s="45">
        <v>2020.1982955737569</v>
      </c>
      <c r="T42" s="45">
        <v>2046.6497438360275</v>
      </c>
      <c r="U42" s="45">
        <v>1657.9651051407807</v>
      </c>
      <c r="V42" s="45">
        <v>1430.4721535732119</v>
      </c>
      <c r="W42" s="45">
        <v>1592.5099733275079</v>
      </c>
      <c r="X42" s="45">
        <v>1410.2258765275233</v>
      </c>
      <c r="Y42" s="45">
        <v>1419.21533678473</v>
      </c>
    </row>
    <row r="43" spans="1:25" x14ac:dyDescent="0.25">
      <c r="A43" s="72" t="s">
        <v>271</v>
      </c>
      <c r="B43" s="65"/>
      <c r="C43" s="65"/>
      <c r="D43" s="66">
        <v>13754.030027923542</v>
      </c>
      <c r="E43" s="66">
        <v>14357.363529426972</v>
      </c>
      <c r="F43" s="66">
        <v>14246.534542882317</v>
      </c>
      <c r="G43" s="66">
        <v>13974.828320532146</v>
      </c>
      <c r="H43" s="66">
        <v>14325.959451346236</v>
      </c>
      <c r="I43" s="66">
        <v>14610.617204277145</v>
      </c>
      <c r="J43" s="66">
        <v>15044.761986743564</v>
      </c>
      <c r="K43" s="66">
        <v>15190.057115609872</v>
      </c>
      <c r="L43" s="66">
        <v>15369.154228855721</v>
      </c>
      <c r="M43" s="66">
        <v>14042.068240541521</v>
      </c>
      <c r="N43" s="66">
        <v>13785.051392076639</v>
      </c>
      <c r="O43" s="66">
        <v>13718.498097150221</v>
      </c>
      <c r="P43" s="66">
        <v>13053.592018849951</v>
      </c>
      <c r="Q43" s="66">
        <v>13569.882731893906</v>
      </c>
      <c r="R43" s="66">
        <v>14687.323602935248</v>
      </c>
      <c r="S43" s="66">
        <v>14894</v>
      </c>
      <c r="T43" s="66">
        <v>15675.422792470861</v>
      </c>
      <c r="U43" s="66">
        <v>16121.789821963132</v>
      </c>
      <c r="V43" s="66">
        <v>15060.563833208274</v>
      </c>
      <c r="W43" s="66">
        <v>15926.512207991556</v>
      </c>
      <c r="X43" s="66">
        <v>16118.771885116706</v>
      </c>
      <c r="Y43" s="66">
        <v>18327.356083854032</v>
      </c>
    </row>
    <row r="44" spans="1:25" x14ac:dyDescent="0.25">
      <c r="A44" s="73" t="s">
        <v>272</v>
      </c>
      <c r="B44" s="65"/>
      <c r="C44" s="65"/>
      <c r="D44" s="66">
        <v>9016.4708421578016</v>
      </c>
      <c r="E44" s="66">
        <v>9287.625547756621</v>
      </c>
      <c r="F44" s="66">
        <v>9062.9304674799259</v>
      </c>
      <c r="G44" s="66">
        <v>8630.6319240064131</v>
      </c>
      <c r="H44" s="66">
        <v>8760.9107283055473</v>
      </c>
      <c r="I44" s="66">
        <v>8741.2237268145036</v>
      </c>
      <c r="J44" s="66">
        <v>8786.6919170181627</v>
      </c>
      <c r="K44" s="66">
        <v>8623.3168516963651</v>
      </c>
      <c r="L44" s="66">
        <v>8507.4626865671635</v>
      </c>
      <c r="M44" s="66">
        <v>7589.3778183854511</v>
      </c>
      <c r="N44" s="66">
        <v>8443.2691348168846</v>
      </c>
      <c r="O44" s="66">
        <v>8820.0333623006009</v>
      </c>
      <c r="P44" s="66">
        <v>7903.9454554569611</v>
      </c>
      <c r="Q44" s="66">
        <v>7461.8752831043339</v>
      </c>
      <c r="R44" s="66">
        <v>7770.5426981695027</v>
      </c>
      <c r="S44" s="66">
        <v>8061</v>
      </c>
      <c r="T44" s="66">
        <v>8681.8032509481109</v>
      </c>
      <c r="U44" s="66">
        <v>9060.3828580431691</v>
      </c>
      <c r="V44" s="66">
        <v>8749.8416472583049</v>
      </c>
      <c r="W44" s="66">
        <v>9184.0552597496044</v>
      </c>
      <c r="X44" s="66">
        <v>8808.7889684854326</v>
      </c>
      <c r="Y44" s="66">
        <v>10160.091692239435</v>
      </c>
    </row>
    <row r="45" spans="1:25" x14ac:dyDescent="0.25">
      <c r="A45" s="74" t="s">
        <v>20</v>
      </c>
      <c r="B45" s="44"/>
      <c r="C45" s="44"/>
      <c r="D45" s="45">
        <v>3255.4308546620387</v>
      </c>
      <c r="E45" s="45">
        <v>3304.0189750645832</v>
      </c>
      <c r="F45" s="45">
        <v>3263.8072897114471</v>
      </c>
      <c r="G45" s="45">
        <v>3185.0149981836762</v>
      </c>
      <c r="H45" s="45">
        <v>3208.9637533108548</v>
      </c>
      <c r="I45" s="45">
        <v>3205.3562285453959</v>
      </c>
      <c r="J45" s="45">
        <v>3246.1433103581885</v>
      </c>
      <c r="K45" s="45">
        <v>3215.8231808810392</v>
      </c>
      <c r="L45" s="45">
        <v>3194.1478586002395</v>
      </c>
      <c r="M45" s="45">
        <v>2238.3696558826828</v>
      </c>
      <c r="N45" s="45">
        <v>3021.7736544503614</v>
      </c>
      <c r="O45" s="45">
        <v>3623.708312829081</v>
      </c>
      <c r="P45" s="45">
        <v>2793.4502058604244</v>
      </c>
      <c r="Q45" s="45">
        <v>2286.048665862088</v>
      </c>
      <c r="R45" s="45">
        <v>2800.315946015568</v>
      </c>
      <c r="S45" s="45">
        <v>3200.6709443485115</v>
      </c>
      <c r="T45" s="45">
        <v>3565.4568099536746</v>
      </c>
      <c r="U45" s="45">
        <v>3905.0184696485612</v>
      </c>
      <c r="V45" s="45">
        <v>3519.8781401593351</v>
      </c>
      <c r="W45" s="45">
        <v>3586.382355249958</v>
      </c>
      <c r="X45" s="45">
        <v>3290.7991269657919</v>
      </c>
      <c r="Y45" s="45">
        <v>3768.5243168065135</v>
      </c>
    </row>
    <row r="46" spans="1:25" x14ac:dyDescent="0.25">
      <c r="A46" s="74" t="s">
        <v>12</v>
      </c>
      <c r="B46" s="44"/>
      <c r="C46" s="44"/>
      <c r="D46" s="45">
        <v>5761.0399874957629</v>
      </c>
      <c r="E46" s="45">
        <v>5983.6065726920378</v>
      </c>
      <c r="F46" s="45">
        <v>5799.1231777684789</v>
      </c>
      <c r="G46" s="45">
        <v>5445.6169258227364</v>
      </c>
      <c r="H46" s="45">
        <v>5551.9469749946929</v>
      </c>
      <c r="I46" s="45">
        <v>5535.8674982691082</v>
      </c>
      <c r="J46" s="45">
        <v>5540.5486066599742</v>
      </c>
      <c r="K46" s="45">
        <v>5407.4936708153255</v>
      </c>
      <c r="L46" s="45">
        <v>5313.314827966924</v>
      </c>
      <c r="M46" s="45">
        <v>5351.0081625027688</v>
      </c>
      <c r="N46" s="45">
        <v>5421.4954803665232</v>
      </c>
      <c r="O46" s="45">
        <v>5196.3250494715194</v>
      </c>
      <c r="P46" s="45">
        <v>5110.4952495965372</v>
      </c>
      <c r="Q46" s="45">
        <v>5175.8266172422464</v>
      </c>
      <c r="R46" s="45">
        <v>4970.2267521539343</v>
      </c>
      <c r="S46" s="45">
        <v>4860.3290556514885</v>
      </c>
      <c r="T46" s="45">
        <v>5116.3464409944363</v>
      </c>
      <c r="U46" s="45">
        <v>5155.3643883946079</v>
      </c>
      <c r="V46" s="45">
        <v>5229.9635070989698</v>
      </c>
      <c r="W46" s="45">
        <v>5597.6729044996464</v>
      </c>
      <c r="X46" s="45">
        <v>5517.9898415196403</v>
      </c>
      <c r="Y46" s="45">
        <v>6391.5673754329218</v>
      </c>
    </row>
    <row r="47" spans="1:25" x14ac:dyDescent="0.25">
      <c r="A47" s="73" t="s">
        <v>11</v>
      </c>
      <c r="B47" s="65"/>
      <c r="C47" s="65"/>
      <c r="D47" s="66">
        <v>4737.5591857657391</v>
      </c>
      <c r="E47" s="66">
        <v>5069.7379816703506</v>
      </c>
      <c r="F47" s="66">
        <v>5183.6040754023898</v>
      </c>
      <c r="G47" s="66">
        <v>5344.1963965257337</v>
      </c>
      <c r="H47" s="66">
        <v>5565.0487230406879</v>
      </c>
      <c r="I47" s="66">
        <v>5869.3934774626414</v>
      </c>
      <c r="J47" s="66">
        <v>6258.0700697254024</v>
      </c>
      <c r="K47" s="66">
        <v>6566.7402639135071</v>
      </c>
      <c r="L47" s="66">
        <v>6861.6915422885568</v>
      </c>
      <c r="M47" s="66">
        <v>6452.6904221560708</v>
      </c>
      <c r="N47" s="66">
        <v>5341.7822572597552</v>
      </c>
      <c r="O47" s="66">
        <v>4898.4647348496201</v>
      </c>
      <c r="P47" s="66">
        <v>5149.6465633929911</v>
      </c>
      <c r="Q47" s="66">
        <v>6108.0074487895718</v>
      </c>
      <c r="R47" s="66">
        <v>6916.7809047657447</v>
      </c>
      <c r="S47" s="66">
        <v>6833</v>
      </c>
      <c r="T47" s="66">
        <v>6993.6195415227503</v>
      </c>
      <c r="U47" s="66">
        <v>7061.4069639199615</v>
      </c>
      <c r="V47" s="66">
        <v>6310.7221859499705</v>
      </c>
      <c r="W47" s="66">
        <v>6742.4569482419529</v>
      </c>
      <c r="X47" s="66">
        <v>7309.9829166312738</v>
      </c>
      <c r="Y47" s="66">
        <v>8167.2643916145962</v>
      </c>
    </row>
    <row r="48" spans="1:25" x14ac:dyDescent="0.25">
      <c r="A48" s="72" t="s">
        <v>4</v>
      </c>
      <c r="B48" s="65"/>
      <c r="C48" s="65"/>
      <c r="D48" s="66">
        <v>10945.488392170617</v>
      </c>
      <c r="E48" s="66">
        <v>11178.759323173173</v>
      </c>
      <c r="F48" s="66">
        <v>10899.591715168586</v>
      </c>
      <c r="G48" s="66">
        <v>10449.118273395066</v>
      </c>
      <c r="H48" s="66">
        <v>10488.154066411122</v>
      </c>
      <c r="I48" s="66">
        <v>11013.318794298619</v>
      </c>
      <c r="J48" s="66">
        <v>10931.178445381767</v>
      </c>
      <c r="K48" s="66">
        <v>10551.357402742793</v>
      </c>
      <c r="L48" s="66">
        <v>9989.0547263681601</v>
      </c>
      <c r="M48" s="66">
        <v>7209.1720946682781</v>
      </c>
      <c r="N48" s="66">
        <v>6364.6342680371235</v>
      </c>
      <c r="O48" s="66">
        <v>5827.4150210262405</v>
      </c>
      <c r="P48" s="66">
        <v>4961.1470396550858</v>
      </c>
      <c r="Q48" s="66">
        <v>4599.1242639287339</v>
      </c>
      <c r="R48" s="66">
        <v>4786.9123457785654</v>
      </c>
      <c r="S48" s="66">
        <v>4970</v>
      </c>
      <c r="T48" s="66">
        <v>5272.5879179399381</v>
      </c>
      <c r="U48" s="66">
        <v>5547.8966440838194</v>
      </c>
      <c r="V48" s="66">
        <v>5695.8263089681259</v>
      </c>
      <c r="W48" s="66">
        <v>6265.6497337746441</v>
      </c>
      <c r="X48" s="66">
        <v>5864.9753187794358</v>
      </c>
      <c r="Y48" s="66">
        <v>6283.5064887048475</v>
      </c>
    </row>
    <row r="49" spans="1:25" x14ac:dyDescent="0.25">
      <c r="A49" s="77" t="s">
        <v>10</v>
      </c>
      <c r="B49" s="44"/>
      <c r="C49" s="44"/>
      <c r="D49" s="45">
        <v>5171.4148089698674</v>
      </c>
      <c r="E49" s="45">
        <v>5091.2831827869713</v>
      </c>
      <c r="F49" s="45">
        <v>5513.0792072122758</v>
      </c>
      <c r="G49" s="45">
        <v>4964.7065253949841</v>
      </c>
      <c r="H49" s="45">
        <v>5210.5614292384862</v>
      </c>
      <c r="I49" s="45">
        <v>5102.2122728173263</v>
      </c>
      <c r="J49" s="45">
        <v>6080.729435006966</v>
      </c>
      <c r="K49" s="45">
        <v>6001.6466216366498</v>
      </c>
      <c r="L49" s="45">
        <v>4891.55190245015</v>
      </c>
      <c r="M49" s="45">
        <v>3471.2151024793475</v>
      </c>
      <c r="N49" s="45">
        <v>2640.5015913469524</v>
      </c>
      <c r="O49" s="45">
        <v>2191.9687200768985</v>
      </c>
      <c r="P49" s="45">
        <v>1645.6758199854628</v>
      </c>
      <c r="Q49" s="45">
        <v>1254.8637088492562</v>
      </c>
      <c r="R49" s="45">
        <v>1353.328356455032</v>
      </c>
      <c r="S49" s="45">
        <v>1355.2838386603798</v>
      </c>
      <c r="T49" s="45">
        <v>1386.1396813595165</v>
      </c>
      <c r="U49" s="45">
        <v>1440.4642968114272</v>
      </c>
      <c r="V49" s="45">
        <v>1658.8037200406459</v>
      </c>
      <c r="W49" s="45">
        <v>1923.7347147518112</v>
      </c>
      <c r="X49" s="45">
        <v>1900.0549791891276</v>
      </c>
      <c r="Y49" s="45">
        <v>1872.0755161500051</v>
      </c>
    </row>
    <row r="50" spans="1:25" x14ac:dyDescent="0.25">
      <c r="A50" s="77" t="s">
        <v>18</v>
      </c>
      <c r="B50" s="44"/>
      <c r="C50" s="44"/>
      <c r="D50" s="45">
        <v>1478.7702934050458</v>
      </c>
      <c r="E50" s="45">
        <v>1458.6730114541563</v>
      </c>
      <c r="F50" s="45">
        <v>1595.6443228479216</v>
      </c>
      <c r="G50" s="45">
        <v>1305.6095223898894</v>
      </c>
      <c r="H50" s="45">
        <v>1368.313454861928</v>
      </c>
      <c r="I50" s="45">
        <v>1244.0968196567821</v>
      </c>
      <c r="J50" s="45">
        <v>1370.198524057934</v>
      </c>
      <c r="K50" s="45">
        <v>1320.3557952192809</v>
      </c>
      <c r="L50" s="45">
        <v>1322.7822649470954</v>
      </c>
      <c r="M50" s="45">
        <v>1024.2029525674047</v>
      </c>
      <c r="N50" s="45">
        <v>1027.8363868960962</v>
      </c>
      <c r="O50" s="45">
        <v>1014.6354862807431</v>
      </c>
      <c r="P50" s="45">
        <v>968.4539872575491</v>
      </c>
      <c r="Q50" s="45">
        <v>974.14107490624031</v>
      </c>
      <c r="R50" s="45">
        <v>969.94212412173829</v>
      </c>
      <c r="S50" s="45">
        <v>999.20199702253501</v>
      </c>
      <c r="T50" s="45">
        <v>1087.3269611576793</v>
      </c>
      <c r="U50" s="45">
        <v>1144.6392976910056</v>
      </c>
      <c r="V50" s="45">
        <v>1133.288613400855</v>
      </c>
      <c r="W50" s="45">
        <v>1227.0782835993405</v>
      </c>
      <c r="X50" s="45">
        <v>1110.9906268203051</v>
      </c>
      <c r="Y50" s="45">
        <v>1140.6416522812792</v>
      </c>
    </row>
    <row r="51" spans="1:25" x14ac:dyDescent="0.25">
      <c r="A51" s="77" t="s">
        <v>9</v>
      </c>
      <c r="B51" s="44"/>
      <c r="C51" s="44"/>
      <c r="D51" s="45">
        <v>4295.3032897957037</v>
      </c>
      <c r="E51" s="45">
        <v>4628.8031289320461</v>
      </c>
      <c r="F51" s="45">
        <v>3790.8681851083888</v>
      </c>
      <c r="G51" s="45">
        <v>4178.8022256101931</v>
      </c>
      <c r="H51" s="45">
        <v>3909.2791823107073</v>
      </c>
      <c r="I51" s="45">
        <v>4667.0097018245106</v>
      </c>
      <c r="J51" s="45">
        <v>3480.250486316867</v>
      </c>
      <c r="K51" s="45">
        <v>3229.3549858868623</v>
      </c>
      <c r="L51" s="45">
        <v>3774.7205589709147</v>
      </c>
      <c r="M51" s="45">
        <v>2713.7540396215259</v>
      </c>
      <c r="N51" s="45">
        <v>2696.2962897940752</v>
      </c>
      <c r="O51" s="45">
        <v>2620.8108146685991</v>
      </c>
      <c r="P51" s="45">
        <v>2347.0172324120736</v>
      </c>
      <c r="Q51" s="45">
        <v>2370.1194801732377</v>
      </c>
      <c r="R51" s="45">
        <v>2463.6418652017951</v>
      </c>
      <c r="S51" s="45">
        <v>2615.514164317085</v>
      </c>
      <c r="T51" s="45">
        <v>2799.1212754227422</v>
      </c>
      <c r="U51" s="45">
        <v>2962.7930495813862</v>
      </c>
      <c r="V51" s="45">
        <v>2903.7339755266248</v>
      </c>
      <c r="W51" s="45">
        <v>3114.8367354234924</v>
      </c>
      <c r="X51" s="45">
        <v>2853.9297127700029</v>
      </c>
      <c r="Y51" s="45">
        <v>3270.7893202735636</v>
      </c>
    </row>
    <row r="52" spans="1:25" x14ac:dyDescent="0.25">
      <c r="A52" s="72" t="s">
        <v>3</v>
      </c>
      <c r="B52" s="65"/>
      <c r="C52" s="65"/>
      <c r="D52" s="66">
        <v>8614.4797722949916</v>
      </c>
      <c r="E52" s="66">
        <v>8548.2348987215773</v>
      </c>
      <c r="F52" s="66">
        <v>8516.8960424914058</v>
      </c>
      <c r="G52" s="66">
        <v>8180.7958270523777</v>
      </c>
      <c r="H52" s="66">
        <v>8023.1376714543021</v>
      </c>
      <c r="I52" s="66">
        <v>8222.7142745874735</v>
      </c>
      <c r="J52" s="66">
        <v>8063.6136696221056</v>
      </c>
      <c r="K52" s="66">
        <v>7942.2831731815777</v>
      </c>
      <c r="L52" s="66">
        <v>7540.2985074626868</v>
      </c>
      <c r="M52" s="66">
        <v>6642.3020621493906</v>
      </c>
      <c r="N52" s="66">
        <v>7072.1484881748338</v>
      </c>
      <c r="O52" s="66">
        <v>6846.2637219941462</v>
      </c>
      <c r="P52" s="66">
        <v>6181.3806587456766</v>
      </c>
      <c r="Q52" s="66">
        <v>5891.5899139362828</v>
      </c>
      <c r="R52" s="66">
        <v>5460.2451415208452</v>
      </c>
      <c r="S52" s="66">
        <v>5607</v>
      </c>
      <c r="T52" s="66">
        <v>5654.8181917720958</v>
      </c>
      <c r="U52" s="66">
        <v>5846.2659524184655</v>
      </c>
      <c r="V52" s="66">
        <v>5945.2927820384139</v>
      </c>
      <c r="W52" s="66">
        <v>5981.6760205305318</v>
      </c>
      <c r="X52" s="66">
        <v>5314.7209559135836</v>
      </c>
      <c r="Y52" s="66">
        <v>5476.57780899915</v>
      </c>
    </row>
    <row r="53" spans="1:25" x14ac:dyDescent="0.25">
      <c r="A53" s="73" t="s">
        <v>21</v>
      </c>
      <c r="B53" s="65"/>
      <c r="C53" s="65"/>
      <c r="D53" s="66">
        <v>4021.2596619497917</v>
      </c>
      <c r="E53" s="66">
        <v>4093.7940305838856</v>
      </c>
      <c r="F53" s="66">
        <v>3993.4972263933182</v>
      </c>
      <c r="G53" s="66">
        <v>3780.5374105711485</v>
      </c>
      <c r="H53" s="66">
        <v>3700.411028494897</v>
      </c>
      <c r="I53" s="66">
        <v>3606.1998598021651</v>
      </c>
      <c r="J53" s="66">
        <v>3569.1228372213131</v>
      </c>
      <c r="K53" s="66">
        <v>3684.0086658166701</v>
      </c>
      <c r="L53" s="66">
        <v>3537.313432835821</v>
      </c>
      <c r="M53" s="66">
        <v>3194.9070117009046</v>
      </c>
      <c r="N53" s="66">
        <v>3578.485181119649</v>
      </c>
      <c r="O53" s="66">
        <v>3684.8361351672611</v>
      </c>
      <c r="P53" s="66">
        <v>3527.3474707976138</v>
      </c>
      <c r="Q53" s="66">
        <v>3460.6673712818965</v>
      </c>
      <c r="R53" s="66">
        <v>3061.2450608821869</v>
      </c>
      <c r="S53" s="66">
        <v>3387</v>
      </c>
      <c r="T53" s="66">
        <v>3438.0816818132053</v>
      </c>
      <c r="U53" s="66">
        <v>3669.0562470458481</v>
      </c>
      <c r="V53" s="66">
        <v>3754.6653153899374</v>
      </c>
      <c r="W53" s="66">
        <v>3816.376457044179</v>
      </c>
      <c r="X53" s="66">
        <v>3511.0569980462669</v>
      </c>
      <c r="Y53" s="66">
        <v>3537.3608903020668</v>
      </c>
    </row>
    <row r="54" spans="1:25" x14ac:dyDescent="0.25">
      <c r="A54" s="74" t="s">
        <v>8</v>
      </c>
      <c r="B54" s="44"/>
      <c r="C54" s="44"/>
      <c r="D54" s="45">
        <v>272.64529357276297</v>
      </c>
      <c r="E54" s="45">
        <v>253.49277648259653</v>
      </c>
      <c r="F54" s="45">
        <v>236.49680357545091</v>
      </c>
      <c r="G54" s="45">
        <v>243.12797104797758</v>
      </c>
      <c r="H54" s="45">
        <v>246.57874900878858</v>
      </c>
      <c r="I54" s="45">
        <v>238.27668128994685</v>
      </c>
      <c r="J54" s="45">
        <v>198.60159134492329</v>
      </c>
      <c r="K54" s="45">
        <v>210.75180420062711</v>
      </c>
      <c r="L54" s="45">
        <v>204.54391910950298</v>
      </c>
      <c r="M54" s="45">
        <v>174.08851272117528</v>
      </c>
      <c r="N54" s="45">
        <v>214.63282939262945</v>
      </c>
      <c r="O54" s="45">
        <v>276.3899032310635</v>
      </c>
      <c r="P54" s="45">
        <v>293.46999298131755</v>
      </c>
      <c r="Q54" s="45">
        <v>279.62168858108078</v>
      </c>
      <c r="R54" s="45">
        <v>251.41220691331608</v>
      </c>
      <c r="S54" s="45">
        <v>293.41961578117514</v>
      </c>
      <c r="T54" s="45">
        <v>211.1851385068166</v>
      </c>
      <c r="U54" s="45">
        <v>297.29245084127501</v>
      </c>
      <c r="V54" s="45">
        <v>367.37626034859755</v>
      </c>
      <c r="W54" s="45">
        <v>178.27802259616666</v>
      </c>
      <c r="X54" s="45">
        <v>100.97731223458831</v>
      </c>
      <c r="Y54" s="45">
        <v>101.87179580213429</v>
      </c>
    </row>
    <row r="55" spans="1:25" x14ac:dyDescent="0.25">
      <c r="A55" s="74" t="s">
        <v>17</v>
      </c>
      <c r="B55" s="44"/>
      <c r="C55" s="44"/>
      <c r="D55" s="45">
        <v>3748.6143683770288</v>
      </c>
      <c r="E55" s="45">
        <v>3840.301254101289</v>
      </c>
      <c r="F55" s="45">
        <v>3757.0004228178673</v>
      </c>
      <c r="G55" s="45">
        <v>3537.4094395231709</v>
      </c>
      <c r="H55" s="45">
        <v>3453.8322794861083</v>
      </c>
      <c r="I55" s="45">
        <v>3367.9231785122183</v>
      </c>
      <c r="J55" s="45">
        <v>3370.5212458763899</v>
      </c>
      <c r="K55" s="45">
        <v>3473.2568616160429</v>
      </c>
      <c r="L55" s="45">
        <v>3332.7695137263181</v>
      </c>
      <c r="M55" s="45">
        <v>3020.8184989797292</v>
      </c>
      <c r="N55" s="45">
        <v>3363.8523517270196</v>
      </c>
      <c r="O55" s="45">
        <v>3408.4462319361974</v>
      </c>
      <c r="P55" s="45">
        <v>3233.8774778162961</v>
      </c>
      <c r="Q55" s="45">
        <v>3181.0456827008156</v>
      </c>
      <c r="R55" s="45">
        <v>2809.8328539688709</v>
      </c>
      <c r="S55" s="45">
        <v>3093.5803842188247</v>
      </c>
      <c r="T55" s="45">
        <v>3226.8965433063886</v>
      </c>
      <c r="U55" s="45">
        <v>3371.7637962045728</v>
      </c>
      <c r="V55" s="45">
        <v>3387.2890550413399</v>
      </c>
      <c r="W55" s="45">
        <v>3638.0984344480125</v>
      </c>
      <c r="X55" s="45">
        <v>3410.0796858116787</v>
      </c>
      <c r="Y55" s="45">
        <v>3435.4890944999324</v>
      </c>
    </row>
    <row r="56" spans="1:25" x14ac:dyDescent="0.25">
      <c r="A56" s="73" t="s">
        <v>16</v>
      </c>
      <c r="B56" s="65"/>
      <c r="C56" s="65"/>
      <c r="D56" s="66">
        <v>4593.2201103451998</v>
      </c>
      <c r="E56" s="66">
        <v>4454.4408681376917</v>
      </c>
      <c r="F56" s="66">
        <v>4523.398816098088</v>
      </c>
      <c r="G56" s="66">
        <v>4400.2584164812288</v>
      </c>
      <c r="H56" s="66">
        <v>4322.7266429594056</v>
      </c>
      <c r="I56" s="66">
        <v>4616.514414785308</v>
      </c>
      <c r="J56" s="66">
        <v>4494.490832400792</v>
      </c>
      <c r="K56" s="66">
        <v>4258.2745073649075</v>
      </c>
      <c r="L56" s="66">
        <v>4002.9850746268658</v>
      </c>
      <c r="M56" s="66">
        <v>3447.395050448486</v>
      </c>
      <c r="N56" s="66">
        <v>3493.6633070551848</v>
      </c>
      <c r="O56" s="66">
        <v>3161.4275868268851</v>
      </c>
      <c r="P56" s="66">
        <v>2654.0331879480627</v>
      </c>
      <c r="Q56" s="66">
        <v>2430.9225426543862</v>
      </c>
      <c r="R56" s="66">
        <v>2399.0000806386583</v>
      </c>
      <c r="S56" s="66">
        <v>2220</v>
      </c>
      <c r="T56" s="66">
        <v>2216.7365099588906</v>
      </c>
      <c r="U56" s="66">
        <v>2177.2097053726175</v>
      </c>
      <c r="V56" s="66">
        <v>2190.6274666484765</v>
      </c>
      <c r="W56" s="66">
        <v>2165.2995634863528</v>
      </c>
      <c r="X56" s="66">
        <v>1803.6639578673166</v>
      </c>
      <c r="Y56" s="66">
        <v>1939.2169186970832</v>
      </c>
    </row>
    <row r="57" spans="1:25" x14ac:dyDescent="0.25">
      <c r="A57" s="72" t="s">
        <v>2</v>
      </c>
      <c r="B57" s="65"/>
      <c r="C57" s="65"/>
      <c r="D57" s="66">
        <v>19565.364017752356</v>
      </c>
      <c r="E57" s="66">
        <v>19752.847041791083</v>
      </c>
      <c r="F57" s="66">
        <v>19977.414030602748</v>
      </c>
      <c r="G57" s="66">
        <v>20861.148996243392</v>
      </c>
      <c r="H57" s="66">
        <v>21241.860250311736</v>
      </c>
      <c r="I57" s="66">
        <v>22815.528579217338</v>
      </c>
      <c r="J57" s="66">
        <v>22751.14056985452</v>
      </c>
      <c r="K57" s="66">
        <v>24110.872697494582</v>
      </c>
      <c r="L57" s="66">
        <v>24293.532338308458</v>
      </c>
      <c r="M57" s="66">
        <v>23743.700079577942</v>
      </c>
      <c r="N57" s="66">
        <v>24494.561421015867</v>
      </c>
      <c r="O57" s="66">
        <v>25370.331525376325</v>
      </c>
      <c r="P57" s="66">
        <v>24894.971674938588</v>
      </c>
      <c r="Q57" s="66">
        <v>24536.715486436158</v>
      </c>
      <c r="R57" s="66">
        <v>24503.064269010563</v>
      </c>
      <c r="S57" s="66">
        <v>24496</v>
      </c>
      <c r="T57" s="66">
        <v>24929.576062829103</v>
      </c>
      <c r="U57" s="66">
        <v>25405.703481959979</v>
      </c>
      <c r="V57" s="66">
        <v>23787.99247702667</v>
      </c>
      <c r="W57" s="66">
        <v>24922.530819782223</v>
      </c>
      <c r="X57" s="66">
        <v>23164.481694368154</v>
      </c>
      <c r="Y57" s="66">
        <v>23792.842089695714</v>
      </c>
    </row>
    <row r="58" spans="1:25" x14ac:dyDescent="0.25">
      <c r="A58" s="72" t="s">
        <v>275</v>
      </c>
      <c r="B58" s="65"/>
      <c r="C58" s="65"/>
      <c r="D58" s="66">
        <v>16267.14869622695</v>
      </c>
      <c r="E58" s="66">
        <v>16046.84530965215</v>
      </c>
      <c r="F58" s="66">
        <v>16701.207480671623</v>
      </c>
      <c r="G58" s="66">
        <v>17013.614720168451</v>
      </c>
      <c r="H58" s="66">
        <v>16509.259686879417</v>
      </c>
      <c r="I58" s="66">
        <v>15691.030676621454</v>
      </c>
      <c r="J58" s="66">
        <v>16382.241542566926</v>
      </c>
      <c r="K58" s="66">
        <v>16340.661960589192</v>
      </c>
      <c r="L58" s="66">
        <v>15037.810945273632</v>
      </c>
      <c r="M58" s="66">
        <v>13167.693320365075</v>
      </c>
      <c r="N58" s="66">
        <v>12566.610118750625</v>
      </c>
      <c r="O58" s="66">
        <v>13189.096321157092</v>
      </c>
      <c r="P58" s="66">
        <v>12008.8233819622</v>
      </c>
      <c r="Q58" s="66">
        <v>13682.621168654689</v>
      </c>
      <c r="R58" s="66">
        <v>14735.706797838884</v>
      </c>
      <c r="S58" s="66">
        <v>14876</v>
      </c>
      <c r="T58" s="66">
        <v>15055.293988831711</v>
      </c>
      <c r="U58" s="66">
        <v>15679.651804001889</v>
      </c>
      <c r="V58" s="66">
        <v>16711.33026047808</v>
      </c>
      <c r="W58" s="66">
        <v>16688.252506355831</v>
      </c>
      <c r="X58" s="66">
        <v>14447.244480939304</v>
      </c>
      <c r="Y58" s="66">
        <v>15201.31622730802</v>
      </c>
    </row>
    <row r="59" spans="1:25" x14ac:dyDescent="0.25">
      <c r="A59" s="72" t="s">
        <v>276</v>
      </c>
      <c r="B59" s="65"/>
      <c r="C59" s="65"/>
      <c r="D59" s="66">
        <v>30475.779363559108</v>
      </c>
      <c r="E59" s="66">
        <v>31066.04102842517</v>
      </c>
      <c r="F59" s="66">
        <v>30330.971320782814</v>
      </c>
      <c r="G59" s="66">
        <v>29929.65329122102</v>
      </c>
      <c r="H59" s="66">
        <v>29515.54057174526</v>
      </c>
      <c r="I59" s="66">
        <v>29338.065937489569</v>
      </c>
      <c r="J59" s="66">
        <v>30467.20323663596</v>
      </c>
      <c r="K59" s="66">
        <v>31037.306548081804</v>
      </c>
      <c r="L59" s="66">
        <v>30990.04975124378</v>
      </c>
      <c r="M59" s="66">
        <v>25516.028569463684</v>
      </c>
      <c r="N59" s="66">
        <v>24447.659914180222</v>
      </c>
      <c r="O59" s="66">
        <v>23362.600261704276</v>
      </c>
      <c r="P59" s="66">
        <v>22022.359252017846</v>
      </c>
      <c r="Q59" s="66">
        <v>21733.35346519704</v>
      </c>
      <c r="R59" s="66">
        <v>22296.588984759295</v>
      </c>
      <c r="S59" s="66">
        <v>22151</v>
      </c>
      <c r="T59" s="66">
        <v>22630.222071807533</v>
      </c>
      <c r="U59" s="66">
        <v>23887.269576177718</v>
      </c>
      <c r="V59" s="66">
        <v>25323.770451865639</v>
      </c>
      <c r="W59" s="66">
        <v>25169.089077565121</v>
      </c>
      <c r="X59" s="66">
        <v>22742.588555086786</v>
      </c>
      <c r="Y59" s="66">
        <v>25138.647539468333</v>
      </c>
    </row>
    <row r="60" spans="1:25" x14ac:dyDescent="0.25">
      <c r="A60" s="72" t="s">
        <v>1</v>
      </c>
      <c r="B60" s="65"/>
      <c r="C60" s="65"/>
      <c r="D60" s="66">
        <v>10214.350271816109</v>
      </c>
      <c r="E60" s="66">
        <v>10482.025826967076</v>
      </c>
      <c r="F60" s="66">
        <v>10117.769697571388</v>
      </c>
      <c r="G60" s="66">
        <v>10236.163950900869</v>
      </c>
      <c r="H60" s="66">
        <v>9625.686971782201</v>
      </c>
      <c r="I60" s="66">
        <v>9223.0146985190204</v>
      </c>
      <c r="J60" s="66">
        <v>9299.9483515537559</v>
      </c>
      <c r="K60" s="66">
        <v>9006.851800022805</v>
      </c>
      <c r="L60" s="66">
        <v>8734.3283582089553</v>
      </c>
      <c r="M60" s="66">
        <v>7634.5702299900768</v>
      </c>
      <c r="N60" s="66">
        <v>7915.3777068156878</v>
      </c>
      <c r="O60" s="66">
        <v>8821.0322335760593</v>
      </c>
      <c r="P60" s="66">
        <v>8005.2138166140276</v>
      </c>
      <c r="Q60" s="66">
        <v>8214.8069857567061</v>
      </c>
      <c r="R60" s="66">
        <v>8308.8057414724626</v>
      </c>
      <c r="S60" s="66">
        <v>8667</v>
      </c>
      <c r="T60" s="66">
        <v>8951.5543035744504</v>
      </c>
      <c r="U60" s="66">
        <v>9204.1515676697654</v>
      </c>
      <c r="V60" s="66">
        <v>8822.9275280406164</v>
      </c>
      <c r="W60" s="66">
        <v>8397.3713244111859</v>
      </c>
      <c r="X60" s="66">
        <v>7178.7901954677163</v>
      </c>
      <c r="Y60" s="66">
        <v>7605.2796983029539</v>
      </c>
    </row>
    <row r="61" spans="1:25" x14ac:dyDescent="0.25">
      <c r="A61" s="72" t="s">
        <v>0</v>
      </c>
      <c r="B61" s="65"/>
      <c r="C61" s="65"/>
      <c r="D61" s="66">
        <v>3414.2261671905139</v>
      </c>
      <c r="E61" s="66">
        <v>3306.5756647406315</v>
      </c>
      <c r="F61" s="66">
        <v>3227.8080440798699</v>
      </c>
      <c r="G61" s="66">
        <v>3133.2998349005816</v>
      </c>
      <c r="H61" s="66">
        <v>3057.3130744007763</v>
      </c>
      <c r="I61" s="66">
        <v>3096.5918573987738</v>
      </c>
      <c r="J61" s="66">
        <v>3204.3556856331238</v>
      </c>
      <c r="K61" s="66">
        <v>3148.0963191010769</v>
      </c>
      <c r="L61" s="66">
        <v>2972.1393034825869</v>
      </c>
      <c r="M61" s="66">
        <v>2157.4464322555923</v>
      </c>
      <c r="N61" s="66">
        <v>2009.7794631274326</v>
      </c>
      <c r="O61" s="66">
        <v>1802.9626522030105</v>
      </c>
      <c r="P61" s="66">
        <v>1608.2618940191508</v>
      </c>
      <c r="Q61" s="66">
        <v>1502.8436257486537</v>
      </c>
      <c r="R61" s="66">
        <v>1484.7592936053545</v>
      </c>
      <c r="S61" s="66">
        <v>1602</v>
      </c>
      <c r="T61" s="66">
        <v>1651.3542299154915</v>
      </c>
      <c r="U61" s="66">
        <v>1883.7639829840869</v>
      </c>
      <c r="V61" s="66">
        <v>1951.8802560929262</v>
      </c>
      <c r="W61" s="66">
        <v>1979.1816568331176</v>
      </c>
      <c r="X61" s="66">
        <v>1841.4172589215771</v>
      </c>
      <c r="Y61" s="66">
        <v>2302.473472104115</v>
      </c>
    </row>
    <row r="62" spans="1:25" x14ac:dyDescent="0.25">
      <c r="A62" s="78" t="s">
        <v>277</v>
      </c>
      <c r="B62" s="79"/>
      <c r="C62" s="79"/>
      <c r="D62" s="80">
        <v>13519.310409949954</v>
      </c>
      <c r="E62" s="80">
        <v>13341.347707501194</v>
      </c>
      <c r="F62" s="80">
        <v>13035.330909271415</v>
      </c>
      <c r="G62" s="80">
        <v>12730.600818318857</v>
      </c>
      <c r="H62" s="80">
        <v>12904.678335565512</v>
      </c>
      <c r="I62" s="80">
        <v>12670.101142723619</v>
      </c>
      <c r="J62" s="80">
        <v>12467.71972109839</v>
      </c>
      <c r="K62" s="80">
        <v>12250.313565734781</v>
      </c>
      <c r="L62" s="80">
        <v>12377.114427860695</v>
      </c>
      <c r="M62" s="80">
        <v>10714.531325218348</v>
      </c>
      <c r="N62" s="80">
        <v>10429.098892326116</v>
      </c>
      <c r="O62" s="80">
        <v>10026.669863054747</v>
      </c>
      <c r="P62" s="80">
        <v>9678.6484183085176</v>
      </c>
      <c r="Q62" s="80">
        <v>9639.1363430469573</v>
      </c>
      <c r="R62" s="80">
        <v>9730.0620917667929</v>
      </c>
      <c r="S62" s="80">
        <v>9857</v>
      </c>
      <c r="T62" s="80">
        <v>9906.1345968167388</v>
      </c>
      <c r="U62" s="80">
        <v>10300.141799275247</v>
      </c>
      <c r="V62" s="80">
        <v>10541.907444040577</v>
      </c>
      <c r="W62" s="80">
        <v>10934.90670120401</v>
      </c>
      <c r="X62" s="80">
        <v>9848.8924125303201</v>
      </c>
      <c r="Y62" s="80">
        <v>11027.10097238141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4.1196085489008265E-2</v>
      </c>
      <c r="E66" s="83">
        <f t="shared" ref="E66:S66" si="49">E24/E$23</f>
        <v>4.03368392065315E-2</v>
      </c>
      <c r="F66" s="83">
        <f t="shared" si="49"/>
        <v>3.8275159052956184E-2</v>
      </c>
      <c r="G66" s="83">
        <f t="shared" si="49"/>
        <v>3.7817891062162462E-2</v>
      </c>
      <c r="H66" s="83">
        <f t="shared" si="49"/>
        <v>3.4674834757375463E-2</v>
      </c>
      <c r="I66" s="83">
        <f t="shared" si="49"/>
        <v>3.0848980670583004E-2</v>
      </c>
      <c r="J66" s="83">
        <f t="shared" si="49"/>
        <v>2.6981121350961874E-2</v>
      </c>
      <c r="K66" s="83">
        <f t="shared" si="49"/>
        <v>2.7831976334462473E-2</v>
      </c>
      <c r="L66" s="83">
        <f t="shared" si="49"/>
        <v>2.5699426532831585E-2</v>
      </c>
      <c r="M66" s="83">
        <f t="shared" si="49"/>
        <v>2.4175560977800398E-2</v>
      </c>
      <c r="N66" s="83">
        <f t="shared" si="49"/>
        <v>2.6463273189991872E-2</v>
      </c>
      <c r="O66" s="83">
        <f t="shared" si="49"/>
        <v>2.5754943437263766E-2</v>
      </c>
      <c r="P66" s="83">
        <f t="shared" si="49"/>
        <v>2.6184591245370877E-2</v>
      </c>
      <c r="Q66" s="83">
        <f t="shared" si="49"/>
        <v>2.8685312781082724E-2</v>
      </c>
      <c r="R66" s="83">
        <f t="shared" si="49"/>
        <v>2.7838183579523158E-2</v>
      </c>
      <c r="S66" s="83">
        <f t="shared" si="49"/>
        <v>3.0109165644334714E-2</v>
      </c>
      <c r="T66" s="83">
        <f t="shared" ref="T66:Y66" si="50">T24/T$23</f>
        <v>3.1123302626010121E-2</v>
      </c>
      <c r="U66" s="83">
        <f t="shared" si="50"/>
        <v>3.0744777259549917E-2</v>
      </c>
      <c r="V66" s="83">
        <f t="shared" si="50"/>
        <v>3.0457491142075601E-2</v>
      </c>
      <c r="W66" s="83">
        <f t="shared" si="50"/>
        <v>2.7222452880130383E-2</v>
      </c>
      <c r="X66" s="83">
        <f t="shared" si="50"/>
        <v>3.0811312661225405E-2</v>
      </c>
      <c r="Y66" s="83">
        <f t="shared" si="50"/>
        <v>3.0183035177369866E-2</v>
      </c>
    </row>
    <row r="67" spans="1:25" x14ac:dyDescent="0.25">
      <c r="A67" s="64" t="s">
        <v>56</v>
      </c>
      <c r="B67" s="65"/>
      <c r="C67" s="65"/>
      <c r="D67" s="83">
        <f t="shared" si="46"/>
        <v>2.9966654668685949E-3</v>
      </c>
      <c r="E67" s="83">
        <f t="shared" ref="E67:S67" si="51">E25/E$23</f>
        <v>3.4766662807181143E-3</v>
      </c>
      <c r="F67" s="83">
        <f t="shared" si="51"/>
        <v>3.5784170956132556E-3</v>
      </c>
      <c r="G67" s="83">
        <f t="shared" si="51"/>
        <v>3.6791627225804145E-3</v>
      </c>
      <c r="H67" s="83">
        <f t="shared" si="51"/>
        <v>3.7065935837497983E-3</v>
      </c>
      <c r="I67" s="83">
        <f t="shared" si="51"/>
        <v>3.4298002186422556E-3</v>
      </c>
      <c r="J67" s="83">
        <f t="shared" si="51"/>
        <v>3.4438293599269774E-3</v>
      </c>
      <c r="K67" s="83">
        <f t="shared" si="51"/>
        <v>3.4864776464057501E-3</v>
      </c>
      <c r="L67" s="83">
        <f t="shared" si="51"/>
        <v>3.1920137068823886E-3</v>
      </c>
      <c r="M67" s="83">
        <f t="shared" si="51"/>
        <v>2.5797244634721997E-3</v>
      </c>
      <c r="N67" s="83">
        <f t="shared" si="51"/>
        <v>2.6778855764557135E-3</v>
      </c>
      <c r="O67" s="83">
        <f t="shared" si="51"/>
        <v>2.639152288370489E-3</v>
      </c>
      <c r="P67" s="83">
        <f t="shared" si="51"/>
        <v>2.416844520553723E-3</v>
      </c>
      <c r="Q67" s="83">
        <f t="shared" si="51"/>
        <v>1.9650999113400096E-3</v>
      </c>
      <c r="R67" s="83">
        <f t="shared" si="51"/>
        <v>1.7279899276796337E-3</v>
      </c>
      <c r="S67" s="83">
        <f t="shared" si="51"/>
        <v>1.5148559048225126E-3</v>
      </c>
      <c r="T67" s="83">
        <f t="shared" ref="T67:Y67" si="52">T25/T$23</f>
        <v>1.4575760332572573E-3</v>
      </c>
      <c r="U67" s="83">
        <f t="shared" si="52"/>
        <v>1.9700039381099917E-3</v>
      </c>
      <c r="V67" s="83">
        <f t="shared" si="52"/>
        <v>2.46094251987296E-3</v>
      </c>
      <c r="W67" s="83">
        <f t="shared" si="52"/>
        <v>2.6982548983329781E-3</v>
      </c>
      <c r="X67" s="83">
        <f t="shared" si="52"/>
        <v>2.354356048364193E-3</v>
      </c>
      <c r="Y67" s="83">
        <f t="shared" si="52"/>
        <v>3.725630802647368E-3</v>
      </c>
    </row>
    <row r="68" spans="1:25" x14ac:dyDescent="0.25">
      <c r="A68" s="64" t="s">
        <v>146</v>
      </c>
      <c r="B68" s="65"/>
      <c r="C68" s="65"/>
      <c r="D68" s="83">
        <f t="shared" si="46"/>
        <v>0.66277411424341415</v>
      </c>
      <c r="E68" s="83">
        <f t="shared" ref="E68:S68" si="53">E26/E$23</f>
        <v>0.66498831201749908</v>
      </c>
      <c r="F68" s="83">
        <f t="shared" si="53"/>
        <v>0.66973625090192224</v>
      </c>
      <c r="G68" s="83">
        <f t="shared" si="53"/>
        <v>0.67224677592415261</v>
      </c>
      <c r="H68" s="83">
        <f t="shared" si="53"/>
        <v>0.6784871836208286</v>
      </c>
      <c r="I68" s="83">
        <f t="shared" si="53"/>
        <v>0.67905719537247244</v>
      </c>
      <c r="J68" s="83">
        <f t="shared" si="53"/>
        <v>0.68469011665554014</v>
      </c>
      <c r="K68" s="83">
        <f t="shared" si="53"/>
        <v>0.6932363984551777</v>
      </c>
      <c r="L68" s="83">
        <f t="shared" si="53"/>
        <v>0.70233689827021017</v>
      </c>
      <c r="M68" s="83">
        <f t="shared" si="53"/>
        <v>0.72418803546746924</v>
      </c>
      <c r="N68" s="83">
        <f t="shared" si="53"/>
        <v>0.73707100810874704</v>
      </c>
      <c r="O68" s="83">
        <f t="shared" si="53"/>
        <v>0.75062408249416712</v>
      </c>
      <c r="P68" s="83">
        <f t="shared" si="53"/>
        <v>0.76150531874509675</v>
      </c>
      <c r="Q68" s="83">
        <f t="shared" si="53"/>
        <v>0.76669343262108747</v>
      </c>
      <c r="R68" s="83">
        <f t="shared" si="53"/>
        <v>0.76868010280742549</v>
      </c>
      <c r="S68" s="83">
        <f t="shared" si="53"/>
        <v>0.76602064821123406</v>
      </c>
      <c r="T68" s="83">
        <f t="shared" ref="T68:Y68" si="54">T26/T$23</f>
        <v>0.76569910251288476</v>
      </c>
      <c r="U68" s="83">
        <f t="shared" si="54"/>
        <v>0.76510265181888493</v>
      </c>
      <c r="V68" s="83">
        <f t="shared" si="54"/>
        <v>0.76671439848726852</v>
      </c>
      <c r="W68" s="83">
        <f t="shared" si="54"/>
        <v>0.76852018246860232</v>
      </c>
      <c r="X68" s="83">
        <f t="shared" si="54"/>
        <v>0.76674638571090004</v>
      </c>
      <c r="Y68" s="83">
        <f t="shared" si="54"/>
        <v>0.76296940009205561</v>
      </c>
    </row>
    <row r="69" spans="1:25" x14ac:dyDescent="0.25">
      <c r="A69" s="68" t="s">
        <v>148</v>
      </c>
      <c r="B69" s="69"/>
      <c r="C69" s="69"/>
      <c r="D69" s="84">
        <f t="shared" si="46"/>
        <v>0.29711131635958626</v>
      </c>
      <c r="E69" s="84">
        <f t="shared" ref="E69:S69" si="55">E27/E$23</f>
        <v>0.29323067101849731</v>
      </c>
      <c r="F69" s="84">
        <f t="shared" si="55"/>
        <v>0.29130656862730753</v>
      </c>
      <c r="G69" s="84">
        <f t="shared" si="55"/>
        <v>0.2915289957314568</v>
      </c>
      <c r="H69" s="84">
        <f t="shared" si="55"/>
        <v>0.29220183782040943</v>
      </c>
      <c r="I69" s="84">
        <f t="shared" si="55"/>
        <v>0.28768515515190829</v>
      </c>
      <c r="J69" s="84">
        <f t="shared" si="55"/>
        <v>0.28474450464025358</v>
      </c>
      <c r="K69" s="84">
        <f t="shared" si="55"/>
        <v>0.28146987173600585</v>
      </c>
      <c r="L69" s="84">
        <f t="shared" si="55"/>
        <v>0.2871707257919402</v>
      </c>
      <c r="M69" s="84">
        <f t="shared" si="55"/>
        <v>0.30182177447120645</v>
      </c>
      <c r="N69" s="84">
        <f t="shared" si="55"/>
        <v>0.30958346144362292</v>
      </c>
      <c r="O69" s="84">
        <f t="shared" si="55"/>
        <v>0.31221059353892266</v>
      </c>
      <c r="P69" s="84">
        <f t="shared" si="55"/>
        <v>0.31157892072918686</v>
      </c>
      <c r="Q69" s="84">
        <f t="shared" si="55"/>
        <v>0.3124841199986706</v>
      </c>
      <c r="R69" s="84">
        <f t="shared" si="55"/>
        <v>0.3127640501531796</v>
      </c>
      <c r="S69" s="84">
        <f t="shared" si="55"/>
        <v>0.31399295791192999</v>
      </c>
      <c r="T69" s="84">
        <f t="shared" ref="T69:Y69" si="56">T27/T$23</f>
        <v>0.31204784488384874</v>
      </c>
      <c r="U69" s="84">
        <f t="shared" si="56"/>
        <v>0.3125265110717827</v>
      </c>
      <c r="V69" s="84">
        <f t="shared" si="56"/>
        <v>0.31168328101191461</v>
      </c>
      <c r="W69" s="84">
        <f t="shared" si="56"/>
        <v>0.31317284854450933</v>
      </c>
      <c r="X69" s="84">
        <f t="shared" si="56"/>
        <v>0.28921755856019959</v>
      </c>
      <c r="Y69" s="84">
        <f t="shared" si="56"/>
        <v>0.28921927236260153</v>
      </c>
    </row>
    <row r="70" spans="1:25" x14ac:dyDescent="0.25">
      <c r="A70" s="68" t="s">
        <v>150</v>
      </c>
      <c r="B70" s="71"/>
      <c r="C70" s="71"/>
      <c r="D70" s="84">
        <f t="shared" si="46"/>
        <v>0.23783676407668747</v>
      </c>
      <c r="E70" s="84">
        <f t="shared" ref="E70:S70" si="57">E28/E$23</f>
        <v>0.24274860041494684</v>
      </c>
      <c r="F70" s="84">
        <f t="shared" si="57"/>
        <v>0.24836117278412559</v>
      </c>
      <c r="G70" s="84">
        <f t="shared" si="57"/>
        <v>0.25211332041001094</v>
      </c>
      <c r="H70" s="84">
        <f t="shared" si="57"/>
        <v>0.25603353216185709</v>
      </c>
      <c r="I70" s="84">
        <f t="shared" si="57"/>
        <v>0.26212443387273099</v>
      </c>
      <c r="J70" s="84">
        <f t="shared" si="57"/>
        <v>0.27050666642890497</v>
      </c>
      <c r="K70" s="84">
        <f t="shared" si="57"/>
        <v>0.28193108970225134</v>
      </c>
      <c r="L70" s="84">
        <f t="shared" si="57"/>
        <v>0.28511117283033038</v>
      </c>
      <c r="M70" s="84">
        <f t="shared" si="57"/>
        <v>0.29172043171713835</v>
      </c>
      <c r="N70" s="84">
        <f t="shared" si="57"/>
        <v>0.29212900528575447</v>
      </c>
      <c r="O70" s="84">
        <f t="shared" si="57"/>
        <v>0.29975750811791813</v>
      </c>
      <c r="P70" s="84">
        <f t="shared" si="57"/>
        <v>0.30858844469939178</v>
      </c>
      <c r="Q70" s="84">
        <f t="shared" si="57"/>
        <v>0.31052866869573331</v>
      </c>
      <c r="R70" s="84">
        <f t="shared" si="57"/>
        <v>0.31423470250393709</v>
      </c>
      <c r="S70" s="84">
        <f t="shared" si="57"/>
        <v>0.30888248987967981</v>
      </c>
      <c r="T70" s="84">
        <f t="shared" ref="T70:Y70" si="58">T28/T$23</f>
        <v>0.30753568786909108</v>
      </c>
      <c r="U70" s="84">
        <f t="shared" si="58"/>
        <v>0.30679869615346295</v>
      </c>
      <c r="V70" s="84">
        <f t="shared" si="58"/>
        <v>0.30990435277487105</v>
      </c>
      <c r="W70" s="84">
        <f t="shared" si="58"/>
        <v>0.31143863550453738</v>
      </c>
      <c r="X70" s="84">
        <f t="shared" si="58"/>
        <v>0.32966371099006353</v>
      </c>
      <c r="Y70" s="84">
        <f t="shared" si="58"/>
        <v>0.31909123545353679</v>
      </c>
    </row>
    <row r="71" spans="1:25" x14ac:dyDescent="0.25">
      <c r="A71" s="68" t="s">
        <v>152</v>
      </c>
      <c r="B71" s="71"/>
      <c r="C71" s="71"/>
      <c r="D71" s="84">
        <f t="shared" si="46"/>
        <v>0.12782603380714047</v>
      </c>
      <c r="E71" s="84">
        <f t="shared" ref="E71:S71" si="59">E29/E$23</f>
        <v>0.12900904058405496</v>
      </c>
      <c r="F71" s="84">
        <f t="shared" si="59"/>
        <v>0.13006850949048918</v>
      </c>
      <c r="G71" s="84">
        <f t="shared" si="59"/>
        <v>0.12860445978268495</v>
      </c>
      <c r="H71" s="84">
        <f t="shared" si="59"/>
        <v>0.13025181363856198</v>
      </c>
      <c r="I71" s="84">
        <f t="shared" si="59"/>
        <v>0.12924760634783333</v>
      </c>
      <c r="J71" s="84">
        <f t="shared" si="59"/>
        <v>0.12943894558638158</v>
      </c>
      <c r="K71" s="84">
        <f t="shared" si="59"/>
        <v>0.12983543701692055</v>
      </c>
      <c r="L71" s="84">
        <f t="shared" si="59"/>
        <v>0.13005499964793962</v>
      </c>
      <c r="M71" s="84">
        <f t="shared" si="59"/>
        <v>0.13064582927912435</v>
      </c>
      <c r="N71" s="84">
        <f t="shared" si="59"/>
        <v>0.13535854137936987</v>
      </c>
      <c r="O71" s="84">
        <f t="shared" si="59"/>
        <v>0.13865598083732633</v>
      </c>
      <c r="P71" s="84">
        <f t="shared" si="59"/>
        <v>0.14133795331651811</v>
      </c>
      <c r="Q71" s="84">
        <f t="shared" si="59"/>
        <v>0.1436806439266835</v>
      </c>
      <c r="R71" s="84">
        <f t="shared" si="59"/>
        <v>0.14168135015030878</v>
      </c>
      <c r="S71" s="84">
        <f t="shared" si="59"/>
        <v>0.14314520041962428</v>
      </c>
      <c r="T71" s="84">
        <f t="shared" ref="T71:Y71" si="60">T29/T$23</f>
        <v>0.14611556975994486</v>
      </c>
      <c r="U71" s="84">
        <f t="shared" si="60"/>
        <v>0.14577744459363939</v>
      </c>
      <c r="V71" s="84">
        <f t="shared" si="60"/>
        <v>0.14512676470048277</v>
      </c>
      <c r="W71" s="84">
        <f t="shared" si="60"/>
        <v>0.14390869841955553</v>
      </c>
      <c r="X71" s="84">
        <f t="shared" si="60"/>
        <v>0.14786511616063694</v>
      </c>
      <c r="Y71" s="84">
        <f t="shared" si="60"/>
        <v>0.15465889227591742</v>
      </c>
    </row>
    <row r="72" spans="1:25" x14ac:dyDescent="0.25">
      <c r="A72" s="64" t="s">
        <v>154</v>
      </c>
      <c r="B72" s="65"/>
      <c r="C72" s="65"/>
      <c r="D72" s="83">
        <f t="shared" si="46"/>
        <v>2.124321717929737E-2</v>
      </c>
      <c r="E72" s="83">
        <f t="shared" ref="E72:S72" si="61">E30/E$23</f>
        <v>2.0288898137746078E-2</v>
      </c>
      <c r="F72" s="83">
        <f t="shared" si="61"/>
        <v>2.0059625649274146E-2</v>
      </c>
      <c r="G72" s="83">
        <f t="shared" si="61"/>
        <v>2.1283640365278484E-2</v>
      </c>
      <c r="H72" s="83">
        <f t="shared" si="61"/>
        <v>2.1519909721102692E-2</v>
      </c>
      <c r="I72" s="83">
        <f t="shared" si="61"/>
        <v>2.3570115688182503E-2</v>
      </c>
      <c r="J72" s="83">
        <f t="shared" si="61"/>
        <v>2.2546494482628725E-2</v>
      </c>
      <c r="K72" s="83">
        <f t="shared" si="61"/>
        <v>2.2984544554996888E-2</v>
      </c>
      <c r="L72" s="83">
        <f t="shared" si="61"/>
        <v>2.4745929791345576E-2</v>
      </c>
      <c r="M72" s="83">
        <f t="shared" si="61"/>
        <v>2.4514867096787071E-2</v>
      </c>
      <c r="N72" s="83">
        <f t="shared" si="61"/>
        <v>2.8159910053892574E-2</v>
      </c>
      <c r="O72" s="83">
        <f t="shared" si="61"/>
        <v>2.8970485769286878E-2</v>
      </c>
      <c r="P72" s="83">
        <f t="shared" si="61"/>
        <v>3.0394034232303892E-2</v>
      </c>
      <c r="Q72" s="83">
        <f t="shared" si="61"/>
        <v>2.942718356048659E-2</v>
      </c>
      <c r="R72" s="83">
        <f t="shared" si="61"/>
        <v>2.7345839372436592E-2</v>
      </c>
      <c r="S72" s="83">
        <f t="shared" si="61"/>
        <v>2.9237842591864315E-2</v>
      </c>
      <c r="T72" s="83">
        <f t="shared" ref="T72:Y72" si="62">T30/T$23</f>
        <v>2.8033122772598361E-2</v>
      </c>
      <c r="U72" s="83">
        <f t="shared" si="62"/>
        <v>2.7298219310024147E-2</v>
      </c>
      <c r="V72" s="83">
        <f t="shared" si="62"/>
        <v>2.7882726588459913E-2</v>
      </c>
      <c r="W72" s="83">
        <f t="shared" si="62"/>
        <v>2.6542577630156716E-2</v>
      </c>
      <c r="X72" s="83">
        <f t="shared" si="62"/>
        <v>2.4958720421198607E-2</v>
      </c>
      <c r="Y72" s="83">
        <f t="shared" si="62"/>
        <v>2.8274101530673609E-2</v>
      </c>
    </row>
    <row r="73" spans="1:25" x14ac:dyDescent="0.25">
      <c r="A73" s="64" t="s">
        <v>37</v>
      </c>
      <c r="B73" s="65"/>
      <c r="C73" s="65"/>
      <c r="D73" s="83">
        <f t="shared" si="46"/>
        <v>0.10109883393210047</v>
      </c>
      <c r="E73" s="83">
        <f t="shared" ref="E73:S73" si="63">E31/E$23</f>
        <v>0.10528102791659756</v>
      </c>
      <c r="F73" s="83">
        <f t="shared" si="63"/>
        <v>0.10891560058132813</v>
      </c>
      <c r="G73" s="83">
        <f t="shared" si="63"/>
        <v>0.1112129284514132</v>
      </c>
      <c r="H73" s="83">
        <f t="shared" si="63"/>
        <v>0.11290923746574238</v>
      </c>
      <c r="I73" s="83">
        <f t="shared" si="63"/>
        <v>0.11894138705685899</v>
      </c>
      <c r="J73" s="83">
        <f t="shared" si="63"/>
        <v>0.12127406083206929</v>
      </c>
      <c r="K73" s="83">
        <f t="shared" si="63"/>
        <v>0.1166850500375062</v>
      </c>
      <c r="L73" s="83">
        <f t="shared" si="63"/>
        <v>0.11300061023791455</v>
      </c>
      <c r="M73" s="83">
        <f t="shared" si="63"/>
        <v>0.10735545808820961</v>
      </c>
      <c r="N73" s="83">
        <f t="shared" si="63"/>
        <v>8.8850193662168356E-2</v>
      </c>
      <c r="O73" s="83">
        <f t="shared" si="63"/>
        <v>7.5039862727355272E-2</v>
      </c>
      <c r="P73" s="83">
        <f t="shared" si="63"/>
        <v>6.6118412727870904E-2</v>
      </c>
      <c r="Q73" s="83">
        <f t="shared" si="63"/>
        <v>5.7637570394638807E-2</v>
      </c>
      <c r="R73" s="83">
        <f t="shared" si="63"/>
        <v>5.6629154220708439E-2</v>
      </c>
      <c r="S73" s="83">
        <f t="shared" si="63"/>
        <v>5.7633985072080784E-2</v>
      </c>
      <c r="T73" s="83">
        <f t="shared" ref="T73:Y73" si="64">T31/T$23</f>
        <v>5.8700562066633176E-2</v>
      </c>
      <c r="U73" s="83">
        <f t="shared" si="64"/>
        <v>5.889229980878815E-2</v>
      </c>
      <c r="V73" s="83">
        <f t="shared" si="64"/>
        <v>5.9168181234051147E-2</v>
      </c>
      <c r="W73" s="83">
        <f t="shared" si="64"/>
        <v>6.2694589945813589E-2</v>
      </c>
      <c r="X73" s="83">
        <f t="shared" si="64"/>
        <v>6.0004740051278732E-2</v>
      </c>
      <c r="Y73" s="83">
        <f t="shared" si="64"/>
        <v>5.6949703079884936E-2</v>
      </c>
    </row>
    <row r="74" spans="1:25" x14ac:dyDescent="0.25">
      <c r="A74" s="64" t="s">
        <v>58</v>
      </c>
      <c r="B74" s="65"/>
      <c r="C74" s="65"/>
      <c r="D74" s="83">
        <f t="shared" si="46"/>
        <v>0.17069108368931118</v>
      </c>
      <c r="E74" s="83">
        <f t="shared" ref="E74:S74" si="65">E32/E$23</f>
        <v>0.16562825644090765</v>
      </c>
      <c r="F74" s="83">
        <f t="shared" si="65"/>
        <v>0.15943494671890618</v>
      </c>
      <c r="G74" s="83">
        <f t="shared" si="65"/>
        <v>0.15375960147441278</v>
      </c>
      <c r="H74" s="83">
        <f t="shared" si="65"/>
        <v>0.14870224085120107</v>
      </c>
      <c r="I74" s="83">
        <f t="shared" si="65"/>
        <v>0.14415252099326051</v>
      </c>
      <c r="J74" s="83">
        <f t="shared" si="65"/>
        <v>0.14106437731887297</v>
      </c>
      <c r="K74" s="83">
        <f t="shared" si="65"/>
        <v>0.13577555297145091</v>
      </c>
      <c r="L74" s="83">
        <f t="shared" si="65"/>
        <v>0.13102512146081571</v>
      </c>
      <c r="M74" s="83">
        <f t="shared" si="65"/>
        <v>0.11718635390626167</v>
      </c>
      <c r="N74" s="83">
        <f t="shared" si="65"/>
        <v>0.11677772940874438</v>
      </c>
      <c r="O74" s="83">
        <f t="shared" si="65"/>
        <v>0.11697147328355634</v>
      </c>
      <c r="P74" s="83">
        <f t="shared" si="65"/>
        <v>0.11338079852880391</v>
      </c>
      <c r="Q74" s="83">
        <f t="shared" si="65"/>
        <v>0.11559140073136451</v>
      </c>
      <c r="R74" s="83">
        <f t="shared" si="65"/>
        <v>0.11777873009222681</v>
      </c>
      <c r="S74" s="83">
        <f t="shared" si="65"/>
        <v>0.11548350257566363</v>
      </c>
      <c r="T74" s="83">
        <f t="shared" ref="T74:Y74" si="66">T32/T$23</f>
        <v>0.1149863339886163</v>
      </c>
      <c r="U74" s="83">
        <f t="shared" si="66"/>
        <v>0.11599204786464289</v>
      </c>
      <c r="V74" s="83">
        <f t="shared" si="66"/>
        <v>0.11331626002827193</v>
      </c>
      <c r="W74" s="83">
        <f t="shared" si="66"/>
        <v>0.11232194217696408</v>
      </c>
      <c r="X74" s="83">
        <f t="shared" si="66"/>
        <v>0.11512448510703312</v>
      </c>
      <c r="Y74" s="83">
        <f t="shared" si="66"/>
        <v>0.11789812931736859</v>
      </c>
    </row>
    <row r="75" spans="1:25" x14ac:dyDescent="0.25">
      <c r="A75" s="85" t="s">
        <v>158</v>
      </c>
      <c r="B75" s="86"/>
      <c r="C75" s="86"/>
      <c r="D75" s="87">
        <f t="shared" si="46"/>
        <v>1.1136050310023295E-2</v>
      </c>
      <c r="E75" s="87">
        <f t="shared" ref="E75:S75" si="67">E33/E$23</f>
        <v>1.0595852409101292E-2</v>
      </c>
      <c r="F75" s="87">
        <f t="shared" si="67"/>
        <v>9.5936703729017966E-3</v>
      </c>
      <c r="G75" s="87">
        <f t="shared" si="67"/>
        <v>8.483506277794645E-3</v>
      </c>
      <c r="H75" s="87">
        <f t="shared" si="67"/>
        <v>8.3004997581815256E-3</v>
      </c>
      <c r="I75" s="87">
        <f t="shared" si="67"/>
        <v>7.3785754616114653E-3</v>
      </c>
      <c r="J75" s="87">
        <f t="shared" si="67"/>
        <v>7.8505935311733426E-3</v>
      </c>
      <c r="K75" s="87">
        <f t="shared" si="67"/>
        <v>6.7944525899916739E-3</v>
      </c>
      <c r="L75" s="87">
        <f t="shared" si="67"/>
        <v>5.9067900703338311E-3</v>
      </c>
      <c r="M75" s="87">
        <f t="shared" si="67"/>
        <v>4.608575463177801E-3</v>
      </c>
      <c r="N75" s="87">
        <f t="shared" si="67"/>
        <v>5.8529912864708428E-3</v>
      </c>
      <c r="O75" s="87">
        <f t="shared" si="67"/>
        <v>5.6843280057210536E-3</v>
      </c>
      <c r="P75" s="87">
        <f t="shared" si="67"/>
        <v>5.6741013809335017E-3</v>
      </c>
      <c r="Q75" s="87">
        <f t="shared" si="67"/>
        <v>5.4975626543107307E-3</v>
      </c>
      <c r="R75" s="87">
        <f t="shared" si="67"/>
        <v>5.9602360274734444E-3</v>
      </c>
      <c r="S75" s="87">
        <f t="shared" si="67"/>
        <v>6.062488061444108E-3</v>
      </c>
      <c r="T75" s="87">
        <f t="shared" ref="T75:Y75" si="68">T33/T$23</f>
        <v>5.9796216235458851E-3</v>
      </c>
      <c r="U75" s="87">
        <f t="shared" si="68"/>
        <v>6.2525799365157689E-3</v>
      </c>
      <c r="V75" s="87">
        <f t="shared" si="68"/>
        <v>6.0821354482201535E-3</v>
      </c>
      <c r="W75" s="87">
        <f t="shared" si="68"/>
        <v>5.0388670870443932E-3</v>
      </c>
      <c r="X75" s="87">
        <f t="shared" si="68"/>
        <v>4.5941282125109935E-3</v>
      </c>
      <c r="Y75" s="87">
        <f t="shared" si="68"/>
        <v>5.2393943860531188E-3</v>
      </c>
    </row>
    <row r="76" spans="1:25" x14ac:dyDescent="0.25">
      <c r="A76" s="88" t="s">
        <v>5</v>
      </c>
      <c r="B76" s="44"/>
      <c r="C76" s="44"/>
      <c r="D76" s="89">
        <f t="shared" si="46"/>
        <v>8.0872930435559598E-3</v>
      </c>
      <c r="E76" s="89">
        <f t="shared" ref="E76:S76" si="69">E34/E$23</f>
        <v>7.694987099828513E-3</v>
      </c>
      <c r="F76" s="89">
        <f t="shared" si="69"/>
        <v>6.9671761090288505E-3</v>
      </c>
      <c r="G76" s="89">
        <f t="shared" si="69"/>
        <v>6.1609457029499042E-3</v>
      </c>
      <c r="H76" s="89">
        <f t="shared" si="69"/>
        <v>6.0280415482640683E-3</v>
      </c>
      <c r="I76" s="89">
        <f t="shared" si="69"/>
        <v>5.3585158418629937E-3</v>
      </c>
      <c r="J76" s="89">
        <f t="shared" si="69"/>
        <v>5.7013077962927046E-3</v>
      </c>
      <c r="K76" s="89">
        <f t="shared" si="69"/>
        <v>4.9343104274908317E-3</v>
      </c>
      <c r="L76" s="89">
        <f t="shared" si="69"/>
        <v>4.2896665258920063E-3</v>
      </c>
      <c r="M76" s="89">
        <f t="shared" si="69"/>
        <v>2.8183472046577813E-3</v>
      </c>
      <c r="N76" s="89">
        <f t="shared" si="69"/>
        <v>3.6895025938086775E-3</v>
      </c>
      <c r="O76" s="89">
        <f t="shared" si="69"/>
        <v>3.6332898940627301E-3</v>
      </c>
      <c r="P76" s="89">
        <f t="shared" si="69"/>
        <v>3.4918444038602894E-3</v>
      </c>
      <c r="Q76" s="89">
        <f t="shared" si="69"/>
        <v>3.4902303161829071E-3</v>
      </c>
      <c r="R76" s="89">
        <f t="shared" si="69"/>
        <v>3.6550011910854961E-3</v>
      </c>
      <c r="S76" s="89">
        <f t="shared" si="69"/>
        <v>3.7244934100549962E-3</v>
      </c>
      <c r="T76" s="89">
        <f t="shared" ref="T76:Y76" si="70">T34/T$23</f>
        <v>3.6308647455171143E-3</v>
      </c>
      <c r="U76" s="89">
        <f t="shared" si="70"/>
        <v>3.7607169811008844E-3</v>
      </c>
      <c r="V76" s="89">
        <f t="shared" si="70"/>
        <v>3.9108157275233087E-3</v>
      </c>
      <c r="W76" s="89">
        <f t="shared" si="70"/>
        <v>3.1641855233258903E-3</v>
      </c>
      <c r="X76" s="89">
        <f t="shared" si="70"/>
        <v>2.7028588014953647E-3</v>
      </c>
      <c r="Y76" s="89">
        <f t="shared" si="70"/>
        <v>3.4206217760676242E-3</v>
      </c>
    </row>
    <row r="77" spans="1:25" x14ac:dyDescent="0.25">
      <c r="A77" s="88" t="s">
        <v>269</v>
      </c>
      <c r="B77" s="44"/>
      <c r="C77" s="44"/>
      <c r="D77" s="89">
        <f>D37/D$23</f>
        <v>3.0487572664673348E-3</v>
      </c>
      <c r="E77" s="89">
        <f t="shared" ref="E77:S77" si="71">E37/E$23</f>
        <v>2.9008653092727813E-3</v>
      </c>
      <c r="F77" s="89">
        <f t="shared" si="71"/>
        <v>2.6264942638729457E-3</v>
      </c>
      <c r="G77" s="89">
        <f t="shared" si="71"/>
        <v>2.3225605748447408E-3</v>
      </c>
      <c r="H77" s="89">
        <f t="shared" si="71"/>
        <v>2.2724582099174556E-3</v>
      </c>
      <c r="I77" s="89">
        <f t="shared" si="71"/>
        <v>2.0200596197484716E-3</v>
      </c>
      <c r="J77" s="89">
        <f t="shared" si="71"/>
        <v>2.1492857348806376E-3</v>
      </c>
      <c r="K77" s="89">
        <f t="shared" si="71"/>
        <v>1.860142162500842E-3</v>
      </c>
      <c r="L77" s="89">
        <f t="shared" si="71"/>
        <v>1.6171235444418248E-3</v>
      </c>
      <c r="M77" s="89">
        <f t="shared" si="71"/>
        <v>1.7902282585200197E-3</v>
      </c>
      <c r="N77" s="89">
        <f t="shared" si="71"/>
        <v>2.1634886926621649E-3</v>
      </c>
      <c r="O77" s="89">
        <f t="shared" si="71"/>
        <v>2.051038111658323E-3</v>
      </c>
      <c r="P77" s="89">
        <f t="shared" si="71"/>
        <v>2.1822569770732114E-3</v>
      </c>
      <c r="Q77" s="89">
        <f t="shared" si="71"/>
        <v>2.0073323381278223E-3</v>
      </c>
      <c r="R77" s="89">
        <f t="shared" si="71"/>
        <v>2.3052348363879482E-3</v>
      </c>
      <c r="S77" s="89">
        <f t="shared" si="71"/>
        <v>2.3379946513891123E-3</v>
      </c>
      <c r="T77" s="89">
        <f t="shared" ref="T77:Y77" si="72">T37/T$23</f>
        <v>2.3487568780287708E-3</v>
      </c>
      <c r="U77" s="89">
        <f t="shared" si="72"/>
        <v>2.4918629554148836E-3</v>
      </c>
      <c r="V77" s="89">
        <f t="shared" si="72"/>
        <v>2.1713197206968452E-3</v>
      </c>
      <c r="W77" s="89">
        <f t="shared" si="72"/>
        <v>1.8746815637185022E-3</v>
      </c>
      <c r="X77" s="89">
        <f t="shared" si="72"/>
        <v>1.891269411015629E-3</v>
      </c>
      <c r="Y77" s="89">
        <f t="shared" si="72"/>
        <v>1.8187726099854944E-3</v>
      </c>
    </row>
    <row r="78" spans="1:25" x14ac:dyDescent="0.25">
      <c r="A78" s="68" t="s">
        <v>271</v>
      </c>
      <c r="B78" s="44"/>
      <c r="C78" s="44"/>
      <c r="D78" s="89">
        <f>D43/D$23</f>
        <v>1.7311048781978582E-2</v>
      </c>
      <c r="E78" s="89">
        <f t="shared" ref="E78:S78" si="73">E43/E$23</f>
        <v>1.7378637434714714E-2</v>
      </c>
      <c r="F78" s="89">
        <f t="shared" si="73"/>
        <v>1.6801729348728089E-2</v>
      </c>
      <c r="G78" s="89">
        <f t="shared" si="73"/>
        <v>1.6047908798529433E-2</v>
      </c>
      <c r="H78" s="89">
        <f t="shared" si="73"/>
        <v>1.6002579397065935E-2</v>
      </c>
      <c r="I78" s="89">
        <f t="shared" si="73"/>
        <v>1.5774678343604711E-2</v>
      </c>
      <c r="J78" s="89">
        <f t="shared" si="73"/>
        <v>1.5583049226698705E-2</v>
      </c>
      <c r="K78" s="89">
        <f t="shared" si="73"/>
        <v>1.5120107555617006E-2</v>
      </c>
      <c r="L78" s="89">
        <f t="shared" si="73"/>
        <v>1.5105344275890126E-2</v>
      </c>
      <c r="M78" s="89">
        <f t="shared" si="73"/>
        <v>1.4263830466695606E-2</v>
      </c>
      <c r="N78" s="89">
        <f t="shared" si="73"/>
        <v>1.4017548826509747E-2</v>
      </c>
      <c r="O78" s="89">
        <f t="shared" si="73"/>
        <v>1.4010868777920486E-2</v>
      </c>
      <c r="P78" s="89">
        <f t="shared" si="73"/>
        <v>1.3728140843407033E-2</v>
      </c>
      <c r="Q78" s="89">
        <f t="shared" si="73"/>
        <v>1.445254331957156E-2</v>
      </c>
      <c r="R78" s="89">
        <f t="shared" si="73"/>
        <v>1.549448691459689E-2</v>
      </c>
      <c r="S78" s="89">
        <f t="shared" si="73"/>
        <v>1.5213933814178357E-2</v>
      </c>
      <c r="T78" s="89">
        <f t="shared" ref="T78:Y78" si="74">T43/T$23</f>
        <v>1.5572528746089069E-2</v>
      </c>
      <c r="U78" s="89">
        <f t="shared" si="74"/>
        <v>1.5536081153534097E-2</v>
      </c>
      <c r="V78" s="89">
        <f t="shared" si="74"/>
        <v>1.4186447834627599E-2</v>
      </c>
      <c r="W78" s="89">
        <f t="shared" si="74"/>
        <v>1.4696105501058321E-2</v>
      </c>
      <c r="X78" s="89">
        <f t="shared" si="74"/>
        <v>1.672532969798822E-2</v>
      </c>
      <c r="Y78" s="89">
        <f t="shared" si="74"/>
        <v>1.7930050377400975E-2</v>
      </c>
    </row>
    <row r="79" spans="1:25" x14ac:dyDescent="0.25">
      <c r="A79" s="88" t="s">
        <v>272</v>
      </c>
      <c r="B79" s="44"/>
      <c r="C79" s="44"/>
      <c r="D79" s="89">
        <f>D44/D$23</f>
        <v>1.1348278742521069E-2</v>
      </c>
      <c r="E79" s="89">
        <f t="shared" ref="E79:S79" si="75">E44/E$23</f>
        <v>1.1242055457677612E-2</v>
      </c>
      <c r="F79" s="89">
        <f t="shared" si="75"/>
        <v>1.0688417198062823E-2</v>
      </c>
      <c r="G79" s="89">
        <f t="shared" si="75"/>
        <v>9.9109334879369342E-3</v>
      </c>
      <c r="H79" s="89">
        <f t="shared" si="75"/>
        <v>9.7862324681605665E-3</v>
      </c>
      <c r="I79" s="89">
        <f t="shared" si="75"/>
        <v>9.4376569238716485E-3</v>
      </c>
      <c r="J79" s="89">
        <f t="shared" si="75"/>
        <v>9.1010713764283803E-3</v>
      </c>
      <c r="K79" s="89">
        <f t="shared" si="75"/>
        <v>8.5836068483129448E-3</v>
      </c>
      <c r="L79" s="89">
        <f t="shared" si="75"/>
        <v>8.3614329638003731E-3</v>
      </c>
      <c r="M79" s="89">
        <f t="shared" si="75"/>
        <v>7.7092346152118916E-3</v>
      </c>
      <c r="N79" s="89">
        <f t="shared" si="75"/>
        <v>8.5856725511147362E-3</v>
      </c>
      <c r="O79" s="89">
        <f t="shared" si="75"/>
        <v>9.0080072308896097E-3</v>
      </c>
      <c r="P79" s="89">
        <f t="shared" si="75"/>
        <v>8.3123845355693726E-3</v>
      </c>
      <c r="Q79" s="89">
        <f t="shared" si="75"/>
        <v>7.9472371209839011E-3</v>
      </c>
      <c r="R79" s="89">
        <f t="shared" si="75"/>
        <v>8.1975842169121835E-3</v>
      </c>
      <c r="S79" s="89">
        <f t="shared" si="75"/>
        <v>8.2341560679529829E-3</v>
      </c>
      <c r="T79" s="89">
        <f t="shared" ref="T79:Y79" si="76">T44/T$23</f>
        <v>8.6248155780663492E-3</v>
      </c>
      <c r="U79" s="89">
        <f t="shared" si="76"/>
        <v>8.7312168759874926E-3</v>
      </c>
      <c r="V79" s="89">
        <f t="shared" si="76"/>
        <v>8.2420003304510651E-3</v>
      </c>
      <c r="W79" s="89">
        <f t="shared" si="76"/>
        <v>8.4745387604139109E-3</v>
      </c>
      <c r="X79" s="89">
        <f t="shared" si="76"/>
        <v>9.1402683025719675E-3</v>
      </c>
      <c r="Y79" s="89">
        <f t="shared" si="76"/>
        <v>9.9398382967718149E-3</v>
      </c>
    </row>
    <row r="80" spans="1:25" x14ac:dyDescent="0.25">
      <c r="A80" s="88" t="s">
        <v>11</v>
      </c>
      <c r="B80" s="44"/>
      <c r="C80" s="44"/>
      <c r="D80" s="89">
        <f>D47/D$23</f>
        <v>5.9627700394575102E-3</v>
      </c>
      <c r="E80" s="89">
        <f t="shared" ref="E80:S80" si="77">E47/E$23</f>
        <v>6.1365819770371043E-3</v>
      </c>
      <c r="F80" s="89">
        <f t="shared" si="77"/>
        <v>6.1133121506652633E-3</v>
      </c>
      <c r="G80" s="89">
        <f t="shared" si="77"/>
        <v>6.1369753105924981E-3</v>
      </c>
      <c r="H80" s="89">
        <f t="shared" si="77"/>
        <v>6.2163469289053686E-3</v>
      </c>
      <c r="I80" s="89">
        <f t="shared" si="77"/>
        <v>6.3370214197330643E-3</v>
      </c>
      <c r="J80" s="89">
        <f t="shared" si="77"/>
        <v>6.4819778502703236E-3</v>
      </c>
      <c r="K80" s="89">
        <f t="shared" si="77"/>
        <v>6.5365007073040623E-3</v>
      </c>
      <c r="L80" s="89">
        <f t="shared" si="77"/>
        <v>6.7439113120897516E-3</v>
      </c>
      <c r="M80" s="89">
        <f t="shared" si="77"/>
        <v>6.5545958514837159E-3</v>
      </c>
      <c r="N80" s="89">
        <f t="shared" si="77"/>
        <v>5.431876275395011E-3</v>
      </c>
      <c r="O80" s="89">
        <f t="shared" si="77"/>
        <v>5.0028615470308771E-3</v>
      </c>
      <c r="P80" s="89">
        <f t="shared" si="77"/>
        <v>5.4157563078376623E-3</v>
      </c>
      <c r="Q80" s="89">
        <f t="shared" si="77"/>
        <v>6.5053061985876582E-3</v>
      </c>
      <c r="R80" s="89">
        <f t="shared" si="77"/>
        <v>7.2969026976847061E-3</v>
      </c>
      <c r="S80" s="89">
        <f t="shared" si="77"/>
        <v>6.9797777462253735E-3</v>
      </c>
      <c r="T80" s="89">
        <f t="shared" ref="T80:Y80" si="78">T47/T$23</f>
        <v>6.9477131680227202E-3</v>
      </c>
      <c r="U80" s="89">
        <f t="shared" si="78"/>
        <v>6.8048642775466045E-3</v>
      </c>
      <c r="V80" s="89">
        <f t="shared" si="78"/>
        <v>5.944447504176535E-3</v>
      </c>
      <c r="W80" s="89">
        <f t="shared" si="78"/>
        <v>6.2215667406444117E-3</v>
      </c>
      <c r="X80" s="89">
        <f t="shared" si="78"/>
        <v>7.5850613954162533E-3</v>
      </c>
      <c r="Y80" s="89">
        <f t="shared" si="78"/>
        <v>7.9902120806291613E-3</v>
      </c>
    </row>
    <row r="81" spans="1:25" x14ac:dyDescent="0.25">
      <c r="A81" s="68" t="s">
        <v>4</v>
      </c>
      <c r="B81" s="44"/>
      <c r="C81" s="44"/>
      <c r="D81" s="89">
        <f>D48/D$23</f>
        <v>1.3776172010295625E-2</v>
      </c>
      <c r="E81" s="89">
        <f t="shared" ref="E81:S81" si="79">E48/E$23</f>
        <v>1.3531147612803893E-2</v>
      </c>
      <c r="F81" s="89">
        <f t="shared" si="79"/>
        <v>1.2854493803996409E-2</v>
      </c>
      <c r="G81" s="89">
        <f t="shared" si="79"/>
        <v>1.1999181187086386E-2</v>
      </c>
      <c r="H81" s="89">
        <f t="shared" si="79"/>
        <v>1.1715621473480573E-2</v>
      </c>
      <c r="I81" s="89">
        <f t="shared" si="79"/>
        <v>1.1890774978676371E-2</v>
      </c>
      <c r="J81" s="89">
        <f t="shared" si="79"/>
        <v>1.1322285588187108E-2</v>
      </c>
      <c r="K81" s="89">
        <f t="shared" si="79"/>
        <v>1.0502768855508769E-2</v>
      </c>
      <c r="L81" s="89">
        <f t="shared" si="79"/>
        <v>9.8175936284902888E-3</v>
      </c>
      <c r="M81" s="89">
        <f t="shared" si="79"/>
        <v>7.3230244150711797E-3</v>
      </c>
      <c r="N81" s="89">
        <f t="shared" si="79"/>
        <v>6.4719796160039953E-3</v>
      </c>
      <c r="O81" s="89">
        <f t="shared" si="79"/>
        <v>5.9516097604767814E-3</v>
      </c>
      <c r="P81" s="89">
        <f t="shared" si="79"/>
        <v>5.2175160068498351E-3</v>
      </c>
      <c r="Q81" s="89">
        <f t="shared" si="79"/>
        <v>4.8982768657460469E-3</v>
      </c>
      <c r="R81" s="89">
        <f t="shared" si="79"/>
        <v>5.0499841024926641E-3</v>
      </c>
      <c r="S81" s="89">
        <f t="shared" si="79"/>
        <v>5.0767591685555551E-3</v>
      </c>
      <c r="T81" s="89">
        <f t="shared" ref="T81:Y81" si="80">T48/T$23</f>
        <v>5.2379784587270632E-3</v>
      </c>
      <c r="U81" s="89">
        <f t="shared" si="80"/>
        <v>5.3463401672985047E-3</v>
      </c>
      <c r="V81" s="89">
        <f t="shared" si="80"/>
        <v>5.3652402195663758E-3</v>
      </c>
      <c r="W81" s="89">
        <f t="shared" si="80"/>
        <v>5.7815953874713515E-3</v>
      </c>
      <c r="X81" s="89">
        <f t="shared" si="80"/>
        <v>6.0856774062126012E-3</v>
      </c>
      <c r="Y81" s="89">
        <f t="shared" si="80"/>
        <v>6.1472908243681585E-3</v>
      </c>
    </row>
    <row r="82" spans="1:25" x14ac:dyDescent="0.25">
      <c r="A82" s="68" t="s">
        <v>3</v>
      </c>
      <c r="B82" s="44"/>
      <c r="C82" s="44"/>
      <c r="D82" s="89">
        <f>D52/D$23</f>
        <v>1.0842326159446372E-2</v>
      </c>
      <c r="E82" s="89">
        <f t="shared" ref="E82:S82" si="81">E52/E$23</f>
        <v>1.034707205868087E-2</v>
      </c>
      <c r="F82" s="89">
        <f t="shared" si="81"/>
        <v>1.0044448477379867E-2</v>
      </c>
      <c r="G82" s="89">
        <f t="shared" si="81"/>
        <v>9.3943669518315436E-3</v>
      </c>
      <c r="H82" s="89">
        <f t="shared" si="81"/>
        <v>8.9621151055940661E-3</v>
      </c>
      <c r="I82" s="89">
        <f t="shared" si="81"/>
        <v>8.8778366430004446E-3</v>
      </c>
      <c r="J82" s="89">
        <f t="shared" si="81"/>
        <v>8.3521220787355251E-3</v>
      </c>
      <c r="K82" s="89">
        <f t="shared" si="81"/>
        <v>7.9057093006099019E-3</v>
      </c>
      <c r="L82" s="89">
        <f t="shared" si="81"/>
        <v>7.4108700584420159E-3</v>
      </c>
      <c r="M82" s="89">
        <f t="shared" si="81"/>
        <v>6.7472019719673273E-3</v>
      </c>
      <c r="N82" s="89">
        <f t="shared" si="81"/>
        <v>7.191426707215477E-3</v>
      </c>
      <c r="O82" s="89">
        <f t="shared" si="81"/>
        <v>6.9921723171593861E-3</v>
      </c>
      <c r="P82" s="89">
        <f t="shared" si="81"/>
        <v>6.500805614840185E-3</v>
      </c>
      <c r="Q82" s="89">
        <f t="shared" si="81"/>
        <v>6.2748116645243183E-3</v>
      </c>
      <c r="R82" s="89">
        <f t="shared" si="81"/>
        <v>5.7603208850711242E-3</v>
      </c>
      <c r="S82" s="89">
        <f t="shared" si="81"/>
        <v>5.7274423859338015E-3</v>
      </c>
      <c r="T82" s="89">
        <f t="shared" ref="T82:Y82" si="82">T52/T$23</f>
        <v>5.6176997591143004E-3</v>
      </c>
      <c r="U82" s="89">
        <f t="shared" si="82"/>
        <v>5.6338696438145578E-3</v>
      </c>
      <c r="V82" s="89">
        <f t="shared" si="82"/>
        <v>5.6002276440674853E-3</v>
      </c>
      <c r="W82" s="89">
        <f t="shared" si="82"/>
        <v>5.5195601348773347E-3</v>
      </c>
      <c r="X82" s="89">
        <f t="shared" si="82"/>
        <v>5.514716684001152E-3</v>
      </c>
      <c r="Y82" s="89">
        <f t="shared" si="82"/>
        <v>5.35785497710817E-3</v>
      </c>
    </row>
    <row r="83" spans="1:25" x14ac:dyDescent="0.25">
      <c r="A83" s="88" t="s">
        <v>21</v>
      </c>
      <c r="B83" s="44"/>
      <c r="C83" s="44"/>
      <c r="D83" s="89">
        <f>D53/D$23</f>
        <v>5.0612236582069587E-3</v>
      </c>
      <c r="E83" s="89">
        <f t="shared" ref="E83:S83" si="83">E53/E$23</f>
        <v>4.9552664766130822E-3</v>
      </c>
      <c r="F83" s="89">
        <f t="shared" si="83"/>
        <v>4.7097530526312706E-3</v>
      </c>
      <c r="G83" s="89">
        <f t="shared" si="83"/>
        <v>4.3413570587580693E-3</v>
      </c>
      <c r="H83" s="89">
        <f t="shared" si="83"/>
        <v>4.133483798162179E-3</v>
      </c>
      <c r="I83" s="89">
        <f t="shared" si="83"/>
        <v>3.8935140135269875E-3</v>
      </c>
      <c r="J83" s="89">
        <f t="shared" si="83"/>
        <v>3.6968226494750109E-3</v>
      </c>
      <c r="K83" s="89">
        <f t="shared" si="83"/>
        <v>3.6670439642870777E-3</v>
      </c>
      <c r="L83" s="89">
        <f t="shared" si="83"/>
        <v>3.4765958112643663E-3</v>
      </c>
      <c r="M83" s="89">
        <f t="shared" si="83"/>
        <v>3.245363232190171E-3</v>
      </c>
      <c r="N83" s="89">
        <f t="shared" si="83"/>
        <v>3.6388395896817692E-3</v>
      </c>
      <c r="O83" s="89">
        <f t="shared" si="83"/>
        <v>3.7633679133354213E-3</v>
      </c>
      <c r="P83" s="89">
        <f t="shared" si="83"/>
        <v>3.7096243557190219E-3</v>
      </c>
      <c r="Q83" s="89">
        <f t="shared" si="83"/>
        <v>3.6857684098128493E-3</v>
      </c>
      <c r="R83" s="89">
        <f t="shared" si="83"/>
        <v>3.2294802525311061E-3</v>
      </c>
      <c r="S83" s="89">
        <f t="shared" si="83"/>
        <v>3.4597551919311196E-3</v>
      </c>
      <c r="T83" s="89">
        <f t="shared" ref="T83:Y83" si="84">T53/T$23</f>
        <v>3.4155139883789462E-3</v>
      </c>
      <c r="U83" s="89">
        <f t="shared" si="84"/>
        <v>3.5357585131974129E-3</v>
      </c>
      <c r="V83" s="89">
        <f t="shared" si="84"/>
        <v>3.5367443226671071E-3</v>
      </c>
      <c r="W83" s="89">
        <f t="shared" si="84"/>
        <v>3.5215413338479614E-3</v>
      </c>
      <c r="X83" s="89">
        <f t="shared" si="84"/>
        <v>3.6431799084504146E-3</v>
      </c>
      <c r="Y83" s="89">
        <f t="shared" si="84"/>
        <v>3.4606769615853103E-3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5.7811025012394143E-3</v>
      </c>
      <c r="E84" s="89">
        <f t="shared" ref="E84:S84" si="86">E56/E$23</f>
        <v>5.3918055820677867E-3</v>
      </c>
      <c r="F84" s="89">
        <f t="shared" si="86"/>
        <v>5.3346954247485969E-3</v>
      </c>
      <c r="G84" s="89">
        <f t="shared" si="86"/>
        <v>5.0530098930734743E-3</v>
      </c>
      <c r="H84" s="89">
        <f t="shared" si="86"/>
        <v>4.828631307431888E-3</v>
      </c>
      <c r="I84" s="89">
        <f t="shared" si="86"/>
        <v>4.9843226294734562E-3</v>
      </c>
      <c r="J84" s="89">
        <f t="shared" si="86"/>
        <v>4.6552994292605133E-3</v>
      </c>
      <c r="K84" s="89">
        <f t="shared" si="86"/>
        <v>4.2386653363228237E-3</v>
      </c>
      <c r="L84" s="89">
        <f t="shared" si="86"/>
        <v>3.9342742471776496E-3</v>
      </c>
      <c r="M84" s="89">
        <f t="shared" si="86"/>
        <v>3.5018387397771564E-3</v>
      </c>
      <c r="N84" s="89">
        <f t="shared" si="86"/>
        <v>3.5525871175337074E-3</v>
      </c>
      <c r="O84" s="89">
        <f t="shared" si="86"/>
        <v>3.2288044038239648E-3</v>
      </c>
      <c r="P84" s="89">
        <f t="shared" si="86"/>
        <v>2.7911812591211631E-3</v>
      </c>
      <c r="Q84" s="89">
        <f t="shared" si="86"/>
        <v>2.589043254711469E-3</v>
      </c>
      <c r="R84" s="89">
        <f t="shared" si="86"/>
        <v>2.5308406325400177E-3</v>
      </c>
      <c r="S84" s="89">
        <f t="shared" si="86"/>
        <v>2.2676871940026824E-3</v>
      </c>
      <c r="T84" s="89">
        <f t="shared" ref="T84:Y84" si="87">T56/T$23</f>
        <v>2.2021857707353542E-3</v>
      </c>
      <c r="U84" s="89">
        <f t="shared" si="87"/>
        <v>2.0981111306171449E-3</v>
      </c>
      <c r="V84" s="89">
        <f t="shared" si="87"/>
        <v>2.0634833214003782E-3</v>
      </c>
      <c r="W84" s="89">
        <f t="shared" si="87"/>
        <v>1.9980188010293738E-3</v>
      </c>
      <c r="X84" s="89">
        <f t="shared" si="87"/>
        <v>1.8715367755507376E-3</v>
      </c>
      <c r="Y84" s="89">
        <f t="shared" si="87"/>
        <v>1.8971780155228593E-3</v>
      </c>
    </row>
    <row r="85" spans="1:25" x14ac:dyDescent="0.25">
      <c r="A85" s="68" t="s">
        <v>2</v>
      </c>
      <c r="B85" s="44"/>
      <c r="C85" s="44"/>
      <c r="D85" s="89">
        <f t="shared" si="85"/>
        <v>2.4625289479581924E-2</v>
      </c>
      <c r="E85" s="89">
        <f t="shared" ref="E85:S85" si="88">E57/E$23</f>
        <v>2.3909512797323812E-2</v>
      </c>
      <c r="F85" s="89">
        <f t="shared" si="88"/>
        <v>2.3560473785350592E-2</v>
      </c>
      <c r="G85" s="89">
        <f t="shared" si="88"/>
        <v>2.3955773111887489E-2</v>
      </c>
      <c r="H85" s="89">
        <f t="shared" si="88"/>
        <v>2.3727873609543766E-2</v>
      </c>
      <c r="I85" s="89">
        <f t="shared" si="88"/>
        <v>2.4633293689407861E-2</v>
      </c>
      <c r="J85" s="89">
        <f t="shared" si="88"/>
        <v>2.3565154688121683E-2</v>
      </c>
      <c r="K85" s="89">
        <f t="shared" si="88"/>
        <v>2.3999843165255327E-2</v>
      </c>
      <c r="L85" s="89">
        <f t="shared" si="88"/>
        <v>2.3876536352185514E-2</v>
      </c>
      <c r="M85" s="89">
        <f t="shared" si="88"/>
        <v>2.4118677304911459E-2</v>
      </c>
      <c r="N85" s="89">
        <f t="shared" si="88"/>
        <v>2.4907684486427412E-2</v>
      </c>
      <c r="O85" s="89">
        <f t="shared" si="88"/>
        <v>2.591102782076616E-2</v>
      </c>
      <c r="P85" s="89">
        <f t="shared" si="88"/>
        <v>2.6181427836312565E-2</v>
      </c>
      <c r="Q85" s="89">
        <f t="shared" si="88"/>
        <v>2.6132719824781273E-2</v>
      </c>
      <c r="R85" s="89">
        <f t="shared" si="88"/>
        <v>2.5849665939670287E-2</v>
      </c>
      <c r="S85" s="89">
        <f t="shared" si="88"/>
        <v>2.5022191668598967E-2</v>
      </c>
      <c r="T85" s="89">
        <f t="shared" ref="T85:Y85" si="89">T57/T$23</f>
        <v>2.4765937417183182E-2</v>
      </c>
      <c r="U85" s="89">
        <f t="shared" si="89"/>
        <v>2.4482707901366949E-2</v>
      </c>
      <c r="V85" s="89">
        <f t="shared" si="89"/>
        <v>2.2407336013658644E-2</v>
      </c>
      <c r="W85" s="89">
        <f t="shared" si="89"/>
        <v>2.2997134432051869E-2</v>
      </c>
      <c r="X85" s="89">
        <f t="shared" si="89"/>
        <v>2.4036173250832939E-2</v>
      </c>
      <c r="Y85" s="89">
        <f t="shared" si="89"/>
        <v>2.3277054002656773E-2</v>
      </c>
    </row>
    <row r="86" spans="1:25" x14ac:dyDescent="0.25">
      <c r="A86" s="68" t="s">
        <v>275</v>
      </c>
      <c r="B86" s="44"/>
      <c r="C86" s="44"/>
      <c r="D86" s="89">
        <f t="shared" si="85"/>
        <v>2.047410133992543E-2</v>
      </c>
      <c r="E86" s="89">
        <f t="shared" ref="E86:S86" si="90">E58/E$23</f>
        <v>1.9423643208296433E-2</v>
      </c>
      <c r="F86" s="89">
        <f t="shared" si="90"/>
        <v>1.9696661461252842E-2</v>
      </c>
      <c r="G86" s="89">
        <f t="shared" si="90"/>
        <v>1.9537480611581805E-2</v>
      </c>
      <c r="H86" s="89">
        <f t="shared" si="90"/>
        <v>1.844139932290827E-2</v>
      </c>
      <c r="I86" s="89">
        <f t="shared" si="90"/>
        <v>1.6941170817265531E-2</v>
      </c>
      <c r="J86" s="89">
        <f t="shared" si="90"/>
        <v>1.6968382525853795E-2</v>
      </c>
      <c r="K86" s="89">
        <f t="shared" si="90"/>
        <v>1.6265413914749997E-2</v>
      </c>
      <c r="L86" s="89">
        <f t="shared" si="90"/>
        <v>1.477968846572106E-2</v>
      </c>
      <c r="M86" s="89">
        <f t="shared" si="90"/>
        <v>1.3375646802289318E-2</v>
      </c>
      <c r="N86" s="89">
        <f t="shared" si="90"/>
        <v>1.2778557432477E-2</v>
      </c>
      <c r="O86" s="89">
        <f t="shared" si="90"/>
        <v>1.347018431219325E-2</v>
      </c>
      <c r="P86" s="89">
        <f t="shared" si="90"/>
        <v>1.2629383430485142E-2</v>
      </c>
      <c r="Q86" s="89">
        <f t="shared" si="90"/>
        <v>1.4572614890804554E-2</v>
      </c>
      <c r="R86" s="89">
        <f t="shared" si="90"/>
        <v>1.5545529078614503E-2</v>
      </c>
      <c r="S86" s="89">
        <f t="shared" si="90"/>
        <v>1.519554716125401E-2</v>
      </c>
      <c r="T86" s="89">
        <f t="shared" ref="T86:Y86" si="91">T58/T$23</f>
        <v>1.4956470490512902E-2</v>
      </c>
      <c r="U86" s="89">
        <f t="shared" si="91"/>
        <v>1.5110006120676974E-2</v>
      </c>
      <c r="V86" s="89">
        <f t="shared" si="91"/>
        <v>1.5741403682693545E-2</v>
      </c>
      <c r="W86" s="89">
        <f t="shared" si="91"/>
        <v>1.5398997361057137E-2</v>
      </c>
      <c r="X86" s="89">
        <f t="shared" si="91"/>
        <v>1.4990901843723252E-2</v>
      </c>
      <c r="Y86" s="89">
        <f t="shared" si="91"/>
        <v>1.4871777713674423E-2</v>
      </c>
    </row>
    <row r="87" spans="1:25" x14ac:dyDescent="0.25">
      <c r="A87" s="68" t="s">
        <v>276</v>
      </c>
      <c r="B87" s="44"/>
      <c r="C87" s="44"/>
      <c r="D87" s="89">
        <f t="shared" si="85"/>
        <v>3.8357317975918015E-2</v>
      </c>
      <c r="E87" s="89">
        <f t="shared" ref="E87:S87" si="92">E59/E$23</f>
        <v>3.7603384664490744E-2</v>
      </c>
      <c r="F87" s="89">
        <f t="shared" si="92"/>
        <v>3.5770998868664042E-2</v>
      </c>
      <c r="G87" s="89">
        <f t="shared" si="92"/>
        <v>3.4369534664224884E-2</v>
      </c>
      <c r="H87" s="89">
        <f t="shared" si="92"/>
        <v>3.2969853296791876E-2</v>
      </c>
      <c r="I87" s="89">
        <f t="shared" si="92"/>
        <v>3.1675496450066676E-2</v>
      </c>
      <c r="J87" s="89">
        <f t="shared" si="92"/>
        <v>3.1557290720495908E-2</v>
      </c>
      <c r="K87" s="89">
        <f t="shared" si="92"/>
        <v>3.0894381085729793E-2</v>
      </c>
      <c r="L87" s="89">
        <f t="shared" si="92"/>
        <v>3.0458108731878673E-2</v>
      </c>
      <c r="M87" s="89">
        <f t="shared" si="92"/>
        <v>2.5918995653887802E-2</v>
      </c>
      <c r="N87" s="89">
        <f t="shared" si="92"/>
        <v>2.4859991943004367E-2</v>
      </c>
      <c r="O87" s="89">
        <f t="shared" si="92"/>
        <v>2.386050748847985E-2</v>
      </c>
      <c r="P87" s="89">
        <f t="shared" si="92"/>
        <v>2.3160372185620406E-2</v>
      </c>
      <c r="Q87" s="89">
        <f t="shared" si="92"/>
        <v>2.3147011557960798E-2</v>
      </c>
      <c r="R87" s="89">
        <f t="shared" si="92"/>
        <v>2.3521930584783694E-2</v>
      </c>
      <c r="S87" s="89">
        <f t="shared" si="92"/>
        <v>2.2626819384843882E-2</v>
      </c>
      <c r="T87" s="89">
        <f t="shared" ref="T87:Y87" si="93">T59/T$23</f>
        <v>2.2481676469541211E-2</v>
      </c>
      <c r="U87" s="89">
        <f t="shared" si="93"/>
        <v>2.301943908028525E-2</v>
      </c>
      <c r="V87" s="89">
        <f t="shared" si="93"/>
        <v>2.3853977345743609E-2</v>
      </c>
      <c r="W87" s="89">
        <f t="shared" si="93"/>
        <v>2.3224644769608165E-2</v>
      </c>
      <c r="X87" s="89">
        <f t="shared" si="93"/>
        <v>2.3598404052156234E-2</v>
      </c>
      <c r="Y87" s="89">
        <f t="shared" si="93"/>
        <v>2.4593684694077786E-2</v>
      </c>
    </row>
    <row r="88" spans="1:25" x14ac:dyDescent="0.25">
      <c r="A88" s="68" t="s">
        <v>1</v>
      </c>
      <c r="B88" s="44"/>
      <c r="C88" s="44"/>
      <c r="D88" s="89">
        <f t="shared" si="85"/>
        <v>1.2855949526985268E-2</v>
      </c>
      <c r="E88" s="89">
        <f t="shared" ref="E88:S88" si="94">E60/E$23</f>
        <v>1.2687797871441579E-2</v>
      </c>
      <c r="F88" s="89">
        <f t="shared" si="94"/>
        <v>1.1932447681200359E-2</v>
      </c>
      <c r="G88" s="89">
        <f t="shared" si="94"/>
        <v>1.1754636390738621E-2</v>
      </c>
      <c r="H88" s="89">
        <f t="shared" si="94"/>
        <v>1.0752216669353538E-2</v>
      </c>
      <c r="I88" s="89">
        <f t="shared" si="94"/>
        <v>9.9578332792734335E-3</v>
      </c>
      <c r="J88" s="89">
        <f t="shared" si="94"/>
        <v>9.6326916368442914E-3</v>
      </c>
      <c r="K88" s="89">
        <f t="shared" si="94"/>
        <v>8.9653756346906085E-3</v>
      </c>
      <c r="L88" s="89">
        <f t="shared" si="94"/>
        <v>8.5844045095017172E-3</v>
      </c>
      <c r="M88" s="89">
        <f t="shared" si="94"/>
        <v>7.7551407371924414E-3</v>
      </c>
      <c r="N88" s="89">
        <f t="shared" si="94"/>
        <v>8.0488777538638579E-3</v>
      </c>
      <c r="O88" s="89">
        <f t="shared" si="94"/>
        <v>9.0090273902589061E-3</v>
      </c>
      <c r="P88" s="89">
        <f t="shared" si="94"/>
        <v>8.4188859738660235E-3</v>
      </c>
      <c r="Q88" s="89">
        <f t="shared" si="94"/>
        <v>8.7491436860042647E-3</v>
      </c>
      <c r="R88" s="89">
        <f t="shared" si="94"/>
        <v>8.7654282916081374E-3</v>
      </c>
      <c r="S88" s="89">
        <f t="shared" si="94"/>
        <v>8.853173383072635E-3</v>
      </c>
      <c r="T88" s="89">
        <f t="shared" ref="T88:Y88" si="95">T60/T$23</f>
        <v>8.8927959749542165E-3</v>
      </c>
      <c r="U88" s="89">
        <f t="shared" si="95"/>
        <v>8.8697624323285616E-3</v>
      </c>
      <c r="V88" s="89">
        <f t="shared" si="95"/>
        <v>8.3108443024728761E-3</v>
      </c>
      <c r="W88" s="89">
        <f t="shared" si="95"/>
        <v>7.7486302903899459E-3</v>
      </c>
      <c r="X88" s="89">
        <f t="shared" si="95"/>
        <v>7.4489318235682394E-3</v>
      </c>
      <c r="Y88" s="89">
        <f t="shared" si="95"/>
        <v>7.4404102534423658E-3</v>
      </c>
    </row>
    <row r="89" spans="1:25" x14ac:dyDescent="0.25">
      <c r="A89" s="68" t="s">
        <v>0</v>
      </c>
      <c r="B89" s="44"/>
      <c r="C89" s="44"/>
      <c r="D89" s="89">
        <f t="shared" si="85"/>
        <v>4.2972013012149649E-3</v>
      </c>
      <c r="E89" s="89">
        <f t="shared" ref="E89:S89" si="96">E61/E$23</f>
        <v>4.0023907948141032E-3</v>
      </c>
      <c r="F89" s="89">
        <f t="shared" si="96"/>
        <v>3.8067332784008502E-3</v>
      </c>
      <c r="G89" s="89">
        <f t="shared" si="96"/>
        <v>3.5981057395213243E-3</v>
      </c>
      <c r="H89" s="89">
        <f t="shared" si="96"/>
        <v>3.4151217152990489E-3</v>
      </c>
      <c r="I89" s="89">
        <f t="shared" si="96"/>
        <v>3.34330438125443E-3</v>
      </c>
      <c r="J89" s="89">
        <f t="shared" si="96"/>
        <v>3.3190044769781679E-3</v>
      </c>
      <c r="K89" s="89">
        <f t="shared" si="96"/>
        <v>3.1335994708890985E-3</v>
      </c>
      <c r="L89" s="89">
        <f t="shared" si="96"/>
        <v>2.921122837762774E-3</v>
      </c>
      <c r="M89" s="89">
        <f t="shared" si="96"/>
        <v>2.1915183449845066E-3</v>
      </c>
      <c r="N89" s="89">
        <f t="shared" si="96"/>
        <v>2.0436762224258459E-3</v>
      </c>
      <c r="O89" s="89">
        <f t="shared" si="96"/>
        <v>1.8413876615804919E-3</v>
      </c>
      <c r="P89" s="89">
        <f t="shared" si="96"/>
        <v>1.691369376513164E-3</v>
      </c>
      <c r="Q89" s="89">
        <f t="shared" si="96"/>
        <v>1.6005969272398441E-3</v>
      </c>
      <c r="R89" s="89">
        <f t="shared" si="96"/>
        <v>1.5663564082905234E-3</v>
      </c>
      <c r="S89" s="89">
        <f t="shared" si="96"/>
        <v>1.6364121102668005E-3</v>
      </c>
      <c r="T89" s="89">
        <f t="shared" ref="T89:Y89" si="97">T61/T$23</f>
        <v>1.6405146805792334E-3</v>
      </c>
      <c r="U89" s="89">
        <f t="shared" si="97"/>
        <v>1.8153263649346889E-3</v>
      </c>
      <c r="V89" s="89">
        <f t="shared" si="97"/>
        <v>1.8385930127957995E-3</v>
      </c>
      <c r="W89" s="89">
        <f t="shared" si="97"/>
        <v>1.8262794800724849E-3</v>
      </c>
      <c r="X89" s="89">
        <f t="shared" si="97"/>
        <v>1.9107107530609566E-3</v>
      </c>
      <c r="Y89" s="89">
        <f t="shared" si="97"/>
        <v>2.2525597886880085E-3</v>
      </c>
    </row>
    <row r="90" spans="1:25" x14ac:dyDescent="0.25">
      <c r="A90" s="90" t="s">
        <v>278</v>
      </c>
      <c r="B90" s="47"/>
      <c r="C90" s="47"/>
      <c r="D90" s="91">
        <f t="shared" si="85"/>
        <v>1.7015626803941676E-2</v>
      </c>
      <c r="E90" s="91">
        <f t="shared" ref="E90:S90" si="98">E62/E$23</f>
        <v>1.614881758924017E-2</v>
      </c>
      <c r="F90" s="91">
        <f t="shared" si="98"/>
        <v>1.5373289641031344E-2</v>
      </c>
      <c r="G90" s="91">
        <f t="shared" si="98"/>
        <v>1.461910774121665E-2</v>
      </c>
      <c r="H90" s="91">
        <f t="shared" si="98"/>
        <v>1.4414960502982428E-2</v>
      </c>
      <c r="I90" s="91">
        <f t="shared" si="98"/>
        <v>1.36795569490996E-2</v>
      </c>
      <c r="J90" s="91">
        <f t="shared" si="98"/>
        <v>1.2913802845784431E-2</v>
      </c>
      <c r="K90" s="91">
        <f t="shared" si="98"/>
        <v>1.2193901398408749E-2</v>
      </c>
      <c r="L90" s="91">
        <f t="shared" si="98"/>
        <v>1.216466253060969E-2</v>
      </c>
      <c r="M90" s="91">
        <f t="shared" si="98"/>
        <v>1.0883742746084259E-2</v>
      </c>
      <c r="N90" s="91">
        <f t="shared" si="98"/>
        <v>1.0604995134345836E-2</v>
      </c>
      <c r="O90" s="91">
        <f t="shared" si="98"/>
        <v>1.0240359748999986E-2</v>
      </c>
      <c r="P90" s="91">
        <f t="shared" si="98"/>
        <v>1.0178795879976043E-2</v>
      </c>
      <c r="Q90" s="91">
        <f t="shared" si="98"/>
        <v>1.0266119340421129E-2</v>
      </c>
      <c r="R90" s="91">
        <f t="shared" si="98"/>
        <v>1.0264791859625541E-2</v>
      </c>
      <c r="S90" s="91">
        <f t="shared" si="98"/>
        <v>1.0068735437515514E-2</v>
      </c>
      <c r="T90" s="91">
        <f t="shared" ref="T90:Y90" si="99">T62/T$23</f>
        <v>9.8411103683692155E-3</v>
      </c>
      <c r="U90" s="91">
        <f t="shared" si="99"/>
        <v>9.925935063887531E-3</v>
      </c>
      <c r="V90" s="91">
        <f t="shared" si="99"/>
        <v>9.9300545244258402E-3</v>
      </c>
      <c r="W90" s="91">
        <f t="shared" si="99"/>
        <v>1.0090127733333098E-2</v>
      </c>
      <c r="X90" s="91">
        <f t="shared" si="99"/>
        <v>1.0219511382978514E-2</v>
      </c>
      <c r="Y90" s="91">
        <f t="shared" si="99"/>
        <v>1.0788052299898812E-2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3.9327754516337743E-2</v>
      </c>
      <c r="F93" s="92">
        <f t="shared" ref="F93:F94" si="101">IF(E16=0,"",F16/E16-1)</f>
        <v>2.7304480666855202E-2</v>
      </c>
      <c r="G93" s="92">
        <f t="shared" ref="G93:G94" si="102">IF(F16=0,"",G16/F16-1)</f>
        <v>2.9831037724608489E-2</v>
      </c>
      <c r="H93" s="92">
        <f t="shared" ref="H93:H94" si="103">IF(G16=0,"",H16/G16-1)</f>
        <v>3.1218542015388984E-2</v>
      </c>
      <c r="I93" s="92">
        <f t="shared" ref="I93:I94" si="104">IF(H16=0,"",I16/H16-1)</f>
        <v>3.6525178700177685E-2</v>
      </c>
      <c r="J93" s="92">
        <f t="shared" ref="J93:J94" si="105">IF(I16=0,"",J16/I16-1)</f>
        <v>4.1022344216576689E-2</v>
      </c>
      <c r="K93" s="92">
        <f t="shared" ref="K93:K94" si="106">IF(J16=0,"",K16/J16-1)</f>
        <v>3.6051957108265364E-2</v>
      </c>
      <c r="L93" s="92">
        <f t="shared" ref="L93:L94" si="107">IF(K16=0,"",L16/K16-1)</f>
        <v>8.8739501948165156E-3</v>
      </c>
      <c r="M93" s="92">
        <f t="shared" ref="M93:M94" si="108">IF(L16=0,"",M16/L16-1)</f>
        <v>-3.7635763970864988E-2</v>
      </c>
      <c r="N93" s="92">
        <f t="shared" ref="N93:N94" si="109">IF(M16=0,"",N16/M16-1)</f>
        <v>1.6327654513281775E-3</v>
      </c>
      <c r="O93" s="92">
        <f t="shared" ref="O93:O94" si="110">IF(N16=0,"",O16/N16-1)</f>
        <v>-8.1500807955565691E-3</v>
      </c>
      <c r="P93" s="92">
        <f t="shared" ref="P93:P94" si="111">IF(O16=0,"",P16/O16-1)</f>
        <v>-2.9588440574204289E-2</v>
      </c>
      <c r="Q93" s="92">
        <f t="shared" ref="Q93:Q94" si="112">IF(P16=0,"",Q16/P16-1)</f>
        <v>-1.4035030752040378E-2</v>
      </c>
      <c r="R93" s="92">
        <f t="shared" ref="R93:R94" si="113">IF(Q16=0,"",R16/Q16-1)</f>
        <v>1.3957661996881532E-2</v>
      </c>
      <c r="S93" s="92">
        <f t="shared" ref="S93:S94" si="114">IF(R16=0,"",S16/R16-1)</f>
        <v>3.8388954336979753E-2</v>
      </c>
      <c r="T93" s="92">
        <f t="shared" ref="T93:T94" si="115">IF(S16=0,"",T16/S16-1)</f>
        <v>3.0378748071078654E-2</v>
      </c>
      <c r="U93" s="92">
        <f t="shared" ref="U93:U94" si="116">IF(T16=0,"",U16/T16-1)</f>
        <v>2.9761612786494585E-2</v>
      </c>
      <c r="V93" s="92">
        <f t="shared" ref="V93:V94" si="117">IF(U16=0,"",V16/U16-1)</f>
        <v>2.2842632863784962E-2</v>
      </c>
      <c r="W93" s="92">
        <f t="shared" ref="W93:W94" si="118">IF(V16=0,"",W16/V16-1)</f>
        <v>1.9841631584761821E-2</v>
      </c>
      <c r="X93" s="92">
        <f t="shared" ref="X93:X94" si="119">IF(W16=0,"",X16/W16-1)</f>
        <v>-0.11167742003750314</v>
      </c>
      <c r="Y93" s="92">
        <f t="shared" ref="Y93:Y94" si="120">IF(X16=0,"",Y16/X16-1)</f>
        <v>6.4033977999070402E-2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3.875074929860034E-2</v>
      </c>
      <c r="F94" s="93">
        <f t="shared" si="101"/>
        <v>3.0766690972928723E-2</v>
      </c>
      <c r="G94" s="93">
        <f t="shared" si="102"/>
        <v>2.3653016903032453E-2</v>
      </c>
      <c r="H94" s="93">
        <f t="shared" si="103"/>
        <v>4.0574316956397682E-2</v>
      </c>
      <c r="I94" s="93">
        <f t="shared" si="104"/>
        <v>4.1331025987422221E-2</v>
      </c>
      <c r="J94" s="93">
        <f t="shared" si="105"/>
        <v>3.984765207421348E-2</v>
      </c>
      <c r="K94" s="93">
        <f t="shared" si="106"/>
        <v>3.3950966976812325E-2</v>
      </c>
      <c r="L94" s="93">
        <f t="shared" si="107"/>
        <v>-7.0170214481579674E-3</v>
      </c>
      <c r="M94" s="93">
        <f t="shared" si="108"/>
        <v>-3.5931955692822592E-2</v>
      </c>
      <c r="N94" s="93">
        <f t="shared" si="109"/>
        <v>3.6923296623392332E-3</v>
      </c>
      <c r="O94" s="93">
        <f t="shared" si="110"/>
        <v>-2.4615123513642478E-2</v>
      </c>
      <c r="P94" s="93">
        <f t="shared" si="111"/>
        <v>-3.3186199843169173E-2</v>
      </c>
      <c r="Q94" s="93">
        <f t="shared" si="112"/>
        <v>-2.8875859711899987E-2</v>
      </c>
      <c r="R94" s="93">
        <f t="shared" si="113"/>
        <v>1.689606949270761E-2</v>
      </c>
      <c r="S94" s="93">
        <f t="shared" si="114"/>
        <v>2.9473257702244737E-2</v>
      </c>
      <c r="T94" s="93">
        <f t="shared" si="115"/>
        <v>2.6936305068258282E-2</v>
      </c>
      <c r="U94" s="93">
        <f t="shared" si="116"/>
        <v>3.0237985662558087E-2</v>
      </c>
      <c r="V94" s="93">
        <f t="shared" si="117"/>
        <v>1.6948266750349106E-2</v>
      </c>
      <c r="W94" s="93">
        <f t="shared" si="118"/>
        <v>1.0821834972791544E-2</v>
      </c>
      <c r="X94" s="93">
        <f t="shared" si="119"/>
        <v>-0.12259903434847041</v>
      </c>
      <c r="Y94" s="93">
        <f t="shared" si="120"/>
        <v>7.0644932291339169E-2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3.4334677745681663E-2</v>
      </c>
      <c r="F95" s="92">
        <f t="shared" ref="F95:F96" si="122">IF(E20=0,"",F20/E20-1)</f>
        <v>1.8048338487182347E-2</v>
      </c>
      <c r="G95" s="92">
        <f t="shared" ref="G95:G96" si="123">IF(F20=0,"",G20/F20-1)</f>
        <v>1.031764840577698E-2</v>
      </c>
      <c r="H95" s="92">
        <f t="shared" ref="H95:H96" si="124">IF(G20=0,"",H20/G20-1)</f>
        <v>1.3777349858535182E-2</v>
      </c>
      <c r="I95" s="92">
        <f t="shared" ref="I95:I96" si="125">IF(H20=0,"",I20/H20-1)</f>
        <v>1.8596636302406599E-2</v>
      </c>
      <c r="J95" s="92">
        <f t="shared" ref="J95:J96" si="126">IF(I20=0,"",J20/I20-1)</f>
        <v>2.414189913356779E-2</v>
      </c>
      <c r="K95" s="92">
        <f t="shared" ref="K95:K96" si="127">IF(J20=0,"",K20/J20-1)</f>
        <v>1.8130102540633075E-2</v>
      </c>
      <c r="L95" s="92">
        <f t="shared" ref="L95:L96" si="128">IF(K20=0,"",L20/K20-1)</f>
        <v>-1.0660552118902933E-2</v>
      </c>
      <c r="M95" s="92">
        <f t="shared" ref="M95:M96" si="129">IF(L20=0,"",M20/L20-1)</f>
        <v>-4.9505955878757835E-2</v>
      </c>
      <c r="N95" s="92">
        <f t="shared" ref="N95:N96" si="130">IF(M20=0,"",N20/M20-1)</f>
        <v>-3.696722115907547E-3</v>
      </c>
      <c r="O95" s="92">
        <f t="shared" ref="O95:O96" si="131">IF(N20=0,"",O20/N20-1)</f>
        <v>-1.1987541837486293E-2</v>
      </c>
      <c r="P95" s="92">
        <f t="shared" ref="P95:P96" si="132">IF(O20=0,"",P20/O20-1)</f>
        <v>-3.271918362945514E-2</v>
      </c>
      <c r="Q95" s="92">
        <f t="shared" ref="Q95:Q96" si="133">IF(P20=0,"",Q20/P20-1)</f>
        <v>-1.2129076305837039E-2</v>
      </c>
      <c r="R95" s="92">
        <f t="shared" ref="R95:R96" si="134">IF(Q20=0,"",R20/Q20-1)</f>
        <v>1.8659687417648341E-2</v>
      </c>
      <c r="S95" s="92">
        <f t="shared" ref="S95:S96" si="135">IF(R20=0,"",S20/R20-1)</f>
        <v>3.9789149446792793E-2</v>
      </c>
      <c r="T95" s="92">
        <f t="shared" ref="T95:T96" si="136">IF(S20=0,"",T20/S20-1)</f>
        <v>3.0588772714420509E-2</v>
      </c>
      <c r="U95" s="92">
        <f t="shared" ref="U95:U96" si="137">IF(T20=0,"",U20/T20-1)</f>
        <v>2.7815650288619098E-2</v>
      </c>
      <c r="V95" s="92">
        <f t="shared" ref="V95:V96" si="138">IF(U20=0,"",V20/U20-1)</f>
        <v>1.9983510597971099E-2</v>
      </c>
      <c r="W95" s="92">
        <f t="shared" ref="W95:W96" si="139">IF(V20=0,"",W20/V20-1)</f>
        <v>1.3787968732833278E-2</v>
      </c>
      <c r="X95" s="92">
        <f t="shared" ref="X95:X96" si="140">IF(W20=0,"",X20/W20-1)</f>
        <v>-0.1191010444710594</v>
      </c>
      <c r="Y95" s="92">
        <f t="shared" ref="Y95:Y96" si="141">IF(X20=0,"",Y20/X20-1)</f>
        <v>6.25505525735357E-2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3.3760444542197288E-2</v>
      </c>
      <c r="F96" s="93">
        <f t="shared" si="122"/>
        <v>2.1479353844287896E-2</v>
      </c>
      <c r="G96" s="93">
        <f t="shared" si="123"/>
        <v>4.2566896274829347E-3</v>
      </c>
      <c r="H96" s="93">
        <f t="shared" si="124"/>
        <v>2.2974888827367312E-2</v>
      </c>
      <c r="I96" s="93">
        <f t="shared" si="125"/>
        <v>2.3319357932293672E-2</v>
      </c>
      <c r="J96" s="93">
        <f t="shared" si="126"/>
        <v>2.2986254926447236E-2</v>
      </c>
      <c r="K96" s="93">
        <f t="shared" si="127"/>
        <v>1.6065455798452533E-2</v>
      </c>
      <c r="L96" s="93">
        <f t="shared" si="128"/>
        <v>-2.6243831981088817E-2</v>
      </c>
      <c r="M96" s="93">
        <f t="shared" si="129"/>
        <v>-4.782316306500356E-2</v>
      </c>
      <c r="N96" s="93">
        <f t="shared" si="130"/>
        <v>-1.648116434045277E-3</v>
      </c>
      <c r="O96" s="93">
        <f t="shared" si="131"/>
        <v>-2.8388881409803002E-2</v>
      </c>
      <c r="P96" s="93">
        <f t="shared" si="132"/>
        <v>-3.630533580271289E-2</v>
      </c>
      <c r="Q96" s="93">
        <f t="shared" si="133"/>
        <v>-2.6998593854869468E-2</v>
      </c>
      <c r="R96" s="93">
        <f t="shared" si="134"/>
        <v>2.1611721189264799E-2</v>
      </c>
      <c r="S96" s="93">
        <f t="shared" si="135"/>
        <v>3.0861430616736296E-2</v>
      </c>
      <c r="T96" s="93">
        <f t="shared" si="136"/>
        <v>2.7145628029946467E-2</v>
      </c>
      <c r="U96" s="93">
        <f t="shared" si="137"/>
        <v>2.8291122952691428E-2</v>
      </c>
      <c r="V96" s="93">
        <f t="shared" si="138"/>
        <v>1.4105620834715005E-2</v>
      </c>
      <c r="W96" s="93">
        <f t="shared" si="139"/>
        <v>4.8217125981204756E-3</v>
      </c>
      <c r="X96" s="93">
        <f t="shared" si="140"/>
        <v>-0.12993138792537884</v>
      </c>
      <c r="Y96" s="93">
        <f t="shared" si="141"/>
        <v>6.9152290188624121E-2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3.9806160545542424E-2</v>
      </c>
      <c r="F97" s="89">
        <f t="shared" ref="F97:F106" si="143">IF(E23=0,"",F23/E23-1)</f>
        <v>2.6351867153661113E-2</v>
      </c>
      <c r="G97" s="89">
        <f t="shared" ref="G97:G106" si="144">IF(F23=0,"",G23/F23-1)</f>
        <v>2.7005531921885373E-2</v>
      </c>
      <c r="H97" s="89">
        <f t="shared" ref="H97:H106" si="145">IF(G23=0,"",H23/G23-1)</f>
        <v>2.8029774517882355E-2</v>
      </c>
      <c r="I97" s="89">
        <f t="shared" ref="I97:I106" si="146">IF(H23=0,"",I23/H23-1)</f>
        <v>3.460440477295279E-2</v>
      </c>
      <c r="J97" s="89">
        <f t="shared" ref="J97:J106" si="147">IF(I23=0,"",J23/I23-1)</f>
        <v>4.2377020895043804E-2</v>
      </c>
      <c r="K97" s="89">
        <f t="shared" ref="K97:K106" si="148">IF(J23=0,"",K23/J23-1)</f>
        <v>4.057083052323418E-2</v>
      </c>
      <c r="L97" s="89">
        <f t="shared" ref="L97:L106" si="149">IF(K23=0,"",L23/K23-1)</f>
        <v>1.277929552216639E-2</v>
      </c>
      <c r="M97" s="89">
        <f t="shared" ref="M97:M106" si="150">IF(L23=0,"",M23/L23-1)</f>
        <v>-3.2445203662894717E-2</v>
      </c>
      <c r="N97" s="89">
        <f t="shared" ref="N97:N106" si="151">IF(M23=0,"",N23/M23-1)</f>
        <v>-1.0554055814255836E-3</v>
      </c>
      <c r="O97" s="89">
        <f t="shared" ref="O97:O106" si="152">IF(N23=0,"",O23/N23-1)</f>
        <v>-4.3534579602620971E-3</v>
      </c>
      <c r="P97" s="89">
        <f t="shared" ref="P97:P106" si="153">IF(O23=0,"",P23/O23-1)</f>
        <v>-2.8871259843186503E-2</v>
      </c>
      <c r="Q97" s="89">
        <f t="shared" ref="Q97:Q106" si="154">IF(P23=0,"",Q23/P23-1)</f>
        <v>-1.2553656490164711E-2</v>
      </c>
      <c r="R97" s="89">
        <f t="shared" ref="R97:R106" si="155">IF(Q23=0,"",R23/Q23-1)</f>
        <v>9.5635203202983909E-3</v>
      </c>
      <c r="S97" s="89">
        <f t="shared" ref="S97:S106" si="156">IF(R23=0,"",S23/R23-1)</f>
        <v>3.2771780573990439E-2</v>
      </c>
      <c r="T97" s="89">
        <f t="shared" ref="T97:T106" si="157">IF(S23=0,"",T23/S23-1)</f>
        <v>2.8230057583256585E-2</v>
      </c>
      <c r="U97" s="89">
        <f t="shared" ref="U97:U106" si="158">IF(T23=0,"",U23/T23-1)</f>
        <v>3.0888397650525201E-2</v>
      </c>
      <c r="V97" s="89">
        <f t="shared" ref="V97:V106" si="159">IF(U23=0,"",V23/U23-1)</f>
        <v>2.3047484496901527E-2</v>
      </c>
      <c r="W97" s="89">
        <f t="shared" ref="W97:W106" si="160">IF(V23=0,"",W23/V23-1)</f>
        <v>2.0823953286280616E-2</v>
      </c>
      <c r="X97" s="89">
        <f t="shared" ref="X97:X106" si="161">IF(W23=0,"",X23/W23-1)</f>
        <v>-0.11071934741870026</v>
      </c>
      <c r="Y97" s="89">
        <f t="shared" ref="Y97:Y106" si="162">IF(X23=0,"",Y23/X23-1)</f>
        <v>6.062301412899318E-2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1.8118430574606714E-2</v>
      </c>
      <c r="F98" s="83">
        <f t="shared" si="143"/>
        <v>-2.6106612903770698E-2</v>
      </c>
      <c r="G98" s="83">
        <f t="shared" si="144"/>
        <v>1.4736039965856929E-2</v>
      </c>
      <c r="H98" s="83">
        <f t="shared" si="145"/>
        <v>-5.7410089354908433E-2</v>
      </c>
      <c r="I98" s="83">
        <f t="shared" si="146"/>
        <v>-7.9548857035227738E-2</v>
      </c>
      <c r="J98" s="83">
        <f t="shared" si="147"/>
        <v>-8.8316687201198674E-2</v>
      </c>
      <c r="K98" s="83">
        <f t="shared" si="148"/>
        <v>7.3385436903724344E-2</v>
      </c>
      <c r="L98" s="83">
        <f t="shared" si="149"/>
        <v>-6.4822174808466637E-2</v>
      </c>
      <c r="M98" s="83">
        <f t="shared" si="150"/>
        <v>-8.9817045204172663E-2</v>
      </c>
      <c r="N98" s="83">
        <f t="shared" si="151"/>
        <v>9.3473848571251184E-2</v>
      </c>
      <c r="O98" s="83">
        <f t="shared" si="152"/>
        <v>-3.1003451854226705E-2</v>
      </c>
      <c r="P98" s="83">
        <f t="shared" si="153"/>
        <v>-1.2670745343337009E-2</v>
      </c>
      <c r="Q98" s="83">
        <f t="shared" si="154"/>
        <v>8.1750979142118041E-2</v>
      </c>
      <c r="R98" s="83">
        <f t="shared" si="155"/>
        <v>-2.0250717558836784E-2</v>
      </c>
      <c r="S98" s="83">
        <f t="shared" si="156"/>
        <v>0.11702318957943403</v>
      </c>
      <c r="T98" s="83">
        <f t="shared" si="157"/>
        <v>6.2862904583506074E-2</v>
      </c>
      <c r="U98" s="83">
        <f t="shared" si="158"/>
        <v>1.8350608419438696E-2</v>
      </c>
      <c r="V98" s="83">
        <f t="shared" si="159"/>
        <v>1.3487898576607149E-2</v>
      </c>
      <c r="W98" s="83">
        <f t="shared" si="160"/>
        <v>-8.7602723493711232E-2</v>
      </c>
      <c r="X98" s="83">
        <f t="shared" si="161"/>
        <v>6.5185657924355933E-3</v>
      </c>
      <c r="Y98" s="83">
        <f t="shared" si="162"/>
        <v>3.8995712301154395E-2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0.20636055536397846</v>
      </c>
      <c r="F99" s="83">
        <f t="shared" si="143"/>
        <v>5.6389877828204149E-2</v>
      </c>
      <c r="G99" s="83">
        <f t="shared" si="144"/>
        <v>5.5919521948103679E-2</v>
      </c>
      <c r="H99" s="83">
        <f t="shared" si="145"/>
        <v>3.5694491778067716E-2</v>
      </c>
      <c r="I99" s="83">
        <f t="shared" si="146"/>
        <v>-4.2655653089253454E-2</v>
      </c>
      <c r="J99" s="83">
        <f t="shared" si="147"/>
        <v>4.6640725357653512E-2</v>
      </c>
      <c r="K99" s="83">
        <f t="shared" si="148"/>
        <v>5.34572305864911E-2</v>
      </c>
      <c r="L99" s="83">
        <f t="shared" si="149"/>
        <v>-7.2758892721948021E-2</v>
      </c>
      <c r="M99" s="83">
        <f t="shared" si="150"/>
        <v>-0.21804070813388277</v>
      </c>
      <c r="N99" s="83">
        <f t="shared" si="151"/>
        <v>3.6955441927850829E-2</v>
      </c>
      <c r="O99" s="83">
        <f t="shared" si="152"/>
        <v>-1.8754620087183316E-2</v>
      </c>
      <c r="P99" s="83">
        <f t="shared" si="153"/>
        <v>-0.11067383843567369</v>
      </c>
      <c r="Q99" s="83">
        <f t="shared" si="154"/>
        <v>-0.19712223704004672</v>
      </c>
      <c r="R99" s="83">
        <f t="shared" si="155"/>
        <v>-0.11225094235708521</v>
      </c>
      <c r="S99" s="83">
        <f t="shared" si="156"/>
        <v>-9.4612529230769238E-2</v>
      </c>
      <c r="T99" s="83">
        <f t="shared" si="157"/>
        <v>-1.0649472443597485E-2</v>
      </c>
      <c r="U99" s="83">
        <f t="shared" si="158"/>
        <v>0.39330927292010065</v>
      </c>
      <c r="V99" s="83">
        <f t="shared" si="159"/>
        <v>0.27799798048268087</v>
      </c>
      <c r="W99" s="83">
        <f t="shared" si="160"/>
        <v>0.11926353827741298</v>
      </c>
      <c r="X99" s="83">
        <f t="shared" si="161"/>
        <v>-0.22406023078414561</v>
      </c>
      <c r="Y99" s="83">
        <f t="shared" si="162"/>
        <v>0.67837391212818821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4.3279948125173551E-2</v>
      </c>
      <c r="F100" s="83">
        <f t="shared" si="143"/>
        <v>3.3679899618434872E-2</v>
      </c>
      <c r="G100" s="83">
        <f t="shared" si="144"/>
        <v>3.0855290811876435E-2</v>
      </c>
      <c r="H100" s="83">
        <f t="shared" si="145"/>
        <v>3.75728844993235E-2</v>
      </c>
      <c r="I100" s="83">
        <f t="shared" si="146"/>
        <v>3.5473598301231313E-2</v>
      </c>
      <c r="J100" s="83">
        <f t="shared" si="147"/>
        <v>5.1023756024269007E-2</v>
      </c>
      <c r="K100" s="83">
        <f t="shared" si="148"/>
        <v>5.3559204875084809E-2</v>
      </c>
      <c r="L100" s="83">
        <f t="shared" si="149"/>
        <v>2.6074612692625232E-2</v>
      </c>
      <c r="M100" s="83">
        <f t="shared" si="150"/>
        <v>-2.3425952812201611E-3</v>
      </c>
      <c r="N100" s="83">
        <f t="shared" si="151"/>
        <v>1.6715360089591957E-2</v>
      </c>
      <c r="O100" s="83">
        <f t="shared" si="152"/>
        <v>1.3954237631340849E-2</v>
      </c>
      <c r="P100" s="83">
        <f t="shared" si="153"/>
        <v>-1.479353239191461E-2</v>
      </c>
      <c r="Q100" s="83">
        <f t="shared" si="154"/>
        <v>-5.8262128985665518E-3</v>
      </c>
      <c r="R100" s="83">
        <f t="shared" si="155"/>
        <v>1.217951996461264E-2</v>
      </c>
      <c r="S100" s="83">
        <f t="shared" si="156"/>
        <v>2.9198630119551483E-2</v>
      </c>
      <c r="T100" s="83">
        <f t="shared" si="157"/>
        <v>2.7798446565066026E-2</v>
      </c>
      <c r="U100" s="83">
        <f t="shared" si="158"/>
        <v>3.0085374507103468E-2</v>
      </c>
      <c r="V100" s="83">
        <f t="shared" si="159"/>
        <v>2.5202611486484061E-2</v>
      </c>
      <c r="W100" s="83">
        <f t="shared" si="160"/>
        <v>2.3228222132989806E-2</v>
      </c>
      <c r="X100" s="83">
        <f t="shared" si="161"/>
        <v>-0.11277186754012269</v>
      </c>
      <c r="Y100" s="83">
        <f t="shared" si="162"/>
        <v>5.5398394951080343E-2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2.6224991770156469E-2</v>
      </c>
      <c r="F101" s="84">
        <f t="shared" si="143"/>
        <v>1.9617216665247961E-2</v>
      </c>
      <c r="G101" s="84">
        <f t="shared" si="144"/>
        <v>2.7789701902971364E-2</v>
      </c>
      <c r="H101" s="84">
        <f t="shared" si="145"/>
        <v>3.0402443141312352E-2</v>
      </c>
      <c r="I101" s="84">
        <f t="shared" si="146"/>
        <v>1.8612103633953714E-2</v>
      </c>
      <c r="J101" s="84">
        <f t="shared" si="147"/>
        <v>3.1722086273152872E-2</v>
      </c>
      <c r="K101" s="84">
        <f t="shared" si="148"/>
        <v>2.8604006141015326E-2</v>
      </c>
      <c r="L101" s="84">
        <f t="shared" si="149"/>
        <v>3.3291995226165438E-2</v>
      </c>
      <c r="M101" s="84">
        <f t="shared" si="150"/>
        <v>1.6918088441130408E-2</v>
      </c>
      <c r="N101" s="84">
        <f t="shared" si="151"/>
        <v>2.46335801063986E-2</v>
      </c>
      <c r="O101" s="84">
        <f t="shared" si="152"/>
        <v>4.0956205982938254E-3</v>
      </c>
      <c r="P101" s="84">
        <f t="shared" si="153"/>
        <v>-3.0836073442099599E-2</v>
      </c>
      <c r="Q101" s="84">
        <f t="shared" si="154"/>
        <v>-9.6849267740862777E-3</v>
      </c>
      <c r="R101" s="84">
        <f t="shared" si="155"/>
        <v>1.0467909548881105E-2</v>
      </c>
      <c r="S101" s="84">
        <f t="shared" si="156"/>
        <v>3.6829731778881714E-2</v>
      </c>
      <c r="T101" s="84">
        <f t="shared" si="157"/>
        <v>2.1860412562647813E-2</v>
      </c>
      <c r="U101" s="84">
        <f t="shared" si="158"/>
        <v>3.246973021724231E-2</v>
      </c>
      <c r="V101" s="84">
        <f t="shared" si="159"/>
        <v>2.0287192614328875E-2</v>
      </c>
      <c r="W101" s="84">
        <f t="shared" si="160"/>
        <v>2.5702579474934151E-2</v>
      </c>
      <c r="X101" s="84">
        <f t="shared" si="161"/>
        <v>-0.17874240883359671</v>
      </c>
      <c r="Y101" s="84">
        <f t="shared" si="162"/>
        <v>6.0629299011136117E-2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6.128037503017425E-2</v>
      </c>
      <c r="F102" s="84">
        <f t="shared" si="143"/>
        <v>5.0082072480468032E-2</v>
      </c>
      <c r="G102" s="84">
        <f t="shared" si="144"/>
        <v>4.2521147044709995E-2</v>
      </c>
      <c r="H102" s="84">
        <f t="shared" si="145"/>
        <v>4.4015024312532791E-2</v>
      </c>
      <c r="I102" s="84">
        <f t="shared" si="146"/>
        <v>5.9217093923081388E-2</v>
      </c>
      <c r="J102" s="84">
        <f t="shared" si="147"/>
        <v>7.5710222501866875E-2</v>
      </c>
      <c r="K102" s="84">
        <f t="shared" si="148"/>
        <v>8.4517701669640344E-2</v>
      </c>
      <c r="L102" s="84">
        <f t="shared" si="149"/>
        <v>2.42030883133737E-2</v>
      </c>
      <c r="M102" s="84">
        <f t="shared" si="150"/>
        <v>-1.0015987463885101E-2</v>
      </c>
      <c r="N102" s="84">
        <f t="shared" si="151"/>
        <v>3.4368174128585061E-4</v>
      </c>
      <c r="O102" s="84">
        <f t="shared" si="152"/>
        <v>2.1646330928741131E-2</v>
      </c>
      <c r="P102" s="84">
        <f t="shared" si="153"/>
        <v>-2.6154671000411245E-4</v>
      </c>
      <c r="Q102" s="84">
        <f t="shared" si="154"/>
        <v>-6.3451703213330823E-3</v>
      </c>
      <c r="R102" s="84">
        <f t="shared" si="155"/>
        <v>2.1612251774147939E-2</v>
      </c>
      <c r="S102" s="84">
        <f t="shared" si="156"/>
        <v>1.5181062178094562E-2</v>
      </c>
      <c r="T102" s="84">
        <f t="shared" si="157"/>
        <v>2.3746727014921865E-2</v>
      </c>
      <c r="U102" s="84">
        <f t="shared" si="158"/>
        <v>2.8417932469492202E-2</v>
      </c>
      <c r="V102" s="84">
        <f t="shared" si="159"/>
        <v>3.3403572166366136E-2</v>
      </c>
      <c r="W102" s="84">
        <f t="shared" si="160"/>
        <v>2.587787572245448E-2</v>
      </c>
      <c r="X102" s="84">
        <f t="shared" si="161"/>
        <v>-5.8679538694082267E-2</v>
      </c>
      <c r="Y102" s="84">
        <f t="shared" si="162"/>
        <v>2.6608318253977581E-2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4.9429378116845113E-2</v>
      </c>
      <c r="F103" s="84">
        <f t="shared" si="143"/>
        <v>3.478063993878644E-2</v>
      </c>
      <c r="G103" s="84">
        <f t="shared" si="144"/>
        <v>1.5445568985326119E-2</v>
      </c>
      <c r="H103" s="84">
        <f t="shared" si="145"/>
        <v>4.119828217205046E-2</v>
      </c>
      <c r="I103" s="84">
        <f t="shared" si="146"/>
        <v>2.6627876406322804E-2</v>
      </c>
      <c r="J103" s="84">
        <f t="shared" si="147"/>
        <v>4.3920164563960196E-2</v>
      </c>
      <c r="K103" s="84">
        <f t="shared" si="148"/>
        <v>4.3758259278175338E-2</v>
      </c>
      <c r="L103" s="84">
        <f t="shared" si="149"/>
        <v>1.4491990390960163E-2</v>
      </c>
      <c r="M103" s="84">
        <f t="shared" si="150"/>
        <v>-2.8049678346541262E-2</v>
      </c>
      <c r="N103" s="84">
        <f t="shared" si="151"/>
        <v>3.4978950077439119E-2</v>
      </c>
      <c r="O103" s="84">
        <f t="shared" si="152"/>
        <v>1.9901267012713442E-2</v>
      </c>
      <c r="P103" s="84">
        <f t="shared" si="153"/>
        <v>-1.0087067923557513E-2</v>
      </c>
      <c r="Q103" s="84">
        <f t="shared" si="154"/>
        <v>3.8133647005424987E-3</v>
      </c>
      <c r="R103" s="84">
        <f t="shared" si="155"/>
        <v>-4.4843987860584411E-3</v>
      </c>
      <c r="S103" s="84">
        <f t="shared" si="156"/>
        <v>4.3442368110958363E-2</v>
      </c>
      <c r="T103" s="84">
        <f t="shared" si="157"/>
        <v>4.9566595789833023E-2</v>
      </c>
      <c r="U103" s="84">
        <f t="shared" si="158"/>
        <v>2.8502824973563712E-2</v>
      </c>
      <c r="V103" s="84">
        <f t="shared" si="159"/>
        <v>1.8481096124803198E-2</v>
      </c>
      <c r="W103" s="84">
        <f t="shared" si="160"/>
        <v>1.2256055842779556E-2</v>
      </c>
      <c r="X103" s="84">
        <f t="shared" si="161"/>
        <v>-8.6270750570054178E-2</v>
      </c>
      <c r="Y103" s="84">
        <f t="shared" si="162"/>
        <v>0.10935415158590578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-6.9055408957064968E-3</v>
      </c>
      <c r="F104" s="83">
        <f t="shared" si="143"/>
        <v>1.4753689419585658E-2</v>
      </c>
      <c r="G104" s="83">
        <f t="shared" si="144"/>
        <v>8.9672199110449879E-2</v>
      </c>
      <c r="H104" s="83">
        <f t="shared" si="145"/>
        <v>3.9441916821775447E-2</v>
      </c>
      <c r="I104" s="83">
        <f t="shared" si="146"/>
        <v>0.13317136679661501</v>
      </c>
      <c r="J104" s="83">
        <f t="shared" si="147"/>
        <v>-2.8921342031259512E-3</v>
      </c>
      <c r="K104" s="83">
        <f t="shared" si="148"/>
        <v>6.0787814940306051E-2</v>
      </c>
      <c r="L104" s="83">
        <f t="shared" si="149"/>
        <v>9.0392079823543581E-2</v>
      </c>
      <c r="M104" s="83">
        <f t="shared" si="150"/>
        <v>-4.1479651762430181E-2</v>
      </c>
      <c r="N104" s="83">
        <f t="shared" si="151"/>
        <v>0.14747470653577444</v>
      </c>
      <c r="O104" s="83">
        <f t="shared" si="152"/>
        <v>2.430596980599109E-2</v>
      </c>
      <c r="P104" s="83">
        <f t="shared" si="153"/>
        <v>1.8847954686087576E-2</v>
      </c>
      <c r="Q104" s="83">
        <f t="shared" si="154"/>
        <v>-4.3964858876431645E-2</v>
      </c>
      <c r="R104" s="83">
        <f t="shared" si="155"/>
        <v>-6.184151785356895E-2</v>
      </c>
      <c r="S104" s="83">
        <f t="shared" si="156"/>
        <v>0.1042271675221651</v>
      </c>
      <c r="T104" s="83">
        <f t="shared" si="157"/>
        <v>-1.4137265697983459E-2</v>
      </c>
      <c r="U104" s="83">
        <f t="shared" si="158"/>
        <v>3.8631012143572896E-3</v>
      </c>
      <c r="V104" s="83">
        <f t="shared" si="159"/>
        <v>4.4952895032388751E-2</v>
      </c>
      <c r="W104" s="83">
        <f t="shared" si="160"/>
        <v>-2.8240694436290736E-2</v>
      </c>
      <c r="X104" s="83">
        <f t="shared" si="161"/>
        <v>-0.16378478785948036</v>
      </c>
      <c r="Y104" s="83">
        <f t="shared" si="162"/>
        <v>0.20151042526129981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8.2820218181431926E-2</v>
      </c>
      <c r="F105" s="83">
        <f t="shared" si="143"/>
        <v>6.1784181166657071E-2</v>
      </c>
      <c r="G105" s="83">
        <f t="shared" si="144"/>
        <v>4.866788716413506E-2</v>
      </c>
      <c r="H105" s="83">
        <f t="shared" si="145"/>
        <v>4.3710111307820654E-2</v>
      </c>
      <c r="I105" s="83">
        <f t="shared" si="146"/>
        <v>8.9877903002999249E-2</v>
      </c>
      <c r="J105" s="83">
        <f t="shared" si="147"/>
        <v>6.282007777112808E-2</v>
      </c>
      <c r="K105" s="83">
        <f t="shared" si="148"/>
        <v>1.1956274417532775E-3</v>
      </c>
      <c r="L105" s="83">
        <f t="shared" si="149"/>
        <v>-1.9200159801586292E-2</v>
      </c>
      <c r="M105" s="83">
        <f t="shared" si="150"/>
        <v>-8.0781173061643119E-2</v>
      </c>
      <c r="N105" s="83">
        <f t="shared" si="151"/>
        <v>-0.17324724562267702</v>
      </c>
      <c r="O105" s="83">
        <f t="shared" si="152"/>
        <v>-0.15911066976728361</v>
      </c>
      <c r="P105" s="83">
        <f t="shared" si="153"/>
        <v>-0.14432824741591166</v>
      </c>
      <c r="Q105" s="83">
        <f t="shared" si="154"/>
        <v>-0.13921091286291798</v>
      </c>
      <c r="R105" s="83">
        <f t="shared" si="155"/>
        <v>-8.0996146024698845E-3</v>
      </c>
      <c r="S105" s="83">
        <f t="shared" si="156"/>
        <v>5.1097340293686955E-2</v>
      </c>
      <c r="T105" s="83">
        <f t="shared" si="157"/>
        <v>4.7258527038457121E-2</v>
      </c>
      <c r="U105" s="83">
        <f t="shared" si="158"/>
        <v>3.4255660361824258E-2</v>
      </c>
      <c r="V105" s="83">
        <f t="shared" si="159"/>
        <v>2.7839958199764148E-2</v>
      </c>
      <c r="W105" s="83">
        <f t="shared" si="160"/>
        <v>8.1664804009824898E-2</v>
      </c>
      <c r="X105" s="83">
        <f t="shared" si="161"/>
        <v>-0.14887306166462022</v>
      </c>
      <c r="Y105" s="83">
        <f t="shared" si="162"/>
        <v>6.6232381428601439E-3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8.9647196870972223E-3</v>
      </c>
      <c r="F106" s="83">
        <f t="shared" si="143"/>
        <v>-1.2026336744808241E-2</v>
      </c>
      <c r="G106" s="83">
        <f t="shared" si="144"/>
        <v>-9.5523939382303746E-3</v>
      </c>
      <c r="H106" s="83">
        <f t="shared" si="145"/>
        <v>-5.783510969860961E-3</v>
      </c>
      <c r="I106" s="83">
        <f t="shared" si="146"/>
        <v>2.9494668341325525E-3</v>
      </c>
      <c r="J106" s="83">
        <f t="shared" si="147"/>
        <v>2.004643672472306E-2</v>
      </c>
      <c r="K106" s="83">
        <f t="shared" si="148"/>
        <v>1.5574633763451029E-3</v>
      </c>
      <c r="L106" s="83">
        <f t="shared" si="149"/>
        <v>-2.2655203350977926E-2</v>
      </c>
      <c r="M106" s="83">
        <f t="shared" si="150"/>
        <v>-0.13463756016307471</v>
      </c>
      <c r="N106" s="83">
        <f t="shared" si="151"/>
        <v>-4.5386885690371637E-3</v>
      </c>
      <c r="O106" s="83">
        <f t="shared" si="152"/>
        <v>-2.7015983122403719E-3</v>
      </c>
      <c r="P106" s="83">
        <f t="shared" si="153"/>
        <v>-5.8682010729794398E-2</v>
      </c>
      <c r="Q106" s="83">
        <f t="shared" si="154"/>
        <v>6.6987309528352412E-3</v>
      </c>
      <c r="R106" s="83">
        <f t="shared" si="155"/>
        <v>2.8667432165644824E-2</v>
      </c>
      <c r="S106" s="83">
        <f t="shared" si="156"/>
        <v>1.2645513231430261E-2</v>
      </c>
      <c r="T106" s="83">
        <f t="shared" si="157"/>
        <v>2.3803419375315604E-2</v>
      </c>
      <c r="U106" s="83">
        <f t="shared" si="158"/>
        <v>3.9904936661627088E-2</v>
      </c>
      <c r="V106" s="83">
        <f t="shared" si="159"/>
        <v>-5.5290937010898933E-4</v>
      </c>
      <c r="W106" s="83">
        <f t="shared" si="160"/>
        <v>1.1866514349079926E-2</v>
      </c>
      <c r="X106" s="83">
        <f t="shared" si="161"/>
        <v>-8.853092049662703E-2</v>
      </c>
      <c r="Y106" s="83">
        <f t="shared" si="162"/>
        <v>8.6176143680473105E-2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-1.0633725199845512E-2</v>
      </c>
      <c r="F107" s="87">
        <f t="shared" ref="F107:F108" si="164">IF(E33=0,"",F33/E33-1)</f>
        <v>-7.0723041439601619E-2</v>
      </c>
      <c r="G107" s="87">
        <f t="shared" ref="G107:G108" si="165">IF(F33=0,"",G33/F33-1)</f>
        <v>-9.1837895327454122E-2</v>
      </c>
      <c r="H107" s="87">
        <f t="shared" ref="H107:H108" si="166">IF(G33=0,"",H33/G33-1)</f>
        <v>5.8530771792335567E-3</v>
      </c>
      <c r="I107" s="87">
        <f t="shared" ref="I107:I108" si="167">IF(H33=0,"",I33/H33-1)</f>
        <v>-8.030758437064478E-2</v>
      </c>
      <c r="J107" s="87">
        <f t="shared" ref="J107:J108" si="168">IF(I33=0,"",J33/I33-1)</f>
        <v>0.10905937600794835</v>
      </c>
      <c r="K107" s="87">
        <f t="shared" ref="K107:K108" si="169">IF(J33=0,"",K33/J33-1)</f>
        <v>-9.9417241964674385E-2</v>
      </c>
      <c r="L107" s="87">
        <f t="shared" ref="L107:L108" si="170">IF(K33=0,"",L33/K33-1)</f>
        <v>-0.11953544351137257</v>
      </c>
      <c r="M107" s="87">
        <f t="shared" ref="M107:M108" si="171">IF(L33=0,"",M33/L33-1)</f>
        <v>-0.24509771964400151</v>
      </c>
      <c r="N107" s="87">
        <f t="shared" ref="N107:N108" si="172">IF(M33=0,"",N33/M33-1)</f>
        <v>0.26868140784819627</v>
      </c>
      <c r="O107" s="87">
        <f t="shared" ref="O107:O108" si="173">IF(N33=0,"",O33/N33-1)</f>
        <v>-3.304460134804954E-2</v>
      </c>
      <c r="P107" s="87">
        <f t="shared" ref="P107:P108" si="174">IF(O33=0,"",P33/O33-1)</f>
        <v>-3.0618409063990826E-2</v>
      </c>
      <c r="Q107" s="87">
        <f t="shared" ref="Q107:Q108" si="175">IF(P33=0,"",Q33/P33-1)</f>
        <v>-4.3276145989084913E-2</v>
      </c>
      <c r="R107" s="87">
        <f t="shared" ref="R107:R108" si="176">IF(Q33=0,"",R33/Q33-1)</f>
        <v>9.4528110765185414E-2</v>
      </c>
      <c r="S107" s="87">
        <f t="shared" ref="S107:S108" si="177">IF(R33=0,"",S33/R33-1)</f>
        <v>5.0489705619982228E-2</v>
      </c>
      <c r="T107" s="87">
        <f t="shared" ref="T107:T108" si="178">IF(S33=0,"",T33/S33-1)</f>
        <v>1.4175471190963851E-2</v>
      </c>
      <c r="U107" s="87">
        <f t="shared" ref="U107:U108" si="179">IF(T33=0,"",U33/T33-1)</f>
        <v>7.7946485201565219E-2</v>
      </c>
      <c r="V107" s="87">
        <f t="shared" ref="V107:V108" si="180">IF(U33=0,"",V33/U33-1)</f>
        <v>-4.8406523630263321E-3</v>
      </c>
      <c r="W107" s="87">
        <f t="shared" ref="W107:W108" si="181">IF(V33=0,"",W33/V33-1)</f>
        <v>-0.15427792365491666</v>
      </c>
      <c r="X107" s="87">
        <f t="shared" ref="X107:X108" si="182">IF(W33=0,"",X33/W33-1)</f>
        <v>-0.18920875183069841</v>
      </c>
      <c r="Y107" s="87">
        <f t="shared" ref="Y107:Y108" si="183">IF(X33=0,"",Y33/X33-1)</f>
        <v>0.20959233371262553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-1.063372519984529E-2</v>
      </c>
      <c r="F108" s="89">
        <f t="shared" si="164"/>
        <v>-7.0723041439601619E-2</v>
      </c>
      <c r="G108" s="89">
        <f t="shared" si="165"/>
        <v>-9.1837895327454011E-2</v>
      </c>
      <c r="H108" s="89">
        <f t="shared" si="166"/>
        <v>5.8530771792333347E-3</v>
      </c>
      <c r="I108" s="89">
        <f t="shared" si="167"/>
        <v>-8.0307584370644558E-2</v>
      </c>
      <c r="J108" s="89">
        <f t="shared" si="168"/>
        <v>0.10905937600794835</v>
      </c>
      <c r="K108" s="89">
        <f t="shared" si="169"/>
        <v>-9.9417241964674274E-2</v>
      </c>
      <c r="L108" s="89">
        <f t="shared" si="170"/>
        <v>-0.11953544351137257</v>
      </c>
      <c r="M108" s="89">
        <f t="shared" si="171"/>
        <v>-0.36430831181151813</v>
      </c>
      <c r="N108" s="89">
        <f t="shared" si="172"/>
        <v>0.30771988138559148</v>
      </c>
      <c r="O108" s="89">
        <f t="shared" si="173"/>
        <v>-1.9522977075031034E-2</v>
      </c>
      <c r="P108" s="89">
        <f t="shared" si="174"/>
        <v>-6.6677706536478532E-2</v>
      </c>
      <c r="Q108" s="89">
        <f t="shared" si="175"/>
        <v>-1.3010098642447843E-2</v>
      </c>
      <c r="R108" s="89">
        <f t="shared" si="176"/>
        <v>5.722417576232619E-2</v>
      </c>
      <c r="S108" s="89">
        <f t="shared" si="177"/>
        <v>5.2407780391504399E-2</v>
      </c>
      <c r="T108" s="89">
        <f t="shared" si="178"/>
        <v>2.3817618474322177E-3</v>
      </c>
      <c r="U108" s="89">
        <f t="shared" si="179"/>
        <v>6.7756519283964423E-2</v>
      </c>
      <c r="V108" s="89">
        <f t="shared" si="180"/>
        <v>6.3879630527908571E-2</v>
      </c>
      <c r="W108" s="89">
        <f t="shared" si="181"/>
        <v>-0.17406582158286998</v>
      </c>
      <c r="X108" s="89">
        <f t="shared" si="182"/>
        <v>-0.24037322681937046</v>
      </c>
      <c r="Y108" s="89">
        <f t="shared" si="183"/>
        <v>0.34227884058202296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-1.0633725199845734E-2</v>
      </c>
      <c r="F109" s="89">
        <f t="shared" ref="F109" si="185">IF(E37=0,"",F37/E37-1)</f>
        <v>-7.0723041439601841E-2</v>
      </c>
      <c r="G109" s="89">
        <f t="shared" ref="G109" si="186">IF(F37=0,"",G37/F37-1)</f>
        <v>-9.1837895327454233E-2</v>
      </c>
      <c r="H109" s="89">
        <f t="shared" ref="H109" si="187">IF(G37=0,"",H37/G37-1)</f>
        <v>5.8530771792335567E-3</v>
      </c>
      <c r="I109" s="89">
        <f t="shared" ref="I109" si="188">IF(H37=0,"",I37/H37-1)</f>
        <v>-8.0307584370644891E-2</v>
      </c>
      <c r="J109" s="89">
        <f t="shared" ref="J109" si="189">IF(I37=0,"",J37/I37-1)</f>
        <v>0.10905937600794857</v>
      </c>
      <c r="K109" s="89">
        <f t="shared" ref="K109" si="190">IF(J37=0,"",K37/J37-1)</f>
        <v>-9.9417241964674496E-2</v>
      </c>
      <c r="L109" s="89">
        <f t="shared" ref="L109" si="191">IF(K37=0,"",L37/K37-1)</f>
        <v>-0.11953544351137269</v>
      </c>
      <c r="M109" s="89">
        <f t="shared" ref="M109" si="192">IF(L37=0,"",M37/L37-1)</f>
        <v>7.1126534532737207E-2</v>
      </c>
      <c r="N109" s="89">
        <f t="shared" ref="N109" si="193">IF(M37=0,"",N37/M37-1)</f>
        <v>0.20722333832851292</v>
      </c>
      <c r="O109" s="89">
        <f t="shared" ref="O109" si="194">IF(N37=0,"",O37/N37-1)</f>
        <v>-5.6103685500886402E-2</v>
      </c>
      <c r="P109" s="89">
        <f t="shared" ref="P109" si="195">IF(O37=0,"",P37/O37-1)</f>
        <v>3.3258454242007129E-2</v>
      </c>
      <c r="Q109" s="89">
        <f t="shared" ref="Q109" si="196">IF(P37=0,"",Q37/P37-1)</f>
        <v>-9.1705056591568912E-2</v>
      </c>
      <c r="R109" s="89">
        <f t="shared" ref="R109" si="197">IF(Q37=0,"",R37/Q37-1)</f>
        <v>0.15938997862177029</v>
      </c>
      <c r="S109" s="89">
        <f t="shared" ref="S109" si="198">IF(R37=0,"",S37/R37-1)</f>
        <v>4.7448555337224363E-2</v>
      </c>
      <c r="T109" s="89">
        <f t="shared" ref="T109" si="199">IF(S37=0,"",T37/S37-1)</f>
        <v>3.2963192841220179E-2</v>
      </c>
      <c r="U109" s="89">
        <f t="shared" ref="U109" si="200">IF(T37=0,"",U37/T37-1)</f>
        <v>9.3698812892155203E-2</v>
      </c>
      <c r="V109" s="89">
        <f t="shared" ref="V109" si="201">IF(U37=0,"",V37/U37-1)</f>
        <v>-0.108553231841927</v>
      </c>
      <c r="W109" s="89">
        <f t="shared" ref="W109" si="202">IF(V37=0,"",W37/V37-1)</f>
        <v>-0.1186374688229449</v>
      </c>
      <c r="X109" s="89">
        <f t="shared" ref="X109" si="203">IF(W37=0,"",X37/W37-1)</f>
        <v>-0.10285067683762938</v>
      </c>
      <c r="Y109" s="89">
        <f t="shared" ref="Y109" si="204">IF(X37=0,"",Y37/X37-1)</f>
        <v>1.9966841520565382E-2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4.3865943311054201E-2</v>
      </c>
      <c r="F110" s="89">
        <f t="shared" ref="F110:F111" si="206">IF(E43=0,"",F43/E43-1)</f>
        <v>-7.7193132511759188E-3</v>
      </c>
      <c r="G110" s="89">
        <f t="shared" ref="G110:G111" si="207">IF(F43=0,"",G43/F43-1)</f>
        <v>-1.9071741379093288E-2</v>
      </c>
      <c r="H110" s="89">
        <f t="shared" ref="H110:H111" si="208">IF(G43=0,"",H43/G43-1)</f>
        <v>2.5125970978706169E-2</v>
      </c>
      <c r="I110" s="89">
        <f t="shared" ref="I110:I111" si="209">IF(H43=0,"",I43/H43-1)</f>
        <v>1.9870065519706603E-2</v>
      </c>
      <c r="J110" s="89">
        <f t="shared" ref="J110:J111" si="210">IF(I43=0,"",J43/I43-1)</f>
        <v>2.97143355682008E-2</v>
      </c>
      <c r="K110" s="89">
        <f t="shared" ref="K110:K111" si="211">IF(J43=0,"",K43/J43-1)</f>
        <v>9.657522597853907E-3</v>
      </c>
      <c r="L110" s="89">
        <f t="shared" ref="L110:L111" si="212">IF(K43=0,"",L43/K43-1)</f>
        <v>1.1790417368595874E-2</v>
      </c>
      <c r="M110" s="89">
        <f t="shared" ref="M110:M111" si="213">IF(L43=0,"",M43/L43-1)</f>
        <v>-8.6347366195505093E-2</v>
      </c>
      <c r="N110" s="89">
        <f t="shared" ref="N110:N111" si="214">IF(M43=0,"",N43/M43-1)</f>
        <v>-1.8303347061285224E-2</v>
      </c>
      <c r="O110" s="89">
        <f t="shared" ref="O110:O111" si="215">IF(N43=0,"",O43/N43-1)</f>
        <v>-4.827932303877458E-3</v>
      </c>
      <c r="P110" s="89">
        <f t="shared" ref="P110:P111" si="216">IF(O43=0,"",P43/O43-1)</f>
        <v>-4.8467847835208189E-2</v>
      </c>
      <c r="Q110" s="89">
        <f t="shared" ref="Q110:Q111" si="217">IF(P43=0,"",Q43/P43-1)</f>
        <v>3.9551620143973176E-2</v>
      </c>
      <c r="R110" s="89">
        <f t="shared" ref="R110:R111" si="218">IF(Q43=0,"",R43/Q43-1)</f>
        <v>8.2347128056970753E-2</v>
      </c>
      <c r="S110" s="89">
        <f t="shared" ref="S110:S111" si="219">IF(R43=0,"",S43/R43-1)</f>
        <v>1.4071753482945537E-2</v>
      </c>
      <c r="T110" s="89">
        <f t="shared" ref="T110:T111" si="220">IF(S43=0,"",T43/S43-1)</f>
        <v>5.2465609807362812E-2</v>
      </c>
      <c r="U110" s="89">
        <f t="shared" ref="U110:U111" si="221">IF(T43=0,"",U43/T43-1)</f>
        <v>2.8475597462459978E-2</v>
      </c>
      <c r="V110" s="89">
        <f t="shared" ref="V110:V111" si="222">IF(U43=0,"",V43/U43-1)</f>
        <v>-6.5825569026406794E-2</v>
      </c>
      <c r="W110" s="89">
        <f t="shared" ref="W110:W111" si="223">IF(V43=0,"",W43/V43-1)</f>
        <v>5.7497739418884253E-2</v>
      </c>
      <c r="X110" s="89">
        <f t="shared" ref="X110:X111" si="224">IF(W43=0,"",X43/W43-1)</f>
        <v>1.2071674866056314E-2</v>
      </c>
      <c r="Y110" s="89">
        <f t="shared" ref="Y110:Y111" si="225">IF(X43=0,"",Y43/X43-1)</f>
        <v>0.13701938426069704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3.0073263735407085E-2</v>
      </c>
      <c r="F111" s="89">
        <f t="shared" si="206"/>
        <v>-2.4192952129833523E-2</v>
      </c>
      <c r="G111" s="89">
        <f t="shared" si="207"/>
        <v>-4.769964251901837E-2</v>
      </c>
      <c r="H111" s="89">
        <f t="shared" si="208"/>
        <v>1.5094932265244498E-2</v>
      </c>
      <c r="I111" s="89">
        <f t="shared" si="209"/>
        <v>-2.2471409767294004E-3</v>
      </c>
      <c r="J111" s="89">
        <f t="shared" si="210"/>
        <v>5.2015817950272769E-3</v>
      </c>
      <c r="K111" s="89">
        <f t="shared" si="211"/>
        <v>-1.8593466900252986E-2</v>
      </c>
      <c r="L111" s="89">
        <f t="shared" si="212"/>
        <v>-1.3434988777712764E-2</v>
      </c>
      <c r="M111" s="89">
        <f t="shared" si="213"/>
        <v>-0.10791523889153465</v>
      </c>
      <c r="N111" s="89">
        <f t="shared" si="214"/>
        <v>0.11251137271923151</v>
      </c>
      <c r="O111" s="89">
        <f t="shared" si="215"/>
        <v>4.4623027108076085E-2</v>
      </c>
      <c r="P111" s="89">
        <f t="shared" si="216"/>
        <v>-0.10386444917082371</v>
      </c>
      <c r="Q111" s="89">
        <f t="shared" si="217"/>
        <v>-5.5930316680945391E-2</v>
      </c>
      <c r="R111" s="89">
        <f t="shared" si="218"/>
        <v>4.1365930594427613E-2</v>
      </c>
      <c r="S111" s="89">
        <f t="shared" si="219"/>
        <v>3.7379281359450012E-2</v>
      </c>
      <c r="T111" s="89">
        <f t="shared" si="220"/>
        <v>7.7013180864422548E-2</v>
      </c>
      <c r="U111" s="89">
        <f t="shared" si="221"/>
        <v>4.3606103035531696E-2</v>
      </c>
      <c r="V111" s="89">
        <f t="shared" si="222"/>
        <v>-3.4274623451390651E-2</v>
      </c>
      <c r="W111" s="89">
        <f t="shared" si="223"/>
        <v>4.9625310948039569E-2</v>
      </c>
      <c r="X111" s="89">
        <f t="shared" si="224"/>
        <v>-4.0860630805307552E-2</v>
      </c>
      <c r="Y111" s="89">
        <f t="shared" si="225"/>
        <v>0.15340391608749626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7.0116020271084212E-2</v>
      </c>
      <c r="F112" s="89">
        <f t="shared" ref="F112:F113" si="227">IF(E47=0,"",F47/E47-1)</f>
        <v>2.2459956341673415E-2</v>
      </c>
      <c r="G112" s="89">
        <f t="shared" ref="G112:G113" si="228">IF(F47=0,"",G47/F47-1)</f>
        <v>3.0980823146852243E-2</v>
      </c>
      <c r="H112" s="89">
        <f t="shared" ref="H112:H113" si="229">IF(G47=0,"",H47/G47-1)</f>
        <v>4.1325638155538247E-2</v>
      </c>
      <c r="I112" s="89">
        <f t="shared" ref="I112:I113" si="230">IF(H47=0,"",I47/H47-1)</f>
        <v>5.4688605539407131E-2</v>
      </c>
      <c r="J112" s="89">
        <f t="shared" ref="J112:J113" si="231">IF(I47=0,"",J47/I47-1)</f>
        <v>6.6220912561954837E-2</v>
      </c>
      <c r="K112" s="89">
        <f t="shared" ref="K112:K113" si="232">IF(J47=0,"",K47/J47-1)</f>
        <v>4.9323543959879146E-2</v>
      </c>
      <c r="L112" s="89">
        <f t="shared" ref="L112:L113" si="233">IF(K47=0,"",L47/K47-1)</f>
        <v>4.4915934926786694E-2</v>
      </c>
      <c r="M112" s="89">
        <f t="shared" ref="M112:M113" si="234">IF(L47=0,"",M47/L47-1)</f>
        <v>-5.960645674784637E-2</v>
      </c>
      <c r="N112" s="89">
        <f t="shared" ref="N112:N113" si="235">IF(M47=0,"",N47/M47-1)</f>
        <v>-0.17216201184576929</v>
      </c>
      <c r="O112" s="89">
        <f t="shared" ref="O112:O113" si="236">IF(N47=0,"",O47/N47-1)</f>
        <v>-8.2990564021519941E-2</v>
      </c>
      <c r="P112" s="89">
        <f t="shared" ref="P112:P113" si="237">IF(O47=0,"",P47/O47-1)</f>
        <v>5.1277663949760299E-2</v>
      </c>
      <c r="Q112" s="89">
        <f t="shared" ref="Q112:Q113" si="238">IF(P47=0,"",Q47/P47-1)</f>
        <v>0.18610226422318532</v>
      </c>
      <c r="R112" s="89">
        <f t="shared" ref="R112:R113" si="239">IF(Q47=0,"",R47/Q47-1)</f>
        <v>0.13241199568878192</v>
      </c>
      <c r="S112" s="89">
        <f t="shared" ref="S112:S113" si="240">IF(R47=0,"",S47/R47-1)</f>
        <v>-1.2112701836199391E-2</v>
      </c>
      <c r="T112" s="89">
        <f t="shared" ref="T112:T113" si="241">IF(S47=0,"",T47/S47-1)</f>
        <v>2.3506445415300892E-2</v>
      </c>
      <c r="U112" s="89">
        <f t="shared" ref="U112:U113" si="242">IF(T47=0,"",U47/T47-1)</f>
        <v>9.6927523716068276E-3</v>
      </c>
      <c r="V112" s="89">
        <f t="shared" ref="V112:V113" si="243">IF(U47=0,"",V47/U47-1)</f>
        <v>-0.10630810287604031</v>
      </c>
      <c r="W112" s="89">
        <f t="shared" ref="W112:W113" si="244">IF(V47=0,"",W47/V47-1)</f>
        <v>6.8412893100124883E-2</v>
      </c>
      <c r="X112" s="89">
        <f t="shared" ref="X112:X113" si="245">IF(W47=0,"",X47/W47-1)</f>
        <v>8.4171982520006905E-2</v>
      </c>
      <c r="Y112" s="89">
        <f t="shared" ref="Y112:Y113" si="246">IF(X47=0,"",Y47/X47-1)</f>
        <v>0.11727544164746018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2.1312062344282179E-2</v>
      </c>
      <c r="F113" s="89">
        <f t="shared" si="227"/>
        <v>-2.4973040382565759E-2</v>
      </c>
      <c r="G113" s="89">
        <f t="shared" si="228"/>
        <v>-4.1329386783049094E-2</v>
      </c>
      <c r="H113" s="89">
        <f t="shared" si="229"/>
        <v>3.7357977960155164E-3</v>
      </c>
      <c r="I113" s="89">
        <f t="shared" si="230"/>
        <v>5.0072179009017947E-2</v>
      </c>
      <c r="J113" s="89">
        <f t="shared" si="231"/>
        <v>-7.4582739727260261E-3</v>
      </c>
      <c r="K113" s="89">
        <f t="shared" si="232"/>
        <v>-3.4746577831179959E-2</v>
      </c>
      <c r="L113" s="89">
        <f t="shared" si="233"/>
        <v>-5.3291975137574665E-2</v>
      </c>
      <c r="M113" s="89">
        <f t="shared" si="234"/>
        <v>-0.27829286232277928</v>
      </c>
      <c r="N113" s="89">
        <f t="shared" si="235"/>
        <v>-0.11714768568997724</v>
      </c>
      <c r="O113" s="89">
        <f t="shared" si="236"/>
        <v>-8.4406931237003047E-2</v>
      </c>
      <c r="P113" s="89">
        <f t="shared" si="237"/>
        <v>-0.14865390198664796</v>
      </c>
      <c r="Q113" s="89">
        <f t="shared" si="238"/>
        <v>-7.2971587585019648E-2</v>
      </c>
      <c r="R113" s="89">
        <f t="shared" si="239"/>
        <v>4.0831269405496862E-2</v>
      </c>
      <c r="S113" s="89">
        <f t="shared" si="240"/>
        <v>3.8247546851968961E-2</v>
      </c>
      <c r="T113" s="89">
        <f t="shared" si="241"/>
        <v>6.0882880873226908E-2</v>
      </c>
      <c r="U113" s="89">
        <f t="shared" si="242"/>
        <v>5.2215103935421503E-2</v>
      </c>
      <c r="V113" s="89">
        <f t="shared" si="243"/>
        <v>2.666409891432564E-2</v>
      </c>
      <c r="W113" s="89">
        <f t="shared" si="244"/>
        <v>0.10004227550080436</v>
      </c>
      <c r="X113" s="89">
        <f t="shared" si="245"/>
        <v>-6.3947783872340458E-2</v>
      </c>
      <c r="Y113" s="89">
        <f t="shared" si="246"/>
        <v>7.1361113589905489E-2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-7.6899447586451508E-3</v>
      </c>
      <c r="F114" s="89">
        <f t="shared" ref="F114:F115" si="248">IF(E52=0,"",F52/E52-1)</f>
        <v>-3.6661201524608167E-3</v>
      </c>
      <c r="G114" s="89">
        <f t="shared" ref="G114:G115" si="249">IF(F52=0,"",G52/F52-1)</f>
        <v>-3.9462758939665332E-2</v>
      </c>
      <c r="H114" s="89">
        <f t="shared" ref="H114:H115" si="250">IF(G52=0,"",H52/G52-1)</f>
        <v>-1.9271738218515244E-2</v>
      </c>
      <c r="I114" s="89">
        <f t="shared" ref="I114:I115" si="251">IF(H52=0,"",I52/H52-1)</f>
        <v>2.4875131314678667E-2</v>
      </c>
      <c r="J114" s="89">
        <f t="shared" ref="J114:J115" si="252">IF(I52=0,"",J52/I52-1)</f>
        <v>-1.9348915656363319E-2</v>
      </c>
      <c r="K114" s="89">
        <f t="shared" ref="K114:K115" si="253">IF(J52=0,"",K52/J52-1)</f>
        <v>-1.5046665355213373E-2</v>
      </c>
      <c r="L114" s="89">
        <f t="shared" ref="L114:L115" si="254">IF(K52=0,"",L52/K52-1)</f>
        <v>-5.0613237648873821E-2</v>
      </c>
      <c r="M114" s="89">
        <f t="shared" ref="M114:M115" si="255">IF(L52=0,"",M52/L52-1)</f>
        <v>-0.11909295692001354</v>
      </c>
      <c r="N114" s="89">
        <f t="shared" ref="N114:N115" si="256">IF(M52=0,"",N52/M52-1)</f>
        <v>6.4713471625279961E-2</v>
      </c>
      <c r="O114" s="89">
        <f t="shared" ref="O114:O115" si="257">IF(N52=0,"",O52/N52-1)</f>
        <v>-3.1940048566342139E-2</v>
      </c>
      <c r="P114" s="89">
        <f t="shared" ref="P114:P115" si="258">IF(O52=0,"",P52/O52-1)</f>
        <v>-9.7116192166609383E-2</v>
      </c>
      <c r="Q114" s="89">
        <f t="shared" ref="Q114:Q115" si="259">IF(P52=0,"",Q52/P52-1)</f>
        <v>-4.6881232657850602E-2</v>
      </c>
      <c r="R114" s="89">
        <f t="shared" ref="R114:R115" si="260">IF(Q52=0,"",R52/Q52-1)</f>
        <v>-7.3213644995065219E-2</v>
      </c>
      <c r="S114" s="89">
        <f t="shared" ref="S114:S115" si="261">IF(R52=0,"",S52/R52-1)</f>
        <v>2.687697249400034E-2</v>
      </c>
      <c r="T114" s="89">
        <f t="shared" ref="T114:T115" si="262">IF(S52=0,"",T52/S52-1)</f>
        <v>8.5283024383977502E-3</v>
      </c>
      <c r="U114" s="89">
        <f t="shared" ref="U114:U115" si="263">IF(T52=0,"",U52/T52-1)</f>
        <v>3.3855688044034826E-2</v>
      </c>
      <c r="V114" s="89">
        <f t="shared" ref="V114:V115" si="264">IF(U52=0,"",V52/U52-1)</f>
        <v>1.6938474990003449E-2</v>
      </c>
      <c r="W114" s="89">
        <f t="shared" ref="W114:W115" si="265">IF(V52=0,"",W52/V52-1)</f>
        <v>6.1196714486519976E-3</v>
      </c>
      <c r="X114" s="89">
        <f t="shared" ref="X114:X115" si="266">IF(W52=0,"",X52/W52-1)</f>
        <v>-0.11149969712966734</v>
      </c>
      <c r="Y114" s="89">
        <f t="shared" ref="Y114:Y115" si="267">IF(X52=0,"",Y52/X52-1)</f>
        <v>3.0454440492397206E-2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1.8037723184213483E-2</v>
      </c>
      <c r="F115" s="89">
        <f t="shared" si="248"/>
        <v>-2.4499719194778891E-2</v>
      </c>
      <c r="G115" s="89">
        <f t="shared" si="249"/>
        <v>-5.3326646733269922E-2</v>
      </c>
      <c r="H115" s="89">
        <f t="shared" si="250"/>
        <v>-2.1194442317169493E-2</v>
      </c>
      <c r="I115" s="89">
        <f t="shared" si="251"/>
        <v>-2.5459649743572177E-2</v>
      </c>
      <c r="J115" s="89">
        <f t="shared" si="252"/>
        <v>-1.0281466369666425E-2</v>
      </c>
      <c r="K115" s="89">
        <f t="shared" si="253"/>
        <v>3.2188813284106388E-2</v>
      </c>
      <c r="L115" s="89">
        <f t="shared" si="254"/>
        <v>-3.9819459259694656E-2</v>
      </c>
      <c r="M115" s="89">
        <f t="shared" si="255"/>
        <v>-9.6798439730124031E-2</v>
      </c>
      <c r="N115" s="89">
        <f t="shared" si="256"/>
        <v>0.12005925931926731</v>
      </c>
      <c r="O115" s="89">
        <f t="shared" si="257"/>
        <v>2.9719545747660892E-2</v>
      </c>
      <c r="P115" s="89">
        <f t="shared" si="258"/>
        <v>-4.2739665643910296E-2</v>
      </c>
      <c r="Q115" s="89">
        <f t="shared" si="259"/>
        <v>-1.8903751350767717E-2</v>
      </c>
      <c r="R115" s="89">
        <f t="shared" si="260"/>
        <v>-0.11541771211942742</v>
      </c>
      <c r="S115" s="89">
        <f t="shared" si="261"/>
        <v>0.10641256503128083</v>
      </c>
      <c r="T115" s="89">
        <f t="shared" si="262"/>
        <v>1.5081689345499028E-2</v>
      </c>
      <c r="U115" s="89">
        <f t="shared" si="263"/>
        <v>6.7181232620054931E-2</v>
      </c>
      <c r="V115" s="89">
        <f t="shared" si="264"/>
        <v>2.3332721708209769E-2</v>
      </c>
      <c r="W115" s="89">
        <f t="shared" si="265"/>
        <v>1.6435856852885067E-2</v>
      </c>
      <c r="X115" s="89">
        <f t="shared" si="266"/>
        <v>-8.0002447985538905E-2</v>
      </c>
      <c r="Y115" s="89">
        <f t="shared" si="267"/>
        <v>7.4917303451458306E-3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-3.0213932464272508E-2</v>
      </c>
      <c r="F116" s="89">
        <f t="shared" ref="F116:F122" si="269">IF(E56=0,"",F56/E56-1)</f>
        <v>1.548071912990201E-2</v>
      </c>
      <c r="G116" s="89">
        <f t="shared" ref="G116:G122" si="270">IF(F56=0,"",G56/F56-1)</f>
        <v>-2.7222980909536676E-2</v>
      </c>
      <c r="H116" s="89">
        <f t="shared" ref="H116:H122" si="271">IF(G56=0,"",H56/G56-1)</f>
        <v>-1.761982278845875E-2</v>
      </c>
      <c r="I116" s="89">
        <f t="shared" ref="I116:I122" si="272">IF(H56=0,"",I56/H56-1)</f>
        <v>6.7963532300707952E-2</v>
      </c>
      <c r="J116" s="89">
        <f t="shared" ref="J116:J122" si="273">IF(I56=0,"",J56/I56-1)</f>
        <v>-2.6431972570845064E-2</v>
      </c>
      <c r="K116" s="89">
        <f t="shared" ref="K116:K122" si="274">IF(J56=0,"",K56/J56-1)</f>
        <v>-5.2556859907912257E-2</v>
      </c>
      <c r="L116" s="89">
        <f t="shared" ref="L116:L122" si="275">IF(K56=0,"",L56/K56-1)</f>
        <v>-5.9951379906698188E-2</v>
      </c>
      <c r="M116" s="89">
        <f t="shared" ref="M116:M122" si="276">IF(L56=0,"",M56/L56-1)</f>
        <v>-0.13879392848602323</v>
      </c>
      <c r="N116" s="89">
        <f t="shared" ref="N116:N122" si="277">IF(M56=0,"",N56/M56-1)</f>
        <v>1.3421222670920718E-2</v>
      </c>
      <c r="O116" s="89">
        <f t="shared" ref="O116:O122" si="278">IF(N56=0,"",O56/N56-1)</f>
        <v>-9.5096662450950831E-2</v>
      </c>
      <c r="P116" s="89">
        <f t="shared" ref="P116:P122" si="279">IF(O56=0,"",P56/O56-1)</f>
        <v>-0.16049534108990693</v>
      </c>
      <c r="Q116" s="89">
        <f t="shared" ref="Q116:Q122" si="280">IF(P56=0,"",Q56/P56-1)</f>
        <v>-8.406475333723018E-2</v>
      </c>
      <c r="R116" s="89">
        <f t="shared" ref="R116:R122" si="281">IF(Q56=0,"",R56/Q56-1)</f>
        <v>-1.3131830181997928E-2</v>
      </c>
      <c r="S116" s="89">
        <f t="shared" ref="S116:S122" si="282">IF(R56=0,"",S56/R56-1)</f>
        <v>-7.4614453781512657E-2</v>
      </c>
      <c r="T116" s="89">
        <f t="shared" ref="T116:T122" si="283">IF(S56=0,"",T56/S56-1)</f>
        <v>-1.4700405590583054E-3</v>
      </c>
      <c r="U116" s="89">
        <f t="shared" ref="U116:U122" si="284">IF(T56=0,"",U56/T56-1)</f>
        <v>-1.7831079340596134E-2</v>
      </c>
      <c r="V116" s="89">
        <f t="shared" ref="V116:V122" si="285">IF(U56=0,"",V56/U56-1)</f>
        <v>6.1628244825238099E-3</v>
      </c>
      <c r="W116" s="89">
        <f t="shared" ref="W116:W122" si="286">IF(V56=0,"",W56/V56-1)</f>
        <v>-1.1561939922571041E-2</v>
      </c>
      <c r="X116" s="89">
        <f t="shared" ref="X116:X122" si="287">IF(W56=0,"",X56/W56-1)</f>
        <v>-0.16701412207222077</v>
      </c>
      <c r="Y116" s="89">
        <f t="shared" ref="Y116:Y122" si="288">IF(X56=0,"",Y56/X56-1)</f>
        <v>7.5154221626763995E-2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9.5823938603245562E-3</v>
      </c>
      <c r="F117" s="89">
        <f t="shared" si="269"/>
        <v>1.1368841582003242E-2</v>
      </c>
      <c r="G117" s="89">
        <f t="shared" si="270"/>
        <v>4.4236704724989862E-2</v>
      </c>
      <c r="H117" s="89">
        <f t="shared" si="271"/>
        <v>1.8249773976347194E-2</v>
      </c>
      <c r="I117" s="89">
        <f t="shared" si="272"/>
        <v>7.4083357594940669E-2</v>
      </c>
      <c r="J117" s="89">
        <f t="shared" si="273"/>
        <v>-2.8221134189049257E-3</v>
      </c>
      <c r="K117" s="89">
        <f t="shared" si="274"/>
        <v>5.9765448833880352E-2</v>
      </c>
      <c r="L117" s="89">
        <f t="shared" si="275"/>
        <v>7.5758203821820747E-3</v>
      </c>
      <c r="M117" s="89">
        <f t="shared" si="276"/>
        <v>-2.2632865862140861E-2</v>
      </c>
      <c r="N117" s="89">
        <f t="shared" si="277"/>
        <v>3.1623602847129284E-2</v>
      </c>
      <c r="O117" s="89">
        <f t="shared" si="278"/>
        <v>3.5753655242386273E-2</v>
      </c>
      <c r="P117" s="89">
        <f t="shared" si="279"/>
        <v>-1.8736840311379677E-2</v>
      </c>
      <c r="Q117" s="89">
        <f t="shared" si="280"/>
        <v>-1.4390704804982057E-2</v>
      </c>
      <c r="R117" s="89">
        <f t="shared" si="281"/>
        <v>-1.371463814877627E-3</v>
      </c>
      <c r="S117" s="89">
        <f t="shared" si="282"/>
        <v>-2.8830145213709635E-4</v>
      </c>
      <c r="T117" s="89">
        <f t="shared" si="283"/>
        <v>1.7699871931299072E-2</v>
      </c>
      <c r="U117" s="89">
        <f t="shared" si="284"/>
        <v>1.9098897547672244E-2</v>
      </c>
      <c r="V117" s="89">
        <f t="shared" si="285"/>
        <v>-6.3675111617436997E-2</v>
      </c>
      <c r="W117" s="89">
        <f t="shared" si="286"/>
        <v>4.769374060678877E-2</v>
      </c>
      <c r="X117" s="89">
        <f t="shared" si="287"/>
        <v>-7.0540553771474168E-2</v>
      </c>
      <c r="Y117" s="89">
        <f t="shared" si="288"/>
        <v>2.7126028702827876E-2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-1.3542839663468365E-2</v>
      </c>
      <c r="F118" s="89">
        <f t="shared" si="269"/>
        <v>4.0778243847460427E-2</v>
      </c>
      <c r="G118" s="89">
        <f t="shared" si="270"/>
        <v>1.8705667830207995E-2</v>
      </c>
      <c r="H118" s="89">
        <f t="shared" si="271"/>
        <v>-2.9644202104280426E-2</v>
      </c>
      <c r="I118" s="89">
        <f t="shared" si="272"/>
        <v>-4.9561823229920088E-2</v>
      </c>
      <c r="J118" s="89">
        <f t="shared" si="273"/>
        <v>4.4051336090708659E-2</v>
      </c>
      <c r="K118" s="89">
        <f t="shared" si="274"/>
        <v>-2.5380886901035238E-3</v>
      </c>
      <c r="L118" s="89">
        <f t="shared" si="275"/>
        <v>-7.9730614246706022E-2</v>
      </c>
      <c r="M118" s="89">
        <f t="shared" si="276"/>
        <v>-0.12436102779283398</v>
      </c>
      <c r="N118" s="89">
        <f t="shared" si="277"/>
        <v>-4.5648329361135609E-2</v>
      </c>
      <c r="O118" s="89">
        <f t="shared" si="278"/>
        <v>4.9534933965815986E-2</v>
      </c>
      <c r="P118" s="89">
        <f t="shared" si="279"/>
        <v>-8.9488537383836886E-2</v>
      </c>
      <c r="Q118" s="89">
        <f t="shared" si="280"/>
        <v>0.1393806648207192</v>
      </c>
      <c r="R118" s="89">
        <f t="shared" si="281"/>
        <v>7.6965196668361546E-2</v>
      </c>
      <c r="S118" s="89">
        <f t="shared" si="282"/>
        <v>9.520629318010787E-3</v>
      </c>
      <c r="T118" s="89">
        <f t="shared" si="283"/>
        <v>1.2052567143836512E-2</v>
      </c>
      <c r="U118" s="89">
        <f t="shared" si="284"/>
        <v>4.1470981279630781E-2</v>
      </c>
      <c r="V118" s="89">
        <f t="shared" si="285"/>
        <v>6.579728104758531E-2</v>
      </c>
      <c r="W118" s="89">
        <f t="shared" si="286"/>
        <v>-1.3809645170395068E-3</v>
      </c>
      <c r="X118" s="89">
        <f t="shared" si="287"/>
        <v>-0.13428656023529273</v>
      </c>
      <c r="Y118" s="89">
        <f t="shared" si="288"/>
        <v>5.2194849153663014E-2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1.9368222148630432E-2</v>
      </c>
      <c r="F119" s="89">
        <f t="shared" si="269"/>
        <v>-2.3661518600640918E-2</v>
      </c>
      <c r="G119" s="89">
        <f t="shared" si="270"/>
        <v>-1.3231295012527622E-2</v>
      </c>
      <c r="H119" s="89">
        <f t="shared" si="271"/>
        <v>-1.3836201690890615E-2</v>
      </c>
      <c r="I119" s="89">
        <f t="shared" si="272"/>
        <v>-6.0129216954130094E-3</v>
      </c>
      <c r="J119" s="89">
        <f t="shared" si="273"/>
        <v>3.848710755345075E-2</v>
      </c>
      <c r="K119" s="89">
        <f t="shared" si="274"/>
        <v>1.8712032969285142E-2</v>
      </c>
      <c r="L119" s="89">
        <f t="shared" si="275"/>
        <v>-1.522580471498558E-3</v>
      </c>
      <c r="M119" s="89">
        <f t="shared" si="276"/>
        <v>-0.17663802496994685</v>
      </c>
      <c r="N119" s="89">
        <f t="shared" si="277"/>
        <v>-4.1870491419735756E-2</v>
      </c>
      <c r="O119" s="89">
        <f t="shared" si="278"/>
        <v>-4.438296574334244E-2</v>
      </c>
      <c r="P119" s="89">
        <f t="shared" si="279"/>
        <v>-5.7366945231834388E-2</v>
      </c>
      <c r="Q119" s="89">
        <f t="shared" si="280"/>
        <v>-1.3123289086037659E-2</v>
      </c>
      <c r="R119" s="89">
        <f t="shared" si="281"/>
        <v>2.5915720759071892E-2</v>
      </c>
      <c r="S119" s="89">
        <f t="shared" si="282"/>
        <v>-6.5296528028934153E-3</v>
      </c>
      <c r="T119" s="89">
        <f t="shared" si="283"/>
        <v>2.1634331263036932E-2</v>
      </c>
      <c r="U119" s="89">
        <f t="shared" si="284"/>
        <v>5.5547289831335833E-2</v>
      </c>
      <c r="V119" s="89">
        <f t="shared" si="285"/>
        <v>6.0136671171514555E-2</v>
      </c>
      <c r="W119" s="89">
        <f t="shared" si="286"/>
        <v>-6.1081494398526059E-3</v>
      </c>
      <c r="X119" s="89">
        <f t="shared" si="287"/>
        <v>-9.6407959580914526E-2</v>
      </c>
      <c r="Y119" s="89">
        <f t="shared" si="288"/>
        <v>0.10535559655304172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2.6205832777200566E-2</v>
      </c>
      <c r="F120" s="89">
        <f t="shared" si="269"/>
        <v>-3.4750546832136853E-2</v>
      </c>
      <c r="G120" s="89">
        <f t="shared" si="270"/>
        <v>1.1701615758055839E-2</v>
      </c>
      <c r="H120" s="89">
        <f t="shared" si="271"/>
        <v>-5.9639234194264867E-2</v>
      </c>
      <c r="I120" s="89">
        <f t="shared" si="272"/>
        <v>-4.1833094556639749E-2</v>
      </c>
      <c r="J120" s="89">
        <f t="shared" si="273"/>
        <v>8.3414865474613631E-3</v>
      </c>
      <c r="K120" s="89">
        <f t="shared" si="274"/>
        <v>-3.1515933255907069E-2</v>
      </c>
      <c r="L120" s="89">
        <f t="shared" si="275"/>
        <v>-3.0257347169091897E-2</v>
      </c>
      <c r="M120" s="89">
        <f t="shared" si="276"/>
        <v>-0.12591215753702134</v>
      </c>
      <c r="N120" s="89">
        <f t="shared" si="277"/>
        <v>3.6781045738834672E-2</v>
      </c>
      <c r="O120" s="89">
        <f t="shared" si="278"/>
        <v>0.11441709546981449</v>
      </c>
      <c r="P120" s="89">
        <f t="shared" si="279"/>
        <v>-9.2485595263639309E-2</v>
      </c>
      <c r="Q120" s="89">
        <f t="shared" si="280"/>
        <v>2.6182082570697762E-2</v>
      </c>
      <c r="R120" s="89">
        <f t="shared" si="281"/>
        <v>1.1442600645241718E-2</v>
      </c>
      <c r="S120" s="89">
        <f t="shared" si="282"/>
        <v>4.3110197743539969E-2</v>
      </c>
      <c r="T120" s="89">
        <f t="shared" si="283"/>
        <v>3.2831926107586229E-2</v>
      </c>
      <c r="U120" s="89">
        <f t="shared" si="284"/>
        <v>2.8218257470040697E-2</v>
      </c>
      <c r="V120" s="89">
        <f t="shared" si="285"/>
        <v>-4.1418705116528676E-2</v>
      </c>
      <c r="W120" s="89">
        <f t="shared" si="286"/>
        <v>-4.8232993218741416E-2</v>
      </c>
      <c r="X120" s="89">
        <f t="shared" si="287"/>
        <v>-0.14511459382545711</v>
      </c>
      <c r="Y120" s="89">
        <f t="shared" si="288"/>
        <v>5.940966252287172E-2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-3.1529985764963353E-2</v>
      </c>
      <c r="F121" s="89">
        <f t="shared" si="269"/>
        <v>-2.3821508608042108E-2</v>
      </c>
      <c r="G121" s="89">
        <f t="shared" si="270"/>
        <v>-2.9279377177532595E-2</v>
      </c>
      <c r="H121" s="89">
        <f t="shared" si="271"/>
        <v>-2.4251353047486601E-2</v>
      </c>
      <c r="I121" s="89">
        <f t="shared" si="272"/>
        <v>1.2847484716852486E-2</v>
      </c>
      <c r="J121" s="89">
        <f t="shared" si="273"/>
        <v>3.4800785249391897E-2</v>
      </c>
      <c r="K121" s="89">
        <f t="shared" si="274"/>
        <v>-1.7557154090068194E-2</v>
      </c>
      <c r="L121" s="89">
        <f t="shared" si="275"/>
        <v>-5.5893148678733406E-2</v>
      </c>
      <c r="M121" s="89">
        <f t="shared" si="276"/>
        <v>-0.27410992152096736</v>
      </c>
      <c r="N121" s="89">
        <f t="shared" si="277"/>
        <v>-6.8445254037559189E-2</v>
      </c>
      <c r="O121" s="89">
        <f t="shared" si="278"/>
        <v>-0.10290522652798573</v>
      </c>
      <c r="P121" s="89">
        <f t="shared" si="279"/>
        <v>-0.10798934628288503</v>
      </c>
      <c r="Q121" s="89">
        <f t="shared" si="280"/>
        <v>-6.5547948790261934E-2</v>
      </c>
      <c r="R121" s="89">
        <f t="shared" si="281"/>
        <v>-1.2033409087582436E-2</v>
      </c>
      <c r="S121" s="89">
        <f t="shared" si="282"/>
        <v>7.8962769857433779E-2</v>
      </c>
      <c r="T121" s="89">
        <f t="shared" si="283"/>
        <v>3.0807883842379313E-2</v>
      </c>
      <c r="U121" s="89">
        <f t="shared" si="284"/>
        <v>0.14073888500621035</v>
      </c>
      <c r="V121" s="89">
        <f t="shared" si="285"/>
        <v>3.6159664227646937E-2</v>
      </c>
      <c r="W121" s="89">
        <f t="shared" si="286"/>
        <v>1.3987231365739872E-2</v>
      </c>
      <c r="X121" s="89">
        <f t="shared" si="287"/>
        <v>-6.9606747534219249E-2</v>
      </c>
      <c r="Y121" s="89">
        <f t="shared" si="288"/>
        <v>0.25038117295183526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-1.3163593190210543E-2</v>
      </c>
      <c r="F122" s="91">
        <f t="shared" si="269"/>
        <v>-2.2937472655608859E-2</v>
      </c>
      <c r="G122" s="91">
        <f t="shared" si="270"/>
        <v>-2.3377242440068668E-2</v>
      </c>
      <c r="H122" s="91">
        <f t="shared" si="271"/>
        <v>1.3673943573516478E-2</v>
      </c>
      <c r="I122" s="91">
        <f t="shared" si="272"/>
        <v>-1.8177686164822404E-2</v>
      </c>
      <c r="J122" s="91">
        <f t="shared" si="273"/>
        <v>-1.5973149649358143E-2</v>
      </c>
      <c r="K122" s="91">
        <f t="shared" si="274"/>
        <v>-1.7437523478788686E-2</v>
      </c>
      <c r="L122" s="91">
        <f t="shared" si="275"/>
        <v>1.0350825833600474E-2</v>
      </c>
      <c r="M122" s="91">
        <f t="shared" si="276"/>
        <v>-0.13432719817956096</v>
      </c>
      <c r="N122" s="91">
        <f t="shared" si="277"/>
        <v>-2.6639749721989348E-2</v>
      </c>
      <c r="O122" s="91">
        <f t="shared" si="278"/>
        <v>-3.8587133310959532E-2</v>
      </c>
      <c r="P122" s="91">
        <f t="shared" si="279"/>
        <v>-3.470957451472334E-2</v>
      </c>
      <c r="Q122" s="91">
        <f t="shared" si="280"/>
        <v>-4.0823959662402709E-3</v>
      </c>
      <c r="R122" s="91">
        <f t="shared" si="281"/>
        <v>9.432976719477848E-3</v>
      </c>
      <c r="S122" s="91">
        <f t="shared" si="282"/>
        <v>1.3045950481715529E-2</v>
      </c>
      <c r="T122" s="91">
        <f t="shared" si="283"/>
        <v>4.9847414849080174E-3</v>
      </c>
      <c r="U122" s="91">
        <f t="shared" si="284"/>
        <v>3.977406107374315E-2</v>
      </c>
      <c r="V122" s="91">
        <f t="shared" si="285"/>
        <v>2.3472069557560982E-2</v>
      </c>
      <c r="W122" s="91">
        <f t="shared" si="286"/>
        <v>3.7279710455587312E-2</v>
      </c>
      <c r="X122" s="91">
        <f t="shared" si="287"/>
        <v>-9.9316283014478035E-2</v>
      </c>
      <c r="Y122" s="91">
        <f t="shared" si="288"/>
        <v>0.11962853390012729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A9A3FC-0D0E-4AAC-B511-CD5444FF1619}"/>
</file>

<file path=customXml/itemProps2.xml><?xml version="1.0" encoding="utf-8"?>
<ds:datastoreItem xmlns:ds="http://schemas.openxmlformats.org/officeDocument/2006/customXml" ds:itemID="{D8A235AD-5933-48B4-80BA-DDB1A525566F}"/>
</file>

<file path=customXml/itemProps3.xml><?xml version="1.0" encoding="utf-8"?>
<ds:datastoreItem xmlns:ds="http://schemas.openxmlformats.org/officeDocument/2006/customXml" ds:itemID="{F51E8233-2052-400F-8F4B-C34756D96B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2024-05-20T16:49:30Z</dcterms:created>
  <dcterms:modified xsi:type="dcterms:W3CDTF">2024-05-20T16:49:30Z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