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N31" i="6" l="1"/>
  <c r="K31" i="6"/>
  <c r="H31" i="6"/>
  <c r="E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U19" i="25"/>
  <c r="U15" i="24"/>
  <c r="U19" i="23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V3" i="23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V90" i="6"/>
  <c r="C113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Q9" i="17"/>
  <c r="L17" i="25"/>
  <c r="L16" i="18"/>
  <c r="J28" i="26"/>
  <c r="P25" i="26"/>
  <c r="O24" i="26"/>
  <c r="K19" i="19"/>
  <c r="Q16" i="19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J4" i="12" s="1"/>
  <c r="F4" i="8"/>
  <c r="F4" i="12" s="1"/>
  <c r="B4" i="8"/>
  <c r="O29" i="9"/>
  <c r="O29" i="13" s="1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O16" i="14" l="1"/>
  <c r="F4" i="24"/>
  <c r="N4" i="12"/>
  <c r="K16" i="24"/>
  <c r="J19" i="23"/>
  <c r="P29" i="13"/>
  <c r="P19" i="24"/>
  <c r="H16" i="24"/>
  <c r="J19" i="24"/>
  <c r="N19" i="23"/>
  <c r="O4" i="12"/>
  <c r="F29" i="24"/>
  <c r="P4" i="12"/>
  <c r="M29" i="23"/>
  <c r="M29" i="24"/>
  <c r="G19" i="24"/>
  <c r="L16" i="25"/>
  <c r="N19" i="24"/>
  <c r="H16" i="23"/>
  <c r="K29" i="12"/>
  <c r="O4" i="13"/>
  <c r="G29" i="12"/>
  <c r="G29" i="13"/>
  <c r="Q16" i="23"/>
  <c r="H29" i="12"/>
  <c r="L19" i="24"/>
  <c r="C4" i="24"/>
  <c r="G19" i="23"/>
  <c r="E4" i="13"/>
  <c r="E4" i="16" s="1"/>
  <c r="K4" i="24"/>
  <c r="Q16" i="24"/>
  <c r="Q16" i="27" s="1"/>
  <c r="E19" i="24"/>
  <c r="I4" i="23"/>
  <c r="G16" i="13"/>
  <c r="N29" i="23"/>
  <c r="C19" i="13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O16" i="26" s="1"/>
  <c r="F19" i="12"/>
  <c r="M16" i="24"/>
  <c r="M16" i="27" s="1"/>
  <c r="J4" i="23"/>
  <c r="J4" i="26" s="1"/>
  <c r="P19" i="12"/>
  <c r="P19" i="15" s="1"/>
  <c r="H4" i="24"/>
  <c r="M4" i="12"/>
  <c r="O19" i="24"/>
  <c r="P16" i="24"/>
  <c r="L19" i="13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D4" i="13"/>
  <c r="D4" i="16" s="1"/>
  <c r="N16" i="12"/>
  <c r="N16" i="15" s="1"/>
  <c r="E16" i="12"/>
  <c r="E16" i="15" s="1"/>
  <c r="I16" i="14"/>
  <c r="Q4" i="23"/>
  <c r="J29" i="24"/>
  <c r="P16" i="13"/>
  <c r="P16" i="16" s="1"/>
  <c r="C29" i="12"/>
  <c r="G16" i="24"/>
  <c r="G16" i="27" s="1"/>
  <c r="I4" i="12"/>
  <c r="L16" i="13"/>
  <c r="L16" i="16" s="1"/>
  <c r="B29" i="13"/>
  <c r="L4" i="24"/>
  <c r="Q29" i="23"/>
  <c r="G16" i="25"/>
  <c r="G16" i="28" s="1"/>
  <c r="Q4" i="24"/>
  <c r="D4" i="23"/>
  <c r="D4" i="26" s="1"/>
  <c r="C29" i="13"/>
  <c r="B29" i="12"/>
  <c r="H19" i="24"/>
  <c r="H19" i="27" s="1"/>
  <c r="Q4" i="12"/>
  <c r="B4" i="14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I19" i="27" s="1"/>
  <c r="K16" i="23"/>
  <c r="E29" i="13"/>
  <c r="E29" i="16" s="1"/>
  <c r="L16" i="24"/>
  <c r="L16" i="27" s="1"/>
  <c r="M4" i="13"/>
  <c r="M4" i="16" s="1"/>
  <c r="D27" i="13"/>
  <c r="D27" i="12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I19" i="26" s="1"/>
  <c r="Q19" i="23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F4" i="13"/>
  <c r="L29" i="13"/>
  <c r="L29" i="16" s="1"/>
  <c r="L15" i="23"/>
  <c r="L15" i="24"/>
  <c r="L15" i="27" s="1"/>
  <c r="J27" i="12"/>
  <c r="J27" i="15" s="1"/>
  <c r="J27" i="13"/>
  <c r="J27" i="16" s="1"/>
  <c r="E16" i="24"/>
  <c r="D16" i="12"/>
  <c r="M15" i="23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8" i="4"/>
  <c r="B12" i="4"/>
  <c r="B44" i="4"/>
  <c r="B43" i="4"/>
  <c r="B37" i="4"/>
  <c r="B20" i="4"/>
  <c r="B17" i="4"/>
  <c r="B22" i="4"/>
  <c r="B45" i="4"/>
  <c r="B34" i="4"/>
  <c r="B13" i="4"/>
  <c r="B26" i="4"/>
  <c r="B11" i="4"/>
  <c r="B30" i="4"/>
  <c r="B29" i="4"/>
  <c r="B38" i="4"/>
  <c r="B23" i="4"/>
  <c r="B10" i="4"/>
  <c r="B4" i="4"/>
  <c r="B35" i="4"/>
  <c r="B39" i="4"/>
  <c r="B27" i="4"/>
  <c r="B24" i="4"/>
  <c r="B21" i="4"/>
  <c r="B33" i="4"/>
  <c r="B9" i="4"/>
  <c r="B14" i="4"/>
  <c r="B15" i="4"/>
  <c r="B36" i="4"/>
  <c r="B42" i="4"/>
  <c r="B16" i="4"/>
  <c r="B7" i="4"/>
  <c r="B25" i="4"/>
  <c r="B28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<sst xmlns="http://schemas.openxmlformats.org/spreadsheetml/2006/main" count="2099" uniqueCount="1055">
  <si>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</si>
  <si>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</si>
  <si>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</si>
  <si>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</si>
  <si>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</si>
  <si>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</si>
  <si>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</si>
  <si>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</si>
  <si>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</si>
  <si>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</si>
  <si>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</si>
  <si>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</si>
  <si>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</si>
  <si>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</si>
  <si>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</si>
  <si>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</si>
  <si>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</si>
  <si>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</si>
  <si>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</si>
  <si>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</si>
  <si>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</si>
  <si>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</si>
  <si>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</si>
  <si>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</si>
  <si>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</si>
  <si>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</si>
  <si>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</si>
  <si>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</si>
  <si>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</si>
  <si>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</si>
  <si>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</si>
  <si>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</si>
  <si>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</si>
  <si>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</si>
  <si>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</si>
  <si>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</si>
  <si>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</si>
  <si>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</si>
  <si>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</si>
  <si>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</si>
  <si>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</si>
  <si>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</si>
  <si>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</si>
  <si>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</si>
  <si>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</si>
  <si>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</si>
  <si>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</si>
  <si>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</si>
  <si>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</si>
  <si>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</si>
  <si>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</si>
  <si>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</si>
  <si>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</si>
  <si>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</si>
  <si>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</si>
  <si>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</si>
  <si>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</si>
  <si>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</si>
  <si>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</si>
  <si>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</si>
  <si>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</si>
  <si>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</si>
  <si>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</si>
  <si>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</si>
  <si>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</si>
  <si>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</si>
  <si>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</si>
  <si>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</si>
  <si>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</si>
  <si>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</si>
  <si>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</si>
  <si>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</si>
  <si>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</si>
  <si>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</si>
  <si>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</si>
  <si>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</si>
  <si>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</si>
  <si>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</si>
  <si>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</si>
  <si>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</si>
  <si>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</si>
  <si>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</si>
  <si>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</si>
  <si>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</si>
  <si>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</si>
  <si>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</si>
  <si>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</si>
  <si>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</si>
  <si>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</si>
  <si>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</si>
  <si>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</si>
  <si>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</si>
  <si>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</si>
  <si>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</si>
  <si>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</si>
  <si>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</si>
  <si>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</si>
  <si>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</si>
  <si>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</si>
  <si>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</si>
  <si>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</si>
  <si>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</si>
  <si>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</si>
  <si>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</si>
  <si>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</si>
  <si>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</si>
  <si>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</si>
  <si>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</si>
  <si>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</si>
  <si>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</si>
  <si>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</si>
  <si>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</si>
  <si>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</si>
  <si>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</si>
  <si>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</si>
  <si>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</si>
  <si>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</si>
  <si>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</si>
  <si>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</si>
  <si>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</si>
  <si>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</si>
  <si>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</si>
  <si>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</si>
  <si>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</si>
  <si>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</si>
  <si>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</si>
  <si>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</si>
  <si>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</si>
  <si>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</si>
  <si>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</si>
  <si>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</si>
  <si>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</si>
  <si>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</si>
  <si>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</si>
  <si>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</si>
  <si>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</si>
  <si>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</si>
  <si>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</si>
  <si>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</si>
  <si>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</si>
  <si>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</si>
  <si>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</si>
  <si>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</si>
  <si>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</si>
  <si>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</si>
  <si>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</si>
  <si>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</si>
  <si>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</si>
  <si>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</si>
  <si>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</si>
  <si>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</si>
  <si>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</si>
  <si>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</si>
  <si>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</si>
  <si>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</si>
  <si>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</si>
  <si>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</si>
  <si>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</si>
  <si>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</si>
  <si>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</si>
  <si>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</si>
  <si>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</si>
  <si>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</si>
  <si>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</si>
  <si>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</si>
  <si>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</si>
  <si>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</si>
  <si>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</si>
  <si>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</si>
  <si>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</si>
  <si>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</si>
  <si>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</si>
  <si>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</si>
  <si>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</si>
  <si>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</si>
  <si>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</si>
  <si>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</si>
  <si>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</si>
  <si>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</si>
  <si>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</si>
  <si>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</si>
  <si>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</si>
  <si>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</si>
  <si>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</si>
  <si>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MT</t>
  </si>
  <si>
    <t>Malta</t>
  </si>
  <si>
    <t>MT - Services sector summary</t>
  </si>
  <si>
    <t>Macro.number.MT.Population</t>
  </si>
  <si>
    <t>Macro.Meuro2015.MT.GDP</t>
  </si>
  <si>
    <t>Macro.Meuro2015.MT.VA</t>
  </si>
  <si>
    <t>Macro.number.MT.Employees</t>
  </si>
  <si>
    <t>NUM.number.MT.Ser.Bld</t>
  </si>
  <si>
    <t>SurfaceArea.ksqm.MT.Ser.Bld</t>
  </si>
  <si>
    <t>NUM.number.MT.Ser.BldNew</t>
  </si>
  <si>
    <t>SurfaceArea.ksqm.MT.Ser.BldNew</t>
  </si>
  <si>
    <t>HDD.Celsius.MT.Actual</t>
  </si>
  <si>
    <t>HDD.Celsius.MT.Mean</t>
  </si>
  <si>
    <t>HDD.ratio.MT.Relative</t>
  </si>
  <si>
    <t>FEC.ktoe.MT.ES.Ser</t>
  </si>
  <si>
    <t>FEC.ktoe.MT.ES.Ser.Solids</t>
  </si>
  <si>
    <t>FEC.ktoe.MT.ES.Ser.LPG</t>
  </si>
  <si>
    <t>FEC.ktoe.MT.ES.Ser.Oil</t>
  </si>
  <si>
    <t>FEC.ktoe.MT.ES.Ser.NG</t>
  </si>
  <si>
    <t>FEC.ktoe.MT.ES.Ser.Biomass_Waste</t>
  </si>
  <si>
    <t>FEC.ktoe.MT.ES.Ser.Biogas</t>
  </si>
  <si>
    <t>FEC.ktoe.MT.ES.Ser.LiqBio</t>
  </si>
  <si>
    <t>FEC.ktoe.MT.ES.Ser.Solar</t>
  </si>
  <si>
    <t>FEC.ktoe.MT.ES.Ser.Geo</t>
  </si>
  <si>
    <t>FEC.ktoe.MT.ES.Ser.Ambient</t>
  </si>
  <si>
    <t>FEC.ktoe.MT.ES.Ser.Steam_Distr</t>
  </si>
  <si>
    <t>FEC.ktoe.MT.ES.Ser.Elec</t>
  </si>
  <si>
    <t>FEC.ktoe.MT.Ser</t>
  </si>
  <si>
    <t>FEC.ktoe.MT.Ser.Bld.Thermal</t>
  </si>
  <si>
    <t>FEC.ktoe.MT.Ser.Bld.Thermal.SH</t>
  </si>
  <si>
    <t>FEC.ktoe.MT.Ser.Bld.Thermal.SC</t>
  </si>
  <si>
    <t>FEC.ktoe.MT.Ser.Bld.Thermal.HW</t>
  </si>
  <si>
    <t>FEC.ktoe.MT.Ser.Bld.Thermal.CA</t>
  </si>
  <si>
    <t>FEC.ktoe.MT.Ser.SEU</t>
  </si>
  <si>
    <t>EMI.ktCO2.MT.ES.Ser</t>
  </si>
  <si>
    <t>EMI.ktCO2.MT.ES.Ser.Solids</t>
  </si>
  <si>
    <t>EMI.ktCO2.MT.ES.Ser.LPG</t>
  </si>
  <si>
    <t>EMI.ktCO2.MT.ES.Ser.Oil</t>
  </si>
  <si>
    <t>EMI.ktCO2.MT.ES.Ser.NG</t>
  </si>
  <si>
    <t>EMI.ktCO2.MT.ES.Ser.Biomass_Waste</t>
  </si>
  <si>
    <t>EMI.ktCO2.MT.ES.Ser.Biogas</t>
  </si>
  <si>
    <t>EMI.ktCO2.MT.ES.Ser.LiqBio</t>
  </si>
  <si>
    <t>EMI.ktCO2.MT.ES.Ser.Solar</t>
  </si>
  <si>
    <t>EMI.ktCO2.MT.ES.Ser.Geo</t>
  </si>
  <si>
    <t>EMI.ktCO2.MT.ES.Ser.Ambient</t>
  </si>
  <si>
    <t>EMI.ktCO2.MT.ES.Ser.Steam_Distr</t>
  </si>
  <si>
    <t>EMI.ktCO2.MT.ES.Ser.Elec</t>
  </si>
  <si>
    <t>EMI.ktCO2.MT.Ser</t>
  </si>
  <si>
    <t>EMI.ktCO2.MT.Ser.Bld.Thermal</t>
  </si>
  <si>
    <t>EMI.ktCO2.MT.Ser.Bld.Thermal.SH</t>
  </si>
  <si>
    <t>EMI.ktCO2.MT.Ser.Bld.Thermal.SC</t>
  </si>
  <si>
    <t>EMI.ktCO2.MT.Ser.Bld.Thermal.HW</t>
  </si>
  <si>
    <t>EMI.ktCO2.MT.Ser.Bld.Thermal.CA</t>
  </si>
  <si>
    <t>EMI.ktCO2.MT.Ser.SEU</t>
  </si>
  <si>
    <t>Eff.ratio.MT.Ser.Bld.Thermal</t>
  </si>
  <si>
    <t>Eff.ratio.MT.Ser.Bld.Thermal.SH</t>
  </si>
  <si>
    <t>Eff.ratio.MT.Ser.Bld.Thermal.SC</t>
  </si>
  <si>
    <t>Eff.ratio.MT.Ser.Bld.Thermal.HW</t>
  </si>
  <si>
    <t>Eff.ratio.MT.Ser.Bld.Thermal.CA</t>
  </si>
  <si>
    <t>MT - Number of buildings</t>
  </si>
  <si>
    <t>NUM.number.MT.Ser.Bld.Thermal</t>
  </si>
  <si>
    <t>NUM.number.MT.Ser.Bld.Thermal.SH</t>
  </si>
  <si>
    <t>NUM.number.MT.Ser.Bld.Thermal.SH.Solids</t>
  </si>
  <si>
    <t>NUM.number.MT.Ser.Bld.Thermal.SH.LPG</t>
  </si>
  <si>
    <t>NUM.number.MT.Ser.Bld.Thermal.SH.Oil</t>
  </si>
  <si>
    <t>NUM.number.MT.Ser.Bld.Thermal.SH.GasHP</t>
  </si>
  <si>
    <t>NUM.number.MT.Ser.Bld.Thermal.SH.GasTH</t>
  </si>
  <si>
    <t>NUM.number.MT.Ser.Bld.Thermal.SH.Biomass</t>
  </si>
  <si>
    <t>NUM.number.MT.Ser.Bld.Thermal.SH.Geo</t>
  </si>
  <si>
    <t>NUM.number.MT.Ser.Bld.Thermal.SH.DistrHeat</t>
  </si>
  <si>
    <t>NUM.number.MT.Ser.Bld.Thermal.SH.AdvElc</t>
  </si>
  <si>
    <t>NUM.number.MT.Ser.Bld.Thermal.SH.ConvElc</t>
  </si>
  <si>
    <t>NUM.number.MT.Ser.Bld.Thermal.SC</t>
  </si>
  <si>
    <t>NUM.number.MT.Ser.Bld.Thermal.SC.GasHP</t>
  </si>
  <si>
    <t>NUM.number.MT.Ser.Bld.Thermal.SC.AC</t>
  </si>
  <si>
    <t>NUM.number.MT.Ser.Bld.Thermal.HW</t>
  </si>
  <si>
    <t>NUM.number.MT.Ser.Bld.Thermal.HW.Solids</t>
  </si>
  <si>
    <t>NUM.number.MT.Ser.Bld.Thermal.HW.LPG</t>
  </si>
  <si>
    <t>NUM.number.MT.Ser.Bld.Thermal.HW.Oil</t>
  </si>
  <si>
    <t>NUM.number.MT.Ser.Bld.Thermal.HW.Gas</t>
  </si>
  <si>
    <t>NUM.number.MT.Ser.Bld.Thermal.HW.Biomass</t>
  </si>
  <si>
    <t>NUM.number.MT.Ser.Bld.Thermal.HW.DistrHeat</t>
  </si>
  <si>
    <t>NUM.number.MT.Ser.Bld.Thermal.HW.Elc</t>
  </si>
  <si>
    <t>NUM.number.MT.Ser.Bld.Thermal.HW.Solar</t>
  </si>
  <si>
    <t>NUM.number.MT.Ser.Bld.Thermal.CA</t>
  </si>
  <si>
    <t>NUM.number.MT.Ser.Bld.Thermal.CA.LPG</t>
  </si>
  <si>
    <t>NUM.number.MT.Ser.Bld.Thermal.CA.Gas</t>
  </si>
  <si>
    <t>NUM.number.MT.Ser.Bld.Thermal.CA.Biomass</t>
  </si>
  <si>
    <t>NUM.number.MT.Ser.Bld.Thermal.CA.Elc</t>
  </si>
  <si>
    <t>MT - Final energy consumption</t>
  </si>
  <si>
    <t>FEC.ktoe.MT.Ser.Bld.Thermal.SH.Solids.Solids</t>
  </si>
  <si>
    <t>FEC.ktoe.MT.Ser.Bld.Thermal.SH.LPG.LPG</t>
  </si>
  <si>
    <t>FEC.ktoe.MT.Ser.Bld.Thermal.SH.Oil.Oil_LiqBio</t>
  </si>
  <si>
    <t>FEC.ktoe.MT.Ser.Bld.Thermal.SH.GasHP.NG_Biogas</t>
  </si>
  <si>
    <t>FEC.ktoe.MT.Ser.Bld.Thermal.SH.GasTH.NG_Biogas</t>
  </si>
  <si>
    <t>FEC.ktoe.MT.Ser.Bld.Thermal.SH.Biomass.Biomass_Waste</t>
  </si>
  <si>
    <t>FEC.ktoe.MT.Ser.Bld.Thermal.SH.Geo.Geo</t>
  </si>
  <si>
    <t>FEC.ktoe.MT.Ser.Bld.Thermal.SH.DistrHeat.Steam_Distr</t>
  </si>
  <si>
    <t>FEC.ktoe.MT.Ser.Bld.Thermal.SH.AdvElc.Elec</t>
  </si>
  <si>
    <t>FEC.ktoe.MT.Ser.Bld.Thermal.SH.ConvElc.Elec</t>
  </si>
  <si>
    <t>FEC.ktoe.MT.Ser.Bld.Thermal.SH.TotalCirculation.Elec</t>
  </si>
  <si>
    <t>FEC.ktoe.MT.Ser.Bld.Thermal.SC.GasHP.NG_Biogas</t>
  </si>
  <si>
    <t>FEC.ktoe.MT.Ser.Bld.Thermal.SC.AC.Elec</t>
  </si>
  <si>
    <t>FEC.ktoe.MT.Ser.Bld.Thermal.HW.Solids.Solids</t>
  </si>
  <si>
    <t>FEC.ktoe.MT.Ser.Bld.Thermal.HW.LPG.LPG</t>
  </si>
  <si>
    <t>FEC.ktoe.MT.Ser.Bld.Thermal.HW.Oil.Oil_LiqBio</t>
  </si>
  <si>
    <t>FEC.ktoe.MT.Ser.Bld.Thermal.HW.Gas.NG_Biogas</t>
  </si>
  <si>
    <t>FEC.ktoe.MT.Ser.Bld.Thermal.HW.Biomass.Biomass_Waste</t>
  </si>
  <si>
    <t>FEC.ktoe.MT.Ser.Bld.Thermal.HW.DistrHeat.Steam_Distr</t>
  </si>
  <si>
    <t>FEC.ktoe.MT.Ser.Bld.Thermal.HW.Elc.Elec</t>
  </si>
  <si>
    <t>FEC.ktoe.MT.Ser.Bld.Thermal.HW.TotalSolar.Solar</t>
  </si>
  <si>
    <t>FEC.ktoe.MT.Ser.Bld.Thermal.CA.LPG</t>
  </si>
  <si>
    <t>FEC.ktoe.MT.Ser.Bld.Thermal.CA.Gas.NG_Biogas</t>
  </si>
  <si>
    <t>FEC.ktoe.MT.Ser.Bld.Thermal.CA.Biomass.Biomass_Waste</t>
  </si>
  <si>
    <t>FEC.ktoe.MT.Ser.Bld.Thermal.CA.Elc.Elec</t>
  </si>
  <si>
    <t>MT - Thermal energy service</t>
  </si>
  <si>
    <t>TES.ktoe.MT.Ser.Bld.Thermal</t>
  </si>
  <si>
    <t>TES.ktoe.MT.Ser.Bld.Thermal.SH</t>
  </si>
  <si>
    <t>TES.ktoe.MT.Ser.Bld.Thermal.SH.Solids.Solids</t>
  </si>
  <si>
    <t>TES.ktoe.MT.Ser.Bld.Thermal.SH.LPG.LPG</t>
  </si>
  <si>
    <t>TES.ktoe.MT.Ser.Bld.Thermal.SH.Oil.Oil_LiqBio</t>
  </si>
  <si>
    <t>TES.ktoe.MT.Ser.Bld.Thermal.SH.GasHP.NG_Biogas</t>
  </si>
  <si>
    <t>TES.ktoe.MT.Ser.Bld.Thermal.SH.GasTH.NG_Biogas</t>
  </si>
  <si>
    <t>TES.ktoe.MT.Ser.Bld.Thermal.SH.Biomass.Biomass_Waste</t>
  </si>
  <si>
    <t>TES.ktoe.MT.Ser.Bld.Thermal.SH.Geo.Geo</t>
  </si>
  <si>
    <t>TES.ktoe.MT.Ser.Bld.Thermal.SH.DistrHeat.Steam_Distr</t>
  </si>
  <si>
    <t>TES.ktoe.MT.Ser.Bld.Thermal.SH.AdvElc.Elec</t>
  </si>
  <si>
    <t>TES.ktoe.MT.Ser.Bld.Thermal.SH.ConvElc.Elec</t>
  </si>
  <si>
    <t>TES.ktoe.MT.Ser.Bld.Thermal.SH.TotalCirculation.Elec</t>
  </si>
  <si>
    <t>TES.ktoe.MT.Ser.Bld.Thermal.SC</t>
  </si>
  <si>
    <t>TES.ktoe.MT.Ser.Bld.Thermal.SC.GasHP.NG_Biogas</t>
  </si>
  <si>
    <t>TES.ktoe.MT.Ser.Bld.Thermal.SC.AC.Elec</t>
  </si>
  <si>
    <t>TES.ktoe.MT.Ser.Bld.Thermal.HW</t>
  </si>
  <si>
    <t>TES.ktoe.MT.Ser.Bld.Thermal.HW.Solids.Solids</t>
  </si>
  <si>
    <t>TES.ktoe.MT.Ser.Bld.Thermal.HW.LPG.LPG</t>
  </si>
  <si>
    <t>TES.ktoe.MT.Ser.Bld.Thermal.HW.Oil.Oil_LiqBio</t>
  </si>
  <si>
    <t>TES.ktoe.MT.Ser.Bld.Thermal.HW.Gas.NG_Biogas</t>
  </si>
  <si>
    <t>TES.ktoe.MT.Ser.Bld.Thermal.HW.Biomass.Biomass_Waste</t>
  </si>
  <si>
    <t>TES.ktoe.MT.Ser.Bld.Thermal.HW.DistrHeat.Steam_Distr</t>
  </si>
  <si>
    <t>TES.ktoe.MT.Ser.Bld.Thermal.HW.Elc.Elec</t>
  </si>
  <si>
    <t>TES.ktoe.MT.Ser.Bld.Thermal.HW.TotalSolar.Solar</t>
  </si>
  <si>
    <t>TES.ktoe.MT.Ser.Bld.Thermal.CA</t>
  </si>
  <si>
    <t>TES.ktoe.MT.Ser.Bld.Thermal.CA.LPG</t>
  </si>
  <si>
    <t>TES.ktoe.MT.Ser.Bld.Thermal.CA.Gas.NG_Biogas</t>
  </si>
  <si>
    <t>TES.ktoe.MT.Ser.Bld.Thermal.CA.Biomass.Biomass_Waste</t>
  </si>
  <si>
    <t>TES.ktoe.MT.Ser.Bld.Thermal.CA.Elc.Elec</t>
  </si>
  <si>
    <t>MT - System efficiency indicator of total stock</t>
  </si>
  <si>
    <t>Eff.ratio.MT.Ser.Bld.Thermal.SH.Solids.Solids</t>
  </si>
  <si>
    <t>Eff.ratio.MT.Ser.Bld.Thermal.SH.LPG.LPG</t>
  </si>
  <si>
    <t>Eff.ratio.MT.Ser.Bld.Thermal.SH.Oil.Oil_LiqBio</t>
  </si>
  <si>
    <t>Eff.ratio.MT.Ser.Bld.Thermal.SH.GasHP.NG_Biogas</t>
  </si>
  <si>
    <t>Eff.ratio.MT.Ser.Bld.Thermal.SH.GasTH.NG_Biogas</t>
  </si>
  <si>
    <t>Eff.ratio.MT.Ser.Bld.Thermal.SH.Biomass.Biomass_Waste</t>
  </si>
  <si>
    <t>Eff.ratio.MT.Ser.Bld.Thermal.SH.Geo.Geo</t>
  </si>
  <si>
    <t>Eff.ratio.MT.Ser.Bld.Thermal.SH.DistrHeat.Steam_Distr</t>
  </si>
  <si>
    <t>Eff.ratio.MT.Ser.Bld.Thermal.SH.AdvElc.Elec</t>
  </si>
  <si>
    <t>Eff.ratio.MT.Ser.Bld.Thermal.SH.ConvElc.Elec</t>
  </si>
  <si>
    <t>Eff.ratio.MT.Ser.Bld.Thermal.SH.TotalCirculation.Elec</t>
  </si>
  <si>
    <t>Eff.ratio.MT.Ser.Bld.Thermal.SC.GasHP.NG_Biogas</t>
  </si>
  <si>
    <t>Eff.ratio.MT.Ser.Bld.Thermal.SC.AC.Elec</t>
  </si>
  <si>
    <t>Eff.ratio.MT.Ser.Bld.Thermal.HW.Solids.Solids</t>
  </si>
  <si>
    <t>Eff.ratio.MT.Ser.Bld.Thermal.HW.LPG.LPG</t>
  </si>
  <si>
    <t>Eff.ratio.MT.Ser.Bld.Thermal.HW.Oil.Oil_LiqBio</t>
  </si>
  <si>
    <t>Eff.ratio.MT.Ser.Bld.Thermal.HW.Gas.NG_Biogas</t>
  </si>
  <si>
    <t>Eff.ratio.MT.Ser.Bld.Thermal.HW.Biomass.Biomass_Waste</t>
  </si>
  <si>
    <t>Eff.ratio.MT.Ser.Bld.Thermal.HW.DistrHeat.Steam_Distr</t>
  </si>
  <si>
    <t>Eff.ratio.MT.Ser.Bld.Thermal.HW.Elc.Elec</t>
  </si>
  <si>
    <t>Eff.ratio.MT.Ser.Bld.Thermal.HW.TotalSolar.Solar</t>
  </si>
  <si>
    <t>Eff.ratio.MT.Ser.Bld.Thermal.CA.LPG</t>
  </si>
  <si>
    <t>Eff.ratio.MT.Ser.Bld.Thermal.CA.Gas.NG_Biogas</t>
  </si>
  <si>
    <t>Eff.ratio.MT.Ser.Bld.Thermal.CA.Biomass.Biomass_Waste</t>
  </si>
  <si>
    <t>Eff.ratio.MT.Ser.Bld.Thermal.CA.Elc.Elec</t>
  </si>
  <si>
    <t>MT - CO2 emissions</t>
  </si>
  <si>
    <t>EMI.ktCO2.MT.Ser.Bld.Thermal.SH.Solids.Solids</t>
  </si>
  <si>
    <t>EMI.ktCO2.MT.Ser.Bld.Thermal.SH.LPG.LPG</t>
  </si>
  <si>
    <t>EMI.ktCO2.MT.Ser.Bld.Thermal.SH.Oil.Oil_LiqBio</t>
  </si>
  <si>
    <t>EMI.ktCO2.MT.Ser.Bld.Thermal.SH.GasHP.NG_Biogas</t>
  </si>
  <si>
    <t>EMI.ktCO2.MT.Ser.Bld.Thermal.SH.GasTH.NG_Biogas</t>
  </si>
  <si>
    <t>EMI.ktCO2.MT.Ser.Bld.Thermal.SH.Biomass.Biomass_Waste</t>
  </si>
  <si>
    <t>EMI.ktCO2.MT.Ser.Bld.Thermal.SH.Geo.Geo</t>
  </si>
  <si>
    <t>EMI.ktCO2.MT.Ser.Bld.Thermal.SH.DistrHeat.Steam_Distr</t>
  </si>
  <si>
    <t>EMI.ktCO2.MT.Ser.Bld.Thermal.SH.AdvElc.Elec</t>
  </si>
  <si>
    <t>EMI.ktCO2.MT.Ser.Bld.Thermal.SH.ConvElc.Elec</t>
  </si>
  <si>
    <t>EMI.ktCO2.MT.Ser.Bld.Thermal.SH.TotalCirculation.Elec</t>
  </si>
  <si>
    <t>EMI.ktCO2.MT.Ser.Bld.Thermal.SC.GasHP.NG_Biogas</t>
  </si>
  <si>
    <t>EMI.ktCO2.MT.Ser.Bld.Thermal.SC.AC.Elec</t>
  </si>
  <si>
    <t>EMI.ktCO2.MT.Ser.Bld.Thermal.HW.Solids.Solids</t>
  </si>
  <si>
    <t>EMI.ktCO2.MT.Ser.Bld.Thermal.HW.LPG.LPG</t>
  </si>
  <si>
    <t>EMI.ktCO2.MT.Ser.Bld.Thermal.HW.Oil.Oil_LiqBio</t>
  </si>
  <si>
    <t>EMI.ktCO2.MT.Ser.Bld.Thermal.HW.Gas.NG_Biogas</t>
  </si>
  <si>
    <t>EMI.ktCO2.MT.Ser.Bld.Thermal.HW.Biomass.Biomass_Waste</t>
  </si>
  <si>
    <t>EMI.ktCO2.MT.Ser.Bld.Thermal.HW.DistrHeat.Steam_Distr</t>
  </si>
  <si>
    <t>EMI.ktCO2.MT.Ser.Bld.Thermal.HW.Elc.Elec</t>
  </si>
  <si>
    <t>EMI.ktCO2.MT.Ser.Bld.Thermal.HW.TotalSolar.Solar</t>
  </si>
  <si>
    <t>EMI.ktCO2.MT.Ser.Bld.Thermal.CA.LPG</t>
  </si>
  <si>
    <t>EMI.ktCO2.MT.Ser.Bld.Thermal.CA.Gas.NG_Biogas</t>
  </si>
  <si>
    <t>EMI.ktCO2.MT.Ser.Bld.Thermal.CA.Biomass.Biomass_Waste</t>
  </si>
  <si>
    <t>EMI.ktCO2.MT.Ser.Bld.Thermal.CA.Elc.Elec</t>
  </si>
  <si>
    <t>MT - Final energy consumption per building</t>
  </si>
  <si>
    <t>FEC_per_building.kWh.MT.Ser.Bld.Thermal</t>
  </si>
  <si>
    <t>FEC_per_building.kWh.MT.Ser.Bld.Thermal.SH</t>
  </si>
  <si>
    <t>FEC_per_building.kWh.MT.Ser.Bld.Thermal.SH.Solids.Solids</t>
  </si>
  <si>
    <t>FEC_per_building.kWh.MT.Ser.Bld.Thermal.SH.LPG.LPG</t>
  </si>
  <si>
    <t>FEC_per_building.kWh.MT.Ser.Bld.Thermal.SH.Oil.Oil_LiqBio</t>
  </si>
  <si>
    <t>FEC_per_building.kWh.MT.Ser.Bld.Thermal.SH.GasHP.NG_Biogas</t>
  </si>
  <si>
    <t>FEC_per_building.kWh.MT.Ser.Bld.Thermal.SH.GasTH.NG_Biogas</t>
  </si>
  <si>
    <t>FEC_per_building.kWh.MT.Ser.Bld.Thermal.SH.Biomass.Biomass_Waste</t>
  </si>
  <si>
    <t>FEC_per_building.kWh.MT.Ser.Bld.Thermal.SH.Geo.Geo</t>
  </si>
  <si>
    <t>FEC_per_building.kWh.MT.Ser.Bld.Thermal.SH.DistrHeat.Steam_Distr</t>
  </si>
  <si>
    <t>FEC_per_building.kWh.MT.Ser.Bld.Thermal.SH.AdvElc.Elec</t>
  </si>
  <si>
    <t>FEC_per_building.kWh.MT.Ser.Bld.Thermal.SH.ConvElc.Elec</t>
  </si>
  <si>
    <t>FEC_per_building.kWh.MT.Ser.Bld.Thermal.SH.TotalCirculation.Elec</t>
  </si>
  <si>
    <t>FEC_per_building.kWh.MT.Ser.Bld.Thermal.SC</t>
  </si>
  <si>
    <t>FEC_per_building.kWh.MT.Ser.Bld.Thermal.SC.GasHP.NG_Biogas</t>
  </si>
  <si>
    <t>FEC_per_building.kWh.MT.Ser.Bld.Thermal.SC.AC.Elec</t>
  </si>
  <si>
    <t>FEC_per_building.kWh.MT.Ser.Bld.Thermal.HW</t>
  </si>
  <si>
    <t>FEC_per_building.kWh.MT.Ser.Bld.Thermal.HW.Solids.Solids</t>
  </si>
  <si>
    <t>FEC_per_building.kWh.MT.Ser.Bld.Thermal.HW.LPG.LPG</t>
  </si>
  <si>
    <t>FEC_per_building.kWh.MT.Ser.Bld.Thermal.HW.Oil.Oil_LiqBio</t>
  </si>
  <si>
    <t>FEC_per_building.kWh.MT.Ser.Bld.Thermal.HW.Gas.NG_Biogas</t>
  </si>
  <si>
    <t>FEC_per_building.kWh.MT.Ser.Bld.Thermal.HW.Biomass.Biomass_Waste</t>
  </si>
  <si>
    <t>FEC_per_building.kWh.MT.Ser.Bld.Thermal.HW.DistrHeat.Steam_Distr</t>
  </si>
  <si>
    <t>FEC_per_building.kWh.MT.Ser.Bld.Thermal.HW.Elc.Elec</t>
  </si>
  <si>
    <t>FEC_per_building.kWh.MT.Ser.Bld.Thermal.HW.TotalSolar.Solar</t>
  </si>
  <si>
    <t>FEC_per_building.kWh.MT.Ser.Bld.Thermal.CA</t>
  </si>
  <si>
    <t>FEC_per_building.kWh.MT.Ser.Bld.Thermal.CA.LPG</t>
  </si>
  <si>
    <t>FEC_per_building.kWh.MT.Ser.Bld.Thermal.CA.Gas.NG_Biogas</t>
  </si>
  <si>
    <t>FEC_per_building.kWh.MT.Ser.Bld.Thermal.CA.Biomass.Biomass_Waste</t>
  </si>
  <si>
    <t>FEC_per_building.kWh.MT.Ser.Bld.Thermal.CA.Elc.Elec</t>
  </si>
  <si>
    <t>MT - Thermal energy service per building</t>
  </si>
  <si>
    <t>TES_per_building.kWh.MT.Ser.Bld.Thermal</t>
  </si>
  <si>
    <t>TES_per_building.kWh.MT.Ser.Bld.Thermal.SH</t>
  </si>
  <si>
    <t>TES_per_building.kWh.MT.Ser.Bld.Thermal.SH.Solids.Solids</t>
  </si>
  <si>
    <t>TES_per_building.kWh.MT.Ser.Bld.Thermal.SH.LPG.LPG</t>
  </si>
  <si>
    <t>TES_per_building.kWh.MT.Ser.Bld.Thermal.SH.Oil.Oil_LiqBio</t>
  </si>
  <si>
    <t>TES_per_building.kWh.MT.Ser.Bld.Thermal.SH.GasHP.NG_Biogas</t>
  </si>
  <si>
    <t>TES_per_building.kWh.MT.Ser.Bld.Thermal.SH.GasTH.NG_Biogas</t>
  </si>
  <si>
    <t>TES_per_building.kWh.MT.Ser.Bld.Thermal.SH.Biomass.Biomass_Waste</t>
  </si>
  <si>
    <t>TES_per_building.kWh.MT.Ser.Bld.Thermal.SH.Geo.Geo</t>
  </si>
  <si>
    <t>TES_per_building.kWh.MT.Ser.Bld.Thermal.SH.DistrHeat.Steam_Distr</t>
  </si>
  <si>
    <t>TES_per_building.kWh.MT.Ser.Bld.Thermal.SH.AdvElc.Elec</t>
  </si>
  <si>
    <t>TES_per_building.kWh.MT.Ser.Bld.Thermal.SH.ConvElc.Elec</t>
  </si>
  <si>
    <t>TES_per_building.kWh.MT.Ser.Bld.Thermal.SH.TotalCirculation.Elec</t>
  </si>
  <si>
    <t>TES_per_building.kWh.MT.Ser.Bld.Thermal.SC</t>
  </si>
  <si>
    <t>TES_per_building.kWh.MT.Ser.Bld.Thermal.SC.GasHP.NG_Biogas</t>
  </si>
  <si>
    <t>TES_per_building.kWh.MT.Ser.Bld.Thermal.SC.AC.Elec</t>
  </si>
  <si>
    <t>TES_per_building.kWh.MT.Ser.Bld.Thermal.HW</t>
  </si>
  <si>
    <t>TES_per_building.kWh.MT.Ser.Bld.Thermal.HW.Solids.Solids</t>
  </si>
  <si>
    <t>TES_per_building.kWh.MT.Ser.Bld.Thermal.HW.LPG.LPG</t>
  </si>
  <si>
    <t>TES_per_building.kWh.MT.Ser.Bld.Thermal.HW.Oil.Oil_LiqBio</t>
  </si>
  <si>
    <t>TES_per_building.kWh.MT.Ser.Bld.Thermal.HW.Gas.NG_Biogas</t>
  </si>
  <si>
    <t>TES_per_building.kWh.MT.Ser.Bld.Thermal.HW.Biomass.Biomass_Waste</t>
  </si>
  <si>
    <t>TES_per_building.kWh.MT.Ser.Bld.Thermal.HW.DistrHeat.Steam_Distr</t>
  </si>
  <si>
    <t>TES_per_building.kWh.MT.Ser.Bld.Thermal.HW.Elc.Elec</t>
  </si>
  <si>
    <t>TES_per_building.kWh.MT.Ser.Bld.Thermal.HW.TotalSolar.Solar</t>
  </si>
  <si>
    <t>TES_per_building.kWh.MT.Ser.Bld.Thermal.CA</t>
  </si>
  <si>
    <t>TES_per_building.kWh.MT.Ser.Bld.Thermal.CA.LPG</t>
  </si>
  <si>
    <t>TES_per_building.kWh.MT.Ser.Bld.Thermal.CA.Gas.NG_Biogas</t>
  </si>
  <si>
    <t>TES_per_building.kWh.MT.Ser.Bld.Thermal.CA.Biomass.Biomass_Waste</t>
  </si>
  <si>
    <t>TES_per_building.kWh.MT.Ser.Bld.Thermal.CA.Elc.Elec</t>
  </si>
  <si>
    <t>MT - CO2 emissions per building</t>
  </si>
  <si>
    <t>EMI_per_building.kgCO2.MT.Ser.Bld.Thermal</t>
  </si>
  <si>
    <t>EMI_per_building.kgCO2.MT.Ser.Bld.Thermal.SH</t>
  </si>
  <si>
    <t>EMI_per_building.kgCO2.MT.Ser.Bld.Thermal.SH.Solids.Solids</t>
  </si>
  <si>
    <t>EMI_per_building.kgCO2.MT.Ser.Bld.Thermal.SH.LPG.LPG</t>
  </si>
  <si>
    <t>EMI_per_building.kgCO2.MT.Ser.Bld.Thermal.SH.Oil.Oil_LiqBio</t>
  </si>
  <si>
    <t>EMI_per_building.kgCO2.MT.Ser.Bld.Thermal.SH.GasHP.NG_Biogas</t>
  </si>
  <si>
    <t>EMI_per_building.kgCO2.MT.Ser.Bld.Thermal.SH.GasTH.NG_Biogas</t>
  </si>
  <si>
    <t>EMI_per_building.kgCO2.MT.Ser.Bld.Thermal.SH.Biomass.Biomass_Waste</t>
  </si>
  <si>
    <t>EMI_per_building.kgCO2.MT.Ser.Bld.Thermal.SH.Geo.Geo</t>
  </si>
  <si>
    <t>EMI_per_building.kgCO2.MT.Ser.Bld.Thermal.SH.DistrHeat.Steam_Distr</t>
  </si>
  <si>
    <t>EMI_per_building.kgCO2.MT.Ser.Bld.Thermal.SH.AdvElc.Elec</t>
  </si>
  <si>
    <t>EMI_per_building.kgCO2.MT.Ser.Bld.Thermal.SH.ConvElc.Elec</t>
  </si>
  <si>
    <t>EMI_per_building.kgCO2.MT.Ser.Bld.Thermal.SH.TotalCirculation.Elec</t>
  </si>
  <si>
    <t>EMI_per_building.kgCO2.MT.Ser.Bld.Thermal.SC</t>
  </si>
  <si>
    <t>EMI_per_building.kgCO2.MT.Ser.Bld.Thermal.SC.GasHP.NG_Biogas</t>
  </si>
  <si>
    <t>EMI_per_building.kgCO2.MT.Ser.Bld.Thermal.SC.AC.Elec</t>
  </si>
  <si>
    <t>EMI_per_building.kgCO2.MT.Ser.Bld.Thermal.HW</t>
  </si>
  <si>
    <t>EMI_per_building.kgCO2.MT.Ser.Bld.Thermal.HW.Solids.Solids</t>
  </si>
  <si>
    <t>EMI_per_building.kgCO2.MT.Ser.Bld.Thermal.HW.LPG.LPG</t>
  </si>
  <si>
    <t>EMI_per_building.kgCO2.MT.Ser.Bld.Thermal.HW.Oil.Oil_LiqBio</t>
  </si>
  <si>
    <t>EMI_per_building.kgCO2.MT.Ser.Bld.Thermal.HW.Gas.NG_Biogas</t>
  </si>
  <si>
    <t>EMI_per_building.kgCO2.MT.Ser.Bld.Thermal.HW.Biomass.Biomass_Waste</t>
  </si>
  <si>
    <t>EMI_per_building.kgCO2.MT.Ser.Bld.Thermal.HW.DistrHeat.Steam_Distr</t>
  </si>
  <si>
    <t>EMI_per_building.kgCO2.MT.Ser.Bld.Thermal.HW.Elc.Elec</t>
  </si>
  <si>
    <t>EMI_per_building.kgCO2.MT.Ser.Bld.Thermal.HW.TotalSolar.Solar</t>
  </si>
  <si>
    <t>EMI_per_building.kgCO2.MT.Ser.Bld.Thermal.CA</t>
  </si>
  <si>
    <t>EMI_per_building.kgCO2.MT.Ser.Bld.Thermal.CA.LPG</t>
  </si>
  <si>
    <t>EMI_per_building.kgCO2.MT.Ser.Bld.Thermal.CA.Gas.NG_Biogas</t>
  </si>
  <si>
    <t>EMI_per_building.kgCO2.MT.Ser.Bld.Thermal.CA.Biomass.Biomass_Waste</t>
  </si>
  <si>
    <t>EMI_per_building.kgCO2.MT.Ser.Bld.Thermal.CA.Elc.Elec</t>
  </si>
  <si>
    <t>MT - Final energy consumption per useful surface area</t>
  </si>
  <si>
    <t>FEC_per_sqm.kWh.MT.Ser.Bld.Thermal</t>
  </si>
  <si>
    <t>FEC_per_sqm.kWh.MT.Ser.Bld.Thermal.SH</t>
  </si>
  <si>
    <t>FEC_per_sqm.kWh.MT.Ser.Bld.Thermal.SH.Solids.Solids</t>
  </si>
  <si>
    <t>FEC_per_sqm.kWh.MT.Ser.Bld.Thermal.SH.LPG.LPG</t>
  </si>
  <si>
    <t>FEC_per_sqm.kWh.MT.Ser.Bld.Thermal.SH.Oil.Oil_LiqBio</t>
  </si>
  <si>
    <t>FEC_per_sqm.kWh.MT.Ser.Bld.Thermal.SH.GasHP.NG_Biogas</t>
  </si>
  <si>
    <t>FEC_per_sqm.kWh.MT.Ser.Bld.Thermal.SH.GasTH.NG_Biogas</t>
  </si>
  <si>
    <t>FEC_per_sqm.kWh.MT.Ser.Bld.Thermal.SH.Biomass.Biomass_Waste</t>
  </si>
  <si>
    <t>FEC_per_sqm.kWh.MT.Ser.Bld.Thermal.SH.Geo.Geo</t>
  </si>
  <si>
    <t>FEC_per_sqm.kWh.MT.Ser.Bld.Thermal.SH.DistrHeat.Steam_Distr</t>
  </si>
  <si>
    <t>FEC_per_sqm.kWh.MT.Ser.Bld.Thermal.SH.AdvElc.Elec</t>
  </si>
  <si>
    <t>FEC_per_sqm.kWh.MT.Ser.Bld.Thermal.SH.ConvElc.Elec</t>
  </si>
  <si>
    <t>FEC_per_sqm.kWh.MT.Ser.Bld.Thermal.SH.TotalCirculation.Elec</t>
  </si>
  <si>
    <t>FEC_per_sqm.kWh.MT.Ser.Bld.Thermal.SC</t>
  </si>
  <si>
    <t>FEC_per_sqm.kWh.MT.Ser.Bld.Thermal.SC.GasHP.NG_Biogas</t>
  </si>
  <si>
    <t>FEC_per_sqm.kWh.MT.Ser.Bld.Thermal.SC.AC.Elec</t>
  </si>
  <si>
    <t>FEC_per_sqm.kWh.MT.Ser.Bld.Thermal.HW</t>
  </si>
  <si>
    <t>FEC_per_sqm.kWh.MT.Ser.Bld.Thermal.HW.Solids.Solids</t>
  </si>
  <si>
    <t>FEC_per_sqm.kWh.MT.Ser.Bld.Thermal.HW.LPG.LPG</t>
  </si>
  <si>
    <t>FEC_per_sqm.kWh.MT.Ser.Bld.Thermal.HW.Oil.Oil_LiqBio</t>
  </si>
  <si>
    <t>FEC_per_sqm.kWh.MT.Ser.Bld.Thermal.HW.Gas.NG_Biogas</t>
  </si>
  <si>
    <t>FEC_per_sqm.kWh.MT.Ser.Bld.Thermal.HW.Biomass.Biomass_Waste</t>
  </si>
  <si>
    <t>FEC_per_sqm.kWh.MT.Ser.Bld.Thermal.HW.DistrHeat.Steam_Distr</t>
  </si>
  <si>
    <t>FEC_per_sqm.kWh.MT.Ser.Bld.Thermal.HW.Elc.Elec</t>
  </si>
  <si>
    <t>FEC_per_sqm.kWh.MT.Ser.Bld.Thermal.HW.TotalSolar.Solar</t>
  </si>
  <si>
    <t>FEC_per_sqm.kWh.MT.Ser.Bld.Thermal.CA</t>
  </si>
  <si>
    <t>FEC_per_sqm.kWh.MT.Ser.Bld.Thermal.CA.LPG</t>
  </si>
  <si>
    <t>FEC_per_sqm.kWh.MT.Ser.Bld.Thermal.CA.Gas.NG_Biogas</t>
  </si>
  <si>
    <t>FEC_per_sqm.kWh.MT.Ser.Bld.Thermal.CA.Biomass.Biomass_Waste</t>
  </si>
  <si>
    <t>FEC_per_sqm.kWh.MT.Ser.Bld.Thermal.CA.Elc.Elec</t>
  </si>
  <si>
    <t>MT - Thermal energy service per useful surface area</t>
  </si>
  <si>
    <t>TES_per_sqm.kWh.MT.Ser.Bld.Thermal</t>
  </si>
  <si>
    <t>TES_per_sqm.kWh.MT.Ser.Bld.Thermal.SH</t>
  </si>
  <si>
    <t>TES_per_sqm.kWh.MT.Ser.Bld.Thermal.SH.Solids.Solids</t>
  </si>
  <si>
    <t>TES_per_sqm.kWh.MT.Ser.Bld.Thermal.SH.LPG.LPG</t>
  </si>
  <si>
    <t>TES_per_sqm.kWh.MT.Ser.Bld.Thermal.SH.Oil.Oil_LiqBio</t>
  </si>
  <si>
    <t>TES_per_sqm.kWh.MT.Ser.Bld.Thermal.SH.GasHP.NG_Biogas</t>
  </si>
  <si>
    <t>TES_per_sqm.kWh.MT.Ser.Bld.Thermal.SH.GasTH.NG_Biogas</t>
  </si>
  <si>
    <t>TES_per_sqm.kWh.MT.Ser.Bld.Thermal.SH.Biomass.Biomass_Waste</t>
  </si>
  <si>
    <t>TES_per_sqm.kWh.MT.Ser.Bld.Thermal.SH.Geo.Geo</t>
  </si>
  <si>
    <t>TES_per_sqm.kWh.MT.Ser.Bld.Thermal.SH.DistrHeat.Steam_Distr</t>
  </si>
  <si>
    <t>TES_per_sqm.kWh.MT.Ser.Bld.Thermal.SH.AdvElc.Elec</t>
  </si>
  <si>
    <t>TES_per_sqm.kWh.MT.Ser.Bld.Thermal.SH.ConvElc.Elec</t>
  </si>
  <si>
    <t>TES_per_sqm.kWh.MT.Ser.Bld.Thermal.SH.TotalCirculation.Elec</t>
  </si>
  <si>
    <t>TES_per_sqm.kWh.MT.Ser.Bld.Thermal.SC</t>
  </si>
  <si>
    <t>TES_per_sqm.kWh.MT.Ser.Bld.Thermal.SC.GasHP.NG_Biogas</t>
  </si>
  <si>
    <t>TES_per_sqm.kWh.MT.Ser.Bld.Thermal.SC.AC.Elec</t>
  </si>
  <si>
    <t>TES_per_sqm.kWh.MT.Ser.Bld.Thermal.HW</t>
  </si>
  <si>
    <t>TES_per_sqm.kWh.MT.Ser.Bld.Thermal.HW.Solids.Solids</t>
  </si>
  <si>
    <t>TES_per_sqm.kWh.MT.Ser.Bld.Thermal.HW.LPG.LPG</t>
  </si>
  <si>
    <t>TES_per_sqm.kWh.MT.Ser.Bld.Thermal.HW.Oil.Oil_LiqBio</t>
  </si>
  <si>
    <t>TES_per_sqm.kWh.MT.Ser.Bld.Thermal.HW.Gas.NG_Biogas</t>
  </si>
  <si>
    <t>TES_per_sqm.kWh.MT.Ser.Bld.Thermal.HW.Biomass.Biomass_Waste</t>
  </si>
  <si>
    <t>TES_per_sqm.kWh.MT.Ser.Bld.Thermal.HW.DistrHeat.Steam_Distr</t>
  </si>
  <si>
    <t>TES_per_sqm.kWh.MT.Ser.Bld.Thermal.HW.Elc.Elec</t>
  </si>
  <si>
    <t>TES_per_sqm.kWh.MT.Ser.Bld.Thermal.HW.TotalSolar.Solar</t>
  </si>
  <si>
    <t>TES_per_sqm.kWh.MT.Ser.Bld.Thermal.CA</t>
  </si>
  <si>
    <t>TES_per_sqm.kWh.MT.Ser.Bld.Thermal.CA.LPG</t>
  </si>
  <si>
    <t>TES_per_sqm.kWh.MT.Ser.Bld.Thermal.CA.Gas.NG_Biogas</t>
  </si>
  <si>
    <t>TES_per_sqm.kWh.MT.Ser.Bld.Thermal.CA.Biomass.Biomass_Waste</t>
  </si>
  <si>
    <t>TES_per_sqm.kWh.MT.Ser.Bld.Thermal.CA.Elc.Elec</t>
  </si>
  <si>
    <t>MT - CO2 emissions per useful surface area</t>
  </si>
  <si>
    <t>EMI_per_sqm.kgCO2.MT.Ser.Bld.Thermal</t>
  </si>
  <si>
    <t>EMI_per_sqm.kgCO2.MT.Ser.Bld.Thermal.SH</t>
  </si>
  <si>
    <t>EMI_per_sqm.kgCO2.MT.Ser.Bld.Thermal.SH.Solids.Solids</t>
  </si>
  <si>
    <t>EMI_per_sqm.kgCO2.MT.Ser.Bld.Thermal.SH.LPG.LPG</t>
  </si>
  <si>
    <t>EMI_per_sqm.kgCO2.MT.Ser.Bld.Thermal.SH.Oil.Oil_LiqBio</t>
  </si>
  <si>
    <t>EMI_per_sqm.kgCO2.MT.Ser.Bld.Thermal.SH.GasHP.NG_Biogas</t>
  </si>
  <si>
    <t>EMI_per_sqm.kgCO2.MT.Ser.Bld.Thermal.SH.GasTH.NG_Biogas</t>
  </si>
  <si>
    <t>EMI_per_sqm.kgCO2.MT.Ser.Bld.Thermal.SH.Biomass.Biomass_Waste</t>
  </si>
  <si>
    <t>EMI_per_sqm.kgCO2.MT.Ser.Bld.Thermal.SH.Geo.Geo</t>
  </si>
  <si>
    <t>EMI_per_sqm.kgCO2.MT.Ser.Bld.Thermal.SH.DistrHeat.Steam_Distr</t>
  </si>
  <si>
    <t>EMI_per_sqm.kgCO2.MT.Ser.Bld.Thermal.SH.AdvElc.Elec</t>
  </si>
  <si>
    <t>EMI_per_sqm.kgCO2.MT.Ser.Bld.Thermal.SH.ConvElc.Elec</t>
  </si>
  <si>
    <t>EMI_per_sqm.kgCO2.MT.Ser.Bld.Thermal.SH.TotalCirculation.Elec</t>
  </si>
  <si>
    <t>EMI_per_sqm.kgCO2.MT.Ser.Bld.Thermal.SC</t>
  </si>
  <si>
    <t>EMI_per_sqm.kgCO2.MT.Ser.Bld.Thermal.SC.GasHP.NG_Biogas</t>
  </si>
  <si>
    <t>EMI_per_sqm.kgCO2.MT.Ser.Bld.Thermal.SC.AC.Elec</t>
  </si>
  <si>
    <t>EMI_per_sqm.kgCO2.MT.Ser.Bld.Thermal.HW</t>
  </si>
  <si>
    <t>EMI_per_sqm.kgCO2.MT.Ser.Bld.Thermal.HW.Solids.Solids</t>
  </si>
  <si>
    <t>EMI_per_sqm.kgCO2.MT.Ser.Bld.Thermal.HW.LPG.LPG</t>
  </si>
  <si>
    <t>EMI_per_sqm.kgCO2.MT.Ser.Bld.Thermal.HW.Oil.Oil_LiqBio</t>
  </si>
  <si>
    <t>EMI_per_sqm.kgCO2.MT.Ser.Bld.Thermal.HW.Gas.NG_Biogas</t>
  </si>
  <si>
    <t>EMI_per_sqm.kgCO2.MT.Ser.Bld.Thermal.HW.Biomass.Biomass_Waste</t>
  </si>
  <si>
    <t>EMI_per_sqm.kgCO2.MT.Ser.Bld.Thermal.HW.DistrHeat.Steam_Distr</t>
  </si>
  <si>
    <t>EMI_per_sqm.kgCO2.MT.Ser.Bld.Thermal.HW.Elc.Elec</t>
  </si>
  <si>
    <t>EMI_per_sqm.kgCO2.MT.Ser.Bld.Thermal.HW.TotalSolar.Solar</t>
  </si>
  <si>
    <t>EMI_per_sqm.kgCO2.MT.Ser.Bld.Thermal.CA</t>
  </si>
  <si>
    <t>EMI_per_sqm.kgCO2.MT.Ser.Bld.Thermal.CA.LPG</t>
  </si>
  <si>
    <t>EMI_per_sqm.kgCO2.MT.Ser.Bld.Thermal.CA.Gas.NG_Biogas</t>
  </si>
  <si>
    <t>EMI_per_sqm.kgCO2.MT.Ser.Bld.Thermal.CA.Biomass.Biomass_Waste</t>
  </si>
  <si>
    <t>EMI_per_sqm.kgCO2.MT.Ser.Bld.Thermal.CA.Elc.Elec</t>
  </si>
  <si>
    <t>MT - Number of new and renovated buildings</t>
  </si>
  <si>
    <t>NUM.number.MT.Ser.BldNew.Thermal</t>
  </si>
  <si>
    <t>NUM.number.MT.Ser.BldNew.Thermal.SH</t>
  </si>
  <si>
    <t>NUM.number.MT.Ser.BldNew.Thermal.SH.Solids</t>
  </si>
  <si>
    <t>NUM.number.MT.Ser.BldNew.Thermal.SH.LPG</t>
  </si>
  <si>
    <t>NUM.number.MT.Ser.BldNew.Thermal.SH.Oil</t>
  </si>
  <si>
    <t>NUM.number.MT.Ser.BldNew.Thermal.SH.GasHP</t>
  </si>
  <si>
    <t>NUM.number.MT.Ser.BldNew.Thermal.SH.GasTH</t>
  </si>
  <si>
    <t>NUM.number.MT.Ser.BldNew.Thermal.SH.Biomass</t>
  </si>
  <si>
    <t>NUM.number.MT.Ser.BldNew.Thermal.SH.Geo</t>
  </si>
  <si>
    <t>NUM.number.MT.Ser.BldNew.Thermal.SH.DistrHeat</t>
  </si>
  <si>
    <t>NUM.number.MT.Ser.BldNew.Thermal.SH.AdvElc</t>
  </si>
  <si>
    <t>NUM.number.MT.Ser.BldNew.Thermal.SH.ConvElc</t>
  </si>
  <si>
    <t>NUM.number.MT.Ser.BldNew.Thermal.SC</t>
  </si>
  <si>
    <t>NUM.number.MT.Ser.BldNew.Thermal.SC.GasHP</t>
  </si>
  <si>
    <t>NUM.number.MT.Ser.BldNew.Thermal.SC.AC</t>
  </si>
  <si>
    <t>NUM.number.MT.Ser.BldNew.Thermal.HW</t>
  </si>
  <si>
    <t>NUM.number.MT.Ser.BldNew.Thermal.HW.Solids</t>
  </si>
  <si>
    <t>NUM.number.MT.Ser.BldNew.Thermal.HW.LPG</t>
  </si>
  <si>
    <t>NUM.number.MT.Ser.BldNew.Thermal.HW.Oil</t>
  </si>
  <si>
    <t>NUM.number.MT.Ser.BldNew.Thermal.HW.Gas</t>
  </si>
  <si>
    <t>NUM.number.MT.Ser.BldNew.Thermal.HW.Biomass</t>
  </si>
  <si>
    <t>NUM.number.MT.Ser.BldNew.Thermal.HW.DistrHeat</t>
  </si>
  <si>
    <t>NUM.number.MT.Ser.BldNew.Thermal.HW.Elc</t>
  </si>
  <si>
    <t>NUM.number.MT.Ser.BldNew.Thermal.HW.Solar</t>
  </si>
  <si>
    <t>NUM.number.MT.Ser.BldNew.Thermal.CA</t>
  </si>
  <si>
    <t>NUM.number.MT.Ser.BldNew.Thermal.CA.LPG</t>
  </si>
  <si>
    <t>NUM.number.MT.Ser.BldNew.Thermal.CA.Gas</t>
  </si>
  <si>
    <t>NUM.number.MT.Ser.BldNew.Thermal.CA.Biomass</t>
  </si>
  <si>
    <t>NUM.number.MT.Ser.BldNew.Thermal.CA.Elc</t>
  </si>
  <si>
    <t>MT - Final energy consumption in new and renovated buildings</t>
  </si>
  <si>
    <t>FEC.ktoe.MT.Ser.BldNew.Thermal</t>
  </si>
  <si>
    <t>FEC.ktoe.MT.Ser.BldNew.Thermal.SH</t>
  </si>
  <si>
    <t>FEC.ktoe.MT.Ser.BldNew.Thermal.SH.Solids.Solids</t>
  </si>
  <si>
    <t>FEC.ktoe.MT.Ser.BldNew.Thermal.SH.LPG.LPG</t>
  </si>
  <si>
    <t>FEC.ktoe.MT.Ser.BldNew.Thermal.SH.Oil.Oil_LiqBio</t>
  </si>
  <si>
    <t>FEC.ktoe.MT.Ser.BldNew.Thermal.SH.GasHP.NG_Biogas</t>
  </si>
  <si>
    <t>FEC.ktoe.MT.Ser.BldNew.Thermal.SH.GasTH.NG_Biogas</t>
  </si>
  <si>
    <t>FEC.ktoe.MT.Ser.BldNew.Thermal.SH.Biomass.Biomass_Waste</t>
  </si>
  <si>
    <t>FEC.ktoe.MT.Ser.BldNew.Thermal.SH.Geo.Geo</t>
  </si>
  <si>
    <t>FEC.ktoe.MT.Ser.BldNew.Thermal.SH.DistrHeat.Steam_Distr</t>
  </si>
  <si>
    <t>FEC.ktoe.MT.Ser.BldNew.Thermal.SH.AdvElc.Elec</t>
  </si>
  <si>
    <t>FEC.ktoe.MT.Ser.BldNew.Thermal.SH.ConvElc.Elec</t>
  </si>
  <si>
    <t>FEC.ktoe.MT.Ser.BldNew.Thermal.SH.TotalCirculation.Elec</t>
  </si>
  <si>
    <t>FEC.ktoe.MT.Ser.BldNew.Thermal.SC</t>
  </si>
  <si>
    <t>FEC.ktoe.MT.Ser.BldNew.Thermal.SC.GasHP.NG_Biogas</t>
  </si>
  <si>
    <t>FEC.ktoe.MT.Ser.BldNew.Thermal.SC.AC.Elec</t>
  </si>
  <si>
    <t>FEC.ktoe.MT.Ser.BldNew.Thermal.HW</t>
  </si>
  <si>
    <t>FEC.ktoe.MT.Ser.BldNew.Thermal.HW.Solids.Solids</t>
  </si>
  <si>
    <t>FEC.ktoe.MT.Ser.BldNew.Thermal.HW.LPG.LPG</t>
  </si>
  <si>
    <t>FEC.ktoe.MT.Ser.BldNew.Thermal.HW.Oil.Oil_LiqBio</t>
  </si>
  <si>
    <t>FEC.ktoe.MT.Ser.BldNew.Thermal.HW.Gas.NG_Biogas</t>
  </si>
  <si>
    <t>FEC.ktoe.MT.Ser.BldNew.Thermal.HW.Biomass.Biomass_Waste</t>
  </si>
  <si>
    <t>FEC.ktoe.MT.Ser.BldNew.Thermal.HW.DistrHeat.Steam_Distr</t>
  </si>
  <si>
    <t>FEC.ktoe.MT.Ser.BldNew.Thermal.HW.Elc.Elec</t>
  </si>
  <si>
    <t>FEC.ktoe.MT.Ser.BldNew.Thermal.HW.TotalSolar.Solar</t>
  </si>
  <si>
    <t>FEC.ktoe.MT.Ser.BldNew.Thermal.CA</t>
  </si>
  <si>
    <t>FEC.ktoe.MT.Ser.BldNew.Thermal.CA.LPG</t>
  </si>
  <si>
    <t>FEC.ktoe.MT.Ser.BldNew.Thermal.CA.Gas.NG_Biogas</t>
  </si>
  <si>
    <t>FEC.ktoe.MT.Ser.BldNew.Thermal.CA.Biomass.Biomass_Waste</t>
  </si>
  <si>
    <t>FEC.ktoe.MT.Ser.BldNew.Thermal.CA.Elc.Elec</t>
  </si>
  <si>
    <t>MT - Thermal energy service in new and renovated buildings</t>
  </si>
  <si>
    <t>TES.ktoe.MT.Ser.BldNew.Thermal</t>
  </si>
  <si>
    <t>TES.ktoe.MT.Ser.BldNew.Thermal.SH</t>
  </si>
  <si>
    <t>TES.ktoe.MT.Ser.BldNew.Thermal.SH.Solids.Solids</t>
  </si>
  <si>
    <t>TES.ktoe.MT.Ser.BldNew.Thermal.SH.LPG.LPG</t>
  </si>
  <si>
    <t>TES.ktoe.MT.Ser.BldNew.Thermal.SH.Oil.Oil_LiqBio</t>
  </si>
  <si>
    <t>TES.ktoe.MT.Ser.BldNew.Thermal.SH.GasHP.NG_Biogas</t>
  </si>
  <si>
    <t>TES.ktoe.MT.Ser.BldNew.Thermal.SH.GasTH.NG_Biogas</t>
  </si>
  <si>
    <t>TES.ktoe.MT.Ser.BldNew.Thermal.SH.Biomass.Biomass_Waste</t>
  </si>
  <si>
    <t>TES.ktoe.MT.Ser.BldNew.Thermal.SH.Geo.Geo</t>
  </si>
  <si>
    <t>TES.ktoe.MT.Ser.BldNew.Thermal.SH.DistrHeat.Steam_Distr</t>
  </si>
  <si>
    <t>TES.ktoe.MT.Ser.BldNew.Thermal.SH.AdvElc.Elec</t>
  </si>
  <si>
    <t>TES.ktoe.MT.Ser.BldNew.Thermal.SH.ConvElc.Elec</t>
  </si>
  <si>
    <t>TES.ktoe.MT.Ser.BldNew.Thermal.SH.TotalCirculation.Elec</t>
  </si>
  <si>
    <t>TES.ktoe.MT.Ser.BldNew.Thermal.SC</t>
  </si>
  <si>
    <t>TES.ktoe.MT.Ser.BldNew.Thermal.SC.GasHP.NG_Biogas</t>
  </si>
  <si>
    <t>TES.ktoe.MT.Ser.BldNew.Thermal.SC.AC.Elec</t>
  </si>
  <si>
    <t>TES.ktoe.MT.Ser.BldNew.Thermal.HW</t>
  </si>
  <si>
    <t>TES.ktoe.MT.Ser.BldNew.Thermal.HW.Solids.Solids</t>
  </si>
  <si>
    <t>TES.ktoe.MT.Ser.BldNew.Thermal.HW.LPG.LPG</t>
  </si>
  <si>
    <t>TES.ktoe.MT.Ser.BldNew.Thermal.HW.Oil.Oil_LiqBio</t>
  </si>
  <si>
    <t>TES.ktoe.MT.Ser.BldNew.Thermal.HW.Gas.NG_Biogas</t>
  </si>
  <si>
    <t>TES.ktoe.MT.Ser.BldNew.Thermal.HW.Biomass.Biomass_Waste</t>
  </si>
  <si>
    <t>TES.ktoe.MT.Ser.BldNew.Thermal.HW.DistrHeat.Steam_Distr</t>
  </si>
  <si>
    <t>TES.ktoe.MT.Ser.BldNew.Thermal.HW.Elc.Elec</t>
  </si>
  <si>
    <t>TES.ktoe.MT.Ser.BldNew.Thermal.HW.TotalSolar.Solar</t>
  </si>
  <si>
    <t>TES.ktoe.MT.Ser.BldNew.Thermal.CA</t>
  </si>
  <si>
    <t>TES.ktoe.MT.Ser.BldNew.Thermal.CA.LPG</t>
  </si>
  <si>
    <t>TES.ktoe.MT.Ser.BldNew.Thermal.CA.Gas.NG_Biogas</t>
  </si>
  <si>
    <t>TES.ktoe.MT.Ser.BldNew.Thermal.CA.Biomass.Biomass_Waste</t>
  </si>
  <si>
    <t>TES.ktoe.MT.Ser.BldNew.Thermal.CA.Elc.Elec</t>
  </si>
  <si>
    <t>MT - System efficiency indicator of new and renovated buildings</t>
  </si>
  <si>
    <t>Eff.ratio.MT.Ser.BldNew.Thermal</t>
  </si>
  <si>
    <t>Eff.ratio.MT.Ser.BldNew.Thermal.SH</t>
  </si>
  <si>
    <t>Eff.ratio.MT.Ser.BldNew.Thermal.SH.Solids.Solids</t>
  </si>
  <si>
    <t>Eff.ratio.MT.Ser.BldNew.Thermal.SH.LPG.LPG</t>
  </si>
  <si>
    <t>Eff.ratio.MT.Ser.BldNew.Thermal.SH.Oil.Oil_LiqBio</t>
  </si>
  <si>
    <t>Eff.ratio.MT.Ser.BldNew.Thermal.SH.GasHP.NG_Biogas</t>
  </si>
  <si>
    <t>Eff.ratio.MT.Ser.BldNew.Thermal.SH.GasTH.NG_Biogas</t>
  </si>
  <si>
    <t>Eff.ratio.MT.Ser.BldNew.Thermal.SH.Biomass.Biomass_Waste</t>
  </si>
  <si>
    <t>Eff.ratio.MT.Ser.BldNew.Thermal.SH.Geo.Geo</t>
  </si>
  <si>
    <t>Eff.ratio.MT.Ser.BldNew.Thermal.SH.DistrHeat.Steam_Distr</t>
  </si>
  <si>
    <t>Eff.ratio.MT.Ser.BldNew.Thermal.SH.AdvElc.Elec</t>
  </si>
  <si>
    <t>Eff.ratio.MT.Ser.BldNew.Thermal.SH.ConvElc.Elec</t>
  </si>
  <si>
    <t>Eff.ratio.MT.Ser.BldNew.Thermal.SH.TotalCirculation.Elec</t>
  </si>
  <si>
    <t>Eff.ratio.MT.Ser.BldNew.Thermal.SC</t>
  </si>
  <si>
    <t>Eff.ratio.MT.Ser.BldNew.Thermal.SC.GasHP.NG_Biogas</t>
  </si>
  <si>
    <t>Eff.ratio.MT.Ser.BldNew.Thermal.SC.AC.Elec</t>
  </si>
  <si>
    <t>Eff.ratio.MT.Ser.BldNew.Thermal.HW</t>
  </si>
  <si>
    <t>Eff.ratio.MT.Ser.BldNew.Thermal.HW.Solids.Solids</t>
  </si>
  <si>
    <t>Eff.ratio.MT.Ser.BldNew.Thermal.HW.LPG.LPG</t>
  </si>
  <si>
    <t>Eff.ratio.MT.Ser.BldNew.Thermal.HW.Oil.Oil_LiqBio</t>
  </si>
  <si>
    <t>Eff.ratio.MT.Ser.BldNew.Thermal.HW.Gas.NG_Biogas</t>
  </si>
  <si>
    <t>Eff.ratio.MT.Ser.BldNew.Thermal.HW.Biomass.Biomass_Waste</t>
  </si>
  <si>
    <t>Eff.ratio.MT.Ser.BldNew.Thermal.HW.DistrHeat.Steam_Distr</t>
  </si>
  <si>
    <t>Eff.ratio.MT.Ser.BldNew.Thermal.HW.Elc.Elec</t>
  </si>
  <si>
    <t>Eff.ratio.MT.Ser.BldNew.Thermal.HW.TotalSolar.Solar</t>
  </si>
  <si>
    <t>Eff.ratio.MT.Ser.BldNew.Thermal.CA</t>
  </si>
  <si>
    <t>Eff.ratio.MT.Ser.BldNew.Thermal.CA.LPG</t>
  </si>
  <si>
    <t>Eff.ratio.MT.Ser.BldNew.Thermal.CA.Gas.NG_Biogas</t>
  </si>
  <si>
    <t>Eff.ratio.MT.Ser.BldNew.Thermal.CA.Biomass.Biomass_Waste</t>
  </si>
  <si>
    <t>Eff.ratio.MT.Ser.BldNew.Thermal.CA.Elc.Elec</t>
  </si>
  <si>
    <t>MT - CO2 emissions in new and renovated buildings</t>
  </si>
  <si>
    <t>EMI.ktCO2.MT.Ser.BldNew.Thermal</t>
  </si>
  <si>
    <t>EMI.ktCO2.MT.Ser.BldNew.Thermal.SH</t>
  </si>
  <si>
    <t>EMI.ktCO2.MT.Ser.BldNew.Thermal.SH.Solids.Solids</t>
  </si>
  <si>
    <t>EMI.ktCO2.MT.Ser.BldNew.Thermal.SH.LPG.LPG</t>
  </si>
  <si>
    <t>EMI.ktCO2.MT.Ser.BldNew.Thermal.SH.Oil.Oil_LiqBio</t>
  </si>
  <si>
    <t>EMI.ktCO2.MT.Ser.BldNew.Thermal.SH.GasHP.NG_Biogas</t>
  </si>
  <si>
    <t>EMI.ktCO2.MT.Ser.BldNew.Thermal.SH.GasTH.NG_Biogas</t>
  </si>
  <si>
    <t>EMI.ktCO2.MT.Ser.BldNew.Thermal.SH.Biomass.Biomass_Waste</t>
  </si>
  <si>
    <t>EMI.ktCO2.MT.Ser.BldNew.Thermal.SH.Geo.Geo</t>
  </si>
  <si>
    <t>EMI.ktCO2.MT.Ser.BldNew.Thermal.SH.DistrHeat.Steam_Distr</t>
  </si>
  <si>
    <t>EMI.ktCO2.MT.Ser.BldNew.Thermal.SH.AdvElc.Elec</t>
  </si>
  <si>
    <t>EMI.ktCO2.MT.Ser.BldNew.Thermal.SH.ConvElc.Elec</t>
  </si>
  <si>
    <t>EMI.ktCO2.MT.Ser.BldNew.Thermal.SH.TotalCirculation.Elec</t>
  </si>
  <si>
    <t>EMI.ktCO2.MT.Ser.BldNew.Thermal.SC</t>
  </si>
  <si>
    <t>EMI.ktCO2.MT.Ser.BldNew.Thermal.SC.GasHP.NG_Biogas</t>
  </si>
  <si>
    <t>EMI.ktCO2.MT.Ser.BldNew.Thermal.SC.AC.Elec</t>
  </si>
  <si>
    <t>EMI.ktCO2.MT.Ser.BldNew.Thermal.HW</t>
  </si>
  <si>
    <t>EMI.ktCO2.MT.Ser.BldNew.Thermal.HW.Solids.Solids</t>
  </si>
  <si>
    <t>EMI.ktCO2.MT.Ser.BldNew.Thermal.HW.LPG.LPG</t>
  </si>
  <si>
    <t>EMI.ktCO2.MT.Ser.BldNew.Thermal.HW.Oil.Oil_LiqBio</t>
  </si>
  <si>
    <t>EMI.ktCO2.MT.Ser.BldNew.Thermal.HW.Gas.NG_Biogas</t>
  </si>
  <si>
    <t>EMI.ktCO2.MT.Ser.BldNew.Thermal.HW.Biomass.Biomass_Waste</t>
  </si>
  <si>
    <t>EMI.ktCO2.MT.Ser.BldNew.Thermal.HW.DistrHeat.Steam_Distr</t>
  </si>
  <si>
    <t>EMI.ktCO2.MT.Ser.BldNew.Thermal.HW.Elc.Elec</t>
  </si>
  <si>
    <t>EMI.ktCO2.MT.Ser.BldNew.Thermal.HW.TotalSolar.Solar</t>
  </si>
  <si>
    <t>EMI.ktCO2.MT.Ser.BldNew.Thermal.CA</t>
  </si>
  <si>
    <t>EMI.ktCO2.MT.Ser.BldNew.Thermal.CA.LPG</t>
  </si>
  <si>
    <t>EMI.ktCO2.MT.Ser.BldNew.Thermal.CA.Gas.NG_Biogas</t>
  </si>
  <si>
    <t>EMI.ktCO2.MT.Ser.BldNew.Thermal.CA.Biomass.Biomass_Waste</t>
  </si>
  <si>
    <t>EMI.ktCO2.MT.Ser.BldNew.Thermal.CA.Elc.Elec</t>
  </si>
  <si>
    <t>MT - Final energy consumption of new and renovated buildings (per building)</t>
  </si>
  <si>
    <t>FEC_per_building.kWh.MT.Ser.BldNew.Thermal</t>
  </si>
  <si>
    <t>FEC_per_building.kWh.MT.Ser.BldNew.Thermal.SH</t>
  </si>
  <si>
    <t>FEC_per_building.kWh.MT.Ser.BldNew.Thermal.SH.Solids.Solids</t>
  </si>
  <si>
    <t>FEC_per_building.kWh.MT.Ser.BldNew.Thermal.SH.LPG.LPG</t>
  </si>
  <si>
    <t>FEC_per_building.kWh.MT.Ser.BldNew.Thermal.SH.Oil.Oil_LiqBio</t>
  </si>
  <si>
    <t>FEC_per_building.kWh.MT.Ser.BldNew.Thermal.SH.GasHP.NG_Biogas</t>
  </si>
  <si>
    <t>FEC_per_building.kWh.MT.Ser.BldNew.Thermal.SH.GasTH.NG_Biogas</t>
  </si>
  <si>
    <t>FEC_per_building.kWh.MT.Ser.BldNew.Thermal.SH.Biomass.Biomass_Waste</t>
  </si>
  <si>
    <t>FEC_per_building.kWh.MT.Ser.BldNew.Thermal.SH.Geo.Geo</t>
  </si>
  <si>
    <t>FEC_per_building.kWh.MT.Ser.BldNew.Thermal.SH.DistrHeat.Steam_Distr</t>
  </si>
  <si>
    <t>FEC_per_building.kWh.MT.Ser.BldNew.Thermal.SH.AdvElc.Elec</t>
  </si>
  <si>
    <t>FEC_per_building.kWh.MT.Ser.BldNew.Thermal.SH.ConvElc.Elec</t>
  </si>
  <si>
    <t>FEC_per_building.kWh.MT.Ser.BldNew.Thermal.SH.TotalCirculation.Elec</t>
  </si>
  <si>
    <t>FEC_per_building.kWh.MT.Ser.BldNew.Thermal.SC</t>
  </si>
  <si>
    <t>FEC_per_building.kWh.MT.Ser.BldNew.Thermal.SC.GasHP.NG_Biogas</t>
  </si>
  <si>
    <t>FEC_per_building.kWh.MT.Ser.BldNew.Thermal.SC.AC.Elec</t>
  </si>
  <si>
    <t>FEC_per_building.kWh.MT.Ser.BldNew.Thermal.HW</t>
  </si>
  <si>
    <t>FEC_per_building.kWh.MT.Ser.BldNew.Thermal.HW.Solids.Solids</t>
  </si>
  <si>
    <t>FEC_per_building.kWh.MT.Ser.BldNew.Thermal.HW.LPG.LPG</t>
  </si>
  <si>
    <t>FEC_per_building.kWh.MT.Ser.BldNew.Thermal.HW.Oil.Oil_LiqBio</t>
  </si>
  <si>
    <t>FEC_per_building.kWh.MT.Ser.BldNew.Thermal.HW.Gas.NG_Biogas</t>
  </si>
  <si>
    <t>FEC_per_building.kWh.MT.Ser.BldNew.Thermal.HW.Biomass.Biomass_Waste</t>
  </si>
  <si>
    <t>FEC_per_building.kWh.MT.Ser.BldNew.Thermal.HW.DistrHeat.Steam_Distr</t>
  </si>
  <si>
    <t>FEC_per_building.kWh.MT.Ser.BldNew.Thermal.HW.Elc.Elec</t>
  </si>
  <si>
    <t>FEC_per_building.kWh.MT.Ser.BldNew.Thermal.HW.TotalSolar.Solar</t>
  </si>
  <si>
    <t>FEC_per_building.kWh.MT.Ser.BldNew.Thermal.CA</t>
  </si>
  <si>
    <t>FEC_per_building.kWh.MT.Ser.BldNew.Thermal.CA.LPG</t>
  </si>
  <si>
    <t>FEC_per_building.kWh.MT.Ser.BldNew.Thermal.CA.Gas.NG_Biogas</t>
  </si>
  <si>
    <t>FEC_per_building.kWh.MT.Ser.BldNew.Thermal.CA.Biomass.Biomass_Waste</t>
  </si>
  <si>
    <t>FEC_per_building.kWh.MT.Ser.BldNew.Thermal.CA.Elc.Elec</t>
  </si>
  <si>
    <t>MT - Thermal energy service of new and renovated buildings (per building)</t>
  </si>
  <si>
    <t>TES_per_building.kWh.MT.Ser.BldNew.Thermal</t>
  </si>
  <si>
    <t>TES_per_building.kWh.MT.Ser.BldNew.Thermal.SH</t>
  </si>
  <si>
    <t>TES_per_building.kWh.MT.Ser.BldNew.Thermal.SH.Solids.Solids</t>
  </si>
  <si>
    <t>TES_per_building.kWh.MT.Ser.BldNew.Thermal.SH.LPG.LPG</t>
  </si>
  <si>
    <t>TES_per_building.kWh.MT.Ser.BldNew.Thermal.SH.Oil.Oil_LiqBio</t>
  </si>
  <si>
    <t>TES_per_building.kWh.MT.Ser.BldNew.Thermal.SH.GasHP.NG_Biogas</t>
  </si>
  <si>
    <t>TES_per_building.kWh.MT.Ser.BldNew.Thermal.SH.GasTH.NG_Biogas</t>
  </si>
  <si>
    <t>TES_per_building.kWh.MT.Ser.BldNew.Thermal.SH.Biomass.Biomass_Waste</t>
  </si>
  <si>
    <t>TES_per_building.kWh.MT.Ser.BldNew.Thermal.SH.Geo.Geo</t>
  </si>
  <si>
    <t>TES_per_building.kWh.MT.Ser.BldNew.Thermal.SH.DistrHeat.Steam_Distr</t>
  </si>
  <si>
    <t>TES_per_building.kWh.MT.Ser.BldNew.Thermal.SH.AdvElc.Elec</t>
  </si>
  <si>
    <t>TES_per_building.kWh.MT.Ser.BldNew.Thermal.SH.ConvElc.Elec</t>
  </si>
  <si>
    <t>TES_per_building.kWh.MT.Ser.BldNew.Thermal.SH.TotalCirculation.Elec</t>
  </si>
  <si>
    <t>TES_per_building.kWh.MT.Ser.BldNew.Thermal.SC</t>
  </si>
  <si>
    <t>TES_per_building.kWh.MT.Ser.BldNew.Thermal.SC.GasHP.NG_Biogas</t>
  </si>
  <si>
    <t>TES_per_building.kWh.MT.Ser.BldNew.Thermal.SC.AC.Elec</t>
  </si>
  <si>
    <t>TES_per_building.kWh.MT.Ser.BldNew.Thermal.HW</t>
  </si>
  <si>
    <t>TES_per_building.kWh.MT.Ser.BldNew.Thermal.HW.Solids.Solids</t>
  </si>
  <si>
    <t>TES_per_building.kWh.MT.Ser.BldNew.Thermal.HW.LPG.LPG</t>
  </si>
  <si>
    <t>TES_per_building.kWh.MT.Ser.BldNew.Thermal.HW.Oil.Oil_LiqBio</t>
  </si>
  <si>
    <t>TES_per_building.kWh.MT.Ser.BldNew.Thermal.HW.Gas.NG_Biogas</t>
  </si>
  <si>
    <t>TES_per_building.kWh.MT.Ser.BldNew.Thermal.HW.Biomass.Biomass_Waste</t>
  </si>
  <si>
    <t>TES_per_building.kWh.MT.Ser.BldNew.Thermal.HW.DistrHeat.Steam_Distr</t>
  </si>
  <si>
    <t>TES_per_building.kWh.MT.Ser.BldNew.Thermal.HW.Elc.Elec</t>
  </si>
  <si>
    <t>TES_per_building.kWh.MT.Ser.BldNew.Thermal.HW.TotalSolar.Solar</t>
  </si>
  <si>
    <t>TES_per_building.kWh.MT.Ser.BldNew.Thermal.CA</t>
  </si>
  <si>
    <t>TES_per_building.kWh.MT.Ser.BldNew.Thermal.CA.LPG</t>
  </si>
  <si>
    <t>TES_per_building.kWh.MT.Ser.BldNew.Thermal.CA.Gas.NG_Biogas</t>
  </si>
  <si>
    <t>TES_per_building.kWh.MT.Ser.BldNew.Thermal.CA.Biomass.Biomass_Waste</t>
  </si>
  <si>
    <t>TES_per_building.kWh.MT.Ser.BldNew.Thermal.CA.Elc.Elec</t>
  </si>
  <si>
    <t>MT - CO2 emissions in new and renovated buildings (per building)</t>
  </si>
  <si>
    <t>EMI_per_building.kgCO2.MT.Ser.BldNew.Thermal</t>
  </si>
  <si>
    <t>EMI_per_building.kgCO2.MT.Ser.BldNew.Thermal.SH</t>
  </si>
  <si>
    <t>EMI_per_building.kgCO2.MT.Ser.BldNew.Thermal.SH.Solids.Solids</t>
  </si>
  <si>
    <t>EMI_per_building.kgCO2.MT.Ser.BldNew.Thermal.SH.LPG.LPG</t>
  </si>
  <si>
    <t>EMI_per_building.kgCO2.MT.Ser.BldNew.Thermal.SH.Oil.Oil_LiqBio</t>
  </si>
  <si>
    <t>EMI_per_building.kgCO2.MT.Ser.BldNew.Thermal.SH.GasHP.NG_Biogas</t>
  </si>
  <si>
    <t>EMI_per_building.kgCO2.MT.Ser.BldNew.Thermal.SH.GasTH.NG_Biogas</t>
  </si>
  <si>
    <t>EMI_per_building.kgCO2.MT.Ser.BldNew.Thermal.SH.Biomass.Biomass_Waste</t>
  </si>
  <si>
    <t>EMI_per_building.kgCO2.MT.Ser.BldNew.Thermal.SH.Geo.Geo</t>
  </si>
  <si>
    <t>EMI_per_building.kgCO2.MT.Ser.BldNew.Thermal.SH.DistrHeat.Steam_Distr</t>
  </si>
  <si>
    <t>EMI_per_building.kgCO2.MT.Ser.BldNew.Thermal.SH.AdvElc.Elec</t>
  </si>
  <si>
    <t>EMI_per_building.kgCO2.MT.Ser.BldNew.Thermal.SH.ConvElc.Elec</t>
  </si>
  <si>
    <t>EMI_per_building.kgCO2.MT.Ser.BldNew.Thermal.SH.TotalCirculation.Elec</t>
  </si>
  <si>
    <t>EMI_per_building.kgCO2.MT.Ser.BldNew.Thermal.SC</t>
  </si>
  <si>
    <t>EMI_per_building.kgCO2.MT.Ser.BldNew.Thermal.SC.GasHP.NG_Biogas</t>
  </si>
  <si>
    <t>EMI_per_building.kgCO2.MT.Ser.BldNew.Thermal.SC.AC.Elec</t>
  </si>
  <si>
    <t>EMI_per_building.kgCO2.MT.Ser.BldNew.Thermal.HW</t>
  </si>
  <si>
    <t>EMI_per_building.kgCO2.MT.Ser.BldNew.Thermal.HW.Solids.Solids</t>
  </si>
  <si>
    <t>EMI_per_building.kgCO2.MT.Ser.BldNew.Thermal.HW.LPG.LPG</t>
  </si>
  <si>
    <t>EMI_per_building.kgCO2.MT.Ser.BldNew.Thermal.HW.Oil.Oil_LiqBio</t>
  </si>
  <si>
    <t>EMI_per_building.kgCO2.MT.Ser.BldNew.Thermal.HW.Gas.NG_Biogas</t>
  </si>
  <si>
    <t>EMI_per_building.kgCO2.MT.Ser.BldNew.Thermal.HW.Biomass.Biomass_Waste</t>
  </si>
  <si>
    <t>EMI_per_building.kgCO2.MT.Ser.BldNew.Thermal.HW.DistrHeat.Steam_Distr</t>
  </si>
  <si>
    <t>EMI_per_building.kgCO2.MT.Ser.BldNew.Thermal.HW.Elc.Elec</t>
  </si>
  <si>
    <t>EMI_per_building.kgCO2.MT.Ser.BldNew.Thermal.HW.TotalSolar.Solar</t>
  </si>
  <si>
    <t>EMI_per_building.kgCO2.MT.Ser.BldNew.Thermal.CA</t>
  </si>
  <si>
    <t>EMI_per_building.kgCO2.MT.Ser.BldNew.Thermal.CA.LPG</t>
  </si>
  <si>
    <t>EMI_per_building.kgCO2.MT.Ser.BldNew.Thermal.CA.Gas.NG_Biogas</t>
  </si>
  <si>
    <t>EMI_per_building.kgCO2.MT.Ser.BldNew.Thermal.CA.Biomass.Biomass_Waste</t>
  </si>
  <si>
    <t>EMI_per_building.kgCO2.MT.Ser.BldNew.Thermal.CA.Elc.Elec</t>
  </si>
  <si>
    <t>MT - Final energy consumption in new and renovated buildings per surface area</t>
  </si>
  <si>
    <t>FEC_per_sqm.kWh.MT.Ser.BldNew.Thermal</t>
  </si>
  <si>
    <t>FEC_per_sqm.kWh.MT.Ser.BldNew.Thermal.SH</t>
  </si>
  <si>
    <t>FEC_per_sqm.kWh.MT.Ser.BldNew.Thermal.SH.Solids.Solids</t>
  </si>
  <si>
    <t>FEC_per_sqm.kWh.MT.Ser.BldNew.Thermal.SH.LPG.LPG</t>
  </si>
  <si>
    <t>FEC_per_sqm.kWh.MT.Ser.BldNew.Thermal.SH.Oil.Oil_LiqBio</t>
  </si>
  <si>
    <t>FEC_per_sqm.kWh.MT.Ser.BldNew.Thermal.SH.GasHP.NG_Biogas</t>
  </si>
  <si>
    <t>FEC_per_sqm.kWh.MT.Ser.BldNew.Thermal.SH.GasTH.NG_Biogas</t>
  </si>
  <si>
    <t>FEC_per_sqm.kWh.MT.Ser.BldNew.Thermal.SH.Biomass.Biomass_Waste</t>
  </si>
  <si>
    <t>FEC_per_sqm.kWh.MT.Ser.BldNew.Thermal.SH.Geo.Geo</t>
  </si>
  <si>
    <t>FEC_per_sqm.kWh.MT.Ser.BldNew.Thermal.SH.DistrHeat.Steam_Distr</t>
  </si>
  <si>
    <t>FEC_per_sqm.kWh.MT.Ser.BldNew.Thermal.SH.AdvElc.Elec</t>
  </si>
  <si>
    <t>FEC_per_sqm.kWh.MT.Ser.BldNew.Thermal.SH.ConvElc.Elec</t>
  </si>
  <si>
    <t>FEC_per_sqm.kWh.MT.Ser.BldNew.Thermal.SH.TotalCirculation.Elec</t>
  </si>
  <si>
    <t>FEC_per_sqm.kWh.MT.Ser.BldNew.Thermal.SC</t>
  </si>
  <si>
    <t>FEC_per_sqm.kWh.MT.Ser.BldNew.Thermal.SC.GasHP.NG_Biogas</t>
  </si>
  <si>
    <t>FEC_per_sqm.kWh.MT.Ser.BldNew.Thermal.SC.AC.Elec</t>
  </si>
  <si>
    <t>FEC_per_sqm.kWh.MT.Ser.BldNew.Thermal.HW</t>
  </si>
  <si>
    <t>FEC_per_sqm.kWh.MT.Ser.BldNew.Thermal.HW.Solids.Solids</t>
  </si>
  <si>
    <t>FEC_per_sqm.kWh.MT.Ser.BldNew.Thermal.HW.LPG.LPG</t>
  </si>
  <si>
    <t>FEC_per_sqm.kWh.MT.Ser.BldNew.Thermal.HW.Oil.Oil_LiqBio</t>
  </si>
  <si>
    <t>FEC_per_sqm.kWh.MT.Ser.BldNew.Thermal.HW.Gas.NG_Biogas</t>
  </si>
  <si>
    <t>FEC_per_sqm.kWh.MT.Ser.BldNew.Thermal.HW.Biomass.Biomass_Waste</t>
  </si>
  <si>
    <t>FEC_per_sqm.kWh.MT.Ser.BldNew.Thermal.HW.DistrHeat.Steam_Distr</t>
  </si>
  <si>
    <t>FEC_per_sqm.kWh.MT.Ser.BldNew.Thermal.HW.Elc.Elec</t>
  </si>
  <si>
    <t>FEC_per_sqm.kWh.MT.Ser.BldNew.Thermal.HW.TotalSolar.Solar</t>
  </si>
  <si>
    <t>FEC_per_sqm.kWh.MT.Ser.BldNew.Thermal.CA</t>
  </si>
  <si>
    <t>FEC_per_sqm.kWh.MT.Ser.BldNew.Thermal.CA.LPG</t>
  </si>
  <si>
    <t>FEC_per_sqm.kWh.MT.Ser.BldNew.Thermal.CA.Gas.NG_Biogas</t>
  </si>
  <si>
    <t>FEC_per_sqm.kWh.MT.Ser.BldNew.Thermal.CA.Biomass.Biomass_Waste</t>
  </si>
  <si>
    <t>FEC_per_sqm.kWh.MT.Ser.BldNew.Thermal.CA.Elc.Elec</t>
  </si>
  <si>
    <t>MT - Thermal energy service in new and renovated buildings per surface area</t>
  </si>
  <si>
    <t>TES_per_sqm.kWh.MT.Ser.BldNew.Thermal</t>
  </si>
  <si>
    <t>TES_per_sqm.kWh.MT.Ser.BldNew.Thermal.SH</t>
  </si>
  <si>
    <t>TES_per_sqm.kWh.MT.Ser.BldNew.Thermal.SH.Solids.Solids</t>
  </si>
  <si>
    <t>TES_per_sqm.kWh.MT.Ser.BldNew.Thermal.SH.LPG.LPG</t>
  </si>
  <si>
    <t>TES_per_sqm.kWh.MT.Ser.BldNew.Thermal.SH.Oil.Oil_LiqBio</t>
  </si>
  <si>
    <t>TES_per_sqm.kWh.MT.Ser.BldNew.Thermal.SH.GasHP.NG_Biogas</t>
  </si>
  <si>
    <t>TES_per_sqm.kWh.MT.Ser.BldNew.Thermal.SH.GasTH.NG_Biogas</t>
  </si>
  <si>
    <t>TES_per_sqm.kWh.MT.Ser.BldNew.Thermal.SH.Biomass.Biomass_Waste</t>
  </si>
  <si>
    <t>TES_per_sqm.kWh.MT.Ser.BldNew.Thermal.SH.Geo.Geo</t>
  </si>
  <si>
    <t>TES_per_sqm.kWh.MT.Ser.BldNew.Thermal.SH.DistrHeat.Steam_Distr</t>
  </si>
  <si>
    <t>TES_per_sqm.kWh.MT.Ser.BldNew.Thermal.SH.AdvElc.Elec</t>
  </si>
  <si>
    <t>TES_per_sqm.kWh.MT.Ser.BldNew.Thermal.SH.ConvElc.Elec</t>
  </si>
  <si>
    <t>TES_per_sqm.kWh.MT.Ser.BldNew.Thermal.SH.TotalCirculation.Elec</t>
  </si>
  <si>
    <t>TES_per_sqm.kWh.MT.Ser.BldNew.Thermal.SC</t>
  </si>
  <si>
    <t>TES_per_sqm.kWh.MT.Ser.BldNew.Thermal.SC.GasHP.NG_Biogas</t>
  </si>
  <si>
    <t>TES_per_sqm.kWh.MT.Ser.BldNew.Thermal.SC.AC.Elec</t>
  </si>
  <si>
    <t>TES_per_sqm.kWh.MT.Ser.BldNew.Thermal.HW</t>
  </si>
  <si>
    <t>TES_per_sqm.kWh.MT.Ser.BldNew.Thermal.HW.Solids.Solids</t>
  </si>
  <si>
    <t>TES_per_sqm.kWh.MT.Ser.BldNew.Thermal.HW.LPG.LPG</t>
  </si>
  <si>
    <t>TES_per_sqm.kWh.MT.Ser.BldNew.Thermal.HW.Oil.Oil_LiqBio</t>
  </si>
  <si>
    <t>TES_per_sqm.kWh.MT.Ser.BldNew.Thermal.HW.Gas.NG_Biogas</t>
  </si>
  <si>
    <t>TES_per_sqm.kWh.MT.Ser.BldNew.Thermal.HW.Biomass.Biomass_Waste</t>
  </si>
  <si>
    <t>TES_per_sqm.kWh.MT.Ser.BldNew.Thermal.HW.DistrHeat.Steam_Distr</t>
  </si>
  <si>
    <t>TES_per_sqm.kWh.MT.Ser.BldNew.Thermal.HW.Elc.Elec</t>
  </si>
  <si>
    <t>TES_per_sqm.kWh.MT.Ser.BldNew.Thermal.HW.TotalSolar.Solar</t>
  </si>
  <si>
    <t>TES_per_sqm.kWh.MT.Ser.BldNew.Thermal.CA</t>
  </si>
  <si>
    <t>TES_per_sqm.kWh.MT.Ser.BldNew.Thermal.CA.LPG</t>
  </si>
  <si>
    <t>TES_per_sqm.kWh.MT.Ser.BldNew.Thermal.CA.Gas.NG_Biogas</t>
  </si>
  <si>
    <t>TES_per_sqm.kWh.MT.Ser.BldNew.Thermal.CA.Biomass.Biomass_Waste</t>
  </si>
  <si>
    <t>TES_per_sqm.kWh.MT.Ser.BldNew.Thermal.CA.Elc.Elec</t>
  </si>
  <si>
    <t>MT - CO2 emissions in new and renovated buildings per surface area</t>
  </si>
  <si>
    <t>EMI_per_sqm.kgCO2.MT.Ser.BldNew.Thermal</t>
  </si>
  <si>
    <t>EMI_per_sqm.kgCO2.MT.Ser.BldNew.Thermal.SH</t>
  </si>
  <si>
    <t>EMI_per_sqm.kgCO2.MT.Ser.BldNew.Thermal.SH.Solids.Solids</t>
  </si>
  <si>
    <t>EMI_per_sqm.kgCO2.MT.Ser.BldNew.Thermal.SH.LPG.LPG</t>
  </si>
  <si>
    <t>EMI_per_sqm.kgCO2.MT.Ser.BldNew.Thermal.SH.Oil.Oil_LiqBio</t>
  </si>
  <si>
    <t>EMI_per_sqm.kgCO2.MT.Ser.BldNew.Thermal.SH.GasHP.NG_Biogas</t>
  </si>
  <si>
    <t>EMI_per_sqm.kgCO2.MT.Ser.BldNew.Thermal.SH.GasTH.NG_Biogas</t>
  </si>
  <si>
    <t>EMI_per_sqm.kgCO2.MT.Ser.BldNew.Thermal.SH.Biomass.Biomass_Waste</t>
  </si>
  <si>
    <t>EMI_per_sqm.kgCO2.MT.Ser.BldNew.Thermal.SH.Geo.Geo</t>
  </si>
  <si>
    <t>EMI_per_sqm.kgCO2.MT.Ser.BldNew.Thermal.SH.DistrHeat.Steam_Distr</t>
  </si>
  <si>
    <t>EMI_per_sqm.kgCO2.MT.Ser.BldNew.Thermal.SH.AdvElc.Elec</t>
  </si>
  <si>
    <t>EMI_per_sqm.kgCO2.MT.Ser.BldNew.Thermal.SH.ConvElc.Elec</t>
  </si>
  <si>
    <t>EMI_per_sqm.kgCO2.MT.Ser.BldNew.Thermal.SH.TotalCirculation.Elec</t>
  </si>
  <si>
    <t>EMI_per_sqm.kgCO2.MT.Ser.BldNew.Thermal.SC</t>
  </si>
  <si>
    <t>EMI_per_sqm.kgCO2.MT.Ser.BldNew.Thermal.SC.GasHP.NG_Biogas</t>
  </si>
  <si>
    <t>EMI_per_sqm.kgCO2.MT.Ser.BldNew.Thermal.SC.AC.Elec</t>
  </si>
  <si>
    <t>EMI_per_sqm.kgCO2.MT.Ser.BldNew.Thermal.HW</t>
  </si>
  <si>
    <t>EMI_per_sqm.kgCO2.MT.Ser.BldNew.Thermal.HW.Solids.Solids</t>
  </si>
  <si>
    <t>EMI_per_sqm.kgCO2.MT.Ser.BldNew.Thermal.HW.LPG.LPG</t>
  </si>
  <si>
    <t>EMI_per_sqm.kgCO2.MT.Ser.BldNew.Thermal.HW.Oil.Oil_LiqBio</t>
  </si>
  <si>
    <t>EMI_per_sqm.kgCO2.MT.Ser.BldNew.Thermal.HW.Gas.NG_Biogas</t>
  </si>
  <si>
    <t>EMI_per_sqm.kgCO2.MT.Ser.BldNew.Thermal.HW.Biomass.Biomass_Waste</t>
  </si>
  <si>
    <t>EMI_per_sqm.kgCO2.MT.Ser.BldNew.Thermal.HW.DistrHeat.Steam_Distr</t>
  </si>
  <si>
    <t>EMI_per_sqm.kgCO2.MT.Ser.BldNew.Thermal.HW.Elc.Elec</t>
  </si>
  <si>
    <t>EMI_per_sqm.kgCO2.MT.Ser.BldNew.Thermal.HW.TotalSolar.Solar</t>
  </si>
  <si>
    <t>EMI_per_sqm.kgCO2.MT.Ser.BldNew.Thermal.CA</t>
  </si>
  <si>
    <t>EMI_per_sqm.kgCO2.MT.Ser.BldNew.Thermal.CA.LPG</t>
  </si>
  <si>
    <t>EMI_per_sqm.kgCO2.MT.Ser.BldNew.Thermal.CA.Gas.NG_Biogas</t>
  </si>
  <si>
    <t>EMI_per_sqm.kgCO2.MT.Ser.BldNew.Thermal.CA.Biomass.Biomass_Waste</t>
  </si>
  <si>
    <t>EMI_per_sqm.kgCO2.MT.Ser.BldNew.Thermal.CA.Elc.Elec</t>
  </si>
  <si>
    <t>FEC.ktoe.MT.Ser.SEU.VE</t>
  </si>
  <si>
    <t>FEC.ktoe.MT.Ser.SEU.SL</t>
  </si>
  <si>
    <t>FEC.ktoe.MT.Ser.SEU.BL</t>
  </si>
  <si>
    <t>FEC.ktoe.MT.Ser.SEU.CR</t>
  </si>
  <si>
    <t>FEC.ktoe.MT.Ser.SEU.BT</t>
  </si>
  <si>
    <t>FEC.ktoe.MT.Ser.SEU.IT</t>
  </si>
  <si>
    <t>Size.MW.MT.Ser.SEU</t>
  </si>
  <si>
    <t>Size.MW.MT.Ser.SEU.VE</t>
  </si>
  <si>
    <t>Size.MW.MT.Ser.SEU.SL</t>
  </si>
  <si>
    <t>Size.MW.MT.Ser.SEU.BL</t>
  </si>
  <si>
    <t>Size.MW.MT.Ser.SEU.CR</t>
  </si>
  <si>
    <t>Size.MW.MT.Ser.SEU.BT</t>
  </si>
  <si>
    <t>Size.MW.MT.Ser.SEU.IT</t>
  </si>
  <si>
    <t>NUM.Msqm.MT.Ser.SEU.VE</t>
  </si>
  <si>
    <t>NUM.k.MT.Ser.SEU.SL</t>
  </si>
  <si>
    <t>NUM.M.MT.Ser.SEU.BL</t>
  </si>
  <si>
    <t>NUM.k.MT.Ser.SEU.CR</t>
  </si>
  <si>
    <t>NUM.Msqm.MT.Ser.SEU.BT</t>
  </si>
  <si>
    <t>NUM.k.MT.Ser.SEU.IT</t>
  </si>
  <si>
    <t>NUM.Msqm.MT.Ser.SEUnew.VE</t>
  </si>
  <si>
    <t>NUM.k.MT.Ser.SEUnew.SL</t>
  </si>
  <si>
    <t>NUM.M.MT.Ser.SEUnew.BL</t>
  </si>
  <si>
    <t>NUM.k.MT.Ser.SEUnew.CR</t>
  </si>
  <si>
    <t>NUM.Msqm.MT.Ser.SEUnew.BT</t>
  </si>
  <si>
    <t>NUM.k.MT.Ser.SEUnew.IT</t>
  </si>
  <si>
    <t>NUM.Msqm.MT.Ser.SEUrepl.VE</t>
  </si>
  <si>
    <t>NUM.k.MT.Ser.SEUrepl.SL</t>
  </si>
  <si>
    <t>NUM.M.MT.Ser.SEUrepl.BL</t>
  </si>
  <si>
    <t>NUM.k.MT.Ser.SEUrepl.CR</t>
  </si>
  <si>
    <t>NUM.Msqm.MT.Ser.SEUrepl.BT</t>
  </si>
  <si>
    <t>NUM.k.MT.Ser.SEUrepl.IT</t>
  </si>
  <si>
    <t>Op.hours.MT.Ser.SEU.VE</t>
  </si>
  <si>
    <t>Op.hours.MT.Ser.SEU.SL</t>
  </si>
  <si>
    <t>Op.hours.MT.Ser.SEU.BL</t>
  </si>
  <si>
    <t>Op.hours.MT.Ser.SEU.CR</t>
  </si>
  <si>
    <t>Op.hours.MT.Ser.SEU.BT</t>
  </si>
  <si>
    <t>Op.hours.MT.Ser.SEU.IT</t>
  </si>
  <si>
    <t>Size_per_appl.W.MT.Ser.SEU.VE</t>
  </si>
  <si>
    <t>Size_per_appl.W.MT.Ser.SEU.SL</t>
  </si>
  <si>
    <t>Size_per_appl.W.MT.Ser.SEU.BL</t>
  </si>
  <si>
    <t>Size_per_appl.W.MT.Ser.SEU.CR</t>
  </si>
  <si>
    <t>Size_per_appl.W.MT.Ser.SEU.BT</t>
  </si>
  <si>
    <t>Size_per_appl.W.MT.Ser.SEU.IT</t>
  </si>
  <si>
    <t>Size_per_appl.W.MT.Ser.SEUnew.VE</t>
  </si>
  <si>
    <t>Size_per_appl.W.MT.Ser.SEUnew.SL</t>
  </si>
  <si>
    <t>Size_per_appl.W.MT.Ser.SEUnew.BL</t>
  </si>
  <si>
    <t>Size_per_appl.W.MT.Ser.SEUnew.CR</t>
  </si>
  <si>
    <t>Size_per_appl.W.MT.Ser.SEUnew.BT</t>
  </si>
  <si>
    <t>Size_per_appl.W.MT.Ser.SEUnew.IT</t>
  </si>
  <si>
    <t>NUM.sqm_per_building.MT.Ser.SEU.VE</t>
  </si>
  <si>
    <t>NUM.number_per_capita.MT.Ser.SEU.SL</t>
  </si>
  <si>
    <t>NUM.number_per_building.MT.Ser.SEU.BL</t>
  </si>
  <si>
    <t>NUM.number_per_capita.MT.Ser.SEU.CR</t>
  </si>
  <si>
    <t>NUM.sqm_per_building.MT.Ser.SEU.BT</t>
  </si>
  <si>
    <t>NUM.number_per_capita.MT.Ser.SEU.IT</t>
  </si>
  <si>
    <t>Lumens_per_sqm.lumen.MT.Ser.SEU.BL</t>
  </si>
  <si>
    <t>MT - Services / specific electric uses</t>
  </si>
  <si>
    <t>MT - Ventilation and others</t>
  </si>
  <si>
    <t>MT - Street lighting</t>
  </si>
  <si>
    <t>MT - Building lighting</t>
  </si>
  <si>
    <t>MT - Commercial refrigeration</t>
  </si>
  <si>
    <t>MT - Miscellaneous building technologies</t>
  </si>
  <si>
    <t>MT - ICT and multimedia</t>
  </si>
  <si>
    <t>MT - Agriculture, forestry and fishing</t>
  </si>
  <si>
    <t>VA.Meuro2015.MT.AGR.AGR</t>
  </si>
  <si>
    <t>OUTPUT.index.MT.AGR.AGR</t>
  </si>
  <si>
    <t>CAP.index.MT.AGR.AGR</t>
  </si>
  <si>
    <t>NEWCAP.index.MT.AGR.AGR</t>
  </si>
  <si>
    <t>CAPOUT.index.MT.AGR.AGR</t>
  </si>
  <si>
    <t>CAPIDLE.index.MT.AGR.AGR</t>
  </si>
  <si>
    <t>FEC.ktoe.MT.ES.AGR</t>
  </si>
  <si>
    <t>FEC.ktoe.MT.ES.AGR.Solids</t>
  </si>
  <si>
    <t>FEC.ktoe.MT.ES.AGR.LPG</t>
  </si>
  <si>
    <t>FEC.ktoe.MT.ES.AGR.Diesel</t>
  </si>
  <si>
    <t>FEC.ktoe.MT.ES.AGR.RFO</t>
  </si>
  <si>
    <t>FEC.ktoe.MT.ES.AGR.NG</t>
  </si>
  <si>
    <t>FEC.ktoe.MT.ES.AGR.Biomass_Waste</t>
  </si>
  <si>
    <t>FEC.ktoe.MT.ES.AGR.Biogas</t>
  </si>
  <si>
    <t>FEC.ktoe.MT.ES.AGR.LiqBio</t>
  </si>
  <si>
    <t>FEC.ktoe.MT.ES.AGR.Solar</t>
  </si>
  <si>
    <t>FEC.ktoe.MT.ES.AGR.Geo</t>
  </si>
  <si>
    <t>FEC.ktoe.MT.ES.AGR.Ambient</t>
  </si>
  <si>
    <t>FEC.ktoe.MT.ES.AGR.Steam_Distr</t>
  </si>
  <si>
    <t>FEC.ktoe.MT.ES.AGR.Elec</t>
  </si>
  <si>
    <t>MT - Agriculture, forestry and fishing / final energy consumption</t>
  </si>
  <si>
    <t>FEC.ktoe.MT.AGR.AGR.LIGHT.GENERIC.ELEC</t>
  </si>
  <si>
    <t>FEC.ktoe.MT.AGR.AGR.FANS.GENERIC.ELEC</t>
  </si>
  <si>
    <t>FEC.ktoe.MT.AGR.AGR.MOTOR.GENERIC.ELEC</t>
  </si>
  <si>
    <t>FEC.ktoe.MT.AGR.AGR.LOW_ENTH.THERM.DIESEL_LIQBIO</t>
  </si>
  <si>
    <t>FEC.ktoe.MT.AGR.AGR.LOW_ENTH.THERM.NG_BIOGAS</t>
  </si>
  <si>
    <t>FEC.ktoe.MT.AGR.AGR.LOW_ENTH.THERM.SOLAR_GEO</t>
  </si>
  <si>
    <t>FEC.ktoe.MT.AGR.AGR.LOW_ENTH.HP.AMBIENT</t>
  </si>
  <si>
    <t>FEC.ktoe.MT.AGR.AGR.LOW_ENTH.THERM.STEAM_DISTR</t>
  </si>
  <si>
    <t>FEC.ktoe.MT.AGR.AGR.LOW_ENTH.THERM.ELEC</t>
  </si>
  <si>
    <t>FEC.ktoe.MT.AGR.AGR.FARM_DRIVES.MECH.DIESEL_LIQBIO</t>
  </si>
  <si>
    <t>FEC.ktoe.MT.AGR.AGR.HEAT_USE.THERM.SOLIDS</t>
  </si>
  <si>
    <t>FEC.ktoe.MT.AGR.AGR.HEAT_USE.THERM.LPG</t>
  </si>
  <si>
    <t>FEC.ktoe.MT.AGR.AGR.HEAT_USE.THERM.DIESEL_LIQBIO</t>
  </si>
  <si>
    <t>FEC.ktoe.MT.AGR.AGR.HEAT_USE.THERM.RFO</t>
  </si>
  <si>
    <t>FEC.ktoe.MT.AGR.AGR.HEAT_USE.THERM.NG_BIOGAS</t>
  </si>
  <si>
    <t>FEC.ktoe.MT.AGR.AGR.HEAT_USE.THERM.BIOMASS_WASTE</t>
  </si>
  <si>
    <t>FEC.ktoe.MT.AGR.AGR.HEAT_USE.THERM.SOLAR_GEO</t>
  </si>
  <si>
    <t>FEC.ktoe.MT.AGR.AGR.FARM_PUMP.MECH.DIESEL_LIQBIO</t>
  </si>
  <si>
    <t>FEC.ktoe.MT.AGR.AGR.FARM_PUMP_ELEC.MECH.ELEC</t>
  </si>
  <si>
    <t>FEC.ktoe.MT.AGR.AGR.GENERIC.MECH.ELEC</t>
  </si>
  <si>
    <t>MT - Agriculture, forestry and fishing / useful energy demand</t>
  </si>
  <si>
    <t>UED.ktoe.MT.AGR.AGR.LIGHT.GENERIC.ELEC</t>
  </si>
  <si>
    <t>UED.ktoe.MT.AGR.AGR.FANS.GENERIC.ELEC</t>
  </si>
  <si>
    <t>UED.ktoe.MT.AGR.AGR.MOTOR.GENERIC.ELEC</t>
  </si>
  <si>
    <t>UED.ktoe.MT.AGR.AGR.LOW_ENTH.THERM.DIESEL_LIQBIO</t>
  </si>
  <si>
    <t>UED.ktoe.MT.AGR.AGR.LOW_ENTH.THERM.NG_BIOGAS</t>
  </si>
  <si>
    <t>UED.ktoe.MT.AGR.AGR.LOW_ENTH.THERM.SOLAR_GEO</t>
  </si>
  <si>
    <t>UED.ktoe.MT.AGR.AGR.LOW_ENTH.HP.AMBIENT</t>
  </si>
  <si>
    <t>UED.ktoe.MT.AGR.AGR.LOW_ENTH.THERM.STEAM_DISTR</t>
  </si>
  <si>
    <t>UED.ktoe.MT.AGR.AGR.LOW_ENTH.THERM.ELEC</t>
  </si>
  <si>
    <t>UED.ktoe.MT.AGR.AGR.FARM_DRIVES.MECH.DIESEL_LIQBIO</t>
  </si>
  <si>
    <t>UED.ktoe.MT.AGR.AGR.HEAT_USE.THERM.SOLIDS</t>
  </si>
  <si>
    <t>UED.ktoe.MT.AGR.AGR.HEAT_USE.THERM.LPG</t>
  </si>
  <si>
    <t>UED.ktoe.MT.AGR.AGR.HEAT_USE.THERM.DIESEL_LIQBIO</t>
  </si>
  <si>
    <t>UED.ktoe.MT.AGR.AGR.HEAT_USE.THERM.RFO</t>
  </si>
  <si>
    <t>UED.ktoe.MT.AGR.AGR.HEAT_USE.THERM.NG_BIOGAS</t>
  </si>
  <si>
    <t>UED.ktoe.MT.AGR.AGR.HEAT_USE.THERM.BIOMASS_WASTE</t>
  </si>
  <si>
    <t>UED.ktoe.MT.AGR.AGR.HEAT_USE.THERM.SOLAR_GEO</t>
  </si>
  <si>
    <t>UED.ktoe.MT.AGR.AGR.FARM_PUMP.MECH.DIESEL_LIQBIO</t>
  </si>
  <si>
    <t>UED.ktoe.MT.AGR.AGR.FARM_PUMP_ELEC.MECH.ELEC</t>
  </si>
  <si>
    <t>UED.ktoe.MT.AGR.AGR.GENERIC.MECH.ELEC</t>
  </si>
  <si>
    <t>MT - Agriculture, forestry and fishing / CO2 emissions</t>
  </si>
  <si>
    <t>FUEL_EMI.ktCO2.MT.AGR.AGR.LIGHT.GENERIC.ELEC</t>
  </si>
  <si>
    <t>FUEL_EMI.ktCO2.MT.AGR.AGR.FANS.GENERIC.ELEC</t>
  </si>
  <si>
    <t>FUEL_EMI.ktCO2.MT.AGR.AGR.MOTOR.GENERIC.ELEC</t>
  </si>
  <si>
    <t>FUEL_EMI.ktCO2.MT.AGR.AGR.LOW_ENTH.THERM.DIESEL_LIQBIO</t>
  </si>
  <si>
    <t>FUEL_EMI.ktCO2.MT.AGR.AGR.LOW_ENTH.THERM.NG_BIOGAS</t>
  </si>
  <si>
    <t>FUEL_EMI.ktCO2.MT.AGR.AGR.LOW_ENTH.THERM.SOLAR_GEO</t>
  </si>
  <si>
    <t>FUEL_EMI.ktCO2.MT.AGR.AGR.LOW_ENTH.HP.AMBIENT</t>
  </si>
  <si>
    <t>FUEL_EMI.ktCO2.MT.AGR.AGR.LOW_ENTH.THERM.STEAM_DISTR</t>
  </si>
  <si>
    <t>FUEL_EMI.ktCO2.MT.AGR.AGR.LOW_ENTH.THERM.ELEC</t>
  </si>
  <si>
    <t>FUEL_EMI.ktCO2.MT.AGR.AGR.FARM_DRIVES.MECH.DIESEL_LIQBIO</t>
  </si>
  <si>
    <t>FUEL_EMI.ktCO2.MT.AGR.AGR.HEAT_USE.THERM.SOLIDS</t>
  </si>
  <si>
    <t>FUEL_EMI.ktCO2.MT.AGR.AGR.HEAT_USE.THERM.LPG</t>
  </si>
  <si>
    <t>FUEL_EMI.ktCO2.MT.AGR.AGR.HEAT_USE.THERM.DIESEL_LIQBIO</t>
  </si>
  <si>
    <t>FUEL_EMI.ktCO2.MT.AGR.AGR.HEAT_USE.THERM.RFO</t>
  </si>
  <si>
    <t>FUEL_EMI.ktCO2.MT.AGR.AGR.HEAT_USE.THERM.NG_BIOGAS</t>
  </si>
  <si>
    <t>FUEL_EMI.ktCO2.MT.AGR.AGR.HEAT_USE.THERM.BIOMASS_WASTE</t>
  </si>
  <si>
    <t>FUEL_EMI.ktCO2.MT.AGR.AGR.HEAT_USE.THERM.SOLAR_GEO</t>
  </si>
  <si>
    <t>FUEL_EMI.ktCO2.MT.AGR.AGR.FARM_PUMP.MECH.DIESEL_LIQBIO</t>
  </si>
  <si>
    <t>FUEL_EMI.ktCO2.MT.AGR.AGR.FARM_PUMP_ELEC.MECH.ELEC</t>
  </si>
  <si>
    <t>FUEL_EMI.ktCO2.MT.AGR.AGR.GENERIC.MECH.ELEC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</si>
</sst>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45432.787418981483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388759</v>
      </c>
      <c r="C3" s="34">
        <v>391415</v>
      </c>
      <c r="D3" s="34">
        <v>394641</v>
      </c>
      <c r="E3" s="34">
        <v>397296</v>
      </c>
      <c r="F3" s="34">
        <v>399867</v>
      </c>
      <c r="G3" s="34">
        <v>402668</v>
      </c>
      <c r="H3" s="34">
        <v>404999</v>
      </c>
      <c r="I3" s="34">
        <v>405616</v>
      </c>
      <c r="J3" s="34">
        <v>407832</v>
      </c>
      <c r="K3" s="34">
        <v>410926</v>
      </c>
      <c r="L3" s="34">
        <v>414027</v>
      </c>
      <c r="M3" s="34">
        <v>414989</v>
      </c>
      <c r="N3" s="34">
        <v>417546</v>
      </c>
      <c r="O3" s="34">
        <v>422509</v>
      </c>
      <c r="P3" s="34">
        <v>429424</v>
      </c>
      <c r="Q3" s="34">
        <v>439691</v>
      </c>
      <c r="R3" s="34">
        <v>450415</v>
      </c>
      <c r="S3" s="34">
        <v>460297</v>
      </c>
      <c r="T3" s="34">
        <v>475701</v>
      </c>
      <c r="U3" s="34">
        <v>493559</v>
      </c>
      <c r="V3" s="34">
        <v>514564</v>
      </c>
      <c r="W3" s="34">
        <v>516100</v>
      </c>
      <c r="DA3" s="88" t="s">
        <v>187</v>
      </c>
    </row>
    <row r="4" spans="1:105" ht="12" customHeight="1" x14ac:dyDescent="0.25">
      <c r="A4" s="35" t="s">
        <v>178</v>
      </c>
      <c r="B4" s="36">
        <v>6043.6384555328787</v>
      </c>
      <c r="C4" s="36">
        <v>5972.5020276811183</v>
      </c>
      <c r="D4" s="36">
        <v>6125.8269588587964</v>
      </c>
      <c r="E4" s="36">
        <v>6375.3998255306778</v>
      </c>
      <c r="F4" s="36">
        <v>6384.2733442546214</v>
      </c>
      <c r="G4" s="36">
        <v>6600.3484588382998</v>
      </c>
      <c r="H4" s="36">
        <v>6766.0133992862056</v>
      </c>
      <c r="I4" s="36">
        <v>7089.0926676379486</v>
      </c>
      <c r="J4" s="36">
        <v>7360.3187969211431</v>
      </c>
      <c r="K4" s="36">
        <v>7276.8277513630392</v>
      </c>
      <c r="L4" s="36">
        <v>7680.2938790228072</v>
      </c>
      <c r="M4" s="36">
        <v>7716.1195426890417</v>
      </c>
      <c r="N4" s="36">
        <v>8033.8831435179118</v>
      </c>
      <c r="O4" s="36">
        <v>8473.5584615056414</v>
      </c>
      <c r="P4" s="36">
        <v>9120.3843628518734</v>
      </c>
      <c r="Q4" s="36">
        <v>9996.7000000000007</v>
      </c>
      <c r="R4" s="36">
        <v>10334.715726933146</v>
      </c>
      <c r="S4" s="36">
        <v>11458.109353401935</v>
      </c>
      <c r="T4" s="36">
        <v>12307.750372704799</v>
      </c>
      <c r="U4" s="36">
        <v>13184.706913250011</v>
      </c>
      <c r="V4" s="36">
        <v>12110.471180445331</v>
      </c>
      <c r="W4" s="36">
        <v>13630.930677219974</v>
      </c>
      <c r="DA4" s="89" t="s">
        <v>188</v>
      </c>
    </row>
    <row r="5" spans="1:105" ht="12" customHeight="1" x14ac:dyDescent="0.25">
      <c r="A5" s="35" t="s">
        <v>147</v>
      </c>
      <c r="B5" s="36">
        <v>3571.6873046324745</v>
      </c>
      <c r="C5" s="36">
        <v>3651.1645724793138</v>
      </c>
      <c r="D5" s="36">
        <v>3712.3244136528315</v>
      </c>
      <c r="E5" s="36">
        <v>3910.4656933162692</v>
      </c>
      <c r="F5" s="36">
        <v>3999.4605217525341</v>
      </c>
      <c r="G5" s="36">
        <v>4176.2413321860604</v>
      </c>
      <c r="H5" s="36">
        <v>4355.8646635150853</v>
      </c>
      <c r="I5" s="36">
        <v>4677.9024865567144</v>
      </c>
      <c r="J5" s="36">
        <v>4894.0186676299572</v>
      </c>
      <c r="K5" s="36">
        <v>4928.9948986626223</v>
      </c>
      <c r="L5" s="36">
        <v>5244.0215822545906</v>
      </c>
      <c r="M5" s="36">
        <v>5311.0777228211391</v>
      </c>
      <c r="N5" s="36">
        <v>5690.3918411164777</v>
      </c>
      <c r="O5" s="36">
        <v>6097.9189323309856</v>
      </c>
      <c r="P5" s="36">
        <v>6741.4715198089198</v>
      </c>
      <c r="Q5" s="36">
        <v>7567.5999999999995</v>
      </c>
      <c r="R5" s="36">
        <v>7811.3189024689545</v>
      </c>
      <c r="S5" s="36">
        <v>8768.2354068820077</v>
      </c>
      <c r="T5" s="36">
        <v>9378.9294817332193</v>
      </c>
      <c r="U5" s="36">
        <v>10129.675533686041</v>
      </c>
      <c r="V5" s="36">
        <v>9293.2326733571681</v>
      </c>
      <c r="W5" s="36">
        <v>10609.642218724155</v>
      </c>
      <c r="DA5" s="89" t="s">
        <v>189</v>
      </c>
    </row>
    <row r="6" spans="1:105" ht="12" customHeight="1" x14ac:dyDescent="0.25">
      <c r="A6" s="37" t="s">
        <v>70</v>
      </c>
      <c r="B6" s="38">
        <v>102559.43581458928</v>
      </c>
      <c r="C6" s="38">
        <v>104925.0242326333</v>
      </c>
      <c r="D6" s="38">
        <v>106910.67975643098</v>
      </c>
      <c r="E6" s="38">
        <v>107672.81719895614</v>
      </c>
      <c r="F6" s="38">
        <v>109850.40387722134</v>
      </c>
      <c r="G6" s="38">
        <v>111596.47446253263</v>
      </c>
      <c r="H6" s="38">
        <v>114087.5108736175</v>
      </c>
      <c r="I6" s="38">
        <v>117634.96209767617</v>
      </c>
      <c r="J6" s="38">
        <v>122900</v>
      </c>
      <c r="K6" s="38">
        <v>124520.00000000001</v>
      </c>
      <c r="L6" s="38">
        <v>127500</v>
      </c>
      <c r="M6" s="38">
        <v>131960.10501251603</v>
      </c>
      <c r="N6" s="38">
        <v>137399.21362720558</v>
      </c>
      <c r="O6" s="38">
        <v>144993.73038647047</v>
      </c>
      <c r="P6" s="38">
        <v>155765.23292020272</v>
      </c>
      <c r="Q6" s="38">
        <v>163350.00000000003</v>
      </c>
      <c r="R6" s="38">
        <v>172280</v>
      </c>
      <c r="S6" s="38">
        <v>188019.99999999997</v>
      </c>
      <c r="T6" s="38">
        <v>200823.36977291919</v>
      </c>
      <c r="U6" s="38">
        <v>212980</v>
      </c>
      <c r="V6" s="38">
        <v>218970.00000000003</v>
      </c>
      <c r="W6" s="38">
        <v>225070.00000000003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2210.6560818885187</v>
      </c>
      <c r="C8" s="34">
        <v>2316.0767675022571</v>
      </c>
      <c r="D8" s="34">
        <v>2371.2598397942861</v>
      </c>
      <c r="E8" s="34">
        <v>2403.7493363877511</v>
      </c>
      <c r="F8" s="34">
        <v>2421.3376395772962</v>
      </c>
      <c r="G8" s="34">
        <v>2520.5529065411833</v>
      </c>
      <c r="H8" s="34">
        <v>2597.8158225967418</v>
      </c>
      <c r="I8" s="34">
        <v>2686.0449151457242</v>
      </c>
      <c r="J8" s="34">
        <v>2857.8379515995066</v>
      </c>
      <c r="K8" s="34">
        <v>2882.6565980032892</v>
      </c>
      <c r="L8" s="34">
        <v>2923.8745676865724</v>
      </c>
      <c r="M8" s="34">
        <v>2995.8589012000907</v>
      </c>
      <c r="N8" s="34">
        <v>3125.8315881562476</v>
      </c>
      <c r="O8" s="34">
        <v>3204.207407648702</v>
      </c>
      <c r="P8" s="34">
        <v>3313.149489429255</v>
      </c>
      <c r="Q8" s="34">
        <v>3418.5282662421687</v>
      </c>
      <c r="R8" s="34">
        <v>3527.8804115755675</v>
      </c>
      <c r="S8" s="34">
        <v>3643.562758390603</v>
      </c>
      <c r="T8" s="34">
        <v>3756.6038958266336</v>
      </c>
      <c r="U8" s="34">
        <v>3863.8237926747502</v>
      </c>
      <c r="V8" s="34">
        <v>3969.0411111111111</v>
      </c>
      <c r="W8" s="34">
        <v>4070.8990180187925</v>
      </c>
      <c r="DA8" s="88" t="s">
        <v>191</v>
      </c>
    </row>
    <row r="9" spans="1:105" ht="12" customHeight="1" x14ac:dyDescent="0.25">
      <c r="A9" s="39" t="s">
        <v>68</v>
      </c>
      <c r="B9" s="40">
        <v>1989.5904736996667</v>
      </c>
      <c r="C9" s="40">
        <v>2084.4690907520312</v>
      </c>
      <c r="D9" s="40">
        <v>2134.1338558148573</v>
      </c>
      <c r="E9" s="40">
        <v>2163.3744027489756</v>
      </c>
      <c r="F9" s="40">
        <v>2179.2038756195666</v>
      </c>
      <c r="G9" s="40">
        <v>2268.497615887065</v>
      </c>
      <c r="H9" s="40">
        <v>2338.0342403370673</v>
      </c>
      <c r="I9" s="40">
        <v>2417.440423631152</v>
      </c>
      <c r="J9" s="40">
        <v>2572.0541564395562</v>
      </c>
      <c r="K9" s="40">
        <v>2594.3909382029606</v>
      </c>
      <c r="L9" s="40">
        <v>2631.4871109179153</v>
      </c>
      <c r="M9" s="40">
        <v>2696.2730110800817</v>
      </c>
      <c r="N9" s="40">
        <v>2813.2484293406228</v>
      </c>
      <c r="O9" s="40">
        <v>2883.7866668838319</v>
      </c>
      <c r="P9" s="40">
        <v>2981.8345404863294</v>
      </c>
      <c r="Q9" s="40">
        <v>3076.6754396179517</v>
      </c>
      <c r="R9" s="40">
        <v>3175.0923704180109</v>
      </c>
      <c r="S9" s="40">
        <v>3279.2064825515426</v>
      </c>
      <c r="T9" s="40">
        <v>3380.9435062439702</v>
      </c>
      <c r="U9" s="40">
        <v>3477.4414134072754</v>
      </c>
      <c r="V9" s="40">
        <v>3572.1370000000002</v>
      </c>
      <c r="W9" s="40">
        <v>3663.8091162169135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114.23356153047267</v>
      </c>
      <c r="D10" s="41">
        <v>64.322351020494267</v>
      </c>
      <c r="E10" s="41">
        <v>41.955178133661725</v>
      </c>
      <c r="F10" s="41">
        <v>27.053984729741202</v>
      </c>
      <c r="G10" s="41">
        <v>109.00735131581456</v>
      </c>
      <c r="H10" s="41">
        <v>87.381403219216566</v>
      </c>
      <c r="I10" s="41">
        <v>98.67398252437205</v>
      </c>
      <c r="J10" s="41">
        <v>182.56432924090257</v>
      </c>
      <c r="K10" s="41">
        <v>36.242744814363952</v>
      </c>
      <c r="L10" s="41">
        <v>52.642068093864118</v>
      </c>
      <c r="M10" s="41">
        <v>83.734834735830987</v>
      </c>
      <c r="N10" s="41">
        <v>142.04959099020132</v>
      </c>
      <c r="O10" s="41">
        <v>90.779126338228778</v>
      </c>
      <c r="P10" s="41">
        <v>121.67179143805814</v>
      </c>
      <c r="Q10" s="41">
        <v>118.76129209388023</v>
      </c>
      <c r="R10" s="41">
        <v>126.88305951925649</v>
      </c>
      <c r="S10" s="41">
        <v>133.77404123337172</v>
      </c>
      <c r="T10" s="41">
        <v>131.72607465854603</v>
      </c>
      <c r="U10" s="41">
        <v>126.4845322113313</v>
      </c>
      <c r="V10" s="41">
        <v>125.03179942443523</v>
      </c>
      <c r="W10" s="41">
        <v>122.21196388773834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102.81020537742539</v>
      </c>
      <c r="D11" s="42">
        <v>57.890115918444849</v>
      </c>
      <c r="E11" s="42">
        <v>37.759660320295545</v>
      </c>
      <c r="F11" s="42">
        <v>24.348586256767081</v>
      </c>
      <c r="G11" s="42">
        <v>98.106616184233104</v>
      </c>
      <c r="H11" s="42">
        <v>78.643262897294917</v>
      </c>
      <c r="I11" s="42">
        <v>88.806584271934852</v>
      </c>
      <c r="J11" s="42">
        <v>164.30789631681233</v>
      </c>
      <c r="K11" s="42">
        <v>32.618470332927558</v>
      </c>
      <c r="L11" s="42">
        <v>47.377861284477703</v>
      </c>
      <c r="M11" s="42">
        <v>75.361351262247894</v>
      </c>
      <c r="N11" s="42">
        <v>127.84463189118118</v>
      </c>
      <c r="O11" s="42">
        <v>81.701213704405902</v>
      </c>
      <c r="P11" s="42">
        <v>109.50461229425233</v>
      </c>
      <c r="Q11" s="42">
        <v>106.8851628844922</v>
      </c>
      <c r="R11" s="42">
        <v>114.19475356733085</v>
      </c>
      <c r="S11" s="42">
        <v>120.39663711003455</v>
      </c>
      <c r="T11" s="42">
        <v>118.55346719269141</v>
      </c>
      <c r="U11" s="42">
        <v>113.83607899019816</v>
      </c>
      <c r="V11" s="42">
        <v>112.52861948199171</v>
      </c>
      <c r="W11" s="42">
        <v>109.9907674989645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512.79</v>
      </c>
      <c r="C13" s="43">
        <v>419.81</v>
      </c>
      <c r="D13" s="43">
        <v>449.86</v>
      </c>
      <c r="E13" s="43">
        <v>646.01</v>
      </c>
      <c r="F13" s="43">
        <v>550.67999999999995</v>
      </c>
      <c r="G13" s="43">
        <v>713.46</v>
      </c>
      <c r="H13" s="43">
        <v>506.75</v>
      </c>
      <c r="I13" s="43">
        <v>367.07</v>
      </c>
      <c r="J13" s="43">
        <v>345.03</v>
      </c>
      <c r="K13" s="43">
        <v>534.04999999999995</v>
      </c>
      <c r="L13" s="43">
        <v>402.95</v>
      </c>
      <c r="M13" s="43">
        <v>549.19000000000005</v>
      </c>
      <c r="N13" s="43">
        <v>662.36</v>
      </c>
      <c r="O13" s="43">
        <v>460.65</v>
      </c>
      <c r="P13" s="43">
        <v>374.61</v>
      </c>
      <c r="Q13" s="43">
        <v>543.9</v>
      </c>
      <c r="R13" s="43">
        <v>322.36</v>
      </c>
      <c r="S13" s="43">
        <v>534.15</v>
      </c>
      <c r="T13" s="43">
        <v>365.57</v>
      </c>
      <c r="U13" s="43">
        <v>515.23</v>
      </c>
      <c r="V13" s="43">
        <v>401.93</v>
      </c>
      <c r="W13" s="43">
        <v>465.87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484.6861904761904</v>
      </c>
      <c r="C14" s="44">
        <f t="shared" ref="C14:W14" si="0">AVERAGE($B$13:$V$13)</f>
        <v>484.6861904761904</v>
      </c>
      <c r="D14" s="44">
        <f t="shared" si="0"/>
        <v>484.6861904761904</v>
      </c>
      <c r="E14" s="44">
        <f t="shared" si="0"/>
        <v>484.6861904761904</v>
      </c>
      <c r="F14" s="44">
        <f t="shared" si="0"/>
        <v>484.6861904761904</v>
      </c>
      <c r="G14" s="44">
        <f t="shared" si="0"/>
        <v>484.6861904761904</v>
      </c>
      <c r="H14" s="44">
        <f t="shared" si="0"/>
        <v>484.6861904761904</v>
      </c>
      <c r="I14" s="44">
        <f t="shared" si="0"/>
        <v>484.6861904761904</v>
      </c>
      <c r="J14" s="44">
        <f t="shared" si="0"/>
        <v>484.6861904761904</v>
      </c>
      <c r="K14" s="44">
        <f t="shared" si="0"/>
        <v>484.6861904761904</v>
      </c>
      <c r="L14" s="44">
        <f t="shared" si="0"/>
        <v>484.6861904761904</v>
      </c>
      <c r="M14" s="44">
        <f t="shared" si="0"/>
        <v>484.6861904761904</v>
      </c>
      <c r="N14" s="44">
        <f t="shared" si="0"/>
        <v>484.6861904761904</v>
      </c>
      <c r="O14" s="44">
        <f t="shared" si="0"/>
        <v>484.6861904761904</v>
      </c>
      <c r="P14" s="44">
        <f t="shared" si="0"/>
        <v>484.6861904761904</v>
      </c>
      <c r="Q14" s="44">
        <f t="shared" si="0"/>
        <v>484.6861904761904</v>
      </c>
      <c r="R14" s="44">
        <f t="shared" si="0"/>
        <v>484.6861904761904</v>
      </c>
      <c r="S14" s="44">
        <f t="shared" si="0"/>
        <v>484.6861904761904</v>
      </c>
      <c r="T14" s="44">
        <f t="shared" si="0"/>
        <v>484.6861904761904</v>
      </c>
      <c r="U14" s="44">
        <f t="shared" si="0"/>
        <v>484.6861904761904</v>
      </c>
      <c r="V14" s="44">
        <f t="shared" si="0"/>
        <v>484.6861904761904</v>
      </c>
      <c r="W14" s="44">
        <f t="shared" si="0"/>
        <v>484.6861904761904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1.0579835160894482</v>
      </c>
      <c r="C15" s="46">
        <f t="shared" ref="C15:W15" si="1">C13/C14</f>
        <v>0.86614805259367633</v>
      </c>
      <c r="D15" s="46">
        <f t="shared" si="1"/>
        <v>0.92814693061096987</v>
      </c>
      <c r="E15" s="46">
        <f t="shared" si="1"/>
        <v>1.3328417699817556</v>
      </c>
      <c r="F15" s="46">
        <f t="shared" si="1"/>
        <v>1.1361578085378758</v>
      </c>
      <c r="G15" s="46">
        <f t="shared" si="1"/>
        <v>1.4720039770455309</v>
      </c>
      <c r="H15" s="46">
        <f t="shared" si="1"/>
        <v>1.0455218447675032</v>
      </c>
      <c r="I15" s="46">
        <f t="shared" si="1"/>
        <v>0.75733537949443985</v>
      </c>
      <c r="J15" s="46">
        <f t="shared" si="1"/>
        <v>0.71186265831303719</v>
      </c>
      <c r="K15" s="46">
        <f t="shared" si="1"/>
        <v>1.1018469485902023</v>
      </c>
      <c r="L15" s="46">
        <f t="shared" si="1"/>
        <v>0.83136265880427307</v>
      </c>
      <c r="M15" s="46">
        <f t="shared" si="1"/>
        <v>1.133083654519714</v>
      </c>
      <c r="N15" s="46">
        <f t="shared" si="1"/>
        <v>1.3665749365568889</v>
      </c>
      <c r="O15" s="46">
        <f t="shared" si="1"/>
        <v>0.95040875735994135</v>
      </c>
      <c r="P15" s="46">
        <f t="shared" si="1"/>
        <v>0.77289183674070916</v>
      </c>
      <c r="Q15" s="46">
        <f t="shared" si="1"/>
        <v>1.1221693761599307</v>
      </c>
      <c r="R15" s="46">
        <f t="shared" si="1"/>
        <v>0.66509012704341852</v>
      </c>
      <c r="S15" s="46">
        <f t="shared" si="1"/>
        <v>1.102053267651824</v>
      </c>
      <c r="T15" s="46">
        <f t="shared" si="1"/>
        <v>0.75424059357011564</v>
      </c>
      <c r="U15" s="46">
        <f t="shared" si="1"/>
        <v>1.0630177011930155</v>
      </c>
      <c r="V15" s="46">
        <f t="shared" si="1"/>
        <v>0.82925820437573272</v>
      </c>
      <c r="W15" s="46">
        <f t="shared" si="1"/>
        <v>0.96117861237658941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15545.976956245075</v>
      </c>
      <c r="C19" s="34">
        <f t="shared" si="2"/>
        <v>15258.745903149133</v>
      </c>
      <c r="D19" s="34">
        <f t="shared" ref="D19:W19" si="3">D4*1000000/D3</f>
        <v>15522.530499514232</v>
      </c>
      <c r="E19" s="34">
        <f t="shared" si="3"/>
        <v>16046.977129220224</v>
      </c>
      <c r="F19" s="34">
        <f t="shared" si="3"/>
        <v>15965.992052994174</v>
      </c>
      <c r="G19" s="34">
        <f t="shared" si="3"/>
        <v>16391.539578109758</v>
      </c>
      <c r="H19" s="34">
        <f t="shared" si="3"/>
        <v>16706.247174156491</v>
      </c>
      <c r="I19" s="34">
        <f t="shared" si="3"/>
        <v>17477.349679593382</v>
      </c>
      <c r="J19" s="34">
        <f t="shared" si="3"/>
        <v>18047.428345301847</v>
      </c>
      <c r="K19" s="34">
        <f t="shared" si="3"/>
        <v>17708.365378104667</v>
      </c>
      <c r="L19" s="34">
        <f t="shared" si="3"/>
        <v>18550.224693130658</v>
      </c>
      <c r="M19" s="34">
        <f t="shared" si="3"/>
        <v>18593.551980146563</v>
      </c>
      <c r="N19" s="34">
        <f t="shared" si="3"/>
        <v>19240.713941740341</v>
      </c>
      <c r="O19" s="34">
        <f t="shared" si="3"/>
        <v>20055.332458020162</v>
      </c>
      <c r="P19" s="34">
        <f t="shared" si="3"/>
        <v>21238.646100012746</v>
      </c>
      <c r="Q19" s="34">
        <f t="shared" si="3"/>
        <v>22735.739416999666</v>
      </c>
      <c r="R19" s="34">
        <f t="shared" si="3"/>
        <v>22944.874675428538</v>
      </c>
      <c r="S19" s="34">
        <f t="shared" si="3"/>
        <v>24892.861246981702</v>
      </c>
      <c r="T19" s="34">
        <f t="shared" si="3"/>
        <v>25872.870506273477</v>
      </c>
      <c r="U19" s="34">
        <f t="shared" si="3"/>
        <v>26713.537618096339</v>
      </c>
      <c r="V19" s="34">
        <f t="shared" si="3"/>
        <v>23535.403138278874</v>
      </c>
      <c r="W19" s="34">
        <f t="shared" si="3"/>
        <v>26411.413829141591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34825.535810176472</v>
      </c>
      <c r="C20" s="36">
        <f t="shared" si="4"/>
        <v>34797.843499985065</v>
      </c>
      <c r="D20" s="36">
        <f t="shared" ref="D20:W20" si="5">D5*1000000/D6</f>
        <v>34723.606866128124</v>
      </c>
      <c r="E20" s="36">
        <f t="shared" si="5"/>
        <v>36318.040105615255</v>
      </c>
      <c r="F20" s="36">
        <f t="shared" si="5"/>
        <v>36408.245947121773</v>
      </c>
      <c r="G20" s="36">
        <f t="shared" si="5"/>
        <v>37422.69952791556</v>
      </c>
      <c r="H20" s="36">
        <f t="shared" si="5"/>
        <v>38180.030663832898</v>
      </c>
      <c r="I20" s="36">
        <f t="shared" si="5"/>
        <v>39766.259988867074</v>
      </c>
      <c r="J20" s="36">
        <f t="shared" si="5"/>
        <v>39821.14456981251</v>
      </c>
      <c r="K20" s="36">
        <f t="shared" si="5"/>
        <v>39583.96160185209</v>
      </c>
      <c r="L20" s="36">
        <f t="shared" si="5"/>
        <v>41129.581037290911</v>
      </c>
      <c r="M20" s="36">
        <f t="shared" si="5"/>
        <v>40247.601518030009</v>
      </c>
      <c r="N20" s="36">
        <f t="shared" si="5"/>
        <v>41415.024809063085</v>
      </c>
      <c r="O20" s="36">
        <f t="shared" si="5"/>
        <v>42056.431792446587</v>
      </c>
      <c r="P20" s="36">
        <f t="shared" si="5"/>
        <v>43279.693378448079</v>
      </c>
      <c r="Q20" s="36">
        <f t="shared" si="5"/>
        <v>46327.517600244857</v>
      </c>
      <c r="R20" s="36">
        <f t="shared" si="5"/>
        <v>45340.834121598295</v>
      </c>
      <c r="S20" s="36">
        <f t="shared" si="5"/>
        <v>46634.588910126629</v>
      </c>
      <c r="T20" s="36">
        <f t="shared" si="5"/>
        <v>46702.380765437971</v>
      </c>
      <c r="U20" s="36">
        <f t="shared" si="5"/>
        <v>47561.628010545784</v>
      </c>
      <c r="V20" s="36">
        <f t="shared" si="5"/>
        <v>42440.666179646374</v>
      </c>
      <c r="W20" s="36">
        <f t="shared" si="5"/>
        <v>47139.299856596408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9187.407377404701</v>
      </c>
      <c r="C21" s="36">
        <f t="shared" si="6"/>
        <v>9328.1161234988795</v>
      </c>
      <c r="D21" s="36">
        <f t="shared" ref="D21:W21" si="7">D5*1000000/D3</f>
        <v>9406.8391618023252</v>
      </c>
      <c r="E21" s="36">
        <f t="shared" si="7"/>
        <v>9842.700891315968</v>
      </c>
      <c r="F21" s="36">
        <f t="shared" si="7"/>
        <v>10001.976961721108</v>
      </c>
      <c r="G21" s="36">
        <f t="shared" si="7"/>
        <v>10371.425919581543</v>
      </c>
      <c r="H21" s="36">
        <f t="shared" si="7"/>
        <v>10755.247947563044</v>
      </c>
      <c r="I21" s="36">
        <f t="shared" si="7"/>
        <v>11532.835210042784</v>
      </c>
      <c r="J21" s="36">
        <f t="shared" si="7"/>
        <v>12000.085004683197</v>
      </c>
      <c r="K21" s="36">
        <f t="shared" si="7"/>
        <v>11994.847974240185</v>
      </c>
      <c r="L21" s="36">
        <f t="shared" si="7"/>
        <v>12665.892761231975</v>
      </c>
      <c r="M21" s="36">
        <f t="shared" si="7"/>
        <v>12798.116872546356</v>
      </c>
      <c r="N21" s="36">
        <f t="shared" si="7"/>
        <v>13628.179508644504</v>
      </c>
      <c r="O21" s="36">
        <f t="shared" si="7"/>
        <v>14432.636777751446</v>
      </c>
      <c r="P21" s="36">
        <f t="shared" si="7"/>
        <v>15698.869927644751</v>
      </c>
      <c r="Q21" s="36">
        <f t="shared" si="7"/>
        <v>17211.17784989913</v>
      </c>
      <c r="R21" s="36">
        <f t="shared" si="7"/>
        <v>17342.492817665829</v>
      </c>
      <c r="S21" s="36">
        <f t="shared" si="7"/>
        <v>19049.08223795073</v>
      </c>
      <c r="T21" s="36">
        <f t="shared" si="7"/>
        <v>19716.018006548693</v>
      </c>
      <c r="U21" s="36">
        <f t="shared" si="7"/>
        <v>20523.737858464825</v>
      </c>
      <c r="V21" s="36">
        <f t="shared" si="7"/>
        <v>18060.401958468079</v>
      </c>
      <c r="W21" s="36">
        <f t="shared" si="7"/>
        <v>20557.338149048934</v>
      </c>
      <c r="DA21" s="89"/>
    </row>
    <row r="22" spans="1:105" ht="12" customHeight="1" x14ac:dyDescent="0.25">
      <c r="A22" s="51" t="s">
        <v>152</v>
      </c>
      <c r="B22" s="52">
        <v>0.63149300069930892</v>
      </c>
      <c r="C22" s="52">
        <v>0.62487319723560419</v>
      </c>
      <c r="D22" s="52">
        <v>0.61814252032021755</v>
      </c>
      <c r="E22" s="52">
        <v>0.6396065149192357</v>
      </c>
      <c r="F22" s="52">
        <v>0.63507813659621193</v>
      </c>
      <c r="G22" s="52">
        <v>0.64547662509636283</v>
      </c>
      <c r="H22" s="52">
        <v>0.65045300303107179</v>
      </c>
      <c r="I22" s="52">
        <v>0.67688259475975354</v>
      </c>
      <c r="J22" s="52">
        <v>0.69516479152633814</v>
      </c>
      <c r="K22" s="52">
        <v>0.71082184605909071</v>
      </c>
      <c r="L22" s="52">
        <v>0.74058439337565363</v>
      </c>
      <c r="M22" s="52">
        <v>0.73437565690780693</v>
      </c>
      <c r="N22" s="52">
        <v>0.78438731435670317</v>
      </c>
      <c r="O22" s="52">
        <v>0.8275411237837591</v>
      </c>
      <c r="P22" s="52">
        <v>0.8885057320586307</v>
      </c>
      <c r="Q22" s="52">
        <v>0.96011508757531761</v>
      </c>
      <c r="R22" s="52">
        <v>0.95198464032649865</v>
      </c>
      <c r="S22" s="52">
        <v>1.0188014633883966</v>
      </c>
      <c r="T22" s="52">
        <v>1.0326604802071369</v>
      </c>
      <c r="U22" s="52">
        <v>1.0548422363102781</v>
      </c>
      <c r="V22" s="52">
        <v>0.98335405764742068</v>
      </c>
      <c r="W22" s="52">
        <v>1.0623517140489795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46.393211795737507</v>
      </c>
      <c r="C23" s="53">
        <f t="shared" si="8"/>
        <v>45.302912971139691</v>
      </c>
      <c r="D23" s="53">
        <f t="shared" ref="D23:W23" si="9">D6/D8</f>
        <v>45.086024720810777</v>
      </c>
      <c r="E23" s="53">
        <f t="shared" si="9"/>
        <v>44.793696068476976</v>
      </c>
      <c r="F23" s="53">
        <f t="shared" si="9"/>
        <v>45.367652194263343</v>
      </c>
      <c r="G23" s="53">
        <f t="shared" si="9"/>
        <v>44.274601089675343</v>
      </c>
      <c r="H23" s="53">
        <f t="shared" si="9"/>
        <v>43.916704903112475</v>
      </c>
      <c r="I23" s="53">
        <f t="shared" si="9"/>
        <v>43.794860403998193</v>
      </c>
      <c r="J23" s="53">
        <f t="shared" si="9"/>
        <v>43.004537724475931</v>
      </c>
      <c r="K23" s="53">
        <f t="shared" si="9"/>
        <v>43.196265585796958</v>
      </c>
      <c r="L23" s="53">
        <f t="shared" si="9"/>
        <v>43.606521773907879</v>
      </c>
      <c r="M23" s="53">
        <f t="shared" si="9"/>
        <v>44.047503358604445</v>
      </c>
      <c r="N23" s="53">
        <f t="shared" si="9"/>
        <v>43.956051294577151</v>
      </c>
      <c r="O23" s="53">
        <f t="shared" si="9"/>
        <v>45.251043999323741</v>
      </c>
      <c r="P23" s="53">
        <f t="shared" si="9"/>
        <v>47.014248351056402</v>
      </c>
      <c r="Q23" s="53">
        <f t="shared" si="9"/>
        <v>47.783720735345327</v>
      </c>
      <c r="R23" s="53">
        <f t="shared" si="9"/>
        <v>48.833854865011986</v>
      </c>
      <c r="S23" s="53">
        <f t="shared" si="9"/>
        <v>51.603337850299638</v>
      </c>
      <c r="T23" s="53">
        <f t="shared" si="9"/>
        <v>53.458755658540994</v>
      </c>
      <c r="U23" s="53">
        <f t="shared" si="9"/>
        <v>55.121561289564809</v>
      </c>
      <c r="V23" s="53">
        <f t="shared" si="9"/>
        <v>55.169496578658666</v>
      </c>
      <c r="W23" s="53">
        <f t="shared" si="9"/>
        <v>55.28754189278223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5.1177991344243265</v>
      </c>
      <c r="C24" s="54">
        <f t="shared" si="10"/>
        <v>5.325470640501849</v>
      </c>
      <c r="D24" s="54">
        <f t="shared" ref="D24:W24" si="11">D9*1000/D3</f>
        <v>5.4077854450370273</v>
      </c>
      <c r="E24" s="54">
        <f t="shared" si="11"/>
        <v>5.4452458689465173</v>
      </c>
      <c r="F24" s="54">
        <f t="shared" si="11"/>
        <v>5.4498217547823815</v>
      </c>
      <c r="G24" s="54">
        <f t="shared" si="11"/>
        <v>5.6336674776417919</v>
      </c>
      <c r="H24" s="54">
        <f t="shared" si="11"/>
        <v>5.7729383043836338</v>
      </c>
      <c r="I24" s="54">
        <f t="shared" si="11"/>
        <v>5.9599237299099448</v>
      </c>
      <c r="J24" s="54">
        <f t="shared" si="11"/>
        <v>6.306651161359472</v>
      </c>
      <c r="K24" s="54">
        <f t="shared" si="11"/>
        <v>6.3135234524049597</v>
      </c>
      <c r="L24" s="54">
        <f t="shared" si="11"/>
        <v>6.3558345492393373</v>
      </c>
      <c r="M24" s="54">
        <f t="shared" si="11"/>
        <v>6.497215615546633</v>
      </c>
      <c r="N24" s="54">
        <f t="shared" si="11"/>
        <v>6.7375772473945936</v>
      </c>
      <c r="O24" s="54">
        <f t="shared" si="11"/>
        <v>6.825385179685715</v>
      </c>
      <c r="P24" s="54">
        <f t="shared" si="11"/>
        <v>6.9438003942172051</v>
      </c>
      <c r="Q24" s="54">
        <f t="shared" si="11"/>
        <v>6.9973582348011485</v>
      </c>
      <c r="R24" s="54">
        <f t="shared" si="11"/>
        <v>7.0492598390773189</v>
      </c>
      <c r="S24" s="54">
        <f t="shared" si="11"/>
        <v>7.1241100475378776</v>
      </c>
      <c r="T24" s="54">
        <f t="shared" si="11"/>
        <v>7.1072869433614185</v>
      </c>
      <c r="U24" s="54">
        <f t="shared" si="11"/>
        <v>7.045644823429976</v>
      </c>
      <c r="V24" s="54">
        <f t="shared" si="11"/>
        <v>6.9420655156598592</v>
      </c>
      <c r="W24" s="54">
        <f t="shared" si="11"/>
        <v>7.0990294830786924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19.399389806477892</v>
      </c>
      <c r="C25" s="54">
        <f t="shared" si="12"/>
        <v>19.866272188133831</v>
      </c>
      <c r="D25" s="54">
        <f t="shared" ref="D25:W25" si="13">D9*1000/D6</f>
        <v>19.961839740210642</v>
      </c>
      <c r="E25" s="54">
        <f t="shared" si="13"/>
        <v>20.092112930894398</v>
      </c>
      <c r="F25" s="54">
        <f t="shared" si="13"/>
        <v>19.837923200129879</v>
      </c>
      <c r="G25" s="54">
        <f t="shared" si="13"/>
        <v>20.32768173737146</v>
      </c>
      <c r="H25" s="54">
        <f t="shared" si="13"/>
        <v>20.493340791062284</v>
      </c>
      <c r="I25" s="54">
        <f t="shared" si="13"/>
        <v>20.550356633123002</v>
      </c>
      <c r="J25" s="54">
        <f t="shared" si="13"/>
        <v>20.928024055651395</v>
      </c>
      <c r="K25" s="54">
        <f t="shared" si="13"/>
        <v>20.835134421803406</v>
      </c>
      <c r="L25" s="54">
        <f t="shared" si="13"/>
        <v>20.639114595434627</v>
      </c>
      <c r="M25" s="54">
        <f t="shared" si="13"/>
        <v>20.432486097403061</v>
      </c>
      <c r="N25" s="54">
        <f t="shared" si="13"/>
        <v>20.474996581665941</v>
      </c>
      <c r="O25" s="54">
        <f t="shared" si="13"/>
        <v>19.889043886223934</v>
      </c>
      <c r="P25" s="54">
        <f t="shared" si="13"/>
        <v>19.143132806881873</v>
      </c>
      <c r="Q25" s="54">
        <f t="shared" si="13"/>
        <v>18.834866480673103</v>
      </c>
      <c r="R25" s="54">
        <f t="shared" si="13"/>
        <v>18.429837302170949</v>
      </c>
      <c r="S25" s="54">
        <f t="shared" si="13"/>
        <v>17.440732276095858</v>
      </c>
      <c r="T25" s="54">
        <f t="shared" si="13"/>
        <v>16.835408698036332</v>
      </c>
      <c r="U25" s="54">
        <f t="shared" si="13"/>
        <v>16.327549128590832</v>
      </c>
      <c r="V25" s="54">
        <f t="shared" si="13"/>
        <v>16.313362561081423</v>
      </c>
      <c r="W25" s="54">
        <f t="shared" si="13"/>
        <v>16.278531640009387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899.99999999999977</v>
      </c>
      <c r="F26" s="55">
        <f t="shared" si="15"/>
        <v>900</v>
      </c>
      <c r="G26" s="55">
        <f t="shared" si="15"/>
        <v>900</v>
      </c>
      <c r="H26" s="55">
        <f t="shared" si="15"/>
        <v>899.99999999999989</v>
      </c>
      <c r="I26" s="55">
        <f t="shared" si="15"/>
        <v>900.00000000000011</v>
      </c>
      <c r="J26" s="55">
        <f t="shared" si="15"/>
        <v>900.00000000000011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899.99999999999989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900.00000000000011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900.00000000000011</v>
      </c>
      <c r="E27" s="57">
        <f t="shared" si="17"/>
        <v>899.99999999999977</v>
      </c>
      <c r="F27" s="57">
        <f t="shared" si="17"/>
        <v>900</v>
      </c>
      <c r="G27" s="57">
        <f t="shared" si="17"/>
        <v>900</v>
      </c>
      <c r="H27" s="57">
        <f t="shared" si="17"/>
        <v>900.00000000000011</v>
      </c>
      <c r="I27" s="57">
        <f t="shared" si="17"/>
        <v>900.00000000000011</v>
      </c>
      <c r="J27" s="57">
        <f t="shared" si="17"/>
        <v>900.00000000000023</v>
      </c>
      <c r="K27" s="57">
        <f t="shared" si="17"/>
        <v>900</v>
      </c>
      <c r="L27" s="57">
        <f t="shared" si="17"/>
        <v>899.99999999999989</v>
      </c>
      <c r="M27" s="57">
        <f t="shared" si="17"/>
        <v>900</v>
      </c>
      <c r="N27" s="57">
        <f t="shared" si="17"/>
        <v>899.99999999999989</v>
      </c>
      <c r="O27" s="57">
        <f t="shared" si="17"/>
        <v>900.00000000000011</v>
      </c>
      <c r="P27" s="57">
        <f t="shared" si="17"/>
        <v>900</v>
      </c>
      <c r="Q27" s="57">
        <f t="shared" si="17"/>
        <v>900</v>
      </c>
      <c r="R27" s="57">
        <f t="shared" si="17"/>
        <v>900</v>
      </c>
      <c r="S27" s="57">
        <f t="shared" si="17"/>
        <v>900</v>
      </c>
      <c r="T27" s="57">
        <f t="shared" si="17"/>
        <v>900</v>
      </c>
      <c r="U27" s="57">
        <f t="shared" si="17"/>
        <v>900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59.641669319993817</v>
      </c>
      <c r="C31" s="80">
        <f t="shared" ref="C31:W31" si="18">SUM(C32:C33,C36:C37,C44:C45)</f>
        <v>63.253019277001556</v>
      </c>
      <c r="D31" s="80">
        <f t="shared" si="18"/>
        <v>68.207406265906315</v>
      </c>
      <c r="E31" s="80">
        <f t="shared" si="18"/>
        <v>75.1280689167247</v>
      </c>
      <c r="F31" s="80">
        <f t="shared" si="18"/>
        <v>76.431696318021096</v>
      </c>
      <c r="G31" s="80">
        <f t="shared" si="18"/>
        <v>83.643387456001065</v>
      </c>
      <c r="H31" s="80">
        <f t="shared" si="18"/>
        <v>75.248619666748795</v>
      </c>
      <c r="I31" s="80">
        <f t="shared" si="18"/>
        <v>78.155343181856679</v>
      </c>
      <c r="J31" s="80">
        <f t="shared" si="18"/>
        <v>77.033095100690019</v>
      </c>
      <c r="K31" s="80">
        <f t="shared" si="18"/>
        <v>71.4258889502768</v>
      </c>
      <c r="L31" s="80">
        <f t="shared" si="18"/>
        <v>94.392545014780637</v>
      </c>
      <c r="M31" s="80">
        <f t="shared" si="18"/>
        <v>91.34970886371913</v>
      </c>
      <c r="N31" s="80">
        <f t="shared" si="18"/>
        <v>103.74364856932992</v>
      </c>
      <c r="O31" s="80">
        <f t="shared" si="18"/>
        <v>107.84521218182148</v>
      </c>
      <c r="P31" s="80">
        <f t="shared" si="18"/>
        <v>113.86637352748775</v>
      </c>
      <c r="Q31" s="80">
        <f t="shared" si="18"/>
        <v>125.04487441250656</v>
      </c>
      <c r="R31" s="80">
        <f t="shared" si="18"/>
        <v>121.9557028753825</v>
      </c>
      <c r="S31" s="80">
        <f t="shared" si="18"/>
        <v>127.00880993896361</v>
      </c>
      <c r="T31" s="80">
        <f t="shared" si="18"/>
        <v>117.80051058940016</v>
      </c>
      <c r="U31" s="80">
        <f t="shared" si="18"/>
        <v>120.31545250817356</v>
      </c>
      <c r="V31" s="80">
        <f t="shared" si="18"/>
        <v>103.01719929793228</v>
      </c>
      <c r="W31" s="80">
        <f t="shared" si="18"/>
        <v>108.56753611365278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16.305469835900958</v>
      </c>
      <c r="C33" s="55">
        <f t="shared" ref="C33:W33" si="19">SUM(C34:C35)</f>
        <v>16.305469835900958</v>
      </c>
      <c r="D33" s="55">
        <f t="shared" si="19"/>
        <v>18.59433661844286</v>
      </c>
      <c r="E33" s="55">
        <f t="shared" si="19"/>
        <v>21.732771700128151</v>
      </c>
      <c r="F33" s="55">
        <f t="shared" si="19"/>
        <v>22.77894538886418</v>
      </c>
      <c r="G33" s="55">
        <f t="shared" si="19"/>
        <v>18.984918222937363</v>
      </c>
      <c r="H33" s="55">
        <f t="shared" si="19"/>
        <v>18.157057470079742</v>
      </c>
      <c r="I33" s="55">
        <f t="shared" si="19"/>
        <v>21.151077857286126</v>
      </c>
      <c r="J33" s="55">
        <f t="shared" si="19"/>
        <v>21.147513188050503</v>
      </c>
      <c r="K33" s="55">
        <f t="shared" si="19"/>
        <v>17.518366202301078</v>
      </c>
      <c r="L33" s="55">
        <f t="shared" si="19"/>
        <v>23.325759103785671</v>
      </c>
      <c r="M33" s="55">
        <f t="shared" si="19"/>
        <v>16.64153357525689</v>
      </c>
      <c r="N33" s="55">
        <f t="shared" si="19"/>
        <v>23.612259533708283</v>
      </c>
      <c r="O33" s="55">
        <f t="shared" si="19"/>
        <v>27.497385978741313</v>
      </c>
      <c r="P33" s="55">
        <f t="shared" si="19"/>
        <v>29.554907857010086</v>
      </c>
      <c r="Q33" s="55">
        <f t="shared" si="19"/>
        <v>35.715200944684398</v>
      </c>
      <c r="R33" s="55">
        <f t="shared" si="19"/>
        <v>32.783970625711731</v>
      </c>
      <c r="S33" s="55">
        <f t="shared" si="19"/>
        <v>30.369131556319864</v>
      </c>
      <c r="T33" s="55">
        <f t="shared" si="19"/>
        <v>22.528202923473774</v>
      </c>
      <c r="U33" s="55">
        <f t="shared" si="19"/>
        <v>22.431900257953565</v>
      </c>
      <c r="V33" s="55">
        <f t="shared" si="19"/>
        <v>17.375236457437659</v>
      </c>
      <c r="W33" s="55">
        <f t="shared" si="19"/>
        <v>18.831298366294064</v>
      </c>
      <c r="DA33" s="101"/>
    </row>
    <row r="34" spans="1:105" ht="12" customHeight="1" x14ac:dyDescent="0.25">
      <c r="A34" s="61" t="s">
        <v>52</v>
      </c>
      <c r="B34" s="55">
        <v>3.1898293517044385</v>
      </c>
      <c r="C34" s="55">
        <v>3.1898293517044385</v>
      </c>
      <c r="D34" s="55">
        <v>3.3891955828888274</v>
      </c>
      <c r="E34" s="55">
        <v>3.3891955828888274</v>
      </c>
      <c r="F34" s="55">
        <v>3.3891955828888269</v>
      </c>
      <c r="G34" s="55">
        <v>3.2960447119518479</v>
      </c>
      <c r="H34" s="55">
        <v>5.4934651762682716</v>
      </c>
      <c r="I34" s="55">
        <v>6.592175408426483</v>
      </c>
      <c r="J34" s="55">
        <v>6.592175408426483</v>
      </c>
      <c r="K34" s="55">
        <v>7.690799656061909</v>
      </c>
      <c r="L34" s="55">
        <v>7.690799656061909</v>
      </c>
      <c r="M34" s="55">
        <v>7.690799656061909</v>
      </c>
      <c r="N34" s="55">
        <v>7.690799656061909</v>
      </c>
      <c r="O34" s="55">
        <v>6.592175408426483</v>
      </c>
      <c r="P34" s="55">
        <v>6.592175408426483</v>
      </c>
      <c r="Q34" s="55">
        <v>7.690799656061909</v>
      </c>
      <c r="R34" s="55">
        <v>6.592175408426483</v>
      </c>
      <c r="S34" s="55">
        <v>8.0193465176268273</v>
      </c>
      <c r="T34" s="55">
        <v>10.51556319862425</v>
      </c>
      <c r="U34" s="55">
        <v>10.94625967325881</v>
      </c>
      <c r="V34" s="55">
        <v>7.6699914015477209</v>
      </c>
      <c r="W34" s="55">
        <v>8.5687016337059312</v>
      </c>
      <c r="DA34" s="101" t="s">
        <v>200</v>
      </c>
    </row>
    <row r="35" spans="1:105" ht="12" customHeight="1" x14ac:dyDescent="0.25">
      <c r="A35" s="61" t="s">
        <v>170</v>
      </c>
      <c r="B35" s="55">
        <v>13.115640484196518</v>
      </c>
      <c r="C35" s="55">
        <v>13.115640484196518</v>
      </c>
      <c r="D35" s="55">
        <v>15.205141035554032</v>
      </c>
      <c r="E35" s="55">
        <v>18.343576117239323</v>
      </c>
      <c r="F35" s="55">
        <v>19.389749805975352</v>
      </c>
      <c r="G35" s="55">
        <v>15.688873510985516</v>
      </c>
      <c r="H35" s="55">
        <v>12.663592293811471</v>
      </c>
      <c r="I35" s="55">
        <v>14.558902448859643</v>
      </c>
      <c r="J35" s="55">
        <v>14.55533777962402</v>
      </c>
      <c r="K35" s="55">
        <v>9.8275665462391686</v>
      </c>
      <c r="L35" s="55">
        <v>15.634959447723762</v>
      </c>
      <c r="M35" s="55">
        <v>8.9507339191949811</v>
      </c>
      <c r="N35" s="55">
        <v>15.921459877646374</v>
      </c>
      <c r="O35" s="55">
        <v>20.905210570314829</v>
      </c>
      <c r="P35" s="55">
        <v>22.962732448583601</v>
      </c>
      <c r="Q35" s="55">
        <v>28.024401288622489</v>
      </c>
      <c r="R35" s="55">
        <v>26.191795217285247</v>
      </c>
      <c r="S35" s="55">
        <v>22.349785038693035</v>
      </c>
      <c r="T35" s="55">
        <v>12.012639724849524</v>
      </c>
      <c r="U35" s="55">
        <v>11.485640584694755</v>
      </c>
      <c r="V35" s="55">
        <v>9.7052450558899377</v>
      </c>
      <c r="W35" s="55">
        <v>10.262596732588133</v>
      </c>
      <c r="DA35" s="101" t="s">
        <v>201</v>
      </c>
    </row>
    <row r="36" spans="1:105" ht="12" customHeight="1" x14ac:dyDescent="0.25">
      <c r="A36" s="60" t="s">
        <v>153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</v>
      </c>
      <c r="C37" s="55">
        <f t="shared" ref="C37:W37" si="20">SUM(C38:C42)</f>
        <v>0</v>
      </c>
      <c r="D37" s="55">
        <f t="shared" si="20"/>
        <v>0</v>
      </c>
      <c r="E37" s="55">
        <f t="shared" si="20"/>
        <v>0</v>
      </c>
      <c r="F37" s="55">
        <f t="shared" si="20"/>
        <v>0</v>
      </c>
      <c r="G37" s="55">
        <f t="shared" si="20"/>
        <v>0</v>
      </c>
      <c r="H37" s="55">
        <f t="shared" si="20"/>
        <v>0</v>
      </c>
      <c r="I37" s="55">
        <f t="shared" si="20"/>
        <v>0</v>
      </c>
      <c r="J37" s="55">
        <f t="shared" si="20"/>
        <v>0</v>
      </c>
      <c r="K37" s="55">
        <f t="shared" si="20"/>
        <v>0</v>
      </c>
      <c r="L37" s="55">
        <f t="shared" si="20"/>
        <v>0</v>
      </c>
      <c r="M37" s="55">
        <f t="shared" si="20"/>
        <v>0.77050730868443662</v>
      </c>
      <c r="N37" s="55">
        <f t="shared" si="20"/>
        <v>1.0597592433361995</v>
      </c>
      <c r="O37" s="55">
        <f t="shared" si="20"/>
        <v>0.77841788478073926</v>
      </c>
      <c r="P37" s="55">
        <f t="shared" si="20"/>
        <v>0.85098882201203774</v>
      </c>
      <c r="Q37" s="55">
        <f t="shared" si="20"/>
        <v>0.75167669819432503</v>
      </c>
      <c r="R37" s="55">
        <f t="shared" si="20"/>
        <v>0.90765262252794487</v>
      </c>
      <c r="S37" s="55">
        <f t="shared" si="20"/>
        <v>0.74041272570937233</v>
      </c>
      <c r="T37" s="55">
        <f t="shared" si="20"/>
        <v>0.63731728288907996</v>
      </c>
      <c r="U37" s="55">
        <f t="shared" si="20"/>
        <v>1.0239036973344799</v>
      </c>
      <c r="V37" s="55">
        <f t="shared" si="20"/>
        <v>0.78374892519346517</v>
      </c>
      <c r="W37" s="55">
        <f t="shared" si="20"/>
        <v>0.59527085124677559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0.76431642304385194</v>
      </c>
      <c r="N39" s="55">
        <v>1.050902837489252</v>
      </c>
      <c r="O39" s="55">
        <v>0.76431642304385194</v>
      </c>
      <c r="P39" s="55">
        <v>0.83594153052450548</v>
      </c>
      <c r="Q39" s="55">
        <v>0.74041272570937233</v>
      </c>
      <c r="R39" s="55">
        <v>0.90765262252794487</v>
      </c>
      <c r="S39" s="55">
        <v>0.74041272570937233</v>
      </c>
      <c r="T39" s="55">
        <v>0.63731728288907996</v>
      </c>
      <c r="U39" s="55">
        <v>1.0239036973344799</v>
      </c>
      <c r="V39" s="55">
        <v>0.78374892519346517</v>
      </c>
      <c r="W39" s="55">
        <v>0.59527085124677559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6.1908856405846939E-3</v>
      </c>
      <c r="N40" s="55">
        <v>8.856405846947548E-3</v>
      </c>
      <c r="O40" s="55">
        <v>1.4101461736887359E-2</v>
      </c>
      <c r="P40" s="55">
        <v>1.5047291487532239E-2</v>
      </c>
      <c r="Q40" s="55">
        <v>1.1263972484952711E-2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4.2295924426357309E-3</v>
      </c>
      <c r="C43" s="55">
        <v>1.4506690009696337E-2</v>
      </c>
      <c r="D43" s="55">
        <v>3.2479640438703897E-2</v>
      </c>
      <c r="E43" s="55">
        <v>6.1477488895032628E-2</v>
      </c>
      <c r="F43" s="55">
        <v>8.5355435874929358E-2</v>
      </c>
      <c r="G43" s="55">
        <v>0.15030247890728948</v>
      </c>
      <c r="H43" s="55">
        <v>0.22276391554454511</v>
      </c>
      <c r="I43" s="55">
        <v>0.39150923007750332</v>
      </c>
      <c r="J43" s="55">
        <v>0.64096723702902558</v>
      </c>
      <c r="K43" s="55">
        <v>0.8146955996700449</v>
      </c>
      <c r="L43" s="55">
        <v>0.87132455189660418</v>
      </c>
      <c r="M43" s="55">
        <v>1.093707976796511</v>
      </c>
      <c r="N43" s="55">
        <v>1.3263783237625015</v>
      </c>
      <c r="O43" s="55">
        <v>1.5777163597469623</v>
      </c>
      <c r="P43" s="55">
        <v>2.1691230041709364</v>
      </c>
      <c r="Q43" s="55">
        <v>2.8616696775574781</v>
      </c>
      <c r="R43" s="55">
        <v>3.2897986220046063</v>
      </c>
      <c r="S43" s="55">
        <v>3.7348237317282926</v>
      </c>
      <c r="T43" s="55">
        <v>4.182287188306109</v>
      </c>
      <c r="U43" s="55">
        <v>4.4196904557179746</v>
      </c>
      <c r="V43" s="55">
        <v>5.4366294067067944</v>
      </c>
      <c r="W43" s="55">
        <v>6.4396388650042944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0.1194325021496131</v>
      </c>
      <c r="N44" s="55">
        <v>0.19105760963026661</v>
      </c>
      <c r="O44" s="55">
        <v>2.3903697334479789E-2</v>
      </c>
      <c r="P44" s="55">
        <v>2.3903697334479789E-2</v>
      </c>
      <c r="Q44" s="55">
        <v>0.14333619948409279</v>
      </c>
      <c r="R44" s="55">
        <v>7.1625107480653469E-2</v>
      </c>
      <c r="S44" s="55">
        <v>1.0632383993522353E-2</v>
      </c>
      <c r="T44" s="55">
        <v>9.9742046431642306E-3</v>
      </c>
      <c r="U44" s="55">
        <v>2.106620808254514E-2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43.336199484092859</v>
      </c>
      <c r="C45" s="63">
        <v>46.947549441100598</v>
      </c>
      <c r="D45" s="63">
        <v>49.613069647463448</v>
      </c>
      <c r="E45" s="63">
        <v>53.395297216596546</v>
      </c>
      <c r="F45" s="63">
        <v>53.652750929156916</v>
      </c>
      <c r="G45" s="63">
        <v>64.658469233063698</v>
      </c>
      <c r="H45" s="63">
        <v>57.091562196669059</v>
      </c>
      <c r="I45" s="63">
        <v>57.004265324570554</v>
      </c>
      <c r="J45" s="63">
        <v>55.885581912639516</v>
      </c>
      <c r="K45" s="63">
        <v>53.907522747975719</v>
      </c>
      <c r="L45" s="63">
        <v>71.066785910994966</v>
      </c>
      <c r="M45" s="63">
        <v>73.818235477628193</v>
      </c>
      <c r="N45" s="63">
        <v>78.880572182655172</v>
      </c>
      <c r="O45" s="63">
        <v>79.545504620964948</v>
      </c>
      <c r="P45" s="63">
        <v>83.436573151131157</v>
      </c>
      <c r="Q45" s="63">
        <v>88.434660570143748</v>
      </c>
      <c r="R45" s="63">
        <v>88.192454519662164</v>
      </c>
      <c r="S45" s="63">
        <v>95.888633272940851</v>
      </c>
      <c r="T45" s="63">
        <v>94.625016178394148</v>
      </c>
      <c r="U45" s="63">
        <v>96.838582344802973</v>
      </c>
      <c r="V45" s="63">
        <v>84.85821391530115</v>
      </c>
      <c r="W45" s="63">
        <v>89.140966896111934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59.641669319993809</v>
      </c>
      <c r="C47" s="82">
        <f t="shared" ref="C47:W47" si="22">SUM(C48,C53)</f>
        <v>63.253019277001556</v>
      </c>
      <c r="D47" s="82">
        <f t="shared" si="22"/>
        <v>68.207406265906315</v>
      </c>
      <c r="E47" s="82">
        <f t="shared" si="22"/>
        <v>75.128068916724686</v>
      </c>
      <c r="F47" s="82">
        <f t="shared" si="22"/>
        <v>76.43169631802111</v>
      </c>
      <c r="G47" s="82">
        <f t="shared" si="22"/>
        <v>83.643387456001051</v>
      </c>
      <c r="H47" s="82">
        <f t="shared" si="22"/>
        <v>75.248619666748809</v>
      </c>
      <c r="I47" s="82">
        <f t="shared" si="22"/>
        <v>78.155343181856665</v>
      </c>
      <c r="J47" s="82">
        <f t="shared" si="22"/>
        <v>77.033095100690019</v>
      </c>
      <c r="K47" s="82">
        <f t="shared" si="22"/>
        <v>71.4258889502768</v>
      </c>
      <c r="L47" s="82">
        <f t="shared" si="22"/>
        <v>94.392545014780623</v>
      </c>
      <c r="M47" s="82">
        <f t="shared" si="22"/>
        <v>91.34970886371913</v>
      </c>
      <c r="N47" s="82">
        <f t="shared" si="22"/>
        <v>103.74364856932992</v>
      </c>
      <c r="O47" s="82">
        <f t="shared" si="22"/>
        <v>107.84521218182149</v>
      </c>
      <c r="P47" s="82">
        <f t="shared" si="22"/>
        <v>113.8663735274878</v>
      </c>
      <c r="Q47" s="82">
        <f t="shared" si="22"/>
        <v>125.04487441250654</v>
      </c>
      <c r="R47" s="82">
        <f t="shared" si="22"/>
        <v>121.9557028753825</v>
      </c>
      <c r="S47" s="82">
        <f t="shared" si="22"/>
        <v>127.00880993896365</v>
      </c>
      <c r="T47" s="82">
        <f t="shared" si="22"/>
        <v>117.80051058940015</v>
      </c>
      <c r="U47" s="82">
        <f t="shared" si="22"/>
        <v>120.31545250817358</v>
      </c>
      <c r="V47" s="82">
        <f t="shared" si="22"/>
        <v>103.01719929793225</v>
      </c>
      <c r="W47" s="82">
        <f t="shared" si="22"/>
        <v>108.56753611365282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45.632273739406131</v>
      </c>
      <c r="C48" s="64">
        <f t="shared" ref="C48:W48" si="24">SUM(C49:C52)</f>
        <v>48.251636013106108</v>
      </c>
      <c r="D48" s="64">
        <f t="shared" si="24"/>
        <v>52.419187334724697</v>
      </c>
      <c r="E48" s="64">
        <f t="shared" si="24"/>
        <v>58.626622214630238</v>
      </c>
      <c r="F48" s="64">
        <f t="shared" si="24"/>
        <v>59.343128711166081</v>
      </c>
      <c r="G48" s="64">
        <f t="shared" si="24"/>
        <v>65.922722995283038</v>
      </c>
      <c r="H48" s="64">
        <f t="shared" si="24"/>
        <v>56.732268972071907</v>
      </c>
      <c r="I48" s="64">
        <f t="shared" si="24"/>
        <v>59.059138542536431</v>
      </c>
      <c r="J48" s="64">
        <f t="shared" si="24"/>
        <v>57.217359449233726</v>
      </c>
      <c r="K48" s="64">
        <f t="shared" si="24"/>
        <v>51.244532678719892</v>
      </c>
      <c r="L48" s="64">
        <f t="shared" si="24"/>
        <v>73.350274213884447</v>
      </c>
      <c r="M48" s="64">
        <f t="shared" si="24"/>
        <v>69.844448738652233</v>
      </c>
      <c r="N48" s="64">
        <f t="shared" si="24"/>
        <v>81.434652162606</v>
      </c>
      <c r="O48" s="64">
        <f t="shared" si="24"/>
        <v>84.720786134380205</v>
      </c>
      <c r="P48" s="64">
        <f t="shared" si="24"/>
        <v>89.727249094002431</v>
      </c>
      <c r="Q48" s="64">
        <f t="shared" si="24"/>
        <v>99.845414877672411</v>
      </c>
      <c r="R48" s="64">
        <f t="shared" si="24"/>
        <v>96.348341314182903</v>
      </c>
      <c r="S48" s="64">
        <f t="shared" si="24"/>
        <v>100.95959411520055</v>
      </c>
      <c r="T48" s="64">
        <f t="shared" si="24"/>
        <v>91.208730270170832</v>
      </c>
      <c r="U48" s="64">
        <f t="shared" si="24"/>
        <v>93.268844524727967</v>
      </c>
      <c r="V48" s="64">
        <f t="shared" si="24"/>
        <v>77.898662204063172</v>
      </c>
      <c r="W48" s="64">
        <f t="shared" si="24"/>
        <v>83.179028165164539</v>
      </c>
      <c r="DA48" s="108" t="s">
        <v>212</v>
      </c>
    </row>
    <row r="49" spans="1:105" ht="12" customHeight="1" x14ac:dyDescent="0.25">
      <c r="A49" s="61" t="s">
        <v>32</v>
      </c>
      <c r="B49" s="65">
        <v>20.649407532791031</v>
      </c>
      <c r="C49" s="65">
        <v>22.123329547033617</v>
      </c>
      <c r="D49" s="65">
        <v>26.211094046047599</v>
      </c>
      <c r="E49" s="65">
        <v>29.91413048840473</v>
      </c>
      <c r="F49" s="65">
        <v>32.675658479687364</v>
      </c>
      <c r="G49" s="65">
        <v>38.756035695077593</v>
      </c>
      <c r="H49" s="65">
        <v>27.571445188097279</v>
      </c>
      <c r="I49" s="65">
        <v>29.119642612573294</v>
      </c>
      <c r="J49" s="65">
        <v>26.822723186577608</v>
      </c>
      <c r="K49" s="65">
        <v>19.667372500516631</v>
      </c>
      <c r="L49" s="65">
        <v>42.18055670729251</v>
      </c>
      <c r="M49" s="65">
        <v>37.552363611770318</v>
      </c>
      <c r="N49" s="65">
        <v>46.029429102019961</v>
      </c>
      <c r="O49" s="65">
        <v>50.744195801380997</v>
      </c>
      <c r="P49" s="65">
        <v>54.849565244752469</v>
      </c>
      <c r="Q49" s="65">
        <v>63.742473460970032</v>
      </c>
      <c r="R49" s="65">
        <v>60.673257953889063</v>
      </c>
      <c r="S49" s="65">
        <v>63.823461731958943</v>
      </c>
      <c r="T49" s="65">
        <v>53.550988103553237</v>
      </c>
      <c r="U49" s="65">
        <v>52.960905206505984</v>
      </c>
      <c r="V49" s="65">
        <v>41.311069890576007</v>
      </c>
      <c r="W49" s="65">
        <v>43.473319923892021</v>
      </c>
      <c r="DA49" s="109" t="s">
        <v>213</v>
      </c>
    </row>
    <row r="50" spans="1:105" ht="12" customHeight="1" x14ac:dyDescent="0.25">
      <c r="A50" s="61" t="s">
        <v>31</v>
      </c>
      <c r="B50" s="65">
        <v>3.9836346396839355</v>
      </c>
      <c r="C50" s="65">
        <v>4.6836648702125876</v>
      </c>
      <c r="D50" s="65">
        <v>3.7153288741594612</v>
      </c>
      <c r="E50" s="65">
        <v>5.6453532485393989</v>
      </c>
      <c r="F50" s="65">
        <v>2.9379250563115895</v>
      </c>
      <c r="G50" s="65">
        <v>2.9546364533044684</v>
      </c>
      <c r="H50" s="65">
        <v>4.0763324197662589</v>
      </c>
      <c r="I50" s="65">
        <v>4.2380454080335879</v>
      </c>
      <c r="J50" s="65">
        <v>3.6827758757808668</v>
      </c>
      <c r="K50" s="65">
        <v>4.0231676698537919</v>
      </c>
      <c r="L50" s="65">
        <v>3.3412465978857226</v>
      </c>
      <c r="M50" s="65">
        <v>3.6570043285760789</v>
      </c>
      <c r="N50" s="65">
        <v>6.5252086460998076</v>
      </c>
      <c r="O50" s="65">
        <v>4.6648772650699071</v>
      </c>
      <c r="P50" s="65">
        <v>4.887374792088945</v>
      </c>
      <c r="Q50" s="65">
        <v>5.3057792021241053</v>
      </c>
      <c r="R50" s="65">
        <v>4.4395314535984323</v>
      </c>
      <c r="S50" s="65">
        <v>5.3309420288753371</v>
      </c>
      <c r="T50" s="65">
        <v>4.8596073811740075</v>
      </c>
      <c r="U50" s="65">
        <v>6.8642009698926545</v>
      </c>
      <c r="V50" s="65">
        <v>5.3897590987996287</v>
      </c>
      <c r="W50" s="65">
        <v>6.981787999332683</v>
      </c>
      <c r="DA50" s="109" t="s">
        <v>214</v>
      </c>
    </row>
    <row r="51" spans="1:105" ht="12" customHeight="1" x14ac:dyDescent="0.25">
      <c r="A51" s="61" t="s">
        <v>35</v>
      </c>
      <c r="B51" s="65">
        <v>9.9551894973197665</v>
      </c>
      <c r="C51" s="65">
        <v>9.9425351063736773</v>
      </c>
      <c r="D51" s="65">
        <v>10.394631389641544</v>
      </c>
      <c r="E51" s="65">
        <v>10.536955685656892</v>
      </c>
      <c r="F51" s="65">
        <v>10.847597009257468</v>
      </c>
      <c r="G51" s="65">
        <v>11.121087512277898</v>
      </c>
      <c r="H51" s="65">
        <v>11.536511491548582</v>
      </c>
      <c r="I51" s="65">
        <v>11.793637810128491</v>
      </c>
      <c r="J51" s="65">
        <v>12.127451129956944</v>
      </c>
      <c r="K51" s="65">
        <v>12.292855904686869</v>
      </c>
      <c r="L51" s="65">
        <v>12.539667391046356</v>
      </c>
      <c r="M51" s="65">
        <v>12.856472416422502</v>
      </c>
      <c r="N51" s="65">
        <v>12.869407191477061</v>
      </c>
      <c r="O51" s="65">
        <v>13.134531582751933</v>
      </c>
      <c r="P51" s="65">
        <v>13.297717133502134</v>
      </c>
      <c r="Q51" s="65">
        <v>13.482146137074675</v>
      </c>
      <c r="R51" s="65">
        <v>13.676023638516769</v>
      </c>
      <c r="S51" s="65">
        <v>13.766889732000616</v>
      </c>
      <c r="T51" s="65">
        <v>13.86886155310008</v>
      </c>
      <c r="U51" s="65">
        <v>14.011126087331366</v>
      </c>
      <c r="V51" s="65">
        <v>13.515588363242495</v>
      </c>
      <c r="W51" s="65">
        <v>14.00594455726095</v>
      </c>
      <c r="DA51" s="109" t="s">
        <v>215</v>
      </c>
    </row>
    <row r="52" spans="1:105" ht="12" customHeight="1" x14ac:dyDescent="0.25">
      <c r="A52" s="66" t="s">
        <v>34</v>
      </c>
      <c r="B52" s="67">
        <v>11.044042069611404</v>
      </c>
      <c r="C52" s="67">
        <v>11.50210648948622</v>
      </c>
      <c r="D52" s="67">
        <v>12.098133024876088</v>
      </c>
      <c r="E52" s="67">
        <v>12.530182792029214</v>
      </c>
      <c r="F52" s="67">
        <v>12.881948165909655</v>
      </c>
      <c r="G52" s="67">
        <v>13.090963334623089</v>
      </c>
      <c r="H52" s="67">
        <v>13.547979872659791</v>
      </c>
      <c r="I52" s="67">
        <v>13.907812711801057</v>
      </c>
      <c r="J52" s="67">
        <v>14.584409256918306</v>
      </c>
      <c r="K52" s="67">
        <v>15.261136603662599</v>
      </c>
      <c r="L52" s="67">
        <v>15.288803517659863</v>
      </c>
      <c r="M52" s="67">
        <v>15.778608381883327</v>
      </c>
      <c r="N52" s="67">
        <v>16.010607223009181</v>
      </c>
      <c r="O52" s="67">
        <v>16.177181485177368</v>
      </c>
      <c r="P52" s="67">
        <v>16.692591923658878</v>
      </c>
      <c r="Q52" s="67">
        <v>17.315016077503603</v>
      </c>
      <c r="R52" s="67">
        <v>17.559528268178646</v>
      </c>
      <c r="S52" s="67">
        <v>18.038300622365639</v>
      </c>
      <c r="T52" s="67">
        <v>18.929273232343508</v>
      </c>
      <c r="U52" s="67">
        <v>19.43261226099796</v>
      </c>
      <c r="V52" s="67">
        <v>17.682244851445041</v>
      </c>
      <c r="W52" s="67">
        <v>18.717975684678883</v>
      </c>
      <c r="DA52" s="110" t="s">
        <v>216</v>
      </c>
    </row>
    <row r="53" spans="1:105" ht="12" customHeight="1" x14ac:dyDescent="0.25">
      <c r="A53" s="78" t="s">
        <v>33</v>
      </c>
      <c r="B53" s="68">
        <v>14.009395580587682</v>
      </c>
      <c r="C53" s="68">
        <v>15.001383263895452</v>
      </c>
      <c r="D53" s="68">
        <v>15.788218931181611</v>
      </c>
      <c r="E53" s="68">
        <v>16.501446702094452</v>
      </c>
      <c r="F53" s="68">
        <v>17.08856760685503</v>
      </c>
      <c r="G53" s="68">
        <v>17.720664460718009</v>
      </c>
      <c r="H53" s="68">
        <v>18.516350694676898</v>
      </c>
      <c r="I53" s="68">
        <v>19.096204639320241</v>
      </c>
      <c r="J53" s="68">
        <v>19.815735651456293</v>
      </c>
      <c r="K53" s="68">
        <v>20.181356271556915</v>
      </c>
      <c r="L53" s="68">
        <v>21.042270800896173</v>
      </c>
      <c r="M53" s="68">
        <v>21.505260125066894</v>
      </c>
      <c r="N53" s="68">
        <v>22.308996406723921</v>
      </c>
      <c r="O53" s="68">
        <v>23.124426047441283</v>
      </c>
      <c r="P53" s="68">
        <v>24.13912443348536</v>
      </c>
      <c r="Q53" s="68">
        <v>25.199459534834137</v>
      </c>
      <c r="R53" s="68">
        <v>25.6073615611996</v>
      </c>
      <c r="S53" s="68">
        <v>26.049215823763113</v>
      </c>
      <c r="T53" s="68">
        <v>26.591780319229322</v>
      </c>
      <c r="U53" s="68">
        <v>27.046607983445611</v>
      </c>
      <c r="V53" s="68">
        <v>25.118537093869072</v>
      </c>
      <c r="W53" s="68">
        <v>25.388507948488282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0.76510725235701482</v>
      </c>
      <c r="C56" s="70">
        <f t="shared" ref="C56:W56" si="28">IF(C48=0,0,C48/C$47)</f>
        <v>0.7628353012177892</v>
      </c>
      <c r="D56" s="70">
        <f t="shared" si="28"/>
        <v>0.76852632587095737</v>
      </c>
      <c r="E56" s="70">
        <f t="shared" si="28"/>
        <v>0.78035577195008976</v>
      </c>
      <c r="F56" s="70">
        <f t="shared" si="28"/>
        <v>0.77642040632263354</v>
      </c>
      <c r="G56" s="70">
        <f t="shared" si="28"/>
        <v>0.78814028221848842</v>
      </c>
      <c r="H56" s="70">
        <f t="shared" si="28"/>
        <v>0.75393102522438704</v>
      </c>
      <c r="I56" s="70">
        <f t="shared" si="28"/>
        <v>0.75566347914452869</v>
      </c>
      <c r="J56" s="70">
        <f t="shared" si="28"/>
        <v>0.74276334573399749</v>
      </c>
      <c r="K56" s="70">
        <f t="shared" si="28"/>
        <v>0.7174504011338777</v>
      </c>
      <c r="L56" s="70">
        <f t="shared" si="28"/>
        <v>0.77707698423004445</v>
      </c>
      <c r="M56" s="70">
        <f t="shared" si="28"/>
        <v>0.76458315639352825</v>
      </c>
      <c r="N56" s="70">
        <f t="shared" si="28"/>
        <v>0.78496036418253368</v>
      </c>
      <c r="O56" s="70">
        <f t="shared" si="28"/>
        <v>0.7855776294597604</v>
      </c>
      <c r="P56" s="70">
        <f t="shared" si="28"/>
        <v>0.78800480171911258</v>
      </c>
      <c r="Q56" s="70">
        <f t="shared" si="28"/>
        <v>0.7984766696497736</v>
      </c>
      <c r="R56" s="70">
        <f t="shared" si="28"/>
        <v>0.79002735454392103</v>
      </c>
      <c r="S56" s="70">
        <f t="shared" si="28"/>
        <v>0.7949022919254064</v>
      </c>
      <c r="T56" s="70">
        <f t="shared" si="28"/>
        <v>0.77426430338730567</v>
      </c>
      <c r="U56" s="70">
        <f t="shared" si="28"/>
        <v>0.77520254115648024</v>
      </c>
      <c r="V56" s="70">
        <f t="shared" si="28"/>
        <v>0.7561714231695944</v>
      </c>
      <c r="W56" s="70">
        <f t="shared" si="28"/>
        <v>0.76615009553214342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0.3462245065945645</v>
      </c>
      <c r="C57" s="71">
        <f t="shared" ref="C57:W57" si="30">IF(C49=0,0,C49/C$47)</f>
        <v>0.3497592652478731</v>
      </c>
      <c r="D57" s="71">
        <f t="shared" si="30"/>
        <v>0.38428516023412101</v>
      </c>
      <c r="E57" s="71">
        <f t="shared" si="30"/>
        <v>0.39817515503510265</v>
      </c>
      <c r="F57" s="71">
        <f t="shared" si="30"/>
        <v>0.42751450057746626</v>
      </c>
      <c r="G57" s="71">
        <f t="shared" si="30"/>
        <v>0.46334847109658772</v>
      </c>
      <c r="H57" s="71">
        <f t="shared" si="30"/>
        <v>0.36640466376927672</v>
      </c>
      <c r="I57" s="71">
        <f t="shared" si="30"/>
        <v>0.37258671547018757</v>
      </c>
      <c r="J57" s="71">
        <f t="shared" si="30"/>
        <v>0.34819739686582246</v>
      </c>
      <c r="K57" s="71">
        <f t="shared" si="30"/>
        <v>0.27535355582634879</v>
      </c>
      <c r="L57" s="71">
        <f t="shared" si="30"/>
        <v>0.44686322103814019</v>
      </c>
      <c r="M57" s="71">
        <f t="shared" si="30"/>
        <v>0.41108356095357834</v>
      </c>
      <c r="N57" s="71">
        <f t="shared" si="30"/>
        <v>0.44368430970749367</v>
      </c>
      <c r="O57" s="71">
        <f t="shared" si="30"/>
        <v>0.47052803527178272</v>
      </c>
      <c r="P57" s="71">
        <f t="shared" si="30"/>
        <v>0.48170116905946397</v>
      </c>
      <c r="Q57" s="71">
        <f t="shared" si="30"/>
        <v>0.50975678739691499</v>
      </c>
      <c r="R57" s="71">
        <f t="shared" si="30"/>
        <v>0.49750242525260646</v>
      </c>
      <c r="S57" s="71">
        <f t="shared" si="30"/>
        <v>0.50251208371002332</v>
      </c>
      <c r="T57" s="71">
        <f t="shared" si="30"/>
        <v>0.45459045835724782</v>
      </c>
      <c r="U57" s="71">
        <f t="shared" si="30"/>
        <v>0.44018373452826526</v>
      </c>
      <c r="V57" s="71">
        <f t="shared" si="30"/>
        <v>0.40101138617738757</v>
      </c>
      <c r="W57" s="71">
        <f t="shared" si="30"/>
        <v>0.40042651311882421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6.6792809207110726E-2</v>
      </c>
      <c r="C58" s="72">
        <f t="shared" ref="C58:W58" si="32">IF(C50=0,0,C50/C$47)</f>
        <v>7.4046502819123797E-2</v>
      </c>
      <c r="D58" s="72">
        <f t="shared" si="32"/>
        <v>5.4471047611387914E-2</v>
      </c>
      <c r="E58" s="72">
        <f t="shared" si="32"/>
        <v>7.5143063437407939E-2</v>
      </c>
      <c r="F58" s="72">
        <f t="shared" si="32"/>
        <v>3.8438569308828538E-2</v>
      </c>
      <c r="G58" s="72">
        <f t="shared" si="32"/>
        <v>3.5324208442164023E-2</v>
      </c>
      <c r="H58" s="72">
        <f t="shared" si="32"/>
        <v>5.4171524179699025E-2</v>
      </c>
      <c r="I58" s="72">
        <f t="shared" si="32"/>
        <v>5.4225920269740775E-2</v>
      </c>
      <c r="J58" s="72">
        <f t="shared" si="32"/>
        <v>4.7807710062371341E-2</v>
      </c>
      <c r="K58" s="72">
        <f t="shared" si="32"/>
        <v>5.6326462701143616E-2</v>
      </c>
      <c r="L58" s="72">
        <f t="shared" si="32"/>
        <v>3.5397356829000928E-2</v>
      </c>
      <c r="M58" s="72">
        <f t="shared" si="32"/>
        <v>4.0033015693917678E-2</v>
      </c>
      <c r="N58" s="72">
        <f t="shared" si="32"/>
        <v>6.2897427804836981E-2</v>
      </c>
      <c r="O58" s="72">
        <f t="shared" si="32"/>
        <v>4.3255302397710187E-2</v>
      </c>
      <c r="P58" s="72">
        <f t="shared" si="32"/>
        <v>4.2922020265351767E-2</v>
      </c>
      <c r="Q58" s="72">
        <f t="shared" si="32"/>
        <v>4.2431001087026084E-2</v>
      </c>
      <c r="R58" s="72">
        <f t="shared" si="32"/>
        <v>3.6402819621603598E-2</v>
      </c>
      <c r="S58" s="72">
        <f t="shared" si="32"/>
        <v>4.1973009836382344E-2</v>
      </c>
      <c r="T58" s="72">
        <f t="shared" si="32"/>
        <v>4.1252854990692048E-2</v>
      </c>
      <c r="U58" s="72">
        <f t="shared" si="32"/>
        <v>5.7051698903150767E-2</v>
      </c>
      <c r="V58" s="72">
        <f t="shared" si="32"/>
        <v>5.2319021828695855E-2</v>
      </c>
      <c r="W58" s="72">
        <f t="shared" si="32"/>
        <v>6.4308247651709338E-2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0.16691668108596125</v>
      </c>
      <c r="C59" s="72">
        <f t="shared" ref="C59:W59" si="34">IF(C51=0,0,C51/C$47)</f>
        <v>0.15718672752730917</v>
      </c>
      <c r="D59" s="72">
        <f t="shared" si="34"/>
        <v>0.15239740020487091</v>
      </c>
      <c r="E59" s="72">
        <f t="shared" si="34"/>
        <v>0.14025324805481856</v>
      </c>
      <c r="F59" s="72">
        <f t="shared" si="34"/>
        <v>0.14192537300391977</v>
      </c>
      <c r="G59" s="72">
        <f t="shared" si="34"/>
        <v>0.13295835870023706</v>
      </c>
      <c r="H59" s="72">
        <f t="shared" si="34"/>
        <v>0.15331193505794483</v>
      </c>
      <c r="I59" s="72">
        <f t="shared" si="34"/>
        <v>0.15089995552429894</v>
      </c>
      <c r="J59" s="72">
        <f t="shared" si="34"/>
        <v>0.15743170015569469</v>
      </c>
      <c r="K59" s="72">
        <f t="shared" si="34"/>
        <v>0.17210644607089948</v>
      </c>
      <c r="L59" s="72">
        <f t="shared" si="34"/>
        <v>0.1328459508013351</v>
      </c>
      <c r="M59" s="72">
        <f t="shared" si="34"/>
        <v>0.14073906284258161</v>
      </c>
      <c r="N59" s="72">
        <f t="shared" si="34"/>
        <v>0.1240500731269026</v>
      </c>
      <c r="O59" s="72">
        <f t="shared" si="34"/>
        <v>0.12179058594282133</v>
      </c>
      <c r="P59" s="72">
        <f t="shared" si="34"/>
        <v>0.11678353074353433</v>
      </c>
      <c r="Q59" s="72">
        <f t="shared" si="34"/>
        <v>0.10781846277520224</v>
      </c>
      <c r="R59" s="72">
        <f t="shared" si="34"/>
        <v>0.11213927119497875</v>
      </c>
      <c r="S59" s="72">
        <f t="shared" si="34"/>
        <v>0.10839318735933783</v>
      </c>
      <c r="T59" s="72">
        <f t="shared" si="34"/>
        <v>0.11773176095510081</v>
      </c>
      <c r="U59" s="72">
        <f t="shared" si="34"/>
        <v>0.11645325513262335</v>
      </c>
      <c r="V59" s="72">
        <f t="shared" si="34"/>
        <v>0.13119739670027875</v>
      </c>
      <c r="W59" s="72">
        <f t="shared" si="34"/>
        <v>0.12900674601843196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0.18517325546937843</v>
      </c>
      <c r="C60" s="73">
        <f t="shared" ref="C60:W60" si="36">IF(C52=0,0,C52/C$47)</f>
        <v>0.18184280562348304</v>
      </c>
      <c r="D60" s="73">
        <f t="shared" si="36"/>
        <v>0.17737271782057745</v>
      </c>
      <c r="E60" s="73">
        <f t="shared" si="36"/>
        <v>0.16678430542276054</v>
      </c>
      <c r="F60" s="73">
        <f t="shared" si="36"/>
        <v>0.16854196343241884</v>
      </c>
      <c r="G60" s="73">
        <f t="shared" si="36"/>
        <v>0.15650924397949964</v>
      </c>
      <c r="H60" s="73">
        <f t="shared" si="36"/>
        <v>0.1800429022174666</v>
      </c>
      <c r="I60" s="73">
        <f t="shared" si="36"/>
        <v>0.17795088788030144</v>
      </c>
      <c r="J60" s="73">
        <f t="shared" si="36"/>
        <v>0.18932653865010893</v>
      </c>
      <c r="K60" s="73">
        <f t="shared" si="36"/>
        <v>0.21366393653548582</v>
      </c>
      <c r="L60" s="73">
        <f t="shared" si="36"/>
        <v>0.16197045556156833</v>
      </c>
      <c r="M60" s="73">
        <f t="shared" si="36"/>
        <v>0.17272751690345048</v>
      </c>
      <c r="N60" s="73">
        <f t="shared" si="36"/>
        <v>0.1543285535433005</v>
      </c>
      <c r="O60" s="73">
        <f t="shared" si="36"/>
        <v>0.15000370584744616</v>
      </c>
      <c r="P60" s="73">
        <f t="shared" si="36"/>
        <v>0.14659808165076249</v>
      </c>
      <c r="Q60" s="73">
        <f t="shared" si="36"/>
        <v>0.13847041839063032</v>
      </c>
      <c r="R60" s="73">
        <f t="shared" si="36"/>
        <v>0.14398283847473231</v>
      </c>
      <c r="S60" s="73">
        <f t="shared" si="36"/>
        <v>0.14202401101966286</v>
      </c>
      <c r="T60" s="73">
        <f t="shared" si="36"/>
        <v>0.16068922908426503</v>
      </c>
      <c r="U60" s="73">
        <f t="shared" si="36"/>
        <v>0.1615138525924408</v>
      </c>
      <c r="V60" s="73">
        <f t="shared" si="36"/>
        <v>0.17164361846323226</v>
      </c>
      <c r="W60" s="73">
        <f t="shared" si="36"/>
        <v>0.17240858874317788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0.23489274764298526</v>
      </c>
      <c r="C61" s="70">
        <f t="shared" ref="C61:W61" si="38">IF(C53=0,0,C53/C$47)</f>
        <v>0.23716469878221089</v>
      </c>
      <c r="D61" s="70">
        <f t="shared" si="38"/>
        <v>0.23147367412904252</v>
      </c>
      <c r="E61" s="70">
        <f t="shared" si="38"/>
        <v>0.21964422804991027</v>
      </c>
      <c r="F61" s="70">
        <f t="shared" si="38"/>
        <v>0.22357959367736652</v>
      </c>
      <c r="G61" s="70">
        <f t="shared" si="38"/>
        <v>0.21185971778151158</v>
      </c>
      <c r="H61" s="70">
        <f t="shared" si="38"/>
        <v>0.24606897477561285</v>
      </c>
      <c r="I61" s="70">
        <f t="shared" si="38"/>
        <v>0.24433652085547133</v>
      </c>
      <c r="J61" s="70">
        <f t="shared" si="38"/>
        <v>0.25723665426600256</v>
      </c>
      <c r="K61" s="70">
        <f t="shared" si="38"/>
        <v>0.28254959886612241</v>
      </c>
      <c r="L61" s="70">
        <f t="shared" si="38"/>
        <v>0.22292301576995546</v>
      </c>
      <c r="M61" s="70">
        <f t="shared" si="38"/>
        <v>0.23541684360647175</v>
      </c>
      <c r="N61" s="70">
        <f t="shared" si="38"/>
        <v>0.21503963581746635</v>
      </c>
      <c r="O61" s="70">
        <f t="shared" si="38"/>
        <v>0.21442237054023952</v>
      </c>
      <c r="P61" s="70">
        <f t="shared" si="38"/>
        <v>0.21199519828088736</v>
      </c>
      <c r="Q61" s="70">
        <f t="shared" si="38"/>
        <v>0.20152333035022646</v>
      </c>
      <c r="R61" s="70">
        <f t="shared" si="38"/>
        <v>0.20997264545607897</v>
      </c>
      <c r="S61" s="70">
        <f t="shared" si="38"/>
        <v>0.20509770807459363</v>
      </c>
      <c r="T61" s="70">
        <f t="shared" si="38"/>
        <v>0.22573569661269438</v>
      </c>
      <c r="U61" s="70">
        <f t="shared" si="38"/>
        <v>0.22479745884351979</v>
      </c>
      <c r="V61" s="70">
        <f t="shared" si="38"/>
        <v>0.24382857683040554</v>
      </c>
      <c r="W61" s="70">
        <f t="shared" si="38"/>
        <v>0.23384990446785658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48.078090234720122</v>
      </c>
      <c r="C65" s="80">
        <v>48.078090234720122</v>
      </c>
      <c r="D65" s="80">
        <v>54.894832792548797</v>
      </c>
      <c r="E65" s="80">
        <v>64.342492792548782</v>
      </c>
      <c r="F65" s="80">
        <v>67.491799072548801</v>
      </c>
      <c r="G65" s="80">
        <v>58.074488507756001</v>
      </c>
      <c r="H65" s="80">
        <v>54.45815538710977</v>
      </c>
      <c r="I65" s="80">
        <v>63.600875463704718</v>
      </c>
      <c r="J65" s="80">
        <v>63.590144707109772</v>
      </c>
      <c r="K65" s="80">
        <v>51.108725811303472</v>
      </c>
      <c r="L65" s="80">
        <v>69.880292487855826</v>
      </c>
      <c r="M65" s="80">
        <v>48.124426424708204</v>
      </c>
      <c r="N65" s="80">
        <v>70.146533727855825</v>
      </c>
      <c r="O65" s="80">
        <v>83.111042811303463</v>
      </c>
      <c r="P65" s="80">
        <v>89.588933847855813</v>
      </c>
      <c r="Q65" s="80">
        <v>108.09093461656664</v>
      </c>
      <c r="R65" s="80">
        <v>99.106991847855838</v>
      </c>
      <c r="S65" s="80">
        <v>90.956541600000008</v>
      </c>
      <c r="T65" s="80">
        <v>65.24622324000002</v>
      </c>
      <c r="U65" s="80">
        <v>64.806378840000008</v>
      </c>
      <c r="V65" s="80">
        <v>50.699870280000006</v>
      </c>
      <c r="W65" s="80">
        <v>54.885231719999993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48.078090234720122</v>
      </c>
      <c r="C67" s="55">
        <f t="shared" ref="C67:W67" si="39">SUM(C68:C69)</f>
        <v>48.078090234720122</v>
      </c>
      <c r="D67" s="55">
        <f t="shared" si="39"/>
        <v>54.894832792548797</v>
      </c>
      <c r="E67" s="55">
        <f t="shared" si="39"/>
        <v>64.342492792548782</v>
      </c>
      <c r="F67" s="55">
        <f t="shared" si="39"/>
        <v>67.491799072548801</v>
      </c>
      <c r="G67" s="55">
        <f t="shared" si="39"/>
        <v>58.074488507756001</v>
      </c>
      <c r="H67" s="55">
        <f t="shared" si="39"/>
        <v>54.45815538710977</v>
      </c>
      <c r="I67" s="55">
        <f t="shared" si="39"/>
        <v>63.600875463704718</v>
      </c>
      <c r="J67" s="55">
        <f t="shared" si="39"/>
        <v>63.590144707109772</v>
      </c>
      <c r="K67" s="55">
        <f t="shared" si="39"/>
        <v>51.108725811303472</v>
      </c>
      <c r="L67" s="55">
        <f t="shared" si="39"/>
        <v>69.880292487855826</v>
      </c>
      <c r="M67" s="55">
        <f t="shared" si="39"/>
        <v>48.124426424708204</v>
      </c>
      <c r="N67" s="55">
        <f t="shared" si="39"/>
        <v>70.146533727855825</v>
      </c>
      <c r="O67" s="55">
        <f t="shared" si="39"/>
        <v>83.111042811303463</v>
      </c>
      <c r="P67" s="55">
        <f t="shared" si="39"/>
        <v>89.588933847855799</v>
      </c>
      <c r="Q67" s="55">
        <f t="shared" si="39"/>
        <v>108.09093461656664</v>
      </c>
      <c r="R67" s="55">
        <f t="shared" si="39"/>
        <v>99.106991847855824</v>
      </c>
      <c r="S67" s="55">
        <f t="shared" si="39"/>
        <v>90.956541600000008</v>
      </c>
      <c r="T67" s="55">
        <f t="shared" si="39"/>
        <v>65.24622324000002</v>
      </c>
      <c r="U67" s="55">
        <f t="shared" si="39"/>
        <v>64.806378840000008</v>
      </c>
      <c r="V67" s="55">
        <f t="shared" si="39"/>
        <v>50.699870280000006</v>
      </c>
      <c r="W67" s="55">
        <f t="shared" si="39"/>
        <v>54.885231719999993</v>
      </c>
      <c r="DA67" s="101"/>
    </row>
    <row r="68" spans="1:105" ht="12" customHeight="1" x14ac:dyDescent="0.25">
      <c r="A68" s="61" t="s">
        <v>52</v>
      </c>
      <c r="B68" s="55">
        <v>8.4271170212508881</v>
      </c>
      <c r="C68" s="55">
        <v>8.4271170212508881</v>
      </c>
      <c r="D68" s="55">
        <v>8.9538168459229741</v>
      </c>
      <c r="E68" s="55">
        <v>8.9538168459229741</v>
      </c>
      <c r="F68" s="55">
        <v>8.9538168459229723</v>
      </c>
      <c r="G68" s="55">
        <v>8.707724279999999</v>
      </c>
      <c r="H68" s="55">
        <v>14.513025240000001</v>
      </c>
      <c r="I68" s="55">
        <v>17.415675720000003</v>
      </c>
      <c r="J68" s="55">
        <v>17.415675720000003</v>
      </c>
      <c r="K68" s="55">
        <v>20.318099040000003</v>
      </c>
      <c r="L68" s="55">
        <v>20.318099040000003</v>
      </c>
      <c r="M68" s="55">
        <v>20.318099040000003</v>
      </c>
      <c r="N68" s="55">
        <v>20.318099040000003</v>
      </c>
      <c r="O68" s="55">
        <v>17.415675720000003</v>
      </c>
      <c r="P68" s="55">
        <v>17.415675720000003</v>
      </c>
      <c r="Q68" s="55">
        <v>20.318099040000003</v>
      </c>
      <c r="R68" s="55">
        <v>17.415675720000003</v>
      </c>
      <c r="S68" s="55">
        <v>21.186077400000002</v>
      </c>
      <c r="T68" s="55">
        <v>27.780759360000008</v>
      </c>
      <c r="U68" s="55">
        <v>28.918603799999996</v>
      </c>
      <c r="V68" s="55">
        <v>20.263126320000001</v>
      </c>
      <c r="W68" s="55">
        <v>22.637402639999998</v>
      </c>
      <c r="DA68" s="101" t="s">
        <v>220</v>
      </c>
    </row>
    <row r="69" spans="1:105" ht="12" customHeight="1" x14ac:dyDescent="0.25">
      <c r="A69" s="61" t="s">
        <v>170</v>
      </c>
      <c r="B69" s="55">
        <v>39.650973213469236</v>
      </c>
      <c r="C69" s="55">
        <v>39.650973213469236</v>
      </c>
      <c r="D69" s="55">
        <v>45.941015946625825</v>
      </c>
      <c r="E69" s="55">
        <v>55.38867594662581</v>
      </c>
      <c r="F69" s="55">
        <v>58.537982226625829</v>
      </c>
      <c r="G69" s="55">
        <v>49.366764227756001</v>
      </c>
      <c r="H69" s="55">
        <v>39.945130147109765</v>
      </c>
      <c r="I69" s="55">
        <v>46.185199743704715</v>
      </c>
      <c r="J69" s="55">
        <v>46.174468987109769</v>
      </c>
      <c r="K69" s="55">
        <v>30.790626771303469</v>
      </c>
      <c r="L69" s="55">
        <v>49.562193447855819</v>
      </c>
      <c r="M69" s="55">
        <v>27.806327384708201</v>
      </c>
      <c r="N69" s="55">
        <v>49.828434687855818</v>
      </c>
      <c r="O69" s="55">
        <v>65.695367091303467</v>
      </c>
      <c r="P69" s="55">
        <v>72.173258127855803</v>
      </c>
      <c r="Q69" s="55">
        <v>87.772835576566635</v>
      </c>
      <c r="R69" s="55">
        <v>81.691316127855828</v>
      </c>
      <c r="S69" s="55">
        <v>69.770464200000006</v>
      </c>
      <c r="T69" s="55">
        <v>37.465463880000016</v>
      </c>
      <c r="U69" s="55">
        <v>35.887775040000008</v>
      </c>
      <c r="V69" s="55">
        <v>30.436743960000005</v>
      </c>
      <c r="W69" s="55">
        <v>32.247829079999995</v>
      </c>
      <c r="DA69" s="101" t="s">
        <v>221</v>
      </c>
    </row>
    <row r="70" spans="1:105" ht="12" customHeight="1" x14ac:dyDescent="0.25">
      <c r="A70" s="60" t="s">
        <v>153</v>
      </c>
      <c r="B70" s="55">
        <v>0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48.078090234720122</v>
      </c>
      <c r="C81" s="82">
        <f t="shared" ref="C81:W81" si="42">C82+C87</f>
        <v>48.078090234720136</v>
      </c>
      <c r="D81" s="82">
        <f t="shared" si="42"/>
        <v>54.894832792548804</v>
      </c>
      <c r="E81" s="82">
        <f t="shared" si="42"/>
        <v>64.342492792548754</v>
      </c>
      <c r="F81" s="82">
        <f t="shared" si="42"/>
        <v>67.491799072548815</v>
      </c>
      <c r="G81" s="82">
        <f t="shared" si="42"/>
        <v>58.074488507756008</v>
      </c>
      <c r="H81" s="82">
        <f t="shared" si="42"/>
        <v>54.458155387109763</v>
      </c>
      <c r="I81" s="82">
        <f t="shared" si="42"/>
        <v>63.600875463704718</v>
      </c>
      <c r="J81" s="82">
        <f t="shared" si="42"/>
        <v>63.590144707109772</v>
      </c>
      <c r="K81" s="82">
        <f t="shared" si="42"/>
        <v>51.108725811303486</v>
      </c>
      <c r="L81" s="82">
        <f t="shared" si="42"/>
        <v>69.880292487855854</v>
      </c>
      <c r="M81" s="82">
        <f t="shared" si="42"/>
        <v>48.124426424708211</v>
      </c>
      <c r="N81" s="82">
        <f t="shared" si="42"/>
        <v>70.146533727855854</v>
      </c>
      <c r="O81" s="82">
        <f t="shared" si="42"/>
        <v>83.11104281130352</v>
      </c>
      <c r="P81" s="82">
        <f t="shared" si="42"/>
        <v>89.588933847855813</v>
      </c>
      <c r="Q81" s="82">
        <f t="shared" si="42"/>
        <v>108.09093461656664</v>
      </c>
      <c r="R81" s="82">
        <f t="shared" si="42"/>
        <v>99.106991847855852</v>
      </c>
      <c r="S81" s="82">
        <f t="shared" si="42"/>
        <v>90.956541600000051</v>
      </c>
      <c r="T81" s="82">
        <f t="shared" si="42"/>
        <v>65.246223240000006</v>
      </c>
      <c r="U81" s="82">
        <f t="shared" si="42"/>
        <v>64.806378840000008</v>
      </c>
      <c r="V81" s="82">
        <f t="shared" si="42"/>
        <v>50.699870279999985</v>
      </c>
      <c r="W81" s="82">
        <f t="shared" si="42"/>
        <v>54.885231719999993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48.078090234720122</v>
      </c>
      <c r="C82" s="64">
        <f t="shared" ref="C82:W82" si="44">SUM(C83:C86)</f>
        <v>48.078090234720136</v>
      </c>
      <c r="D82" s="64">
        <f t="shared" si="44"/>
        <v>54.894832792548804</v>
      </c>
      <c r="E82" s="64">
        <f t="shared" si="44"/>
        <v>64.342492792548754</v>
      </c>
      <c r="F82" s="64">
        <f t="shared" si="44"/>
        <v>67.491799072548815</v>
      </c>
      <c r="G82" s="64">
        <f t="shared" si="44"/>
        <v>58.074488507756008</v>
      </c>
      <c r="H82" s="64">
        <f t="shared" si="44"/>
        <v>54.458155387109763</v>
      </c>
      <c r="I82" s="64">
        <f t="shared" si="44"/>
        <v>63.600875463704718</v>
      </c>
      <c r="J82" s="64">
        <f t="shared" si="44"/>
        <v>63.590144707109772</v>
      </c>
      <c r="K82" s="64">
        <f t="shared" si="44"/>
        <v>51.108725811303486</v>
      </c>
      <c r="L82" s="64">
        <f t="shared" si="44"/>
        <v>69.880292487855854</v>
      </c>
      <c r="M82" s="64">
        <f t="shared" si="44"/>
        <v>48.124426424708211</v>
      </c>
      <c r="N82" s="64">
        <f t="shared" si="44"/>
        <v>70.146533727855854</v>
      </c>
      <c r="O82" s="64">
        <f t="shared" si="44"/>
        <v>83.11104281130352</v>
      </c>
      <c r="P82" s="64">
        <f t="shared" si="44"/>
        <v>89.588933847855813</v>
      </c>
      <c r="Q82" s="64">
        <f t="shared" si="44"/>
        <v>108.09093461656664</v>
      </c>
      <c r="R82" s="64">
        <f t="shared" si="44"/>
        <v>99.106991847855852</v>
      </c>
      <c r="S82" s="64">
        <f t="shared" si="44"/>
        <v>90.956541600000051</v>
      </c>
      <c r="T82" s="64">
        <f t="shared" si="44"/>
        <v>65.246223240000006</v>
      </c>
      <c r="U82" s="64">
        <f t="shared" si="44"/>
        <v>64.806378840000008</v>
      </c>
      <c r="V82" s="64">
        <f t="shared" si="44"/>
        <v>50.699870279999985</v>
      </c>
      <c r="W82" s="64">
        <f t="shared" si="44"/>
        <v>54.885231719999993</v>
      </c>
      <c r="DA82" s="108" t="s">
        <v>232</v>
      </c>
    </row>
    <row r="83" spans="1:105" ht="12" customHeight="1" x14ac:dyDescent="0.25">
      <c r="A83" s="61" t="s">
        <v>32</v>
      </c>
      <c r="B83" s="65">
        <v>43.838464921604739</v>
      </c>
      <c r="C83" s="65">
        <v>43.875259167795797</v>
      </c>
      <c r="D83" s="65">
        <v>50.154779206440864</v>
      </c>
      <c r="E83" s="65">
        <v>59.964650182768807</v>
      </c>
      <c r="F83" s="65">
        <v>63.359590352578195</v>
      </c>
      <c r="G83" s="65">
        <v>53.582931860638055</v>
      </c>
      <c r="H83" s="65">
        <v>44.861959294895883</v>
      </c>
      <c r="I83" s="65">
        <v>51.648458338828007</v>
      </c>
      <c r="J83" s="65">
        <v>49.087303382569431</v>
      </c>
      <c r="K83" s="65">
        <v>32.34122715492385</v>
      </c>
      <c r="L83" s="65">
        <v>56.837296905972828</v>
      </c>
      <c r="M83" s="65">
        <v>33.542516118989646</v>
      </c>
      <c r="N83" s="65">
        <v>56.731809944368955</v>
      </c>
      <c r="O83" s="65">
        <v>70.541850917808304</v>
      </c>
      <c r="P83" s="65">
        <v>77.217059408607909</v>
      </c>
      <c r="Q83" s="65">
        <v>93.885320553153292</v>
      </c>
      <c r="R83" s="65">
        <v>86.920417696338603</v>
      </c>
      <c r="S83" s="65">
        <v>75.884805535763562</v>
      </c>
      <c r="T83" s="65">
        <v>45.536140870138425</v>
      </c>
      <c r="U83" s="65">
        <v>44.025467232730492</v>
      </c>
      <c r="V83" s="65">
        <v>36.702016163973106</v>
      </c>
      <c r="W83" s="65">
        <v>39.490618078593215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2.0793722428155901</v>
      </c>
      <c r="C85" s="65">
        <v>2.0976430692571939</v>
      </c>
      <c r="D85" s="65">
        <v>2.0924178412658487</v>
      </c>
      <c r="E85" s="65">
        <v>1.8114491158021326</v>
      </c>
      <c r="F85" s="65">
        <v>1.6922201689637351</v>
      </c>
      <c r="G85" s="65">
        <v>1.8630327475555044</v>
      </c>
      <c r="H85" s="65">
        <v>4.7315472111352079</v>
      </c>
      <c r="I85" s="65">
        <v>5.9373260204199694</v>
      </c>
      <c r="J85" s="65">
        <v>5.5930910800577944</v>
      </c>
      <c r="K85" s="65">
        <v>5.1936595010821058</v>
      </c>
      <c r="L85" s="65">
        <v>2.5362080761190806</v>
      </c>
      <c r="M85" s="65">
        <v>2.3559328168350002</v>
      </c>
      <c r="N85" s="65">
        <v>1.7172409674084272</v>
      </c>
      <c r="O85" s="65">
        <v>0.95811641012527848</v>
      </c>
      <c r="P85" s="65">
        <v>0.75979704886940336</v>
      </c>
      <c r="Q85" s="65">
        <v>0.65484327730560743</v>
      </c>
      <c r="R85" s="65">
        <v>0.55455279810641223</v>
      </c>
      <c r="S85" s="65">
        <v>0.67636673380403523</v>
      </c>
      <c r="T85" s="65">
        <v>0.90440391681127841</v>
      </c>
      <c r="U85" s="65">
        <v>0.91041064000750338</v>
      </c>
      <c r="V85" s="65">
        <v>0.69809527389997439</v>
      </c>
      <c r="W85" s="65">
        <v>0.76186901668852369</v>
      </c>
      <c r="DA85" s="109" t="s">
        <v>235</v>
      </c>
    </row>
    <row r="86" spans="1:105" ht="12" customHeight="1" x14ac:dyDescent="0.25">
      <c r="A86" s="66" t="s">
        <v>34</v>
      </c>
      <c r="B86" s="67">
        <v>2.1602530702997971</v>
      </c>
      <c r="C86" s="67">
        <v>2.1051879976671426</v>
      </c>
      <c r="D86" s="67">
        <v>2.6476357448420895</v>
      </c>
      <c r="E86" s="67">
        <v>2.5663934939778144</v>
      </c>
      <c r="F86" s="67">
        <v>2.4399885510068922</v>
      </c>
      <c r="G86" s="67">
        <v>2.6285238995624463</v>
      </c>
      <c r="H86" s="67">
        <v>4.8646488810786739</v>
      </c>
      <c r="I86" s="67">
        <v>6.0150911044567437</v>
      </c>
      <c r="J86" s="67">
        <v>8.9097502444825487</v>
      </c>
      <c r="K86" s="67">
        <v>13.573839155297536</v>
      </c>
      <c r="L86" s="67">
        <v>10.506787505763938</v>
      </c>
      <c r="M86" s="67">
        <v>12.225977488883565</v>
      </c>
      <c r="N86" s="67">
        <v>11.69748281607847</v>
      </c>
      <c r="O86" s="67">
        <v>11.611075483369925</v>
      </c>
      <c r="P86" s="67">
        <v>11.612077390378504</v>
      </c>
      <c r="Q86" s="67">
        <v>13.550770786107741</v>
      </c>
      <c r="R86" s="67">
        <v>11.632021353410829</v>
      </c>
      <c r="S86" s="67">
        <v>14.395369330432453</v>
      </c>
      <c r="T86" s="67">
        <v>18.805678453050312</v>
      </c>
      <c r="U86" s="67">
        <v>19.870500967262018</v>
      </c>
      <c r="V86" s="67">
        <v>13.299758842126909</v>
      </c>
      <c r="W86" s="67">
        <v>14.63274462471826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0.91181793427281999</v>
      </c>
      <c r="C91" s="71">
        <f t="shared" ref="C91:W91" si="50">IF(C83=0,0,C83/C$81)</f>
        <v>0.91258323601445346</v>
      </c>
      <c r="D91" s="71">
        <f t="shared" si="50"/>
        <v>0.91365209902321931</v>
      </c>
      <c r="E91" s="71">
        <f t="shared" si="50"/>
        <v>0.93196032015895214</v>
      </c>
      <c r="F91" s="71">
        <f t="shared" si="50"/>
        <v>0.93877465445055341</v>
      </c>
      <c r="G91" s="71">
        <f t="shared" si="50"/>
        <v>0.92265869639957154</v>
      </c>
      <c r="H91" s="71">
        <f t="shared" si="50"/>
        <v>0.82378771326350697</v>
      </c>
      <c r="I91" s="71">
        <f t="shared" si="50"/>
        <v>0.81207149999534789</v>
      </c>
      <c r="J91" s="71">
        <f t="shared" si="50"/>
        <v>0.77193256295705781</v>
      </c>
      <c r="K91" s="71">
        <f t="shared" si="50"/>
        <v>0.63279267173143039</v>
      </c>
      <c r="L91" s="71">
        <f t="shared" si="50"/>
        <v>0.81335230409704273</v>
      </c>
      <c r="M91" s="71">
        <f t="shared" si="50"/>
        <v>0.69699565503326455</v>
      </c>
      <c r="N91" s="71">
        <f t="shared" si="50"/>
        <v>0.80876141598769002</v>
      </c>
      <c r="O91" s="71">
        <f t="shared" si="50"/>
        <v>0.84876628341636273</v>
      </c>
      <c r="P91" s="71">
        <f t="shared" si="50"/>
        <v>0.86190398849640948</v>
      </c>
      <c r="Q91" s="71">
        <f t="shared" si="50"/>
        <v>0.8685771927700946</v>
      </c>
      <c r="R91" s="71">
        <f t="shared" si="50"/>
        <v>0.87703618156198837</v>
      </c>
      <c r="S91" s="71">
        <f t="shared" si="50"/>
        <v>0.8342973930284473</v>
      </c>
      <c r="T91" s="71">
        <f t="shared" si="50"/>
        <v>0.69791228685589157</v>
      </c>
      <c r="U91" s="71">
        <f t="shared" si="50"/>
        <v>0.67933848520412854</v>
      </c>
      <c r="V91" s="71">
        <f t="shared" si="50"/>
        <v>0.72390749643498131</v>
      </c>
      <c r="W91" s="71">
        <f t="shared" si="50"/>
        <v>0.71951264194449904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4.3249892678015496E-2</v>
      </c>
      <c r="C93" s="72">
        <f t="shared" ref="C93:W93" si="54">IF(C85=0,0,C85/C$81)</f>
        <v>4.3629916642203836E-2</v>
      </c>
      <c r="D93" s="72">
        <f t="shared" si="54"/>
        <v>3.8116845153226601E-2</v>
      </c>
      <c r="E93" s="72">
        <f t="shared" si="54"/>
        <v>2.815323182523493E-2</v>
      </c>
      <c r="F93" s="72">
        <f t="shared" si="54"/>
        <v>2.5072974675704237E-2</v>
      </c>
      <c r="G93" s="72">
        <f t="shared" si="54"/>
        <v>3.2080054347903404E-2</v>
      </c>
      <c r="H93" s="72">
        <f t="shared" si="54"/>
        <v>8.688408884769469E-2</v>
      </c>
      <c r="I93" s="72">
        <f t="shared" si="54"/>
        <v>9.3352897694124345E-2</v>
      </c>
      <c r="J93" s="72">
        <f t="shared" si="54"/>
        <v>8.795531297843473E-2</v>
      </c>
      <c r="K93" s="72">
        <f t="shared" si="54"/>
        <v>0.10161981968123039</v>
      </c>
      <c r="L93" s="72">
        <f t="shared" si="54"/>
        <v>3.6293609912406072E-2</v>
      </c>
      <c r="M93" s="72">
        <f t="shared" si="54"/>
        <v>4.8955031610006035E-2</v>
      </c>
      <c r="N93" s="72">
        <f t="shared" si="54"/>
        <v>2.4480767275981516E-2</v>
      </c>
      <c r="O93" s="72">
        <f t="shared" si="54"/>
        <v>1.1528148098208795E-2</v>
      </c>
      <c r="P93" s="72">
        <f t="shared" si="54"/>
        <v>8.4809252240876844E-3</v>
      </c>
      <c r="Q93" s="72">
        <f t="shared" si="54"/>
        <v>6.0582626991666551E-3</v>
      </c>
      <c r="R93" s="72">
        <f t="shared" si="54"/>
        <v>5.5954962184477782E-3</v>
      </c>
      <c r="S93" s="72">
        <f t="shared" si="54"/>
        <v>7.436152715419809E-3</v>
      </c>
      <c r="T93" s="72">
        <f t="shared" si="54"/>
        <v>1.386139874310491E-2</v>
      </c>
      <c r="U93" s="72">
        <f t="shared" si="54"/>
        <v>1.404816402803819E-2</v>
      </c>
      <c r="V93" s="72">
        <f t="shared" si="54"/>
        <v>1.3769172781796211E-2</v>
      </c>
      <c r="W93" s="72">
        <f t="shared" si="54"/>
        <v>1.3881129637481355E-2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4.4932173049164637E-2</v>
      </c>
      <c r="C94" s="73">
        <f t="shared" ref="C94:W94" si="56">IF(C86=0,0,C86/C$81)</f>
        <v>4.3786847343342629E-2</v>
      </c>
      <c r="D94" s="73">
        <f t="shared" si="56"/>
        <v>4.8231055823554102E-2</v>
      </c>
      <c r="E94" s="73">
        <f t="shared" si="56"/>
        <v>3.9886448015812932E-2</v>
      </c>
      <c r="F94" s="73">
        <f t="shared" si="56"/>
        <v>3.6152370873742457E-2</v>
      </c>
      <c r="G94" s="73">
        <f t="shared" si="56"/>
        <v>4.5261249252525053E-2</v>
      </c>
      <c r="H94" s="73">
        <f t="shared" si="56"/>
        <v>8.9328197888798408E-2</v>
      </c>
      <c r="I94" s="73">
        <f t="shared" si="56"/>
        <v>9.457560231052782E-2</v>
      </c>
      <c r="J94" s="73">
        <f t="shared" si="56"/>
        <v>0.14011212406450749</v>
      </c>
      <c r="K94" s="73">
        <f t="shared" si="56"/>
        <v>0.26558750858733932</v>
      </c>
      <c r="L94" s="73">
        <f t="shared" si="56"/>
        <v>0.15035408599055106</v>
      </c>
      <c r="M94" s="73">
        <f t="shared" si="56"/>
        <v>0.25404931335672942</v>
      </c>
      <c r="N94" s="73">
        <f t="shared" si="56"/>
        <v>0.16675781673632845</v>
      </c>
      <c r="O94" s="73">
        <f t="shared" si="56"/>
        <v>0.13970556848542828</v>
      </c>
      <c r="P94" s="73">
        <f t="shared" si="56"/>
        <v>0.12961508627950286</v>
      </c>
      <c r="Q94" s="73">
        <f t="shared" si="56"/>
        <v>0.12536454453073875</v>
      </c>
      <c r="R94" s="73">
        <f t="shared" si="56"/>
        <v>0.11736832221956381</v>
      </c>
      <c r="S94" s="73">
        <f t="shared" si="56"/>
        <v>0.15826645425613287</v>
      </c>
      <c r="T94" s="73">
        <f t="shared" si="56"/>
        <v>0.28822631440100366</v>
      </c>
      <c r="U94" s="73">
        <f t="shared" si="56"/>
        <v>0.30661335076783341</v>
      </c>
      <c r="V94" s="73">
        <f t="shared" si="56"/>
        <v>0.26232333078322251</v>
      </c>
      <c r="W94" s="73">
        <f t="shared" si="56"/>
        <v>0.26660622841801973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313767.76327820827</v>
      </c>
      <c r="C99" s="82">
        <f t="shared" ref="C99:W99" si="60">C47*11630*1000/C$8</f>
        <v>317620.13440722931</v>
      </c>
      <c r="D99" s="82">
        <f t="shared" si="60"/>
        <v>334527.71457610797</v>
      </c>
      <c r="E99" s="82">
        <f t="shared" si="60"/>
        <v>363490.24762062979</v>
      </c>
      <c r="F99" s="82">
        <f t="shared" si="60"/>
        <v>367111.3906831122</v>
      </c>
      <c r="G99" s="82">
        <f t="shared" si="60"/>
        <v>385936.19423294498</v>
      </c>
      <c r="H99" s="82">
        <f t="shared" si="60"/>
        <v>336875.86283522937</v>
      </c>
      <c r="I99" s="82">
        <f t="shared" si="60"/>
        <v>338395.9203659409</v>
      </c>
      <c r="J99" s="82">
        <f t="shared" si="60"/>
        <v>313486.9475435444</v>
      </c>
      <c r="K99" s="82">
        <f t="shared" si="60"/>
        <v>288165.81519529695</v>
      </c>
      <c r="L99" s="82">
        <f t="shared" si="60"/>
        <v>375455.67469075404</v>
      </c>
      <c r="M99" s="82">
        <f t="shared" si="60"/>
        <v>354621.87944147672</v>
      </c>
      <c r="N99" s="82">
        <f t="shared" si="60"/>
        <v>385989.6475014434</v>
      </c>
      <c r="O99" s="82">
        <f t="shared" si="60"/>
        <v>391435.27809111611</v>
      </c>
      <c r="P99" s="82">
        <f t="shared" si="60"/>
        <v>399700.02209372376</v>
      </c>
      <c r="Q99" s="82">
        <f t="shared" si="60"/>
        <v>425408.76545568701</v>
      </c>
      <c r="R99" s="82">
        <f t="shared" si="60"/>
        <v>402038.80488320155</v>
      </c>
      <c r="S99" s="82">
        <f t="shared" si="60"/>
        <v>405403.32568406261</v>
      </c>
      <c r="T99" s="82">
        <f t="shared" si="60"/>
        <v>364696.40562230564</v>
      </c>
      <c r="U99" s="82">
        <f t="shared" si="60"/>
        <v>362146.09872294625</v>
      </c>
      <c r="V99" s="82">
        <f t="shared" si="60"/>
        <v>301858.81030079664</v>
      </c>
      <c r="W99" s="82">
        <f t="shared" si="60"/>
        <v>310162.55608724942</v>
      </c>
      <c r="DA99" s="107"/>
    </row>
    <row r="100" spans="1:105" ht="12" customHeight="1" x14ac:dyDescent="0.25">
      <c r="A100" s="77" t="s">
        <v>36</v>
      </c>
      <c r="B100" s="64">
        <f t="shared" si="59"/>
        <v>240065.99123999613</v>
      </c>
      <c r="C100" s="64">
        <f t="shared" ref="C100:W100" si="61">C48*11630*1000/C$8</f>
        <v>242291.85090337347</v>
      </c>
      <c r="D100" s="64">
        <f t="shared" si="61"/>
        <v>257093.35538518455</v>
      </c>
      <c r="E100" s="64">
        <f t="shared" si="61"/>
        <v>283651.71277832583</v>
      </c>
      <c r="F100" s="64">
        <f t="shared" si="61"/>
        <v>285032.77511984902</v>
      </c>
      <c r="G100" s="64">
        <f t="shared" si="61"/>
        <v>304171.86104108265</v>
      </c>
      <c r="H100" s="64">
        <f t="shared" si="61"/>
        <v>253981.16464071453</v>
      </c>
      <c r="I100" s="64">
        <f t="shared" si="61"/>
        <v>255713.43851204184</v>
      </c>
      <c r="J100" s="64">
        <f t="shared" si="61"/>
        <v>232846.61400138121</v>
      </c>
      <c r="K100" s="64">
        <f t="shared" si="61"/>
        <v>206744.67970493663</v>
      </c>
      <c r="L100" s="64">
        <f t="shared" si="61"/>
        <v>291757.96340074774</v>
      </c>
      <c r="M100" s="64">
        <f t="shared" si="61"/>
        <v>271137.91590956954</v>
      </c>
      <c r="N100" s="64">
        <f t="shared" si="61"/>
        <v>302986.57427342079</v>
      </c>
      <c r="O100" s="64">
        <f t="shared" si="61"/>
        <v>307502.79784974112</v>
      </c>
      <c r="P100" s="64">
        <f t="shared" si="61"/>
        <v>314965.53665708977</v>
      </c>
      <c r="Q100" s="64">
        <f t="shared" si="61"/>
        <v>339678.97428087861</v>
      </c>
      <c r="R100" s="64">
        <f t="shared" si="61"/>
        <v>317621.65344587539</v>
      </c>
      <c r="S100" s="64">
        <f t="shared" si="61"/>
        <v>322256.03274044336</v>
      </c>
      <c r="T100" s="64">
        <f t="shared" si="61"/>
        <v>282371.40844700875</v>
      </c>
      <c r="U100" s="64">
        <f t="shared" si="61"/>
        <v>280736.57599993353</v>
      </c>
      <c r="V100" s="64">
        <f t="shared" si="61"/>
        <v>228257.006181434</v>
      </c>
      <c r="W100" s="64">
        <f t="shared" si="61"/>
        <v>237631.07197673994</v>
      </c>
      <c r="DA100" s="108"/>
    </row>
    <row r="101" spans="1:105" ht="12" customHeight="1" x14ac:dyDescent="0.25">
      <c r="A101" s="61" t="s">
        <v>32</v>
      </c>
      <c r="B101" s="65">
        <f t="shared" si="59"/>
        <v>108634.08902627775</v>
      </c>
      <c r="C101" s="65">
        <f t="shared" ref="C101:W101" si="62">C49*11630*1000/C$8</f>
        <v>111090.58483820321</v>
      </c>
      <c r="D101" s="65">
        <f t="shared" si="62"/>
        <v>128554.03639863395</v>
      </c>
      <c r="E101" s="65">
        <f t="shared" si="62"/>
        <v>144732.78570009212</v>
      </c>
      <c r="F101" s="65">
        <f t="shared" si="62"/>
        <v>156945.44284418982</v>
      </c>
      <c r="G101" s="65">
        <f t="shared" si="62"/>
        <v>178822.94553867079</v>
      </c>
      <c r="H101" s="65">
        <f t="shared" si="62"/>
        <v>123432.88725412718</v>
      </c>
      <c r="I101" s="65">
        <f t="shared" si="62"/>
        <v>126081.82449765707</v>
      </c>
      <c r="J101" s="65">
        <f t="shared" si="62"/>
        <v>109155.3390860748</v>
      </c>
      <c r="K101" s="65">
        <f t="shared" si="62"/>
        <v>79347.481881623491</v>
      </c>
      <c r="L101" s="65">
        <f t="shared" si="62"/>
        <v>167777.33214935844</v>
      </c>
      <c r="M101" s="65">
        <f t="shared" si="62"/>
        <v>145779.2249928528</v>
      </c>
      <c r="N101" s="65">
        <f t="shared" si="62"/>
        <v>171257.55030591675</v>
      </c>
      <c r="O101" s="65">
        <f t="shared" si="62"/>
        <v>184181.27233627677</v>
      </c>
      <c r="P101" s="65">
        <f t="shared" si="62"/>
        <v>192535.96791564036</v>
      </c>
      <c r="Q101" s="65">
        <f t="shared" si="62"/>
        <v>216855.00560917871</v>
      </c>
      <c r="R101" s="65">
        <f t="shared" si="62"/>
        <v>200015.28047505222</v>
      </c>
      <c r="S101" s="65">
        <f t="shared" si="62"/>
        <v>203720.06993247152</v>
      </c>
      <c r="T101" s="65">
        <f t="shared" si="62"/>
        <v>165787.50619308473</v>
      </c>
      <c r="U101" s="65">
        <f t="shared" si="62"/>
        <v>159410.82218070832</v>
      </c>
      <c r="V101" s="65">
        <f t="shared" si="62"/>
        <v>121048.81994857955</v>
      </c>
      <c r="W101" s="65">
        <f t="shared" si="62"/>
        <v>124197.31083403902</v>
      </c>
      <c r="DA101" s="109"/>
    </row>
    <row r="102" spans="1:105" ht="12" customHeight="1" x14ac:dyDescent="0.25">
      <c r="A102" s="61" t="s">
        <v>31</v>
      </c>
      <c r="B102" s="65">
        <f t="shared" si="59"/>
        <v>20957.430347983245</v>
      </c>
      <c r="C102" s="65">
        <f t="shared" ref="C102:W102" si="63">C50*11630*1000/C$8</f>
        <v>23518.660177795387</v>
      </c>
      <c r="D102" s="65">
        <f t="shared" si="63"/>
        <v>18222.07506800396</v>
      </c>
      <c r="E102" s="65">
        <f t="shared" si="63"/>
        <v>27313.770735836104</v>
      </c>
      <c r="F102" s="65">
        <f t="shared" si="63"/>
        <v>14111.236634833243</v>
      </c>
      <c r="G102" s="65">
        <f t="shared" si="63"/>
        <v>13632.890570460049</v>
      </c>
      <c r="H102" s="65">
        <f t="shared" si="63"/>
        <v>18249.078949135604</v>
      </c>
      <c r="I102" s="65">
        <f t="shared" si="63"/>
        <v>18349.830197369061</v>
      </c>
      <c r="J102" s="65">
        <f t="shared" si="63"/>
        <v>14987.093096499588</v>
      </c>
      <c r="K102" s="65">
        <f t="shared" si="63"/>
        <v>16231.361041342534</v>
      </c>
      <c r="L102" s="65">
        <f t="shared" si="63"/>
        <v>13290.138490501913</v>
      </c>
      <c r="M102" s="65">
        <f t="shared" si="63"/>
        <v>14196.58326508722</v>
      </c>
      <c r="N102" s="65">
        <f t="shared" si="63"/>
        <v>24277.755987136508</v>
      </c>
      <c r="O102" s="65">
        <f t="shared" si="63"/>
        <v>16931.651322963007</v>
      </c>
      <c r="P102" s="65">
        <f t="shared" si="63"/>
        <v>17155.932448368363</v>
      </c>
      <c r="Q102" s="65">
        <f t="shared" si="63"/>
        <v>18050.519789480677</v>
      </c>
      <c r="R102" s="65">
        <f t="shared" si="63"/>
        <v>14635.346095048271</v>
      </c>
      <c r="S102" s="65">
        <f t="shared" si="63"/>
        <v>17015.997776639277</v>
      </c>
      <c r="T102" s="65">
        <f t="shared" si="63"/>
        <v>15044.767936763585</v>
      </c>
      <c r="U102" s="65">
        <f t="shared" si="63"/>
        <v>20661.050183292242</v>
      </c>
      <c r="V102" s="65">
        <f t="shared" si="63"/>
        <v>15792.957685311541</v>
      </c>
      <c r="W102" s="65">
        <f t="shared" si="63"/>
        <v>19946.010469146022</v>
      </c>
      <c r="DA102" s="109"/>
    </row>
    <row r="103" spans="1:105" ht="12" customHeight="1" x14ac:dyDescent="0.25">
      <c r="A103" s="61" t="s">
        <v>35</v>
      </c>
      <c r="B103" s="65">
        <f t="shared" si="59"/>
        <v>52373.073678164073</v>
      </c>
      <c r="C103" s="65">
        <f t="shared" ref="C103:W103" si="64">C51*11630*1000/C$8</f>
        <v>49925.669524256467</v>
      </c>
      <c r="D103" s="65">
        <f t="shared" si="64"/>
        <v>50981.153997875954</v>
      </c>
      <c r="E103" s="65">
        <f t="shared" si="64"/>
        <v>50980.687865043612</v>
      </c>
      <c r="F103" s="65">
        <f t="shared" si="64"/>
        <v>52102.421056688421</v>
      </c>
      <c r="G103" s="65">
        <f t="shared" si="64"/>
        <v>51313.442948228272</v>
      </c>
      <c r="H103" s="65">
        <f t="shared" si="64"/>
        <v>51647.090405583818</v>
      </c>
      <c r="I103" s="65">
        <f t="shared" si="64"/>
        <v>51063.929332824693</v>
      </c>
      <c r="J103" s="65">
        <f t="shared" si="64"/>
        <v>49352.783128399271</v>
      </c>
      <c r="K103" s="65">
        <f t="shared" si="64"/>
        <v>49595.194332386156</v>
      </c>
      <c r="L103" s="65">
        <f t="shared" si="64"/>
        <v>49877.766088049975</v>
      </c>
      <c r="M103" s="65">
        <f t="shared" si="64"/>
        <v>49909.150976068391</v>
      </c>
      <c r="N103" s="65">
        <f t="shared" si="64"/>
        <v>47882.043998781402</v>
      </c>
      <c r="O103" s="65">
        <f t="shared" si="64"/>
        <v>47673.131877408247</v>
      </c>
      <c r="P103" s="65">
        <f t="shared" si="64"/>
        <v>46678.379818373753</v>
      </c>
      <c r="Q103" s="65">
        <f t="shared" si="64"/>
        <v>45866.919142528721</v>
      </c>
      <c r="R103" s="65">
        <f t="shared" si="64"/>
        <v>45084.338571702494</v>
      </c>
      <c r="S103" s="65">
        <f t="shared" si="64"/>
        <v>43942.958636971256</v>
      </c>
      <c r="T103" s="65">
        <f t="shared" si="64"/>
        <v>42936.350047909786</v>
      </c>
      <c r="U103" s="65">
        <f t="shared" si="64"/>
        <v>42173.092029867468</v>
      </c>
      <c r="V103" s="65">
        <f t="shared" si="64"/>
        <v>39603.090082507806</v>
      </c>
      <c r="W103" s="65">
        <f t="shared" si="64"/>
        <v>40013.062097575443</v>
      </c>
      <c r="DA103" s="109"/>
    </row>
    <row r="104" spans="1:105" ht="12" customHeight="1" x14ac:dyDescent="0.25">
      <c r="A104" s="66" t="s">
        <v>34</v>
      </c>
      <c r="B104" s="67">
        <f t="shared" si="59"/>
        <v>58101.398187571103</v>
      </c>
      <c r="C104" s="67">
        <f t="shared" ref="C104:W104" si="65">C52*11630*1000/C$8</f>
        <v>57756.936363118366</v>
      </c>
      <c r="D104" s="67">
        <f t="shared" si="65"/>
        <v>59336.089920670674</v>
      </c>
      <c r="E104" s="67">
        <f t="shared" si="65"/>
        <v>60624.468477353985</v>
      </c>
      <c r="F104" s="67">
        <f t="shared" si="65"/>
        <v>61873.674584137523</v>
      </c>
      <c r="G104" s="67">
        <f t="shared" si="65"/>
        <v>60402.581983723554</v>
      </c>
      <c r="H104" s="67">
        <f t="shared" si="65"/>
        <v>60652.108031867909</v>
      </c>
      <c r="I104" s="67">
        <f t="shared" si="65"/>
        <v>60217.854484190968</v>
      </c>
      <c r="J104" s="67">
        <f t="shared" si="65"/>
        <v>59351.398690407535</v>
      </c>
      <c r="K104" s="67">
        <f t="shared" si="65"/>
        <v>61570.642449584455</v>
      </c>
      <c r="L104" s="67">
        <f t="shared" si="65"/>
        <v>60812.726672837423</v>
      </c>
      <c r="M104" s="67">
        <f t="shared" si="65"/>
        <v>61252.956675561043</v>
      </c>
      <c r="N104" s="67">
        <f t="shared" si="65"/>
        <v>59569.22398158619</v>
      </c>
      <c r="O104" s="67">
        <f t="shared" si="65"/>
        <v>58716.742313093069</v>
      </c>
      <c r="P104" s="67">
        <f t="shared" si="65"/>
        <v>58595.256474707297</v>
      </c>
      <c r="Q104" s="67">
        <f t="shared" si="65"/>
        <v>58906.529739690493</v>
      </c>
      <c r="R104" s="67">
        <f t="shared" si="65"/>
        <v>57886.688304072435</v>
      </c>
      <c r="S104" s="67">
        <f t="shared" si="65"/>
        <v>57577.006394361284</v>
      </c>
      <c r="T104" s="67">
        <f t="shared" si="65"/>
        <v>58602.784269250718</v>
      </c>
      <c r="U104" s="67">
        <f t="shared" si="65"/>
        <v>58491.611606065453</v>
      </c>
      <c r="V104" s="67">
        <f t="shared" si="65"/>
        <v>51812.138465035147</v>
      </c>
      <c r="W104" s="67">
        <f t="shared" si="65"/>
        <v>53474.688575979431</v>
      </c>
      <c r="DA104" s="110"/>
    </row>
    <row r="105" spans="1:105" ht="12" customHeight="1" x14ac:dyDescent="0.25">
      <c r="A105" s="78" t="s">
        <v>33</v>
      </c>
      <c r="B105" s="68">
        <f t="shared" si="59"/>
        <v>73701.772038212104</v>
      </c>
      <c r="C105" s="68">
        <f t="shared" ref="C105:W105" si="66">C53*11630*1000/C$8</f>
        <v>75328.28350385587</v>
      </c>
      <c r="D105" s="68">
        <f t="shared" si="66"/>
        <v>77434.359190923351</v>
      </c>
      <c r="E105" s="68">
        <f t="shared" si="66"/>
        <v>79838.534842303954</v>
      </c>
      <c r="F105" s="68">
        <f t="shared" si="66"/>
        <v>82078.615563263171</v>
      </c>
      <c r="G105" s="68">
        <f t="shared" si="66"/>
        <v>81764.333191862373</v>
      </c>
      <c r="H105" s="68">
        <f t="shared" si="66"/>
        <v>82894.698194514887</v>
      </c>
      <c r="I105" s="68">
        <f t="shared" si="66"/>
        <v>82682.481853899139</v>
      </c>
      <c r="J105" s="68">
        <f t="shared" si="66"/>
        <v>80640.333542163222</v>
      </c>
      <c r="K105" s="68">
        <f t="shared" si="66"/>
        <v>81421.135490360321</v>
      </c>
      <c r="L105" s="68">
        <f t="shared" si="66"/>
        <v>83697.71129000622</v>
      </c>
      <c r="M105" s="68">
        <f t="shared" si="66"/>
        <v>83483.963531907211</v>
      </c>
      <c r="N105" s="68">
        <f t="shared" si="66"/>
        <v>83003.073228022608</v>
      </c>
      <c r="O105" s="68">
        <f t="shared" si="66"/>
        <v>83932.480241375</v>
      </c>
      <c r="P105" s="68">
        <f t="shared" si="66"/>
        <v>84734.485436634059</v>
      </c>
      <c r="Q105" s="68">
        <f t="shared" si="66"/>
        <v>85729.791174808415</v>
      </c>
      <c r="R105" s="68">
        <f t="shared" si="66"/>
        <v>84417.151437326203</v>
      </c>
      <c r="S105" s="68">
        <f t="shared" si="66"/>
        <v>83147.292943619294</v>
      </c>
      <c r="T105" s="68">
        <f t="shared" si="66"/>
        <v>82324.997175296929</v>
      </c>
      <c r="U105" s="68">
        <f t="shared" si="66"/>
        <v>81409.522723012764</v>
      </c>
      <c r="V105" s="68">
        <f t="shared" si="66"/>
        <v>73601.804119362598</v>
      </c>
      <c r="W105" s="68">
        <f t="shared" si="66"/>
        <v>72531.484110509497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165280.58796775431</v>
      </c>
      <c r="C107" s="85">
        <f t="shared" ref="C107:W107" si="68">SUM(C108:C111)</f>
        <v>173379.00342928077</v>
      </c>
      <c r="D107" s="85">
        <f t="shared" si="68"/>
        <v>177812.79862781937</v>
      </c>
      <c r="E107" s="85">
        <f t="shared" si="68"/>
        <v>209675.40826102873</v>
      </c>
      <c r="F107" s="85">
        <f t="shared" si="68"/>
        <v>193471.67793178617</v>
      </c>
      <c r="G107" s="85">
        <f t="shared" si="68"/>
        <v>207246.80276878894</v>
      </c>
      <c r="H107" s="85">
        <f t="shared" si="68"/>
        <v>189032.04277451229</v>
      </c>
      <c r="I107" s="85">
        <f t="shared" si="68"/>
        <v>194874.83639401812</v>
      </c>
      <c r="J107" s="85">
        <f t="shared" si="68"/>
        <v>179150.04430834972</v>
      </c>
      <c r="K107" s="85">
        <f t="shared" si="68"/>
        <v>167697.64348016365</v>
      </c>
      <c r="L107" s="85">
        <f t="shared" si="68"/>
        <v>216570.94390757568</v>
      </c>
      <c r="M107" s="85">
        <f t="shared" si="68"/>
        <v>209828.9862937383</v>
      </c>
      <c r="N107" s="85">
        <f t="shared" si="68"/>
        <v>260495.07979103987</v>
      </c>
      <c r="O107" s="85">
        <f t="shared" si="68"/>
        <v>250148.64960232965</v>
      </c>
      <c r="P107" s="85">
        <f t="shared" si="68"/>
        <v>261527.65531328882</v>
      </c>
      <c r="Q107" s="85">
        <f t="shared" si="68"/>
        <v>286846.59556478693</v>
      </c>
      <c r="R107" s="85">
        <f t="shared" si="68"/>
        <v>268254.25496622926</v>
      </c>
      <c r="S107" s="85">
        <f t="shared" si="68"/>
        <v>283409.25567359867</v>
      </c>
      <c r="T107" s="85">
        <f t="shared" si="68"/>
        <v>254736.06700216507</v>
      </c>
      <c r="U107" s="85">
        <f t="shared" si="68"/>
        <v>276777.78832629992</v>
      </c>
      <c r="V107" s="85">
        <f t="shared" si="68"/>
        <v>231344.35196252476</v>
      </c>
      <c r="W107" s="85">
        <f t="shared" si="68"/>
        <v>258712.91146209848</v>
      </c>
      <c r="DA107" s="117"/>
    </row>
    <row r="108" spans="1:105" ht="12" customHeight="1" x14ac:dyDescent="0.25">
      <c r="A108" s="61" t="s">
        <v>32</v>
      </c>
      <c r="B108" s="65">
        <v>60612.571096311993</v>
      </c>
      <c r="C108" s="65">
        <v>62771.803749433493</v>
      </c>
      <c r="D108" s="65">
        <v>73428.484792640709</v>
      </c>
      <c r="E108" s="65">
        <v>83472.810188486998</v>
      </c>
      <c r="F108" s="65">
        <v>91186.084315164306</v>
      </c>
      <c r="G108" s="65">
        <v>105394.10322391543</v>
      </c>
      <c r="H108" s="65">
        <v>74186.417329102696</v>
      </c>
      <c r="I108" s="65">
        <v>77563.127943855186</v>
      </c>
      <c r="J108" s="65">
        <v>69616.622645125288</v>
      </c>
      <c r="K108" s="65">
        <v>52852.420130976396</v>
      </c>
      <c r="L108" s="65">
        <v>108192.75961561123</v>
      </c>
      <c r="M108" s="65">
        <v>97108.24005567217</v>
      </c>
      <c r="N108" s="65">
        <v>116349.49233600537</v>
      </c>
      <c r="O108" s="65">
        <v>127394.54850732067</v>
      </c>
      <c r="P108" s="65">
        <v>136118.53385638344</v>
      </c>
      <c r="Q108" s="65">
        <v>156108.099504607</v>
      </c>
      <c r="R108" s="65">
        <v>147530.09128503731</v>
      </c>
      <c r="S108" s="65">
        <v>152500.66876821834</v>
      </c>
      <c r="T108" s="65">
        <v>129196.60841018225</v>
      </c>
      <c r="U108" s="65">
        <v>126814.03270504501</v>
      </c>
      <c r="V108" s="65">
        <v>103678.85324892652</v>
      </c>
      <c r="W108" s="65">
        <v>109679.94733323815</v>
      </c>
      <c r="DA108" s="109"/>
    </row>
    <row r="109" spans="1:105" ht="12" customHeight="1" x14ac:dyDescent="0.25">
      <c r="A109" s="61" t="s">
        <v>31</v>
      </c>
      <c r="B109" s="65">
        <v>36612.832949353317</v>
      </c>
      <c r="C109" s="65">
        <v>43768.628095498316</v>
      </c>
      <c r="D109" s="65">
        <v>35797.034330134251</v>
      </c>
      <c r="E109" s="65">
        <v>56382.656988701536</v>
      </c>
      <c r="F109" s="65">
        <v>30685.574596148916</v>
      </c>
      <c r="G109" s="65">
        <v>31513.163535225285</v>
      </c>
      <c r="H109" s="65">
        <v>44900.456259013285</v>
      </c>
      <c r="I109" s="65">
        <v>48136.026487747557</v>
      </c>
      <c r="J109" s="65">
        <v>42169.486974725238</v>
      </c>
      <c r="K109" s="65">
        <v>46606.598703342257</v>
      </c>
      <c r="L109" s="65">
        <v>39039.602794308266</v>
      </c>
      <c r="M109" s="65">
        <v>43102.136788680451</v>
      </c>
      <c r="N109" s="65">
        <v>76121.749344802185</v>
      </c>
      <c r="O109" s="65">
        <v>54830.982427640527</v>
      </c>
      <c r="P109" s="65">
        <v>57603.844409375743</v>
      </c>
      <c r="Q109" s="65">
        <v>63033.538134797353</v>
      </c>
      <c r="R109" s="65">
        <v>53046.13817494957</v>
      </c>
      <c r="S109" s="65">
        <v>63960.745232710186</v>
      </c>
      <c r="T109" s="65">
        <v>58533.910651196929</v>
      </c>
      <c r="U109" s="65">
        <v>82713.989470434215</v>
      </c>
      <c r="V109" s="65">
        <v>64636.51374145611</v>
      </c>
      <c r="W109" s="65">
        <v>83630.461587764526</v>
      </c>
      <c r="DA109" s="109"/>
    </row>
    <row r="110" spans="1:105" ht="12" customHeight="1" x14ac:dyDescent="0.25">
      <c r="A110" s="61" t="s">
        <v>35</v>
      </c>
      <c r="B110" s="65">
        <v>26518.167710499292</v>
      </c>
      <c r="C110" s="65">
        <v>25387.55367556019</v>
      </c>
      <c r="D110" s="65">
        <v>26039.165473512465</v>
      </c>
      <c r="E110" s="65">
        <v>26184.557922906006</v>
      </c>
      <c r="F110" s="65">
        <v>26889.331141593149</v>
      </c>
      <c r="G110" s="65">
        <v>26598.7071204237</v>
      </c>
      <c r="H110" s="65">
        <v>26529.175216858705</v>
      </c>
      <c r="I110" s="65">
        <v>26229.027614751576</v>
      </c>
      <c r="J110" s="65">
        <v>25585.477580687388</v>
      </c>
      <c r="K110" s="65">
        <v>25909.594367293528</v>
      </c>
      <c r="L110" s="65">
        <v>26577.006386945974</v>
      </c>
      <c r="M110" s="65">
        <v>26850.668893144808</v>
      </c>
      <c r="N110" s="65">
        <v>26142.046432488922</v>
      </c>
      <c r="O110" s="65">
        <v>26451.567764149859</v>
      </c>
      <c r="P110" s="65">
        <v>26164.264470191702</v>
      </c>
      <c r="Q110" s="65">
        <v>26033.583287717411</v>
      </c>
      <c r="R110" s="65">
        <v>25984.484619502517</v>
      </c>
      <c r="S110" s="65">
        <v>25789.820249556629</v>
      </c>
      <c r="T110" s="65">
        <v>25655.772846037173</v>
      </c>
      <c r="U110" s="65">
        <v>25699.010025557767</v>
      </c>
      <c r="V110" s="65">
        <v>24660.130895458053</v>
      </c>
      <c r="W110" s="65">
        <v>25475.902865122905</v>
      </c>
      <c r="DA110" s="109"/>
    </row>
    <row r="111" spans="1:105" ht="12" customHeight="1" x14ac:dyDescent="0.25">
      <c r="A111" s="74" t="s">
        <v>34</v>
      </c>
      <c r="B111" s="68">
        <v>41537.016211589711</v>
      </c>
      <c r="C111" s="68">
        <v>41451.017908788766</v>
      </c>
      <c r="D111" s="68">
        <v>42548.114031531935</v>
      </c>
      <c r="E111" s="68">
        <v>43635.383160934165</v>
      </c>
      <c r="F111" s="68">
        <v>44710.687878879813</v>
      </c>
      <c r="G111" s="68">
        <v>43740.828889224547</v>
      </c>
      <c r="H111" s="68">
        <v>43415.993969537609</v>
      </c>
      <c r="I111" s="68">
        <v>42946.654347663811</v>
      </c>
      <c r="J111" s="68">
        <v>41778.457107811802</v>
      </c>
      <c r="K111" s="68">
        <v>42329.030278551487</v>
      </c>
      <c r="L111" s="68">
        <v>42761.57511071019</v>
      </c>
      <c r="M111" s="68">
        <v>42767.940556240836</v>
      </c>
      <c r="N111" s="68">
        <v>41881.791677743415</v>
      </c>
      <c r="O111" s="68">
        <v>41471.550903218595</v>
      </c>
      <c r="P111" s="68">
        <v>41641.01257733794</v>
      </c>
      <c r="Q111" s="68">
        <v>41671.374637665176</v>
      </c>
      <c r="R111" s="68">
        <v>41693.540886739851</v>
      </c>
      <c r="S111" s="68">
        <v>41158.021423113554</v>
      </c>
      <c r="T111" s="68">
        <v>41349.7750947487</v>
      </c>
      <c r="U111" s="68">
        <v>41550.75612526296</v>
      </c>
      <c r="V111" s="68">
        <v>38368.854076684089</v>
      </c>
      <c r="W111" s="68">
        <v>39926.599675972873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21748.335541025441</v>
      </c>
      <c r="C113" s="82">
        <f t="shared" ref="C113:W113" si="70">C81*1000000/C$8</f>
        <v>20758.418248186706</v>
      </c>
      <c r="D113" s="82">
        <f t="shared" si="70"/>
        <v>23150.07063810902</v>
      </c>
      <c r="E113" s="82">
        <f t="shared" si="70"/>
        <v>26767.555093427432</v>
      </c>
      <c r="F113" s="82">
        <f t="shared" si="70"/>
        <v>27873.766123889756</v>
      </c>
      <c r="G113" s="82">
        <f t="shared" si="70"/>
        <v>23040.376719347838</v>
      </c>
      <c r="H113" s="82">
        <f t="shared" si="70"/>
        <v>20963.054776021083</v>
      </c>
      <c r="I113" s="82">
        <f t="shared" si="70"/>
        <v>23678.262081575886</v>
      </c>
      <c r="J113" s="82">
        <f t="shared" si="70"/>
        <v>22251.137322715913</v>
      </c>
      <c r="K113" s="82">
        <f t="shared" si="70"/>
        <v>17729.730917898662</v>
      </c>
      <c r="L113" s="82">
        <f t="shared" si="70"/>
        <v>23899.894085794018</v>
      </c>
      <c r="M113" s="82">
        <f t="shared" si="70"/>
        <v>16063.649194369726</v>
      </c>
      <c r="N113" s="82">
        <f t="shared" si="70"/>
        <v>22440.919080106727</v>
      </c>
      <c r="O113" s="82">
        <f t="shared" si="70"/>
        <v>25938.097082264634</v>
      </c>
      <c r="P113" s="82">
        <f t="shared" si="70"/>
        <v>27040.41400295795</v>
      </c>
      <c r="Q113" s="82">
        <f t="shared" si="70"/>
        <v>31619.143151150845</v>
      </c>
      <c r="R113" s="82">
        <f t="shared" si="70"/>
        <v>28092.503227339901</v>
      </c>
      <c r="S113" s="82">
        <f t="shared" si="70"/>
        <v>24963.626985850642</v>
      </c>
      <c r="T113" s="82">
        <f t="shared" si="70"/>
        <v>17368.406424878794</v>
      </c>
      <c r="U113" s="82">
        <f t="shared" si="70"/>
        <v>16772.602043308369</v>
      </c>
      <c r="V113" s="82">
        <f t="shared" si="70"/>
        <v>12773.833492948335</v>
      </c>
      <c r="W113" s="82">
        <f t="shared" si="70"/>
        <v>13482.336819720795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21748.335541025441</v>
      </c>
      <c r="C114" s="64">
        <f t="shared" ref="C114:W114" si="72">C82*1000000/C$8</f>
        <v>20758.418248186706</v>
      </c>
      <c r="D114" s="64">
        <f t="shared" si="72"/>
        <v>23150.07063810902</v>
      </c>
      <c r="E114" s="64">
        <f t="shared" si="72"/>
        <v>26767.555093427432</v>
      </c>
      <c r="F114" s="64">
        <f t="shared" si="72"/>
        <v>27873.766123889756</v>
      </c>
      <c r="G114" s="64">
        <f t="shared" si="72"/>
        <v>23040.376719347838</v>
      </c>
      <c r="H114" s="64">
        <f t="shared" si="72"/>
        <v>20963.054776021083</v>
      </c>
      <c r="I114" s="64">
        <f t="shared" si="72"/>
        <v>23678.262081575886</v>
      </c>
      <c r="J114" s="64">
        <f t="shared" si="72"/>
        <v>22251.137322715913</v>
      </c>
      <c r="K114" s="64">
        <f t="shared" si="72"/>
        <v>17729.730917898662</v>
      </c>
      <c r="L114" s="64">
        <f t="shared" si="72"/>
        <v>23899.894085794018</v>
      </c>
      <c r="M114" s="64">
        <f t="shared" si="72"/>
        <v>16063.649194369726</v>
      </c>
      <c r="N114" s="64">
        <f t="shared" si="72"/>
        <v>22440.919080106727</v>
      </c>
      <c r="O114" s="64">
        <f t="shared" si="72"/>
        <v>25938.097082264634</v>
      </c>
      <c r="P114" s="64">
        <f t="shared" si="72"/>
        <v>27040.41400295795</v>
      </c>
      <c r="Q114" s="64">
        <f t="shared" si="72"/>
        <v>31619.143151150845</v>
      </c>
      <c r="R114" s="64">
        <f t="shared" si="72"/>
        <v>28092.503227339901</v>
      </c>
      <c r="S114" s="64">
        <f t="shared" si="72"/>
        <v>24963.626985850642</v>
      </c>
      <c r="T114" s="64">
        <f t="shared" si="72"/>
        <v>17368.406424878794</v>
      </c>
      <c r="U114" s="64">
        <f t="shared" si="72"/>
        <v>16772.602043308369</v>
      </c>
      <c r="V114" s="64">
        <f t="shared" si="72"/>
        <v>12773.833492948335</v>
      </c>
      <c r="W114" s="64">
        <f t="shared" si="72"/>
        <v>13482.336819720795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19830.52238688997</v>
      </c>
      <c r="C115" s="65">
        <f t="shared" ref="C115:W115" si="74">C83*1000000/C$8</f>
        <v>18943.784499471709</v>
      </c>
      <c r="D115" s="65">
        <f t="shared" si="74"/>
        <v>21151.110631044106</v>
      </c>
      <c r="E115" s="65">
        <f t="shared" si="74"/>
        <v>24946.29921474302</v>
      </c>
      <c r="F115" s="65">
        <f t="shared" si="74"/>
        <v>26167.185161190144</v>
      </c>
      <c r="G115" s="65">
        <f t="shared" si="74"/>
        <v>21258.403948428509</v>
      </c>
      <c r="H115" s="65">
        <f t="shared" si="74"/>
        <v>17269.106956956042</v>
      </c>
      <c r="I115" s="65">
        <f t="shared" si="74"/>
        <v>19228.441805868297</v>
      </c>
      <c r="J115" s="65">
        <f t="shared" si="74"/>
        <v>17176.37746223354</v>
      </c>
      <c r="K115" s="65">
        <f t="shared" si="74"/>
        <v>11219.243796616438</v>
      </c>
      <c r="L115" s="65">
        <f t="shared" si="74"/>
        <v>19439.033922355851</v>
      </c>
      <c r="M115" s="65">
        <f t="shared" si="74"/>
        <v>11196.293692454301</v>
      </c>
      <c r="N115" s="65">
        <f t="shared" si="74"/>
        <v>18149.349491292287</v>
      </c>
      <c r="O115" s="65">
        <f t="shared" si="74"/>
        <v>22015.382259406557</v>
      </c>
      <c r="P115" s="65">
        <f t="shared" si="74"/>
        <v>23306.240679743623</v>
      </c>
      <c r="Q115" s="65">
        <f t="shared" si="74"/>
        <v>27463.666596022362</v>
      </c>
      <c r="R115" s="65">
        <f t="shared" si="74"/>
        <v>24638.141761024024</v>
      </c>
      <c r="S115" s="65">
        <f t="shared" si="74"/>
        <v>20827.088914829787</v>
      </c>
      <c r="T115" s="65">
        <f t="shared" si="74"/>
        <v>12121.624247029718</v>
      </c>
      <c r="U115" s="65">
        <f t="shared" si="74"/>
        <v>11394.274065032778</v>
      </c>
      <c r="V115" s="65">
        <f t="shared" si="74"/>
        <v>9247.0738237575424</v>
      </c>
      <c r="W115" s="65">
        <f t="shared" si="74"/>
        <v>9700.7117847429035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940.61317807482044</v>
      </c>
      <c r="C117" s="65">
        <f t="shared" ref="C117:W117" si="78">C85*1000000/C$8</f>
        <v>905.68805779238903</v>
      </c>
      <c r="D117" s="65">
        <f t="shared" si="78"/>
        <v>882.40765779905939</v>
      </c>
      <c r="E117" s="65">
        <f t="shared" si="78"/>
        <v>753.59318394001048</v>
      </c>
      <c r="F117" s="65">
        <f t="shared" si="78"/>
        <v>698.87823214079037</v>
      </c>
      <c r="G117" s="65">
        <f t="shared" si="78"/>
        <v>739.13653735284697</v>
      </c>
      <c r="H117" s="65">
        <f t="shared" si="78"/>
        <v>1821.3559136789061</v>
      </c>
      <c r="I117" s="65">
        <f t="shared" si="78"/>
        <v>2210.434377676017</v>
      </c>
      <c r="J117" s="65">
        <f t="shared" si="78"/>
        <v>1957.1057473456081</v>
      </c>
      <c r="K117" s="65">
        <f t="shared" si="78"/>
        <v>1801.6920588735973</v>
      </c>
      <c r="L117" s="65">
        <f t="shared" si="78"/>
        <v>867.41343289762904</v>
      </c>
      <c r="M117" s="65">
        <f t="shared" si="78"/>
        <v>786.3964540824179</v>
      </c>
      <c r="N117" s="65">
        <f t="shared" si="78"/>
        <v>549.37091745922601</v>
      </c>
      <c r="O117" s="65">
        <f t="shared" si="78"/>
        <v>299.01822455006413</v>
      </c>
      <c r="P117" s="65">
        <f t="shared" si="78"/>
        <v>229.32772918745994</v>
      </c>
      <c r="Q117" s="65">
        <f t="shared" si="78"/>
        <v>191.55707553222797</v>
      </c>
      <c r="R117" s="65">
        <f t="shared" si="78"/>
        <v>157.19149557531242</v>
      </c>
      <c r="S117" s="65">
        <f t="shared" si="78"/>
        <v>185.63334259756047</v>
      </c>
      <c r="T117" s="65">
        <f t="shared" si="78"/>
        <v>240.75040698755015</v>
      </c>
      <c r="U117" s="65">
        <f t="shared" si="78"/>
        <v>235.62426468140444</v>
      </c>
      <c r="V117" s="65">
        <f t="shared" si="78"/>
        <v>175.88512045030103</v>
      </c>
      <c r="W117" s="65">
        <f t="shared" si="78"/>
        <v>187.15006521073244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977.19997606065294</v>
      </c>
      <c r="C118" s="67">
        <f t="shared" ref="C118:W118" si="80">C86*1000000/C$8</f>
        <v>908.94569092260929</v>
      </c>
      <c r="D118" s="67">
        <f t="shared" si="80"/>
        <v>1116.5523492658569</v>
      </c>
      <c r="E118" s="67">
        <f t="shared" si="80"/>
        <v>1067.662694744402</v>
      </c>
      <c r="F118" s="67">
        <f t="shared" si="80"/>
        <v>1007.7027305588213</v>
      </c>
      <c r="G118" s="67">
        <f t="shared" si="80"/>
        <v>1042.8362335664781</v>
      </c>
      <c r="H118" s="67">
        <f t="shared" si="80"/>
        <v>1872.5919053861317</v>
      </c>
      <c r="I118" s="67">
        <f t="shared" si="80"/>
        <v>2239.3858980315713</v>
      </c>
      <c r="J118" s="67">
        <f t="shared" si="80"/>
        <v>3117.6541131367649</v>
      </c>
      <c r="K118" s="67">
        <f t="shared" si="80"/>
        <v>4708.7950624086261</v>
      </c>
      <c r="L118" s="67">
        <f t="shared" si="80"/>
        <v>3593.4467305405365</v>
      </c>
      <c r="M118" s="67">
        <f t="shared" si="80"/>
        <v>4080.9590478330083</v>
      </c>
      <c r="N118" s="67">
        <f t="shared" si="80"/>
        <v>3742.1986713552142</v>
      </c>
      <c r="O118" s="67">
        <f t="shared" si="80"/>
        <v>3623.6965983080086</v>
      </c>
      <c r="P118" s="67">
        <f t="shared" si="80"/>
        <v>3504.8455940268714</v>
      </c>
      <c r="Q118" s="67">
        <f t="shared" si="80"/>
        <v>3963.919479596254</v>
      </c>
      <c r="R118" s="67">
        <f t="shared" si="80"/>
        <v>3297.169970740566</v>
      </c>
      <c r="S118" s="67">
        <f t="shared" si="80"/>
        <v>3950.9047284232943</v>
      </c>
      <c r="T118" s="67">
        <f t="shared" si="80"/>
        <v>5006.0317708615266</v>
      </c>
      <c r="U118" s="67">
        <f t="shared" si="80"/>
        <v>5142.7037135941882</v>
      </c>
      <c r="V118" s="67">
        <f t="shared" si="80"/>
        <v>3350.8745487404931</v>
      </c>
      <c r="W118" s="67">
        <f t="shared" si="80"/>
        <v>3594.47496976716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0.68847980971416234</v>
      </c>
      <c r="C121" s="86">
        <f t="shared" ref="C121:W121" si="84">IF(C107=0,"",C107/C100)</f>
        <v>0.71557917768528134</v>
      </c>
      <c r="D121" s="86">
        <f t="shared" si="84"/>
        <v>0.69162735988028623</v>
      </c>
      <c r="E121" s="86">
        <f t="shared" si="84"/>
        <v>0.73920021919589229</v>
      </c>
      <c r="F121" s="86">
        <f t="shared" si="84"/>
        <v>0.67876993391527085</v>
      </c>
      <c r="G121" s="86">
        <f t="shared" si="84"/>
        <v>0.6813477159243122</v>
      </c>
      <c r="H121" s="86">
        <f t="shared" si="84"/>
        <v>0.74427583258750618</v>
      </c>
      <c r="I121" s="86">
        <f t="shared" si="84"/>
        <v>0.76208289062931367</v>
      </c>
      <c r="J121" s="86">
        <f t="shared" si="84"/>
        <v>0.76939080723453013</v>
      </c>
      <c r="K121" s="86">
        <f t="shared" si="84"/>
        <v>0.81113402153564285</v>
      </c>
      <c r="L121" s="86">
        <f t="shared" si="84"/>
        <v>0.74229659880817711</v>
      </c>
      <c r="M121" s="86">
        <f t="shared" si="84"/>
        <v>0.77388286175261778</v>
      </c>
      <c r="N121" s="86">
        <f t="shared" si="84"/>
        <v>0.85975783057622945</v>
      </c>
      <c r="O121" s="86">
        <f t="shared" si="84"/>
        <v>0.81348414177539574</v>
      </c>
      <c r="P121" s="86">
        <f t="shared" si="84"/>
        <v>0.83033736988824902</v>
      </c>
      <c r="Q121" s="86">
        <f t="shared" si="84"/>
        <v>0.84446379459328891</v>
      </c>
      <c r="R121" s="86">
        <f t="shared" si="84"/>
        <v>0.84457168475744793</v>
      </c>
      <c r="S121" s="86">
        <f t="shared" si="84"/>
        <v>0.87945368551677883</v>
      </c>
      <c r="T121" s="86">
        <f t="shared" si="84"/>
        <v>0.90213123348134638</v>
      </c>
      <c r="U121" s="86">
        <f t="shared" si="84"/>
        <v>0.98589856822349164</v>
      </c>
      <c r="V121" s="86">
        <f t="shared" si="84"/>
        <v>1.0135257437777692</v>
      </c>
      <c r="W121" s="86">
        <f t="shared" si="84"/>
        <v>1.0887166787995726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0.55795166728604206</v>
      </c>
      <c r="C122" s="75">
        <f t="shared" ref="C122:W122" si="86">IF(C108=0,"",C108/C101)</f>
        <v>0.56505061919384858</v>
      </c>
      <c r="D122" s="75">
        <f t="shared" si="86"/>
        <v>0.57118770323901691</v>
      </c>
      <c r="E122" s="75">
        <f t="shared" si="86"/>
        <v>0.57673739771343235</v>
      </c>
      <c r="F122" s="75">
        <f t="shared" si="86"/>
        <v>0.58100498276774304</v>
      </c>
      <c r="G122" s="75">
        <f t="shared" si="86"/>
        <v>0.58937684370669174</v>
      </c>
      <c r="H122" s="75">
        <f t="shared" si="86"/>
        <v>0.6010263470250482</v>
      </c>
      <c r="I122" s="75">
        <f t="shared" si="86"/>
        <v>0.61518088156549888</v>
      </c>
      <c r="J122" s="75">
        <f t="shared" si="86"/>
        <v>0.63777569863283434</v>
      </c>
      <c r="K122" s="75">
        <f t="shared" si="86"/>
        <v>0.66608818424541294</v>
      </c>
      <c r="L122" s="75">
        <f t="shared" si="86"/>
        <v>0.64485922042970656</v>
      </c>
      <c r="M122" s="75">
        <f t="shared" si="86"/>
        <v>0.66613222878934331</v>
      </c>
      <c r="N122" s="75">
        <f t="shared" si="86"/>
        <v>0.67938314035305702</v>
      </c>
      <c r="O122" s="75">
        <f t="shared" si="86"/>
        <v>0.69168025006757838</v>
      </c>
      <c r="P122" s="75">
        <f t="shared" si="86"/>
        <v>0.70697717070726118</v>
      </c>
      <c r="Q122" s="75">
        <f t="shared" si="86"/>
        <v>0.71987316624799869</v>
      </c>
      <c r="R122" s="75">
        <f t="shared" si="86"/>
        <v>0.73759410248377821</v>
      </c>
      <c r="S122" s="75">
        <f t="shared" si="86"/>
        <v>0.74857950332909651</v>
      </c>
      <c r="T122" s="75">
        <f t="shared" si="86"/>
        <v>0.77929037824908942</v>
      </c>
      <c r="U122" s="75">
        <f t="shared" si="86"/>
        <v>0.79551708579288594</v>
      </c>
      <c r="V122" s="75">
        <f t="shared" si="86"/>
        <v>0.85650445244297602</v>
      </c>
      <c r="W122" s="75">
        <f t="shared" si="86"/>
        <v>0.88311048441137374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1.747009644857372</v>
      </c>
      <c r="C123" s="76">
        <f t="shared" ref="C123:W123" si="88">IF(C109=0,"",C109/C102)</f>
        <v>1.8610170717472025</v>
      </c>
      <c r="D123" s="76">
        <f t="shared" si="88"/>
        <v>1.9644872604542203</v>
      </c>
      <c r="E123" s="76">
        <f t="shared" si="88"/>
        <v>2.0642575327296933</v>
      </c>
      <c r="F123" s="76">
        <f t="shared" si="88"/>
        <v>2.174548935024045</v>
      </c>
      <c r="G123" s="76">
        <f t="shared" si="88"/>
        <v>2.3115540590862276</v>
      </c>
      <c r="H123" s="76">
        <f t="shared" si="88"/>
        <v>2.4604231470618996</v>
      </c>
      <c r="I123" s="76">
        <f t="shared" si="88"/>
        <v>2.6232409766194538</v>
      </c>
      <c r="J123" s="76">
        <f t="shared" si="88"/>
        <v>2.8137202260106342</v>
      </c>
      <c r="K123" s="76">
        <f t="shared" si="88"/>
        <v>2.8713919051293137</v>
      </c>
      <c r="L123" s="76">
        <f t="shared" si="88"/>
        <v>2.9374865297460042</v>
      </c>
      <c r="M123" s="76">
        <f t="shared" si="88"/>
        <v>3.0360922754335458</v>
      </c>
      <c r="N123" s="76">
        <f t="shared" si="88"/>
        <v>3.1354524440040938</v>
      </c>
      <c r="O123" s="76">
        <f t="shared" si="88"/>
        <v>3.238371815115149</v>
      </c>
      <c r="P123" s="76">
        <f t="shared" si="88"/>
        <v>3.3576632796111427</v>
      </c>
      <c r="Q123" s="76">
        <f t="shared" si="88"/>
        <v>3.4920622159330548</v>
      </c>
      <c r="R123" s="76">
        <f t="shared" si="88"/>
        <v>3.6245222921579709</v>
      </c>
      <c r="S123" s="76">
        <f t="shared" si="88"/>
        <v>3.7588595198642927</v>
      </c>
      <c r="T123" s="76">
        <f t="shared" si="88"/>
        <v>3.8906489549873831</v>
      </c>
      <c r="U123" s="76">
        <f t="shared" si="88"/>
        <v>4.0033777923506371</v>
      </c>
      <c r="V123" s="76">
        <f t="shared" si="88"/>
        <v>4.0927427926671518</v>
      </c>
      <c r="W123" s="76">
        <f t="shared" si="88"/>
        <v>4.1928415568181103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0.50633208723733014</v>
      </c>
      <c r="C124" s="76">
        <f t="shared" ref="C124:W124" si="90">IF(C110=0,"",C110/C103)</f>
        <v>0.50850702489278798</v>
      </c>
      <c r="D124" s="76">
        <f t="shared" si="90"/>
        <v>0.51076061311984711</v>
      </c>
      <c r="E124" s="76">
        <f t="shared" si="90"/>
        <v>0.51361719544118212</v>
      </c>
      <c r="F124" s="76">
        <f t="shared" si="90"/>
        <v>0.51608602050060304</v>
      </c>
      <c r="G124" s="76">
        <f t="shared" si="90"/>
        <v>0.5183574827995846</v>
      </c>
      <c r="H124" s="76">
        <f t="shared" si="90"/>
        <v>0.51366253178108379</v>
      </c>
      <c r="I124" s="76">
        <f t="shared" si="90"/>
        <v>0.5136507894603235</v>
      </c>
      <c r="J124" s="76">
        <f t="shared" si="90"/>
        <v>0.51842015705826794</v>
      </c>
      <c r="K124" s="76">
        <f t="shared" si="90"/>
        <v>0.52242147079105816</v>
      </c>
      <c r="L124" s="76">
        <f t="shared" si="90"/>
        <v>0.53284275683135407</v>
      </c>
      <c r="M124" s="76">
        <f t="shared" si="90"/>
        <v>0.53799089682010015</v>
      </c>
      <c r="N124" s="76">
        <f t="shared" si="90"/>
        <v>0.54596763732881237</v>
      </c>
      <c r="O124" s="76">
        <f t="shared" si="90"/>
        <v>0.55485273827132287</v>
      </c>
      <c r="P124" s="76">
        <f t="shared" si="90"/>
        <v>0.56052212120466116</v>
      </c>
      <c r="Q124" s="76">
        <f t="shared" si="90"/>
        <v>0.56758953455800243</v>
      </c>
      <c r="R124" s="76">
        <f t="shared" si="90"/>
        <v>0.57635279661864358</v>
      </c>
      <c r="S124" s="76">
        <f t="shared" si="90"/>
        <v>0.5868931234834619</v>
      </c>
      <c r="T124" s="76">
        <f t="shared" si="90"/>
        <v>0.59753036337298404</v>
      </c>
      <c r="U124" s="76">
        <f t="shared" si="90"/>
        <v>0.60936983248364696</v>
      </c>
      <c r="V124" s="76">
        <f t="shared" si="90"/>
        <v>0.62268198880647763</v>
      </c>
      <c r="W124" s="76">
        <f t="shared" si="90"/>
        <v>0.63668965906677255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0.71490562202124763</v>
      </c>
      <c r="C125" s="56">
        <f t="shared" ref="C125:W125" si="92">IF(C111=0,"",C111/C104)</f>
        <v>0.71768034315715523</v>
      </c>
      <c r="D125" s="56">
        <f t="shared" si="92"/>
        <v>0.71706973089087256</v>
      </c>
      <c r="E125" s="56">
        <f t="shared" si="92"/>
        <v>0.7197652079578063</v>
      </c>
      <c r="F125" s="56">
        <f t="shared" si="92"/>
        <v>0.72261245480225988</v>
      </c>
      <c r="G125" s="56">
        <f t="shared" si="92"/>
        <v>0.72415495253185069</v>
      </c>
      <c r="H125" s="56">
        <f t="shared" si="92"/>
        <v>0.71582003294470686</v>
      </c>
      <c r="I125" s="56">
        <f t="shared" si="92"/>
        <v>0.713188052206985</v>
      </c>
      <c r="J125" s="56">
        <f t="shared" si="92"/>
        <v>0.70391697634185835</v>
      </c>
      <c r="K125" s="56">
        <f t="shared" si="92"/>
        <v>0.68748722758921232</v>
      </c>
      <c r="L125" s="56">
        <f t="shared" si="92"/>
        <v>0.70316819274952935</v>
      </c>
      <c r="M125" s="56">
        <f t="shared" si="92"/>
        <v>0.69821838613881249</v>
      </c>
      <c r="N125" s="56">
        <f t="shared" si="92"/>
        <v>0.70307767800852594</v>
      </c>
      <c r="O125" s="56">
        <f t="shared" si="92"/>
        <v>0.70629856612414577</v>
      </c>
      <c r="P125" s="56">
        <f t="shared" si="92"/>
        <v>0.71065501002307796</v>
      </c>
      <c r="Q125" s="56">
        <f t="shared" si="92"/>
        <v>0.70741520204656561</v>
      </c>
      <c r="R125" s="56">
        <f t="shared" si="92"/>
        <v>0.72026129164149533</v>
      </c>
      <c r="S125" s="56">
        <f t="shared" si="92"/>
        <v>0.71483434100777254</v>
      </c>
      <c r="T125" s="56">
        <f t="shared" si="92"/>
        <v>0.70559403636467166</v>
      </c>
      <c r="U125" s="56">
        <f t="shared" si="92"/>
        <v>0.71037119655896497</v>
      </c>
      <c r="V125" s="56">
        <f t="shared" si="92"/>
        <v>0.74053793596218553</v>
      </c>
      <c r="W125" s="56">
        <f t="shared" si="92"/>
        <v>0.74664482840780311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348.63084808689808</v>
      </c>
      <c r="C129" s="82">
        <f t="shared" ref="C129:W129" si="94">IF(C99=0,0,C99/C$26)</f>
        <v>352.91126045247705</v>
      </c>
      <c r="D129" s="82">
        <f t="shared" si="94"/>
        <v>371.69746064011997</v>
      </c>
      <c r="E129" s="82">
        <f t="shared" si="94"/>
        <v>403.87805291181098</v>
      </c>
      <c r="F129" s="82">
        <f t="shared" si="94"/>
        <v>407.901545203458</v>
      </c>
      <c r="G129" s="82">
        <f t="shared" si="94"/>
        <v>428.81799359216109</v>
      </c>
      <c r="H129" s="82">
        <f t="shared" si="94"/>
        <v>374.30651426136603</v>
      </c>
      <c r="I129" s="82">
        <f t="shared" si="94"/>
        <v>375.9954670732676</v>
      </c>
      <c r="J129" s="82">
        <f t="shared" si="94"/>
        <v>348.31883060393818</v>
      </c>
      <c r="K129" s="82">
        <f t="shared" si="94"/>
        <v>320.18423910588552</v>
      </c>
      <c r="L129" s="82">
        <f t="shared" si="94"/>
        <v>417.17297187861561</v>
      </c>
      <c r="M129" s="82">
        <f t="shared" si="94"/>
        <v>394.02431049052967</v>
      </c>
      <c r="N129" s="82">
        <f t="shared" si="94"/>
        <v>428.87738611271487</v>
      </c>
      <c r="O129" s="82">
        <f t="shared" si="94"/>
        <v>434.92808676790679</v>
      </c>
      <c r="P129" s="82">
        <f t="shared" si="94"/>
        <v>444.1111356596931</v>
      </c>
      <c r="Q129" s="82">
        <f t="shared" si="94"/>
        <v>472.67640606187445</v>
      </c>
      <c r="R129" s="82">
        <f t="shared" si="94"/>
        <v>446.70978320355727</v>
      </c>
      <c r="S129" s="82">
        <f t="shared" si="94"/>
        <v>450.44813964895843</v>
      </c>
      <c r="T129" s="82">
        <f t="shared" si="94"/>
        <v>405.21822846922851</v>
      </c>
      <c r="U129" s="82">
        <f t="shared" si="94"/>
        <v>402.38455413660688</v>
      </c>
      <c r="V129" s="82">
        <f t="shared" si="94"/>
        <v>335.39867811199628</v>
      </c>
      <c r="W129" s="82">
        <f t="shared" si="94"/>
        <v>344.62506231916603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266.73999026666235</v>
      </c>
      <c r="C130" s="64">
        <f t="shared" ref="C130:W130" si="96">IF(C100=0,0,C100/C$26)</f>
        <v>269.21316767041503</v>
      </c>
      <c r="D130" s="64">
        <f t="shared" si="96"/>
        <v>285.65928376131615</v>
      </c>
      <c r="E130" s="64">
        <f t="shared" si="96"/>
        <v>315.16856975369546</v>
      </c>
      <c r="F130" s="64">
        <f t="shared" si="96"/>
        <v>316.70308346649892</v>
      </c>
      <c r="G130" s="64">
        <f t="shared" si="96"/>
        <v>337.96873449009183</v>
      </c>
      <c r="H130" s="64">
        <f t="shared" si="96"/>
        <v>282.2012940452384</v>
      </c>
      <c r="I130" s="64">
        <f t="shared" si="96"/>
        <v>284.12604279115754</v>
      </c>
      <c r="J130" s="64">
        <f t="shared" si="96"/>
        <v>258.71846000153465</v>
      </c>
      <c r="K130" s="64">
        <f t="shared" si="96"/>
        <v>229.71631078326291</v>
      </c>
      <c r="L130" s="64">
        <f t="shared" si="96"/>
        <v>324.17551488971969</v>
      </c>
      <c r="M130" s="64">
        <f t="shared" si="96"/>
        <v>301.26435101063282</v>
      </c>
      <c r="N130" s="64">
        <f t="shared" si="96"/>
        <v>336.65174919268975</v>
      </c>
      <c r="O130" s="64">
        <f t="shared" si="96"/>
        <v>341.66977538860124</v>
      </c>
      <c r="P130" s="64">
        <f t="shared" si="96"/>
        <v>349.96170739676649</v>
      </c>
      <c r="Q130" s="64">
        <f t="shared" si="96"/>
        <v>377.42108253430956</v>
      </c>
      <c r="R130" s="64">
        <f t="shared" si="96"/>
        <v>352.9129482731949</v>
      </c>
      <c r="S130" s="64">
        <f t="shared" si="96"/>
        <v>358.06225860049261</v>
      </c>
      <c r="T130" s="64">
        <f t="shared" si="96"/>
        <v>313.74600938556529</v>
      </c>
      <c r="U130" s="64">
        <f t="shared" si="96"/>
        <v>311.92952888881501</v>
      </c>
      <c r="V130" s="64">
        <f t="shared" si="96"/>
        <v>253.61889575714889</v>
      </c>
      <c r="W130" s="64">
        <f t="shared" si="96"/>
        <v>264.03452441859991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120.70454336253084</v>
      </c>
      <c r="C131" s="65">
        <f t="shared" ref="C131:W131" si="98">IF(C101=0,0,C101/C$26)</f>
        <v>123.43398315355914</v>
      </c>
      <c r="D131" s="65">
        <f t="shared" si="98"/>
        <v>142.83781822070438</v>
      </c>
      <c r="E131" s="65">
        <f t="shared" si="98"/>
        <v>160.81420633343572</v>
      </c>
      <c r="F131" s="65">
        <f t="shared" si="98"/>
        <v>174.38382538243314</v>
      </c>
      <c r="G131" s="65">
        <f t="shared" si="98"/>
        <v>198.69216170963421</v>
      </c>
      <c r="H131" s="65">
        <f t="shared" si="98"/>
        <v>137.14765250458578</v>
      </c>
      <c r="I131" s="65">
        <f t="shared" si="98"/>
        <v>140.09091610850783</v>
      </c>
      <c r="J131" s="65">
        <f t="shared" si="98"/>
        <v>121.28371009563865</v>
      </c>
      <c r="K131" s="65">
        <f t="shared" si="98"/>
        <v>88.163868757359438</v>
      </c>
      <c r="L131" s="65">
        <f t="shared" si="98"/>
        <v>186.41925794373159</v>
      </c>
      <c r="M131" s="65">
        <f t="shared" si="98"/>
        <v>161.97691665872534</v>
      </c>
      <c r="N131" s="65">
        <f t="shared" si="98"/>
        <v>190.28616700657417</v>
      </c>
      <c r="O131" s="65">
        <f t="shared" si="98"/>
        <v>204.64585815141862</v>
      </c>
      <c r="P131" s="65">
        <f t="shared" si="98"/>
        <v>213.92885323960041</v>
      </c>
      <c r="Q131" s="65">
        <f t="shared" si="98"/>
        <v>240.9500062324208</v>
      </c>
      <c r="R131" s="65">
        <f t="shared" si="98"/>
        <v>222.23920052783581</v>
      </c>
      <c r="S131" s="65">
        <f t="shared" si="98"/>
        <v>226.35563325830168</v>
      </c>
      <c r="T131" s="65">
        <f t="shared" si="98"/>
        <v>184.20834021453859</v>
      </c>
      <c r="U131" s="65">
        <f t="shared" si="98"/>
        <v>177.12313575634255</v>
      </c>
      <c r="V131" s="65">
        <f t="shared" si="98"/>
        <v>134.49868883175506</v>
      </c>
      <c r="W131" s="65">
        <f t="shared" si="98"/>
        <v>137.99701203782112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23.286033719981383</v>
      </c>
      <c r="C132" s="65">
        <f t="shared" ref="C132:W132" si="100">IF(C102=0,0,C102/C$26)</f>
        <v>26.131844641994878</v>
      </c>
      <c r="D132" s="65">
        <f t="shared" si="100"/>
        <v>20.246750075559955</v>
      </c>
      <c r="E132" s="65">
        <f t="shared" si="100"/>
        <v>30.348634150929012</v>
      </c>
      <c r="F132" s="65">
        <f t="shared" si="100"/>
        <v>15.679151816481381</v>
      </c>
      <c r="G132" s="65">
        <f t="shared" si="100"/>
        <v>15.147656189400054</v>
      </c>
      <c r="H132" s="65">
        <f t="shared" si="100"/>
        <v>20.276754387928452</v>
      </c>
      <c r="I132" s="65">
        <f t="shared" si="100"/>
        <v>20.388700219298954</v>
      </c>
      <c r="J132" s="65">
        <f t="shared" si="100"/>
        <v>16.652325662777319</v>
      </c>
      <c r="K132" s="65">
        <f t="shared" si="100"/>
        <v>18.034845601491703</v>
      </c>
      <c r="L132" s="65">
        <f t="shared" si="100"/>
        <v>14.766820545002126</v>
      </c>
      <c r="M132" s="65">
        <f t="shared" si="100"/>
        <v>15.773981405652467</v>
      </c>
      <c r="N132" s="65">
        <f t="shared" si="100"/>
        <v>26.975284430151675</v>
      </c>
      <c r="O132" s="65">
        <f t="shared" si="100"/>
        <v>18.81294591440334</v>
      </c>
      <c r="P132" s="65">
        <f t="shared" si="100"/>
        <v>19.062147164853741</v>
      </c>
      <c r="Q132" s="65">
        <f t="shared" si="100"/>
        <v>20.056133099422976</v>
      </c>
      <c r="R132" s="65">
        <f t="shared" si="100"/>
        <v>16.261495661164744</v>
      </c>
      <c r="S132" s="65">
        <f t="shared" si="100"/>
        <v>18.906664196265861</v>
      </c>
      <c r="T132" s="65">
        <f t="shared" si="100"/>
        <v>16.716408818626206</v>
      </c>
      <c r="U132" s="65">
        <f t="shared" si="100"/>
        <v>22.956722425880265</v>
      </c>
      <c r="V132" s="65">
        <f t="shared" si="100"/>
        <v>17.547730761457267</v>
      </c>
      <c r="W132" s="65">
        <f t="shared" si="100"/>
        <v>22.16223385460669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58.192304086848971</v>
      </c>
      <c r="C133" s="65">
        <f t="shared" ref="C133:W133" si="102">IF(C103=0,0,C103/C$26)</f>
        <v>55.472966138062752</v>
      </c>
      <c r="D133" s="65">
        <f t="shared" si="102"/>
        <v>56.645726664306615</v>
      </c>
      <c r="E133" s="65">
        <f t="shared" si="102"/>
        <v>56.645208738937363</v>
      </c>
      <c r="F133" s="65">
        <f t="shared" si="102"/>
        <v>57.891578951876021</v>
      </c>
      <c r="G133" s="65">
        <f t="shared" si="102"/>
        <v>57.014936609142524</v>
      </c>
      <c r="H133" s="65">
        <f t="shared" si="102"/>
        <v>57.38565600620425</v>
      </c>
      <c r="I133" s="65">
        <f t="shared" si="102"/>
        <v>56.737699258694093</v>
      </c>
      <c r="J133" s="65">
        <f t="shared" si="102"/>
        <v>54.836425698221404</v>
      </c>
      <c r="K133" s="65">
        <f t="shared" si="102"/>
        <v>55.105771480429063</v>
      </c>
      <c r="L133" s="65">
        <f t="shared" si="102"/>
        <v>55.419740097833305</v>
      </c>
      <c r="M133" s="65">
        <f t="shared" si="102"/>
        <v>55.454612195631547</v>
      </c>
      <c r="N133" s="65">
        <f t="shared" si="102"/>
        <v>53.202271109757113</v>
      </c>
      <c r="O133" s="65">
        <f t="shared" si="102"/>
        <v>52.970146530453604</v>
      </c>
      <c r="P133" s="65">
        <f t="shared" si="102"/>
        <v>51.86486646485973</v>
      </c>
      <c r="Q133" s="65">
        <f t="shared" si="102"/>
        <v>50.963243491698577</v>
      </c>
      <c r="R133" s="65">
        <f t="shared" si="102"/>
        <v>50.093709524113883</v>
      </c>
      <c r="S133" s="65">
        <f t="shared" si="102"/>
        <v>48.825509596634731</v>
      </c>
      <c r="T133" s="65">
        <f t="shared" si="102"/>
        <v>47.70705560878865</v>
      </c>
      <c r="U133" s="65">
        <f t="shared" si="102"/>
        <v>46.858991144297178</v>
      </c>
      <c r="V133" s="65">
        <f t="shared" si="102"/>
        <v>44.003433425008673</v>
      </c>
      <c r="W133" s="65">
        <f t="shared" si="102"/>
        <v>44.458957886194938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64.557109097301222</v>
      </c>
      <c r="C134" s="67">
        <f t="shared" ref="C134:W134" si="104">IF(C104=0,0,C104/C$26)</f>
        <v>64.174373736798188</v>
      </c>
      <c r="D134" s="67">
        <f t="shared" si="104"/>
        <v>65.928988800745188</v>
      </c>
      <c r="E134" s="67">
        <f t="shared" si="104"/>
        <v>67.36052053039333</v>
      </c>
      <c r="F134" s="67">
        <f t="shared" si="104"/>
        <v>68.748527315708358</v>
      </c>
      <c r="G134" s="67">
        <f t="shared" si="104"/>
        <v>67.113979981915065</v>
      </c>
      <c r="H134" s="67">
        <f t="shared" si="104"/>
        <v>67.391231146519914</v>
      </c>
      <c r="I134" s="67">
        <f t="shared" si="104"/>
        <v>66.908727204656628</v>
      </c>
      <c r="J134" s="67">
        <f t="shared" si="104"/>
        <v>65.94599854489725</v>
      </c>
      <c r="K134" s="67">
        <f t="shared" si="104"/>
        <v>68.411824943982722</v>
      </c>
      <c r="L134" s="67">
        <f t="shared" si="104"/>
        <v>67.569696303152696</v>
      </c>
      <c r="M134" s="67">
        <f t="shared" si="104"/>
        <v>68.058840750623375</v>
      </c>
      <c r="N134" s="67">
        <f t="shared" si="104"/>
        <v>66.188026646206879</v>
      </c>
      <c r="O134" s="67">
        <f t="shared" si="104"/>
        <v>65.240824792325625</v>
      </c>
      <c r="P134" s="67">
        <f t="shared" si="104"/>
        <v>65.105840527452557</v>
      </c>
      <c r="Q134" s="67">
        <f t="shared" si="104"/>
        <v>65.451699710767215</v>
      </c>
      <c r="R134" s="67">
        <f t="shared" si="104"/>
        <v>64.318542560080488</v>
      </c>
      <c r="S134" s="67">
        <f t="shared" si="104"/>
        <v>63.974451549290315</v>
      </c>
      <c r="T134" s="67">
        <f t="shared" si="104"/>
        <v>65.114204743611907</v>
      </c>
      <c r="U134" s="67">
        <f t="shared" si="104"/>
        <v>64.990679562294943</v>
      </c>
      <c r="V134" s="67">
        <f t="shared" si="104"/>
        <v>57.569042738927941</v>
      </c>
      <c r="W134" s="67">
        <f t="shared" si="104"/>
        <v>59.416320639977144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81.890857820235667</v>
      </c>
      <c r="C135" s="68">
        <f t="shared" ref="C135:W135" si="106">IF(C105=0,0,C105/C$26)</f>
        <v>83.698092782062091</v>
      </c>
      <c r="D135" s="68">
        <f t="shared" si="106"/>
        <v>86.038176878803725</v>
      </c>
      <c r="E135" s="68">
        <f t="shared" si="106"/>
        <v>88.709483158115532</v>
      </c>
      <c r="F135" s="68">
        <f t="shared" si="106"/>
        <v>91.198461736959075</v>
      </c>
      <c r="G135" s="68">
        <f t="shared" si="106"/>
        <v>90.849259102069297</v>
      </c>
      <c r="H135" s="68">
        <f t="shared" si="106"/>
        <v>92.105220216127663</v>
      </c>
      <c r="I135" s="68">
        <f t="shared" si="106"/>
        <v>91.869424282110145</v>
      </c>
      <c r="J135" s="68">
        <f t="shared" si="106"/>
        <v>89.600370602403572</v>
      </c>
      <c r="K135" s="68">
        <f t="shared" si="106"/>
        <v>90.467928322622583</v>
      </c>
      <c r="L135" s="68">
        <f t="shared" si="106"/>
        <v>92.997456988895806</v>
      </c>
      <c r="M135" s="68">
        <f t="shared" si="106"/>
        <v>92.759959479896906</v>
      </c>
      <c r="N135" s="68">
        <f t="shared" si="106"/>
        <v>92.225636920025124</v>
      </c>
      <c r="O135" s="68">
        <f t="shared" si="106"/>
        <v>93.258311379305553</v>
      </c>
      <c r="P135" s="68">
        <f t="shared" si="106"/>
        <v>94.149428262926747</v>
      </c>
      <c r="Q135" s="68">
        <f t="shared" si="106"/>
        <v>95.255323527564912</v>
      </c>
      <c r="R135" s="68">
        <f t="shared" si="106"/>
        <v>93.796834930362451</v>
      </c>
      <c r="S135" s="68">
        <f t="shared" si="106"/>
        <v>92.385881048465876</v>
      </c>
      <c r="T135" s="68">
        <f t="shared" si="106"/>
        <v>91.472219083663248</v>
      </c>
      <c r="U135" s="68">
        <f t="shared" si="106"/>
        <v>90.455025247791951</v>
      </c>
      <c r="V135" s="68">
        <f t="shared" si="106"/>
        <v>81.779782354847327</v>
      </c>
      <c r="W135" s="68">
        <f t="shared" si="106"/>
        <v>80.590537900566105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183.64509774194923</v>
      </c>
      <c r="C137" s="85">
        <f t="shared" ref="C137:W137" si="108">IF(C107=0,0,C107/C$26)</f>
        <v>192.64333714364531</v>
      </c>
      <c r="D137" s="85">
        <f t="shared" si="108"/>
        <v>197.56977625313263</v>
      </c>
      <c r="E137" s="85">
        <f t="shared" si="108"/>
        <v>232.97267584558753</v>
      </c>
      <c r="F137" s="85">
        <f t="shared" si="108"/>
        <v>214.96853103531797</v>
      </c>
      <c r="G137" s="85">
        <f t="shared" si="108"/>
        <v>230.27422529865439</v>
      </c>
      <c r="H137" s="85">
        <f t="shared" si="108"/>
        <v>210.03560308279145</v>
      </c>
      <c r="I137" s="85">
        <f t="shared" si="108"/>
        <v>216.52759599335343</v>
      </c>
      <c r="J137" s="85">
        <f t="shared" si="108"/>
        <v>199.05560478705522</v>
      </c>
      <c r="K137" s="85">
        <f t="shared" si="108"/>
        <v>186.33071497795962</v>
      </c>
      <c r="L137" s="85">
        <f t="shared" si="108"/>
        <v>240.63438211952854</v>
      </c>
      <c r="M137" s="85">
        <f t="shared" si="108"/>
        <v>233.14331810415368</v>
      </c>
      <c r="N137" s="85">
        <f t="shared" si="108"/>
        <v>289.43897754559987</v>
      </c>
      <c r="O137" s="85">
        <f t="shared" si="108"/>
        <v>277.94294400258849</v>
      </c>
      <c r="P137" s="85">
        <f t="shared" si="108"/>
        <v>290.58628368143206</v>
      </c>
      <c r="Q137" s="85">
        <f t="shared" si="108"/>
        <v>318.7184395164299</v>
      </c>
      <c r="R137" s="85">
        <f t="shared" si="108"/>
        <v>298.06028329581028</v>
      </c>
      <c r="S137" s="85">
        <f t="shared" si="108"/>
        <v>314.89917297066518</v>
      </c>
      <c r="T137" s="85">
        <f t="shared" si="108"/>
        <v>283.0400744468501</v>
      </c>
      <c r="U137" s="85">
        <f t="shared" si="108"/>
        <v>307.53087591811101</v>
      </c>
      <c r="V137" s="85">
        <f t="shared" si="108"/>
        <v>257.04927995836084</v>
      </c>
      <c r="W137" s="85">
        <f t="shared" si="108"/>
        <v>287.45879051344275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67.347301218124443</v>
      </c>
      <c r="C138" s="65">
        <f t="shared" ref="C138:W138" si="110">IF(C108=0,0,C108/C$26)</f>
        <v>69.746448610481664</v>
      </c>
      <c r="D138" s="65">
        <f t="shared" si="110"/>
        <v>81.587205325156347</v>
      </c>
      <c r="E138" s="65">
        <f t="shared" si="110"/>
        <v>92.747566876096684</v>
      </c>
      <c r="F138" s="65">
        <f t="shared" si="110"/>
        <v>101.31787146129368</v>
      </c>
      <c r="G138" s="65">
        <f t="shared" si="110"/>
        <v>117.10455913768381</v>
      </c>
      <c r="H138" s="65">
        <f t="shared" si="110"/>
        <v>82.429352587891898</v>
      </c>
      <c r="I138" s="65">
        <f t="shared" si="110"/>
        <v>86.181253270950194</v>
      </c>
      <c r="J138" s="65">
        <f t="shared" si="110"/>
        <v>77.35180293902809</v>
      </c>
      <c r="K138" s="65">
        <f t="shared" si="110"/>
        <v>58.724911256640439</v>
      </c>
      <c r="L138" s="65">
        <f t="shared" si="110"/>
        <v>120.21417735067914</v>
      </c>
      <c r="M138" s="65">
        <f t="shared" si="110"/>
        <v>107.89804450630241</v>
      </c>
      <c r="N138" s="65">
        <f t="shared" si="110"/>
        <v>129.27721370667263</v>
      </c>
      <c r="O138" s="65">
        <f t="shared" si="110"/>
        <v>141.5494983414674</v>
      </c>
      <c r="P138" s="65">
        <f t="shared" si="110"/>
        <v>151.24281539598161</v>
      </c>
      <c r="Q138" s="65">
        <f t="shared" si="110"/>
        <v>173.45344389400779</v>
      </c>
      <c r="R138" s="65">
        <f t="shared" si="110"/>
        <v>163.92232365004145</v>
      </c>
      <c r="S138" s="65">
        <f t="shared" si="110"/>
        <v>169.4451875202426</v>
      </c>
      <c r="T138" s="65">
        <f t="shared" si="110"/>
        <v>143.55178712242471</v>
      </c>
      <c r="U138" s="65">
        <f t="shared" si="110"/>
        <v>140.90448078338332</v>
      </c>
      <c r="V138" s="65">
        <f t="shared" si="110"/>
        <v>115.19872583214058</v>
      </c>
      <c r="W138" s="65">
        <f t="shared" si="110"/>
        <v>121.86660814804239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40.680925499281464</v>
      </c>
      <c r="C139" s="65">
        <f t="shared" ref="C139:W139" si="112">IF(C109=0,0,C109/C$26)</f>
        <v>48.631808994998131</v>
      </c>
      <c r="D139" s="65">
        <f t="shared" si="112"/>
        <v>39.774482589038058</v>
      </c>
      <c r="E139" s="65">
        <f t="shared" si="112"/>
        <v>62.647396654112832</v>
      </c>
      <c r="F139" s="65">
        <f t="shared" si="112"/>
        <v>34.095082884609909</v>
      </c>
      <c r="G139" s="65">
        <f t="shared" si="112"/>
        <v>35.014626150250315</v>
      </c>
      <c r="H139" s="65">
        <f t="shared" si="112"/>
        <v>49.889395843348098</v>
      </c>
      <c r="I139" s="65">
        <f t="shared" si="112"/>
        <v>53.484473875275057</v>
      </c>
      <c r="J139" s="65">
        <f t="shared" si="112"/>
        <v>46.854985527472479</v>
      </c>
      <c r="K139" s="65">
        <f t="shared" si="112"/>
        <v>51.785109670380287</v>
      </c>
      <c r="L139" s="65">
        <f t="shared" si="112"/>
        <v>43.377336438120295</v>
      </c>
      <c r="M139" s="65">
        <f t="shared" si="112"/>
        <v>47.891263098533834</v>
      </c>
      <c r="N139" s="65">
        <f t="shared" si="112"/>
        <v>84.579721494224657</v>
      </c>
      <c r="O139" s="65">
        <f t="shared" si="112"/>
        <v>60.923313808489475</v>
      </c>
      <c r="P139" s="65">
        <f t="shared" si="112"/>
        <v>64.004271565973056</v>
      </c>
      <c r="Q139" s="65">
        <f t="shared" si="112"/>
        <v>70.03726459421928</v>
      </c>
      <c r="R139" s="65">
        <f t="shared" si="112"/>
        <v>58.940153527721748</v>
      </c>
      <c r="S139" s="65">
        <f t="shared" si="112"/>
        <v>71.06749470301132</v>
      </c>
      <c r="T139" s="65">
        <f t="shared" si="112"/>
        <v>65.037678501329921</v>
      </c>
      <c r="U139" s="65">
        <f t="shared" si="112"/>
        <v>91.904432744926893</v>
      </c>
      <c r="V139" s="65">
        <f t="shared" si="112"/>
        <v>71.818348601617899</v>
      </c>
      <c r="W139" s="65">
        <f t="shared" si="112"/>
        <v>92.922735097516139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29.464630789443657</v>
      </c>
      <c r="C140" s="65">
        <f t="shared" ref="C140:W140" si="114">IF(C110=0,0,C110/C$26)</f>
        <v>28.20839297284466</v>
      </c>
      <c r="D140" s="65">
        <f t="shared" si="114"/>
        <v>28.932406081680515</v>
      </c>
      <c r="E140" s="65">
        <f t="shared" si="114"/>
        <v>29.093953247673348</v>
      </c>
      <c r="F140" s="65">
        <f t="shared" si="114"/>
        <v>29.877034601770166</v>
      </c>
      <c r="G140" s="65">
        <f t="shared" si="114"/>
        <v>29.554119022693001</v>
      </c>
      <c r="H140" s="65">
        <f t="shared" si="114"/>
        <v>29.476861352065232</v>
      </c>
      <c r="I140" s="65">
        <f t="shared" si="114"/>
        <v>29.143364016390635</v>
      </c>
      <c r="J140" s="65">
        <f t="shared" si="114"/>
        <v>28.428308422985982</v>
      </c>
      <c r="K140" s="65">
        <f t="shared" si="114"/>
        <v>28.788438185881699</v>
      </c>
      <c r="L140" s="65">
        <f t="shared" si="114"/>
        <v>29.530007096606639</v>
      </c>
      <c r="M140" s="65">
        <f t="shared" si="114"/>
        <v>29.834076547938675</v>
      </c>
      <c r="N140" s="65">
        <f t="shared" si="114"/>
        <v>29.046718258321025</v>
      </c>
      <c r="O140" s="65">
        <f t="shared" si="114"/>
        <v>29.390630849055398</v>
      </c>
      <c r="P140" s="65">
        <f t="shared" si="114"/>
        <v>29.071404966879673</v>
      </c>
      <c r="Q140" s="65">
        <f t="shared" si="114"/>
        <v>28.926203653019346</v>
      </c>
      <c r="R140" s="65">
        <f t="shared" si="114"/>
        <v>28.871649577225018</v>
      </c>
      <c r="S140" s="65">
        <f t="shared" si="114"/>
        <v>28.655355832840698</v>
      </c>
      <c r="T140" s="65">
        <f t="shared" si="114"/>
        <v>28.506414273374638</v>
      </c>
      <c r="U140" s="65">
        <f t="shared" si="114"/>
        <v>28.554455583953072</v>
      </c>
      <c r="V140" s="65">
        <f t="shared" si="114"/>
        <v>27.400145439397836</v>
      </c>
      <c r="W140" s="65">
        <f t="shared" si="114"/>
        <v>28.306558739025451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46.152240235099676</v>
      </c>
      <c r="C141" s="68">
        <f t="shared" ref="C141:W141" si="116">IF(C111=0,0,C111/C$26)</f>
        <v>46.056686565320859</v>
      </c>
      <c r="D141" s="68">
        <f t="shared" si="116"/>
        <v>47.275682257257706</v>
      </c>
      <c r="E141" s="68">
        <f t="shared" si="116"/>
        <v>48.483759067704639</v>
      </c>
      <c r="F141" s="68">
        <f t="shared" si="116"/>
        <v>49.678542087644239</v>
      </c>
      <c r="G141" s="68">
        <f t="shared" si="116"/>
        <v>48.600920988027276</v>
      </c>
      <c r="H141" s="68">
        <f t="shared" si="116"/>
        <v>48.239993299486237</v>
      </c>
      <c r="I141" s="68">
        <f t="shared" si="116"/>
        <v>47.718504830737558</v>
      </c>
      <c r="J141" s="68">
        <f t="shared" si="116"/>
        <v>46.420507897568662</v>
      </c>
      <c r="K141" s="68">
        <f t="shared" si="116"/>
        <v>47.032255865057209</v>
      </c>
      <c r="L141" s="68">
        <f t="shared" si="116"/>
        <v>47.512861234122433</v>
      </c>
      <c r="M141" s="68">
        <f t="shared" si="116"/>
        <v>47.519933951378704</v>
      </c>
      <c r="N141" s="68">
        <f t="shared" si="116"/>
        <v>46.535324086381571</v>
      </c>
      <c r="O141" s="68">
        <f t="shared" si="116"/>
        <v>46.079501003576219</v>
      </c>
      <c r="P141" s="68">
        <f t="shared" si="116"/>
        <v>46.267791752597716</v>
      </c>
      <c r="Q141" s="68">
        <f t="shared" si="116"/>
        <v>46.301527375183532</v>
      </c>
      <c r="R141" s="68">
        <f t="shared" si="116"/>
        <v>46.326156540822055</v>
      </c>
      <c r="S141" s="68">
        <f t="shared" si="116"/>
        <v>45.731134914570617</v>
      </c>
      <c r="T141" s="68">
        <f t="shared" si="116"/>
        <v>45.944194549720777</v>
      </c>
      <c r="U141" s="68">
        <f t="shared" si="116"/>
        <v>46.167506805847729</v>
      </c>
      <c r="V141" s="68">
        <f t="shared" si="116"/>
        <v>42.632060085204543</v>
      </c>
      <c r="W141" s="68">
        <f t="shared" si="116"/>
        <v>44.362888528858747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24.164817267806047</v>
      </c>
      <c r="C143" s="82">
        <f t="shared" ref="C143:W143" si="118">IF(C113=0,0,C113/C$26)</f>
        <v>23.064909164651898</v>
      </c>
      <c r="D143" s="82">
        <f t="shared" si="118"/>
        <v>25.722300709010021</v>
      </c>
      <c r="E143" s="82">
        <f t="shared" si="118"/>
        <v>29.741727881586044</v>
      </c>
      <c r="F143" s="82">
        <f t="shared" si="118"/>
        <v>30.970851248766397</v>
      </c>
      <c r="G143" s="82">
        <f t="shared" si="118"/>
        <v>25.600418577053155</v>
      </c>
      <c r="H143" s="82">
        <f t="shared" si="118"/>
        <v>23.292283084467872</v>
      </c>
      <c r="I143" s="82">
        <f t="shared" si="118"/>
        <v>26.30918009063987</v>
      </c>
      <c r="J143" s="82">
        <f t="shared" si="118"/>
        <v>24.723485914128791</v>
      </c>
      <c r="K143" s="82">
        <f t="shared" si="118"/>
        <v>19.699701019887403</v>
      </c>
      <c r="L143" s="82">
        <f t="shared" si="118"/>
        <v>26.555437873104463</v>
      </c>
      <c r="M143" s="82">
        <f t="shared" si="118"/>
        <v>17.84849910485525</v>
      </c>
      <c r="N143" s="82">
        <f t="shared" si="118"/>
        <v>24.93435453345192</v>
      </c>
      <c r="O143" s="82">
        <f t="shared" si="118"/>
        <v>28.820107869182927</v>
      </c>
      <c r="P143" s="82">
        <f t="shared" si="118"/>
        <v>30.04490444773106</v>
      </c>
      <c r="Q143" s="82">
        <f t="shared" si="118"/>
        <v>35.132381279056496</v>
      </c>
      <c r="R143" s="82">
        <f t="shared" si="118"/>
        <v>31.213892474822114</v>
      </c>
      <c r="S143" s="82">
        <f t="shared" si="118"/>
        <v>27.737363317611823</v>
      </c>
      <c r="T143" s="82">
        <f t="shared" si="118"/>
        <v>19.298229360976439</v>
      </c>
      <c r="U143" s="82">
        <f t="shared" si="118"/>
        <v>18.636224492564853</v>
      </c>
      <c r="V143" s="82">
        <f t="shared" si="118"/>
        <v>14.19314832549815</v>
      </c>
      <c r="W143" s="82">
        <f t="shared" si="118"/>
        <v>14.980374244134216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24.164817267806047</v>
      </c>
      <c r="C144" s="64">
        <f t="shared" ref="C144:W144" si="120">IF(C114=0,0,C114/C$26)</f>
        <v>23.064909164651898</v>
      </c>
      <c r="D144" s="64">
        <f t="shared" si="120"/>
        <v>25.722300709010021</v>
      </c>
      <c r="E144" s="64">
        <f t="shared" si="120"/>
        <v>29.741727881586044</v>
      </c>
      <c r="F144" s="64">
        <f t="shared" si="120"/>
        <v>30.970851248766397</v>
      </c>
      <c r="G144" s="64">
        <f t="shared" si="120"/>
        <v>25.600418577053155</v>
      </c>
      <c r="H144" s="64">
        <f t="shared" si="120"/>
        <v>23.292283084467872</v>
      </c>
      <c r="I144" s="64">
        <f t="shared" si="120"/>
        <v>26.30918009063987</v>
      </c>
      <c r="J144" s="64">
        <f t="shared" si="120"/>
        <v>24.723485914128791</v>
      </c>
      <c r="K144" s="64">
        <f t="shared" si="120"/>
        <v>19.699701019887403</v>
      </c>
      <c r="L144" s="64">
        <f t="shared" si="120"/>
        <v>26.555437873104463</v>
      </c>
      <c r="M144" s="64">
        <f t="shared" si="120"/>
        <v>17.84849910485525</v>
      </c>
      <c r="N144" s="64">
        <f t="shared" si="120"/>
        <v>24.93435453345192</v>
      </c>
      <c r="O144" s="64">
        <f t="shared" si="120"/>
        <v>28.820107869182927</v>
      </c>
      <c r="P144" s="64">
        <f t="shared" si="120"/>
        <v>30.04490444773106</v>
      </c>
      <c r="Q144" s="64">
        <f t="shared" si="120"/>
        <v>35.132381279056496</v>
      </c>
      <c r="R144" s="64">
        <f t="shared" si="120"/>
        <v>31.213892474822114</v>
      </c>
      <c r="S144" s="64">
        <f t="shared" si="120"/>
        <v>27.737363317611823</v>
      </c>
      <c r="T144" s="64">
        <f t="shared" si="120"/>
        <v>19.298229360976439</v>
      </c>
      <c r="U144" s="64">
        <f t="shared" si="120"/>
        <v>18.636224492564853</v>
      </c>
      <c r="V144" s="64">
        <f t="shared" si="120"/>
        <v>14.19314832549815</v>
      </c>
      <c r="W144" s="64">
        <f t="shared" si="120"/>
        <v>14.980374244134216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22.033913763211078</v>
      </c>
      <c r="C145" s="65">
        <f t="shared" ref="C145:W145" si="122">IF(C115=0,0,C115/C$26)</f>
        <v>21.048649443857457</v>
      </c>
      <c r="D145" s="65">
        <f t="shared" si="122"/>
        <v>23.50123403449345</v>
      </c>
      <c r="E145" s="65">
        <f t="shared" si="122"/>
        <v>27.718110238603362</v>
      </c>
      <c r="F145" s="65">
        <f t="shared" si="122"/>
        <v>29.074650179100161</v>
      </c>
      <c r="G145" s="65">
        <f t="shared" si="122"/>
        <v>23.620448831587233</v>
      </c>
      <c r="H145" s="65">
        <f t="shared" si="122"/>
        <v>19.18789661884005</v>
      </c>
      <c r="I145" s="65">
        <f t="shared" si="122"/>
        <v>21.364935339853659</v>
      </c>
      <c r="J145" s="65">
        <f t="shared" si="122"/>
        <v>19.084863846926154</v>
      </c>
      <c r="K145" s="65">
        <f t="shared" si="122"/>
        <v>12.465826440684932</v>
      </c>
      <c r="L145" s="65">
        <f t="shared" si="122"/>
        <v>21.598926580395389</v>
      </c>
      <c r="M145" s="65">
        <f t="shared" si="122"/>
        <v>12.440326324949224</v>
      </c>
      <c r="N145" s="65">
        <f t="shared" si="122"/>
        <v>20.165943879213653</v>
      </c>
      <c r="O145" s="65">
        <f t="shared" si="122"/>
        <v>24.461535843785065</v>
      </c>
      <c r="P145" s="65">
        <f t="shared" si="122"/>
        <v>25.895822977492919</v>
      </c>
      <c r="Q145" s="65">
        <f t="shared" si="122"/>
        <v>30.515185106691511</v>
      </c>
      <c r="R145" s="65">
        <f t="shared" si="122"/>
        <v>27.375713067804472</v>
      </c>
      <c r="S145" s="65">
        <f t="shared" si="122"/>
        <v>23.141209905366431</v>
      </c>
      <c r="T145" s="65">
        <f t="shared" si="122"/>
        <v>13.468471385588575</v>
      </c>
      <c r="U145" s="65">
        <f t="shared" si="122"/>
        <v>12.660304516703086</v>
      </c>
      <c r="V145" s="65">
        <f t="shared" si="122"/>
        <v>10.274526470841714</v>
      </c>
      <c r="W145" s="65">
        <f t="shared" si="122"/>
        <v>10.778568649714337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1.0451257534164671</v>
      </c>
      <c r="C147" s="65">
        <f t="shared" ref="C147:W147" si="126">IF(C117=0,0,C117/C$26)</f>
        <v>1.0063200642137657</v>
      </c>
      <c r="D147" s="65">
        <f t="shared" si="126"/>
        <v>0.98045295311006597</v>
      </c>
      <c r="E147" s="65">
        <f t="shared" si="126"/>
        <v>0.83732575993334524</v>
      </c>
      <c r="F147" s="65">
        <f t="shared" si="126"/>
        <v>0.77653136904532261</v>
      </c>
      <c r="G147" s="65">
        <f t="shared" si="126"/>
        <v>0.82126281928094103</v>
      </c>
      <c r="H147" s="65">
        <f t="shared" si="126"/>
        <v>2.0237287929765624</v>
      </c>
      <c r="I147" s="65">
        <f t="shared" si="126"/>
        <v>2.4560381974177963</v>
      </c>
      <c r="J147" s="65">
        <f t="shared" si="126"/>
        <v>2.1745619414951198</v>
      </c>
      <c r="K147" s="65">
        <f t="shared" si="126"/>
        <v>2.0018800654151079</v>
      </c>
      <c r="L147" s="65">
        <f t="shared" si="126"/>
        <v>0.96379270321958777</v>
      </c>
      <c r="M147" s="65">
        <f t="shared" si="126"/>
        <v>0.87377383786935325</v>
      </c>
      <c r="N147" s="65">
        <f t="shared" si="126"/>
        <v>0.61041213051025112</v>
      </c>
      <c r="O147" s="65">
        <f t="shared" si="126"/>
        <v>0.33224247172229349</v>
      </c>
      <c r="P147" s="65">
        <f t="shared" si="126"/>
        <v>0.25480858798606665</v>
      </c>
      <c r="Q147" s="65">
        <f t="shared" si="126"/>
        <v>0.21284119503580887</v>
      </c>
      <c r="R147" s="65">
        <f t="shared" si="126"/>
        <v>0.1746572173059027</v>
      </c>
      <c r="S147" s="65">
        <f t="shared" si="126"/>
        <v>0.20625926955284496</v>
      </c>
      <c r="T147" s="65">
        <f t="shared" si="126"/>
        <v>0.26750045220838903</v>
      </c>
      <c r="U147" s="65">
        <f t="shared" si="126"/>
        <v>0.26180473853489378</v>
      </c>
      <c r="V147" s="65">
        <f t="shared" si="126"/>
        <v>0.1954279116114456</v>
      </c>
      <c r="W147" s="65">
        <f t="shared" si="126"/>
        <v>0.20794451690081381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1.0857777511785032</v>
      </c>
      <c r="C148" s="67">
        <f t="shared" ref="C148:W148" si="128">IF(C118=0,0,C118/C$26)</f>
        <v>1.0099396565806771</v>
      </c>
      <c r="D148" s="67">
        <f t="shared" si="128"/>
        <v>1.2406137214065076</v>
      </c>
      <c r="E148" s="67">
        <f t="shared" si="128"/>
        <v>1.1862918830493359</v>
      </c>
      <c r="F148" s="67">
        <f t="shared" si="128"/>
        <v>1.1196697006209124</v>
      </c>
      <c r="G148" s="67">
        <f t="shared" si="128"/>
        <v>1.1587069261849756</v>
      </c>
      <c r="H148" s="67">
        <f t="shared" si="128"/>
        <v>2.0806576726512578</v>
      </c>
      <c r="I148" s="67">
        <f t="shared" si="128"/>
        <v>2.4882065533684123</v>
      </c>
      <c r="J148" s="67">
        <f t="shared" si="128"/>
        <v>3.4640601257075159</v>
      </c>
      <c r="K148" s="67">
        <f t="shared" si="128"/>
        <v>5.2319945137873622</v>
      </c>
      <c r="L148" s="67">
        <f t="shared" si="128"/>
        <v>3.9927185894894848</v>
      </c>
      <c r="M148" s="67">
        <f t="shared" si="128"/>
        <v>4.5343989420366757</v>
      </c>
      <c r="N148" s="67">
        <f t="shared" si="128"/>
        <v>4.1579985237280157</v>
      </c>
      <c r="O148" s="67">
        <f t="shared" si="128"/>
        <v>4.0263295536755654</v>
      </c>
      <c r="P148" s="67">
        <f t="shared" si="128"/>
        <v>3.8942728822520798</v>
      </c>
      <c r="Q148" s="67">
        <f t="shared" si="128"/>
        <v>4.404354977329171</v>
      </c>
      <c r="R148" s="67">
        <f t="shared" si="128"/>
        <v>3.66352218971174</v>
      </c>
      <c r="S148" s="67">
        <f t="shared" si="128"/>
        <v>4.3898941426925493</v>
      </c>
      <c r="T148" s="67">
        <f t="shared" si="128"/>
        <v>5.5622575231794738</v>
      </c>
      <c r="U148" s="67">
        <f t="shared" si="128"/>
        <v>5.7141152373268751</v>
      </c>
      <c r="V148" s="67">
        <f t="shared" si="128"/>
        <v>3.7231939430449925</v>
      </c>
      <c r="W148" s="67">
        <f t="shared" si="128"/>
        <v>3.9938610775190666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6763.2257206007125</v>
      </c>
      <c r="C153" s="82">
        <f t="shared" ref="C153:W153" si="132">IF(C99=0,0,C99/C$23)</f>
        <v>7011.0311584063002</v>
      </c>
      <c r="D153" s="82">
        <f t="shared" si="132"/>
        <v>7419.7651411413281</v>
      </c>
      <c r="E153" s="82">
        <f t="shared" si="132"/>
        <v>8114.7634494138492</v>
      </c>
      <c r="F153" s="82">
        <f t="shared" si="132"/>
        <v>8091.9195269605061</v>
      </c>
      <c r="G153" s="82">
        <f t="shared" si="132"/>
        <v>8716.8756969996448</v>
      </c>
      <c r="H153" s="82">
        <f t="shared" si="132"/>
        <v>7670.7909570727888</v>
      </c>
      <c r="I153" s="82">
        <f t="shared" si="132"/>
        <v>7726.8409407933059</v>
      </c>
      <c r="J153" s="82">
        <f t="shared" si="132"/>
        <v>7289.6248659155808</v>
      </c>
      <c r="K153" s="82">
        <f t="shared" si="132"/>
        <v>6671.0816615139665</v>
      </c>
      <c r="L153" s="82">
        <f t="shared" si="132"/>
        <v>8610.0807727207739</v>
      </c>
      <c r="M153" s="82">
        <f t="shared" si="132"/>
        <v>8050.8962461365754</v>
      </c>
      <c r="N153" s="82">
        <f t="shared" si="132"/>
        <v>8781.2630146116626</v>
      </c>
      <c r="O153" s="82">
        <f t="shared" si="132"/>
        <v>8650.3038050783089</v>
      </c>
      <c r="P153" s="82">
        <f t="shared" si="132"/>
        <v>8501.6784509486388</v>
      </c>
      <c r="Q153" s="82">
        <f t="shared" si="132"/>
        <v>8902.7969967398276</v>
      </c>
      <c r="R153" s="82">
        <f t="shared" si="132"/>
        <v>8232.7886257296159</v>
      </c>
      <c r="S153" s="82">
        <f t="shared" si="132"/>
        <v>7856.1454078829247</v>
      </c>
      <c r="T153" s="82">
        <f t="shared" si="132"/>
        <v>6822.0144881737224</v>
      </c>
      <c r="U153" s="82">
        <f t="shared" si="132"/>
        <v>6569.953576251567</v>
      </c>
      <c r="V153" s="82">
        <f t="shared" si="132"/>
        <v>5471.48023854844</v>
      </c>
      <c r="W153" s="82">
        <f t="shared" si="132"/>
        <v>5609.9899809027511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5174.5930481591013</v>
      </c>
      <c r="C154" s="64">
        <f t="shared" ref="C154:W154" si="134">IF(C100=0,0,C100/C$23)</f>
        <v>5348.2620655701758</v>
      </c>
      <c r="D154" s="64">
        <f t="shared" si="134"/>
        <v>5702.2848427467497</v>
      </c>
      <c r="E154" s="64">
        <f t="shared" si="134"/>
        <v>6332.4024957597176</v>
      </c>
      <c r="F154" s="64">
        <f t="shared" si="134"/>
        <v>6282.7314470527281</v>
      </c>
      <c r="G154" s="64">
        <f t="shared" si="134"/>
        <v>6870.1208718967837</v>
      </c>
      <c r="H154" s="64">
        <f t="shared" si="134"/>
        <v>5783.2472905478462</v>
      </c>
      <c r="I154" s="64">
        <f t="shared" si="134"/>
        <v>5838.891508116254</v>
      </c>
      <c r="J154" s="64">
        <f t="shared" si="134"/>
        <v>5414.4661545531999</v>
      </c>
      <c r="K154" s="64">
        <f t="shared" si="134"/>
        <v>4786.1702140500502</v>
      </c>
      <c r="L154" s="64">
        <f t="shared" si="134"/>
        <v>6690.6956008429497</v>
      </c>
      <c r="M154" s="64">
        <f t="shared" si="134"/>
        <v>6155.5796636679115</v>
      </c>
      <c r="N154" s="64">
        <f t="shared" si="134"/>
        <v>6892.9434139321829</v>
      </c>
      <c r="O154" s="64">
        <f t="shared" si="134"/>
        <v>6795.4851573001633</v>
      </c>
      <c r="P154" s="64">
        <f t="shared" si="134"/>
        <v>6699.3634420194348</v>
      </c>
      <c r="Q154" s="64">
        <f t="shared" si="134"/>
        <v>7108.6756965248242</v>
      </c>
      <c r="R154" s="64">
        <f t="shared" si="134"/>
        <v>6504.128218504452</v>
      </c>
      <c r="S154" s="64">
        <f t="shared" si="134"/>
        <v>6244.8679904253941</v>
      </c>
      <c r="T154" s="64">
        <f t="shared" si="134"/>
        <v>5282.0422953839343</v>
      </c>
      <c r="U154" s="64">
        <f t="shared" si="134"/>
        <v>5093.0447075903203</v>
      </c>
      <c r="V154" s="64">
        <f t="shared" si="134"/>
        <v>4137.3769988274853</v>
      </c>
      <c r="W154" s="64">
        <f t="shared" si="134"/>
        <v>4298.0943598030099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2341.5944881026494</v>
      </c>
      <c r="C155" s="65">
        <f t="shared" ref="C155:W155" si="136">IF(C101=0,0,C101/C$23)</f>
        <v>2452.1731065941322</v>
      </c>
      <c r="D155" s="65">
        <f t="shared" si="136"/>
        <v>2851.3056361630406</v>
      </c>
      <c r="E155" s="65">
        <f t="shared" si="136"/>
        <v>3231.0971945435435</v>
      </c>
      <c r="F155" s="65">
        <f t="shared" si="136"/>
        <v>3459.412935281568</v>
      </c>
      <c r="G155" s="65">
        <f t="shared" si="136"/>
        <v>4038.9510269437878</v>
      </c>
      <c r="H155" s="65">
        <f t="shared" si="136"/>
        <v>2810.6135814706631</v>
      </c>
      <c r="I155" s="65">
        <f t="shared" si="136"/>
        <v>2878.9182870907521</v>
      </c>
      <c r="J155" s="65">
        <f t="shared" si="136"/>
        <v>2538.2284024401756</v>
      </c>
      <c r="K155" s="65">
        <f t="shared" si="136"/>
        <v>1836.9060567058173</v>
      </c>
      <c r="L155" s="65">
        <f t="shared" si="136"/>
        <v>3847.5284274965634</v>
      </c>
      <c r="M155" s="65">
        <f t="shared" si="136"/>
        <v>3309.5910977296198</v>
      </c>
      <c r="N155" s="65">
        <f t="shared" si="136"/>
        <v>3896.108618997921</v>
      </c>
      <c r="O155" s="65">
        <f t="shared" si="136"/>
        <v>4070.2104539075226</v>
      </c>
      <c r="P155" s="65">
        <f t="shared" si="136"/>
        <v>4095.2684487896126</v>
      </c>
      <c r="Q155" s="65">
        <f t="shared" si="136"/>
        <v>4538.2611959049973</v>
      </c>
      <c r="R155" s="65">
        <f t="shared" si="136"/>
        <v>4095.8323078925569</v>
      </c>
      <c r="S155" s="65">
        <f t="shared" si="136"/>
        <v>3947.8079988441796</v>
      </c>
      <c r="T155" s="65">
        <f t="shared" si="136"/>
        <v>3101.2226930986785</v>
      </c>
      <c r="U155" s="65">
        <f t="shared" si="136"/>
        <v>2891.9867008717465</v>
      </c>
      <c r="V155" s="65">
        <f t="shared" si="136"/>
        <v>2194.1258749024933</v>
      </c>
      <c r="W155" s="65">
        <f t="shared" si="136"/>
        <v>2246.3887266844276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451.73484518070728</v>
      </c>
      <c r="C156" s="65">
        <f t="shared" ref="C156:W156" si="138">IF(C102=0,0,C102/C$23)</f>
        <v>519.14233843589693</v>
      </c>
      <c r="D156" s="65">
        <f t="shared" si="138"/>
        <v>404.16238026842558</v>
      </c>
      <c r="E156" s="65">
        <f t="shared" si="138"/>
        <v>609.76818465886413</v>
      </c>
      <c r="F156" s="65">
        <f t="shared" si="138"/>
        <v>311.04180957853453</v>
      </c>
      <c r="G156" s="65">
        <f t="shared" si="138"/>
        <v>307.91673408524923</v>
      </c>
      <c r="H156" s="65">
        <f t="shared" si="138"/>
        <v>415.5384378084853</v>
      </c>
      <c r="I156" s="65">
        <f t="shared" si="138"/>
        <v>418.99506079242667</v>
      </c>
      <c r="J156" s="65">
        <f t="shared" si="138"/>
        <v>348.50027205314473</v>
      </c>
      <c r="K156" s="65">
        <f t="shared" si="138"/>
        <v>375.75843238354952</v>
      </c>
      <c r="L156" s="65">
        <f t="shared" si="138"/>
        <v>304.77410143851728</v>
      </c>
      <c r="M156" s="65">
        <f t="shared" si="138"/>
        <v>322.30165577168844</v>
      </c>
      <c r="N156" s="65">
        <f t="shared" si="138"/>
        <v>552.31885649682215</v>
      </c>
      <c r="O156" s="65">
        <f t="shared" si="138"/>
        <v>374.17150692072528</v>
      </c>
      <c r="P156" s="65">
        <f t="shared" si="138"/>
        <v>364.90921476112192</v>
      </c>
      <c r="Q156" s="65">
        <f t="shared" si="138"/>
        <v>377.75458904624014</v>
      </c>
      <c r="R156" s="65">
        <f t="shared" si="138"/>
        <v>299.69671932522499</v>
      </c>
      <c r="S156" s="65">
        <f t="shared" si="138"/>
        <v>329.74606848112001</v>
      </c>
      <c r="T156" s="65">
        <f t="shared" si="138"/>
        <v>281.42757442503085</v>
      </c>
      <c r="U156" s="65">
        <f t="shared" si="138"/>
        <v>374.82701323998299</v>
      </c>
      <c r="V156" s="65">
        <f t="shared" si="138"/>
        <v>286.26249403589384</v>
      </c>
      <c r="W156" s="65">
        <f t="shared" si="138"/>
        <v>360.76862501550221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1128.8951907178796</v>
      </c>
      <c r="C157" s="65">
        <f t="shared" ref="C157:W157" si="140">IF(C103=0,0,C103/C$23)</f>
        <v>1102.0410443818857</v>
      </c>
      <c r="D157" s="65">
        <f t="shared" si="140"/>
        <v>1130.7529176406654</v>
      </c>
      <c r="E157" s="65">
        <f t="shared" si="140"/>
        <v>1138.1219309768157</v>
      </c>
      <c r="F157" s="65">
        <f t="shared" si="140"/>
        <v>1148.448697181572</v>
      </c>
      <c r="G157" s="65">
        <f t="shared" si="140"/>
        <v>1158.981485667058</v>
      </c>
      <c r="H157" s="65">
        <f t="shared" si="140"/>
        <v>1176.0238050538139</v>
      </c>
      <c r="I157" s="65">
        <f t="shared" si="140"/>
        <v>1165.9799543090421</v>
      </c>
      <c r="J157" s="65">
        <f t="shared" si="140"/>
        <v>1147.6180361383178</v>
      </c>
      <c r="K157" s="65">
        <f t="shared" si="140"/>
        <v>1148.1361562119198</v>
      </c>
      <c r="L157" s="65">
        <f t="shared" si="140"/>
        <v>1143.814366728385</v>
      </c>
      <c r="M157" s="65">
        <f t="shared" si="140"/>
        <v>1133.0755927241198</v>
      </c>
      <c r="N157" s="65">
        <f t="shared" si="140"/>
        <v>1089.3163191091417</v>
      </c>
      <c r="O157" s="65">
        <f t="shared" si="140"/>
        <v>1053.5255690039041</v>
      </c>
      <c r="P157" s="65">
        <f t="shared" si="140"/>
        <v>992.85602674800384</v>
      </c>
      <c r="Q157" s="65">
        <f t="shared" si="140"/>
        <v>959.88588658817525</v>
      </c>
      <c r="R157" s="65">
        <f t="shared" si="140"/>
        <v>923.21891639162993</v>
      </c>
      <c r="S157" s="65">
        <f t="shared" si="140"/>
        <v>851.55264111885538</v>
      </c>
      <c r="T157" s="65">
        <f t="shared" si="140"/>
        <v>803.16777895390339</v>
      </c>
      <c r="U157" s="65">
        <f t="shared" si="140"/>
        <v>765.09248002471497</v>
      </c>
      <c r="V157" s="65">
        <f t="shared" si="140"/>
        <v>717.84396339457544</v>
      </c>
      <c r="W157" s="65">
        <f t="shared" si="140"/>
        <v>723.72655263226909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1252.3685241578664</v>
      </c>
      <c r="C158" s="67">
        <f t="shared" ref="C158:W158" si="142">IF(C104=0,0,C104/C$23)</f>
        <v>1274.9055761582601</v>
      </c>
      <c r="D158" s="67">
        <f t="shared" si="142"/>
        <v>1316.0639086746178</v>
      </c>
      <c r="E158" s="67">
        <f t="shared" si="142"/>
        <v>1353.4151855804935</v>
      </c>
      <c r="F158" s="67">
        <f t="shared" si="142"/>
        <v>1363.8280050110536</v>
      </c>
      <c r="G158" s="67">
        <f t="shared" si="142"/>
        <v>1364.2716252006885</v>
      </c>
      <c r="H158" s="67">
        <f t="shared" si="142"/>
        <v>1381.0714662148835</v>
      </c>
      <c r="I158" s="67">
        <f t="shared" si="142"/>
        <v>1374.9982059240326</v>
      </c>
      <c r="J158" s="67">
        <f t="shared" si="142"/>
        <v>1380.1194439215615</v>
      </c>
      <c r="K158" s="67">
        <f t="shared" si="142"/>
        <v>1425.3695687487632</v>
      </c>
      <c r="L158" s="67">
        <f t="shared" si="142"/>
        <v>1394.5787051794839</v>
      </c>
      <c r="M158" s="67">
        <f t="shared" si="142"/>
        <v>1390.6113174424813</v>
      </c>
      <c r="N158" s="67">
        <f t="shared" si="142"/>
        <v>1355.1996193283001</v>
      </c>
      <c r="O158" s="67">
        <f t="shared" si="142"/>
        <v>1297.5776274680109</v>
      </c>
      <c r="P158" s="67">
        <f t="shared" si="142"/>
        <v>1246.3297517206965</v>
      </c>
      <c r="Q158" s="67">
        <f t="shared" si="142"/>
        <v>1232.7740249854107</v>
      </c>
      <c r="R158" s="67">
        <f t="shared" si="142"/>
        <v>1185.3802748950409</v>
      </c>
      <c r="S158" s="67">
        <f t="shared" si="142"/>
        <v>1115.7612819812384</v>
      </c>
      <c r="T158" s="67">
        <f t="shared" si="142"/>
        <v>1096.2242489063224</v>
      </c>
      <c r="U158" s="67">
        <f t="shared" si="142"/>
        <v>1061.1385134538748</v>
      </c>
      <c r="V158" s="67">
        <f t="shared" si="142"/>
        <v>939.14466649452345</v>
      </c>
      <c r="W158" s="67">
        <f t="shared" si="142"/>
        <v>967.21045547081076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1588.6326724416101</v>
      </c>
      <c r="C159" s="68">
        <f t="shared" ref="C159:W159" si="144">IF(C105=0,0,C105/C$23)</f>
        <v>1662.7690928361251</v>
      </c>
      <c r="D159" s="68">
        <f t="shared" si="144"/>
        <v>1717.4802983945767</v>
      </c>
      <c r="E159" s="68">
        <f t="shared" si="144"/>
        <v>1782.3609536541317</v>
      </c>
      <c r="F159" s="68">
        <f t="shared" si="144"/>
        <v>1809.1880799077776</v>
      </c>
      <c r="G159" s="68">
        <f t="shared" si="144"/>
        <v>1846.754825102862</v>
      </c>
      <c r="H159" s="68">
        <f t="shared" si="144"/>
        <v>1887.5436665249435</v>
      </c>
      <c r="I159" s="68">
        <f t="shared" si="144"/>
        <v>1887.9494326770534</v>
      </c>
      <c r="J159" s="68">
        <f t="shared" si="144"/>
        <v>1875.1587113623818</v>
      </c>
      <c r="K159" s="68">
        <f t="shared" si="144"/>
        <v>1884.9114474639168</v>
      </c>
      <c r="L159" s="68">
        <f t="shared" si="144"/>
        <v>1919.3851718778233</v>
      </c>
      <c r="M159" s="68">
        <f t="shared" si="144"/>
        <v>1895.3165824686648</v>
      </c>
      <c r="N159" s="68">
        <f t="shared" si="144"/>
        <v>1888.3196006794788</v>
      </c>
      <c r="O159" s="68">
        <f t="shared" si="144"/>
        <v>1854.8186477781449</v>
      </c>
      <c r="P159" s="68">
        <f t="shared" si="144"/>
        <v>1802.3150089292046</v>
      </c>
      <c r="Q159" s="68">
        <f t="shared" si="144"/>
        <v>1794.1213002150043</v>
      </c>
      <c r="R159" s="68">
        <f t="shared" si="144"/>
        <v>1728.6604072251646</v>
      </c>
      <c r="S159" s="68">
        <f t="shared" si="144"/>
        <v>1611.2774174575316</v>
      </c>
      <c r="T159" s="68">
        <f t="shared" si="144"/>
        <v>1539.9721927897892</v>
      </c>
      <c r="U159" s="68">
        <f t="shared" si="144"/>
        <v>1476.9088686612472</v>
      </c>
      <c r="V159" s="68">
        <f t="shared" si="144"/>
        <v>1334.1032397209538</v>
      </c>
      <c r="W159" s="68">
        <f t="shared" si="144"/>
        <v>1311.895621099741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3562.602837144806</v>
      </c>
      <c r="C161" s="85">
        <f t="shared" ref="C161:W161" si="146">IF(C107=0,0,C107/C$23)</f>
        <v>3827.1049709260906</v>
      </c>
      <c r="D161" s="85">
        <f t="shared" si="146"/>
        <v>3943.8562110743078</v>
      </c>
      <c r="E161" s="85">
        <f t="shared" si="146"/>
        <v>4680.9133129021984</v>
      </c>
      <c r="F161" s="85">
        <f t="shared" si="146"/>
        <v>4264.5292091233741</v>
      </c>
      <c r="G161" s="85">
        <f t="shared" si="146"/>
        <v>4680.9411641908173</v>
      </c>
      <c r="H161" s="85">
        <f t="shared" si="146"/>
        <v>4304.3311922319372</v>
      </c>
      <c r="I161" s="85">
        <f t="shared" si="146"/>
        <v>4449.719318576188</v>
      </c>
      <c r="J161" s="85">
        <f t="shared" si="146"/>
        <v>4165.8404853957281</v>
      </c>
      <c r="K161" s="85">
        <f t="shared" si="146"/>
        <v>3882.2254934765256</v>
      </c>
      <c r="L161" s="85">
        <f t="shared" si="146"/>
        <v>4966.4805881665552</v>
      </c>
      <c r="M161" s="85">
        <f t="shared" si="146"/>
        <v>4763.6976058655391</v>
      </c>
      <c r="N161" s="85">
        <f t="shared" si="146"/>
        <v>5926.262075847043</v>
      </c>
      <c r="O161" s="85">
        <f t="shared" si="146"/>
        <v>5528.0194111337632</v>
      </c>
      <c r="P161" s="85">
        <f t="shared" si="146"/>
        <v>5562.7318203719051</v>
      </c>
      <c r="Q161" s="85">
        <f t="shared" si="146"/>
        <v>6003.0192532204437</v>
      </c>
      <c r="R161" s="85">
        <f t="shared" si="146"/>
        <v>5493.202527380764</v>
      </c>
      <c r="S161" s="85">
        <f t="shared" si="146"/>
        <v>5492.0721697453728</v>
      </c>
      <c r="T161" s="85">
        <f t="shared" si="146"/>
        <v>4765.0953312353504</v>
      </c>
      <c r="U161" s="85">
        <f t="shared" si="146"/>
        <v>5021.2254851115285</v>
      </c>
      <c r="V161" s="85">
        <f t="shared" si="146"/>
        <v>4193.3381000256613</v>
      </c>
      <c r="W161" s="85">
        <f t="shared" si="146"/>
        <v>4679.4070165719077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1306.4965487446791</v>
      </c>
      <c r="C162" s="65">
        <f t="shared" ref="C162:W162" si="148">IF(C108=0,0,C108/C$23)</f>
        <v>1385.6019322515176</v>
      </c>
      <c r="D162" s="65">
        <f t="shared" si="148"/>
        <v>1628.6307175524312</v>
      </c>
      <c r="E162" s="65">
        <f t="shared" si="148"/>
        <v>1863.4945877402151</v>
      </c>
      <c r="F162" s="65">
        <f t="shared" si="148"/>
        <v>2009.9361528497748</v>
      </c>
      <c r="G162" s="65">
        <f t="shared" si="148"/>
        <v>2380.4642081460311</v>
      </c>
      <c r="H162" s="65">
        <f t="shared" si="148"/>
        <v>1689.2528137703005</v>
      </c>
      <c r="I162" s="65">
        <f t="shared" si="148"/>
        <v>1771.0554898075247</v>
      </c>
      <c r="J162" s="65">
        <f t="shared" si="148"/>
        <v>1618.8203926559859</v>
      </c>
      <c r="K162" s="65">
        <f t="shared" si="148"/>
        <v>1223.5414199405795</v>
      </c>
      <c r="L162" s="65">
        <f t="shared" si="148"/>
        <v>2481.1141823365688</v>
      </c>
      <c r="M162" s="65">
        <f t="shared" si="148"/>
        <v>2204.6252943120007</v>
      </c>
      <c r="N162" s="65">
        <f t="shared" si="148"/>
        <v>2646.9505087314196</v>
      </c>
      <c r="O162" s="65">
        <f t="shared" si="148"/>
        <v>2815.2841845864268</v>
      </c>
      <c r="P162" s="65">
        <f t="shared" si="148"/>
        <v>2895.2613012119946</v>
      </c>
      <c r="Q162" s="65">
        <f t="shared" si="148"/>
        <v>3266.9724563565596</v>
      </c>
      <c r="R162" s="65">
        <f t="shared" si="148"/>
        <v>3021.0617550640727</v>
      </c>
      <c r="S162" s="65">
        <f t="shared" si="148"/>
        <v>2955.2481510134103</v>
      </c>
      <c r="T162" s="65">
        <f t="shared" si="148"/>
        <v>2416.7530055395291</v>
      </c>
      <c r="U162" s="65">
        <f t="shared" si="148"/>
        <v>2300.6248324292742</v>
      </c>
      <c r="V162" s="65">
        <f t="shared" si="148"/>
        <v>1879.2785810743255</v>
      </c>
      <c r="W162" s="65">
        <f t="shared" si="148"/>
        <v>1983.8094365985337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789.1851314488473</v>
      </c>
      <c r="C163" s="65">
        <f t="shared" ref="C163:W163" si="150">IF(C109=0,0,C109/C$23)</f>
        <v>966.13275449596824</v>
      </c>
      <c r="D163" s="65">
        <f t="shared" si="150"/>
        <v>793.97184719217614</v>
      </c>
      <c r="E163" s="65">
        <f t="shared" si="150"/>
        <v>1258.7185684009708</v>
      </c>
      <c r="F163" s="65">
        <f t="shared" si="150"/>
        <v>676.37563576695402</v>
      </c>
      <c r="G163" s="65">
        <f t="shared" si="150"/>
        <v>711.76617653533253</v>
      </c>
      <c r="H163" s="65">
        <f t="shared" si="150"/>
        <v>1022.4003908779388</v>
      </c>
      <c r="I163" s="65">
        <f t="shared" si="150"/>
        <v>1099.1250124718526</v>
      </c>
      <c r="J163" s="65">
        <f t="shared" si="150"/>
        <v>980.58226424614202</v>
      </c>
      <c r="K163" s="65">
        <f t="shared" si="150"/>
        <v>1078.9497210302047</v>
      </c>
      <c r="L163" s="65">
        <f t="shared" si="150"/>
        <v>895.26981759108696</v>
      </c>
      <c r="M163" s="65">
        <f t="shared" si="150"/>
        <v>978.53756744786483</v>
      </c>
      <c r="N163" s="65">
        <f t="shared" si="150"/>
        <v>1731.7695084725071</v>
      </c>
      <c r="O163" s="65">
        <f t="shared" si="150"/>
        <v>1211.7064620312397</v>
      </c>
      <c r="P163" s="65">
        <f t="shared" si="150"/>
        <v>1225.2422707951555</v>
      </c>
      <c r="Q163" s="65">
        <f t="shared" si="150"/>
        <v>1319.1425273036939</v>
      </c>
      <c r="R163" s="65">
        <f t="shared" si="150"/>
        <v>1086.2574400808887</v>
      </c>
      <c r="S163" s="65">
        <f t="shared" si="150"/>
        <v>1239.469148648081</v>
      </c>
      <c r="T163" s="65">
        <f t="shared" si="150"/>
        <v>1094.9358983413804</v>
      </c>
      <c r="U163" s="65">
        <f t="shared" si="150"/>
        <v>1500.5741407780661</v>
      </c>
      <c r="V163" s="65">
        <f t="shared" si="150"/>
        <v>1171.5987592763279</v>
      </c>
      <c r="W163" s="65">
        <f t="shared" si="150"/>
        <v>1512.6456833611273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571.59585818836786</v>
      </c>
      <c r="C164" s="65">
        <f t="shared" ref="C164:W164" si="152">IF(C110=0,0,C110/C$23)</f>
        <v>560.39561278837368</v>
      </c>
      <c r="D164" s="65">
        <f t="shared" si="152"/>
        <v>577.54405350120226</v>
      </c>
      <c r="E164" s="65">
        <f t="shared" si="152"/>
        <v>584.55899425841471</v>
      </c>
      <c r="F164" s="65">
        <f t="shared" si="152"/>
        <v>592.69831787753958</v>
      </c>
      <c r="G164" s="65">
        <f t="shared" si="152"/>
        <v>600.76672552169896</v>
      </c>
      <c r="H164" s="65">
        <f t="shared" si="152"/>
        <v>604.07936513876575</v>
      </c>
      <c r="I164" s="65">
        <f t="shared" si="152"/>
        <v>598.90652402575154</v>
      </c>
      <c r="J164" s="65">
        <f t="shared" si="152"/>
        <v>594.94832253772779</v>
      </c>
      <c r="K164" s="65">
        <f t="shared" si="152"/>
        <v>599.81097939662334</v>
      </c>
      <c r="L164" s="65">
        <f t="shared" si="152"/>
        <v>609.47320047086214</v>
      </c>
      <c r="M164" s="65">
        <f t="shared" si="152"/>
        <v>609.58435429461576</v>
      </c>
      <c r="N164" s="65">
        <f t="shared" si="152"/>
        <v>594.73145704773674</v>
      </c>
      <c r="O164" s="65">
        <f t="shared" si="152"/>
        <v>584.55154680066971</v>
      </c>
      <c r="P164" s="65">
        <f t="shared" si="152"/>
        <v>556.51776616362292</v>
      </c>
      <c r="Q164" s="65">
        <f t="shared" si="152"/>
        <v>544.82118359737797</v>
      </c>
      <c r="R164" s="65">
        <f t="shared" si="152"/>
        <v>532.09980435354964</v>
      </c>
      <c r="S164" s="65">
        <f t="shared" si="152"/>
        <v>499.77038935683652</v>
      </c>
      <c r="T164" s="65">
        <f t="shared" si="152"/>
        <v>479.91713480779839</v>
      </c>
      <c r="U164" s="65">
        <f t="shared" si="152"/>
        <v>466.22427638715862</v>
      </c>
      <c r="V164" s="65">
        <f t="shared" si="152"/>
        <v>446.98850677925861</v>
      </c>
      <c r="W164" s="65">
        <f t="shared" si="152"/>
        <v>460.78921205301003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895.32529876291142</v>
      </c>
      <c r="C165" s="68">
        <f t="shared" ref="C165:W165" si="154">IF(C111=0,0,C111/C$23)</f>
        <v>914.97467139023092</v>
      </c>
      <c r="D165" s="68">
        <f t="shared" si="154"/>
        <v>943.7095928284981</v>
      </c>
      <c r="E165" s="68">
        <f t="shared" si="154"/>
        <v>974.1411625025969</v>
      </c>
      <c r="F165" s="68">
        <f t="shared" si="154"/>
        <v>985.51910262910621</v>
      </c>
      <c r="G165" s="68">
        <f t="shared" si="154"/>
        <v>987.9440539877553</v>
      </c>
      <c r="H165" s="68">
        <f t="shared" si="154"/>
        <v>988.59862244493263</v>
      </c>
      <c r="I165" s="68">
        <f t="shared" si="154"/>
        <v>980.63229227105955</v>
      </c>
      <c r="J165" s="68">
        <f t="shared" si="154"/>
        <v>971.48950595587246</v>
      </c>
      <c r="K165" s="68">
        <f t="shared" si="154"/>
        <v>979.92337310911853</v>
      </c>
      <c r="L165" s="68">
        <f t="shared" si="154"/>
        <v>980.62338776803642</v>
      </c>
      <c r="M165" s="68">
        <f t="shared" si="154"/>
        <v>970.95038981105722</v>
      </c>
      <c r="N165" s="68">
        <f t="shared" si="154"/>
        <v>952.81060159537947</v>
      </c>
      <c r="O165" s="68">
        <f t="shared" si="154"/>
        <v>916.47721771542706</v>
      </c>
      <c r="P165" s="68">
        <f t="shared" si="154"/>
        <v>885.71048220113198</v>
      </c>
      <c r="Q165" s="68">
        <f t="shared" si="154"/>
        <v>872.08308596281233</v>
      </c>
      <c r="R165" s="68">
        <f t="shared" si="154"/>
        <v>853.78352788225288</v>
      </c>
      <c r="S165" s="68">
        <f t="shared" si="154"/>
        <v>797.58448072704596</v>
      </c>
      <c r="T165" s="68">
        <f t="shared" si="154"/>
        <v>773.48929254664256</v>
      </c>
      <c r="U165" s="68">
        <f t="shared" si="154"/>
        <v>753.80223551703045</v>
      </c>
      <c r="V165" s="68">
        <f t="shared" si="154"/>
        <v>695.47225289574953</v>
      </c>
      <c r="W165" s="68">
        <f t="shared" si="154"/>
        <v>722.1626845592366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468.78270978047749</v>
      </c>
      <c r="C167" s="82">
        <f t="shared" ref="C167:W167" si="156">IF(C113=0,0,C113/C$23)</f>
        <v>458.21376345955719</v>
      </c>
      <c r="D167" s="82">
        <f t="shared" si="156"/>
        <v>513.46444450276465</v>
      </c>
      <c r="E167" s="82">
        <f t="shared" si="156"/>
        <v>597.57415535675739</v>
      </c>
      <c r="F167" s="82">
        <f t="shared" si="156"/>
        <v>614.39736851567432</v>
      </c>
      <c r="G167" s="82">
        <f t="shared" si="156"/>
        <v>520.39716117782848</v>
      </c>
      <c r="H167" s="82">
        <f t="shared" si="156"/>
        <v>477.3366950518955</v>
      </c>
      <c r="I167" s="82">
        <f t="shared" si="156"/>
        <v>540.66303358770858</v>
      </c>
      <c r="J167" s="82">
        <f t="shared" si="156"/>
        <v>517.41370795044566</v>
      </c>
      <c r="K167" s="82">
        <f t="shared" si="156"/>
        <v>410.44591881869161</v>
      </c>
      <c r="L167" s="82">
        <f t="shared" si="156"/>
        <v>548.08072539494788</v>
      </c>
      <c r="M167" s="82">
        <f t="shared" si="156"/>
        <v>364.68920981946593</v>
      </c>
      <c r="N167" s="82">
        <f t="shared" si="156"/>
        <v>510.53082383847476</v>
      </c>
      <c r="O167" s="82">
        <f t="shared" si="156"/>
        <v>573.20439021588697</v>
      </c>
      <c r="P167" s="82">
        <f t="shared" si="156"/>
        <v>575.15359601299156</v>
      </c>
      <c r="Q167" s="82">
        <f t="shared" si="156"/>
        <v>661.71371053912844</v>
      </c>
      <c r="R167" s="82">
        <f t="shared" si="156"/>
        <v>575.26695987842959</v>
      </c>
      <c r="S167" s="82">
        <f t="shared" si="156"/>
        <v>483.75992766726984</v>
      </c>
      <c r="T167" s="82">
        <f t="shared" si="156"/>
        <v>324.89357844048283</v>
      </c>
      <c r="U167" s="82">
        <f t="shared" si="156"/>
        <v>304.28387097380039</v>
      </c>
      <c r="V167" s="82">
        <f t="shared" si="156"/>
        <v>231.53797451705702</v>
      </c>
      <c r="W167" s="82">
        <f t="shared" si="156"/>
        <v>243.85849611232055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468.78270978047749</v>
      </c>
      <c r="C168" s="64">
        <f t="shared" ref="C168:W168" si="158">IF(C114=0,0,C114/C$23)</f>
        <v>458.21376345955719</v>
      </c>
      <c r="D168" s="64">
        <f t="shared" si="158"/>
        <v>513.46444450276465</v>
      </c>
      <c r="E168" s="64">
        <f t="shared" si="158"/>
        <v>597.57415535675739</v>
      </c>
      <c r="F168" s="64">
        <f t="shared" si="158"/>
        <v>614.39736851567432</v>
      </c>
      <c r="G168" s="64">
        <f t="shared" si="158"/>
        <v>520.39716117782848</v>
      </c>
      <c r="H168" s="64">
        <f t="shared" si="158"/>
        <v>477.3366950518955</v>
      </c>
      <c r="I168" s="64">
        <f t="shared" si="158"/>
        <v>540.66303358770858</v>
      </c>
      <c r="J168" s="64">
        <f t="shared" si="158"/>
        <v>517.41370795044566</v>
      </c>
      <c r="K168" s="64">
        <f t="shared" si="158"/>
        <v>410.44591881869161</v>
      </c>
      <c r="L168" s="64">
        <f t="shared" si="158"/>
        <v>548.08072539494788</v>
      </c>
      <c r="M168" s="64">
        <f t="shared" si="158"/>
        <v>364.68920981946593</v>
      </c>
      <c r="N168" s="64">
        <f t="shared" si="158"/>
        <v>510.53082383847476</v>
      </c>
      <c r="O168" s="64">
        <f t="shared" si="158"/>
        <v>573.20439021588697</v>
      </c>
      <c r="P168" s="64">
        <f t="shared" si="158"/>
        <v>575.15359601299156</v>
      </c>
      <c r="Q168" s="64">
        <f t="shared" si="158"/>
        <v>661.71371053912844</v>
      </c>
      <c r="R168" s="64">
        <f t="shared" si="158"/>
        <v>575.26695987842959</v>
      </c>
      <c r="S168" s="64">
        <f t="shared" si="158"/>
        <v>483.75992766726984</v>
      </c>
      <c r="T168" s="64">
        <f t="shared" si="158"/>
        <v>324.89357844048283</v>
      </c>
      <c r="U168" s="64">
        <f t="shared" si="158"/>
        <v>304.28387097380039</v>
      </c>
      <c r="V168" s="64">
        <f t="shared" si="158"/>
        <v>231.53797451705702</v>
      </c>
      <c r="W168" s="64">
        <f t="shared" si="158"/>
        <v>243.85849611232055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427.44448205484986</v>
      </c>
      <c r="C169" s="65">
        <f t="shared" ref="C169:W169" si="160">IF(C115=0,0,C115/C$23)</f>
        <v>418.15819904428406</v>
      </c>
      <c r="D169" s="65">
        <f t="shared" si="160"/>
        <v>469.12786749374226</v>
      </c>
      <c r="E169" s="65">
        <f t="shared" si="160"/>
        <v>556.91540114499901</v>
      </c>
      <c r="F169" s="65">
        <f t="shared" si="160"/>
        <v>576.78067732363138</v>
      </c>
      <c r="G169" s="65">
        <f t="shared" si="160"/>
        <v>480.14896634237283</v>
      </c>
      <c r="H169" s="65">
        <f t="shared" si="160"/>
        <v>393.22410447356089</v>
      </c>
      <c r="I169" s="65">
        <f t="shared" si="160"/>
        <v>439.0570406776057</v>
      </c>
      <c r="J169" s="65">
        <f t="shared" si="160"/>
        <v>399.40848968730211</v>
      </c>
      <c r="K169" s="65">
        <f t="shared" si="160"/>
        <v>259.72716957054161</v>
      </c>
      <c r="L169" s="65">
        <f t="shared" si="160"/>
        <v>445.78272083115945</v>
      </c>
      <c r="M169" s="65">
        <f t="shared" si="160"/>
        <v>254.18679468168233</v>
      </c>
      <c r="N169" s="65">
        <f t="shared" si="160"/>
        <v>412.89763199296675</v>
      </c>
      <c r="O169" s="65">
        <f t="shared" si="160"/>
        <v>486.5165599214809</v>
      </c>
      <c r="P169" s="65">
        <f t="shared" si="160"/>
        <v>495.72717840165012</v>
      </c>
      <c r="Q169" s="65">
        <f t="shared" si="160"/>
        <v>574.74943711755907</v>
      </c>
      <c r="R169" s="65">
        <f t="shared" si="160"/>
        <v>504.52993787055146</v>
      </c>
      <c r="S169" s="65">
        <f t="shared" si="160"/>
        <v>403.59964650443351</v>
      </c>
      <c r="T169" s="65">
        <f t="shared" si="160"/>
        <v>226.74722031419134</v>
      </c>
      <c r="U169" s="65">
        <f t="shared" si="160"/>
        <v>206.71174397939004</v>
      </c>
      <c r="V169" s="65">
        <f t="shared" si="160"/>
        <v>167.61207546226927</v>
      </c>
      <c r="W169" s="65">
        <f t="shared" si="160"/>
        <v>175.4592707983881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20.274801887314936</v>
      </c>
      <c r="C171" s="65">
        <f t="shared" ref="C171:W171" si="164">IF(C117=0,0,C117/C$23)</f>
        <v>19.991828304050987</v>
      </c>
      <c r="D171" s="65">
        <f t="shared" si="164"/>
        <v>19.571644722799398</v>
      </c>
      <c r="E171" s="65">
        <f t="shared" si="164"/>
        <v>16.823643728527742</v>
      </c>
      <c r="F171" s="65">
        <f t="shared" si="164"/>
        <v>15.404769661612823</v>
      </c>
      <c r="G171" s="65">
        <f t="shared" si="164"/>
        <v>16.694369213079383</v>
      </c>
      <c r="H171" s="65">
        <f t="shared" si="164"/>
        <v>41.472963823153826</v>
      </c>
      <c r="I171" s="65">
        <f t="shared" si="164"/>
        <v>50.472460861508267</v>
      </c>
      <c r="J171" s="65">
        <f t="shared" si="164"/>
        <v>45.509284622113867</v>
      </c>
      <c r="K171" s="65">
        <f t="shared" si="164"/>
        <v>41.709440259252368</v>
      </c>
      <c r="L171" s="65">
        <f t="shared" si="164"/>
        <v>19.891828047992789</v>
      </c>
      <c r="M171" s="65">
        <f t="shared" si="164"/>
        <v>17.853371794540077</v>
      </c>
      <c r="N171" s="65">
        <f t="shared" si="164"/>
        <v>12.498186285604817</v>
      </c>
      <c r="O171" s="65">
        <f t="shared" si="164"/>
        <v>6.6079851009522086</v>
      </c>
      <c r="P171" s="65">
        <f t="shared" si="164"/>
        <v>4.8778346401513186</v>
      </c>
      <c r="Q171" s="65">
        <f t="shared" si="164"/>
        <v>4.008835490086363</v>
      </c>
      <c r="R171" s="65">
        <f t="shared" si="164"/>
        <v>3.2189040985977022</v>
      </c>
      <c r="S171" s="65">
        <f t="shared" si="164"/>
        <v>3.597312699734259</v>
      </c>
      <c r="T171" s="65">
        <f t="shared" si="164"/>
        <v>4.5034794398377649</v>
      </c>
      <c r="U171" s="65">
        <f t="shared" si="164"/>
        <v>4.2746297305263559</v>
      </c>
      <c r="V171" s="65">
        <f t="shared" si="164"/>
        <v>3.1880863766724863</v>
      </c>
      <c r="W171" s="65">
        <f t="shared" si="164"/>
        <v>3.3850313977363644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21.063425838312742</v>
      </c>
      <c r="C172" s="67">
        <f t="shared" ref="C172:W172" si="166">IF(C118=0,0,C118/C$23)</f>
        <v>20.063736111222141</v>
      </c>
      <c r="D172" s="67">
        <f t="shared" si="166"/>
        <v>24.76493228622304</v>
      </c>
      <c r="E172" s="67">
        <f t="shared" si="166"/>
        <v>23.835110483230626</v>
      </c>
      <c r="F172" s="67">
        <f t="shared" si="166"/>
        <v>22.211921530430075</v>
      </c>
      <c r="G172" s="67">
        <f t="shared" si="166"/>
        <v>23.553825622376149</v>
      </c>
      <c r="H172" s="67">
        <f t="shared" si="166"/>
        <v>42.639626755180736</v>
      </c>
      <c r="I172" s="67">
        <f t="shared" si="166"/>
        <v>51.133532048594667</v>
      </c>
      <c r="J172" s="67">
        <f t="shared" si="166"/>
        <v>72.49593364102968</v>
      </c>
      <c r="K172" s="67">
        <f t="shared" si="166"/>
        <v>109.00930898889764</v>
      </c>
      <c r="L172" s="67">
        <f t="shared" si="166"/>
        <v>82.406176515795593</v>
      </c>
      <c r="M172" s="67">
        <f t="shared" si="166"/>
        <v>92.649043343243534</v>
      </c>
      <c r="N172" s="67">
        <f t="shared" si="166"/>
        <v>85.135005559903163</v>
      </c>
      <c r="O172" s="67">
        <f t="shared" si="166"/>
        <v>80.079845193453735</v>
      </c>
      <c r="P172" s="67">
        <f t="shared" si="166"/>
        <v>74.548582971190228</v>
      </c>
      <c r="Q172" s="67">
        <f t="shared" si="166"/>
        <v>82.955437931482948</v>
      </c>
      <c r="R172" s="67">
        <f t="shared" si="166"/>
        <v>67.518117909280406</v>
      </c>
      <c r="S172" s="67">
        <f t="shared" si="166"/>
        <v>76.562968463102109</v>
      </c>
      <c r="T172" s="67">
        <f t="shared" si="166"/>
        <v>93.642878686453741</v>
      </c>
      <c r="U172" s="67">
        <f t="shared" si="166"/>
        <v>93.297497263884026</v>
      </c>
      <c r="V172" s="67">
        <f t="shared" si="166"/>
        <v>60.737812678115304</v>
      </c>
      <c r="W172" s="67">
        <f t="shared" si="166"/>
        <v>65.014193916196106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2210.6560818885187</v>
      </c>
      <c r="C3" s="125">
        <f t="shared" si="0"/>
        <v>2316.0767675022566</v>
      </c>
      <c r="D3" s="125">
        <f t="shared" si="0"/>
        <v>2371.2598397942857</v>
      </c>
      <c r="E3" s="125">
        <f t="shared" si="0"/>
        <v>2403.7493363877511</v>
      </c>
      <c r="F3" s="125">
        <f t="shared" si="0"/>
        <v>2421.3376395772966</v>
      </c>
      <c r="G3" s="125">
        <f t="shared" si="0"/>
        <v>2520.5529065411829</v>
      </c>
      <c r="H3" s="125">
        <f t="shared" si="0"/>
        <v>2597.8158225967409</v>
      </c>
      <c r="I3" s="125">
        <f t="shared" si="0"/>
        <v>2686.0449151457251</v>
      </c>
      <c r="J3" s="125">
        <f t="shared" si="0"/>
        <v>2857.8379515995075</v>
      </c>
      <c r="K3" s="125">
        <f t="shared" si="0"/>
        <v>2882.6565980032897</v>
      </c>
      <c r="L3" s="125">
        <f t="shared" si="0"/>
        <v>2923.874567686571</v>
      </c>
      <c r="M3" s="125">
        <f t="shared" si="0"/>
        <v>2995.8589012000912</v>
      </c>
      <c r="N3" s="125">
        <f t="shared" si="0"/>
        <v>3125.8315881562471</v>
      </c>
      <c r="O3" s="125">
        <f t="shared" si="0"/>
        <v>3204.2074076487024</v>
      </c>
      <c r="P3" s="125">
        <f t="shared" si="0"/>
        <v>3313.149489429255</v>
      </c>
      <c r="Q3" s="125">
        <f t="shared" si="0"/>
        <v>3418.5282662421678</v>
      </c>
      <c r="R3" s="125">
        <f t="shared" si="0"/>
        <v>3527.8804115755702</v>
      </c>
      <c r="S3" s="125">
        <f t="shared" si="0"/>
        <v>3643.5627583906016</v>
      </c>
      <c r="T3" s="125">
        <f t="shared" si="0"/>
        <v>3756.603895826634</v>
      </c>
      <c r="U3" s="125">
        <f t="shared" si="0"/>
        <v>3863.8237926747488</v>
      </c>
      <c r="V3" s="125">
        <f t="shared" si="0"/>
        <v>3969.0411111111089</v>
      </c>
      <c r="W3" s="125">
        <f t="shared" si="0"/>
        <v>4070.899018018793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2210.6560818885187</v>
      </c>
      <c r="C4" s="140">
        <f t="shared" si="1"/>
        <v>2316.0767675022566</v>
      </c>
      <c r="D4" s="140">
        <f t="shared" si="1"/>
        <v>2371.2598397942857</v>
      </c>
      <c r="E4" s="140">
        <f t="shared" si="1"/>
        <v>2403.7493363877511</v>
      </c>
      <c r="F4" s="140">
        <f t="shared" si="1"/>
        <v>2421.3376395772966</v>
      </c>
      <c r="G4" s="140">
        <f t="shared" si="1"/>
        <v>2520.5529065411829</v>
      </c>
      <c r="H4" s="140">
        <f t="shared" si="1"/>
        <v>2597.8158225967409</v>
      </c>
      <c r="I4" s="140">
        <f t="shared" si="1"/>
        <v>2686.0449151457251</v>
      </c>
      <c r="J4" s="140">
        <f t="shared" si="1"/>
        <v>2857.8379515995075</v>
      </c>
      <c r="K4" s="140">
        <f t="shared" si="1"/>
        <v>2882.6565980032897</v>
      </c>
      <c r="L4" s="140">
        <f t="shared" si="1"/>
        <v>2923.874567686571</v>
      </c>
      <c r="M4" s="140">
        <f t="shared" si="1"/>
        <v>2995.8589012000912</v>
      </c>
      <c r="N4" s="140">
        <f t="shared" si="1"/>
        <v>3125.8315881562471</v>
      </c>
      <c r="O4" s="140">
        <f t="shared" si="1"/>
        <v>3204.2074076487024</v>
      </c>
      <c r="P4" s="140">
        <f t="shared" si="1"/>
        <v>3313.149489429255</v>
      </c>
      <c r="Q4" s="140">
        <f t="shared" si="1"/>
        <v>3418.5282662421678</v>
      </c>
      <c r="R4" s="140">
        <f t="shared" ref="R4:W4" si="2">SUM(R5:R14)</f>
        <v>3527.8804115755702</v>
      </c>
      <c r="S4" s="140">
        <f t="shared" si="2"/>
        <v>3643.5627583906016</v>
      </c>
      <c r="T4" s="140">
        <f t="shared" si="2"/>
        <v>3756.603895826634</v>
      </c>
      <c r="U4" s="140">
        <f t="shared" si="2"/>
        <v>3863.8237926747488</v>
      </c>
      <c r="V4" s="140">
        <f t="shared" si="2"/>
        <v>3969.0411111111089</v>
      </c>
      <c r="W4" s="140">
        <f t="shared" si="2"/>
        <v>4070.899018018793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162.466118350355</v>
      </c>
      <c r="C6" s="141">
        <v>154.66939337021455</v>
      </c>
      <c r="D6" s="141">
        <v>150.73846725169676</v>
      </c>
      <c r="E6" s="141">
        <v>144.14348703350106</v>
      </c>
      <c r="F6" s="141">
        <v>145.11190123506441</v>
      </c>
      <c r="G6" s="141">
        <v>147.36074080842437</v>
      </c>
      <c r="H6" s="141">
        <v>150.10895790672737</v>
      </c>
      <c r="I6" s="141">
        <v>148.41840857049226</v>
      </c>
      <c r="J6" s="141">
        <v>147.42769268698979</v>
      </c>
      <c r="K6" s="141">
        <v>150.71744142454307</v>
      </c>
      <c r="L6" s="141">
        <v>157.91494564551141</v>
      </c>
      <c r="M6" s="141">
        <v>163.77016910008842</v>
      </c>
      <c r="N6" s="141">
        <v>159.95612976511066</v>
      </c>
      <c r="O6" s="141">
        <v>143.82648657638279</v>
      </c>
      <c r="P6" s="141">
        <v>140.82215189782323</v>
      </c>
      <c r="Q6" s="141">
        <v>141.39139324664691</v>
      </c>
      <c r="R6" s="141">
        <v>144.87377948261437</v>
      </c>
      <c r="S6" s="141">
        <v>157.34255019871549</v>
      </c>
      <c r="T6" s="141">
        <v>182.04095718872819</v>
      </c>
      <c r="U6" s="141">
        <v>203.56319500387451</v>
      </c>
      <c r="V6" s="141">
        <v>213.26223409203578</v>
      </c>
      <c r="W6" s="141">
        <v>220.23793096887377</v>
      </c>
      <c r="DA6" s="171" t="s">
        <v>247</v>
      </c>
    </row>
    <row r="7" spans="1:105" ht="12" customHeight="1" x14ac:dyDescent="0.25">
      <c r="A7" s="132" t="s">
        <v>168</v>
      </c>
      <c r="B7" s="141">
        <v>1374.1540406704316</v>
      </c>
      <c r="C7" s="141">
        <v>1410.4523040810939</v>
      </c>
      <c r="D7" s="141">
        <v>1426.3010429582885</v>
      </c>
      <c r="E7" s="141">
        <v>1391.9449365254147</v>
      </c>
      <c r="F7" s="141">
        <v>1292.8885398961593</v>
      </c>
      <c r="G7" s="141">
        <v>1199.2556381774123</v>
      </c>
      <c r="H7" s="141">
        <v>1226.0834135063212</v>
      </c>
      <c r="I7" s="141">
        <v>1283.1348292752309</v>
      </c>
      <c r="J7" s="141">
        <v>1392.7020863393968</v>
      </c>
      <c r="K7" s="141">
        <v>1260.9270576596628</v>
      </c>
      <c r="L7" s="141">
        <v>1081.1066261207807</v>
      </c>
      <c r="M7" s="141">
        <v>1058.6759610478155</v>
      </c>
      <c r="N7" s="141">
        <v>1164.2725781305239</v>
      </c>
      <c r="O7" s="141">
        <v>1211.5193135806758</v>
      </c>
      <c r="P7" s="141">
        <v>1332.7760323863724</v>
      </c>
      <c r="Q7" s="141">
        <v>1382.2966732147365</v>
      </c>
      <c r="R7" s="141">
        <v>1319.0273494289072</v>
      </c>
      <c r="S7" s="141">
        <v>1150.9099119815364</v>
      </c>
      <c r="T7" s="141">
        <v>934.35271104674666</v>
      </c>
      <c r="U7" s="141">
        <v>820.76447177730734</v>
      </c>
      <c r="V7" s="141">
        <v>786.58606709274909</v>
      </c>
      <c r="W7" s="141">
        <v>784.74645263574837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0</v>
      </c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56.343759972505694</v>
      </c>
      <c r="N9" s="141">
        <v>67.991494240811875</v>
      </c>
      <c r="O9" s="141">
        <v>67.827017797058872</v>
      </c>
      <c r="P9" s="141">
        <v>61.976127213789631</v>
      </c>
      <c r="Q9" s="141">
        <v>55.05914271476032</v>
      </c>
      <c r="R9" s="141">
        <v>55.593384775245639</v>
      </c>
      <c r="S9" s="141">
        <v>55.28060328974356</v>
      </c>
      <c r="T9" s="141">
        <v>60.494907083075255</v>
      </c>
      <c r="U9" s="141">
        <v>69.147546279863022</v>
      </c>
      <c r="V9" s="141">
        <v>71.359350503529114</v>
      </c>
      <c r="W9" s="141">
        <v>72.946956438729131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7.3908479031870167</v>
      </c>
      <c r="N12" s="141">
        <v>7.4333643020165434</v>
      </c>
      <c r="O12" s="141">
        <v>5.6582286928598311</v>
      </c>
      <c r="P12" s="141">
        <v>4.8357584749744609</v>
      </c>
      <c r="Q12" s="141">
        <v>4.5577460780598091</v>
      </c>
      <c r="R12" s="141">
        <v>3.6157029432622085</v>
      </c>
      <c r="S12" s="141">
        <v>2.1349741537653149</v>
      </c>
      <c r="T12" s="141">
        <v>1.0547398869696367</v>
      </c>
      <c r="U12" s="141">
        <v>0.73919579077957986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8.1963788546709093</v>
      </c>
      <c r="C13" s="141">
        <v>12.402962314242854</v>
      </c>
      <c r="D13" s="141">
        <v>18.772192694968819</v>
      </c>
      <c r="E13" s="141">
        <v>25.53447043467412</v>
      </c>
      <c r="F13" s="141">
        <v>34.757630532376837</v>
      </c>
      <c r="G13" s="141">
        <v>51.847848627674857</v>
      </c>
      <c r="H13" s="141">
        <v>85.850831908651855</v>
      </c>
      <c r="I13" s="141">
        <v>141.95126043441937</v>
      </c>
      <c r="J13" s="141">
        <v>199.5845762874338</v>
      </c>
      <c r="K13" s="141">
        <v>229.02666258083141</v>
      </c>
      <c r="L13" s="141">
        <v>232.33136356725899</v>
      </c>
      <c r="M13" s="141">
        <v>240.99329168837755</v>
      </c>
      <c r="N13" s="141">
        <v>246.7713517123523</v>
      </c>
      <c r="O13" s="141">
        <v>274.44540130144401</v>
      </c>
      <c r="P13" s="141">
        <v>315.014812310087</v>
      </c>
      <c r="Q13" s="141">
        <v>357.88166965654545</v>
      </c>
      <c r="R13" s="141">
        <v>413.7423377915195</v>
      </c>
      <c r="S13" s="141">
        <v>468.47723805861477</v>
      </c>
      <c r="T13" s="141">
        <v>564.21754519049477</v>
      </c>
      <c r="U13" s="141">
        <v>669.39528744410609</v>
      </c>
      <c r="V13" s="141">
        <v>831.53857206777059</v>
      </c>
      <c r="W13" s="141">
        <v>940.50840922633847</v>
      </c>
      <c r="DA13" s="171" t="s">
        <v>254</v>
      </c>
    </row>
    <row r="14" spans="1:105" ht="12" customHeight="1" x14ac:dyDescent="0.25">
      <c r="A14" s="60" t="s">
        <v>76</v>
      </c>
      <c r="B14" s="142">
        <v>665.8395440130613</v>
      </c>
      <c r="C14" s="142">
        <v>738.55210773670547</v>
      </c>
      <c r="D14" s="142">
        <v>775.44813688933175</v>
      </c>
      <c r="E14" s="142">
        <v>842.12644239416113</v>
      </c>
      <c r="F14" s="142">
        <v>948.57956791369588</v>
      </c>
      <c r="G14" s="142">
        <v>1122.0886789276715</v>
      </c>
      <c r="H14" s="142">
        <v>1135.7726192750406</v>
      </c>
      <c r="I14" s="142">
        <v>1112.5404168655823</v>
      </c>
      <c r="J14" s="142">
        <v>1118.1235962856872</v>
      </c>
      <c r="K14" s="142">
        <v>1241.9854363382524</v>
      </c>
      <c r="L14" s="142">
        <v>1452.5216323530199</v>
      </c>
      <c r="M14" s="142">
        <v>1468.6848714881171</v>
      </c>
      <c r="N14" s="142">
        <v>1479.4066700054318</v>
      </c>
      <c r="O14" s="142">
        <v>1500.9309597002812</v>
      </c>
      <c r="P14" s="142">
        <v>1457.7246071462082</v>
      </c>
      <c r="Q14" s="142">
        <v>1477.3416413314189</v>
      </c>
      <c r="R14" s="142">
        <v>1591.0278571540211</v>
      </c>
      <c r="S14" s="142">
        <v>1809.4174807082256</v>
      </c>
      <c r="T14" s="142">
        <v>2014.4430354306194</v>
      </c>
      <c r="U14" s="142">
        <v>2100.2140963788179</v>
      </c>
      <c r="V14" s="142">
        <v>2066.2948873550245</v>
      </c>
      <c r="W14" s="142">
        <v>2052.4592687491031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1536.6201590207866</v>
      </c>
      <c r="C15" s="144">
        <f t="shared" si="3"/>
        <v>1565.1216974513084</v>
      </c>
      <c r="D15" s="144">
        <f t="shared" si="3"/>
        <v>1577.0395102099851</v>
      </c>
      <c r="E15" s="144">
        <f t="shared" si="3"/>
        <v>1536.0884235589158</v>
      </c>
      <c r="F15" s="144">
        <f t="shared" si="3"/>
        <v>1438.0004411312236</v>
      </c>
      <c r="G15" s="144">
        <f t="shared" si="3"/>
        <v>1346.6163789858367</v>
      </c>
      <c r="H15" s="144">
        <f t="shared" si="3"/>
        <v>1376.1923714130485</v>
      </c>
      <c r="I15" s="144">
        <f t="shared" si="3"/>
        <v>1431.5532378457233</v>
      </c>
      <c r="J15" s="144">
        <f t="shared" si="3"/>
        <v>1540.1297790263866</v>
      </c>
      <c r="K15" s="144">
        <f t="shared" si="3"/>
        <v>1411.6444990842058</v>
      </c>
      <c r="L15" s="144">
        <f t="shared" si="3"/>
        <v>1239.021571766292</v>
      </c>
      <c r="M15" s="144">
        <f t="shared" si="3"/>
        <v>1286.1807380235966</v>
      </c>
      <c r="N15" s="144">
        <f t="shared" si="3"/>
        <v>1399.653566438463</v>
      </c>
      <c r="O15" s="144">
        <f t="shared" si="3"/>
        <v>1428.8310466469775</v>
      </c>
      <c r="P15" s="144">
        <f t="shared" si="3"/>
        <v>1540.4100699729597</v>
      </c>
      <c r="Q15" s="144">
        <f t="shared" si="3"/>
        <v>1583.3049552542036</v>
      </c>
      <c r="R15" s="144">
        <f t="shared" ref="R15:W15" si="4">SUM(R5:R12)</f>
        <v>1523.1102166300293</v>
      </c>
      <c r="S15" s="144">
        <f t="shared" si="4"/>
        <v>1365.6680396237609</v>
      </c>
      <c r="T15" s="144">
        <f t="shared" si="4"/>
        <v>1177.9433152055199</v>
      </c>
      <c r="U15" s="144">
        <f t="shared" si="4"/>
        <v>1094.2144088518246</v>
      </c>
      <c r="V15" s="144">
        <f t="shared" si="4"/>
        <v>1071.2076516883139</v>
      </c>
      <c r="W15" s="144">
        <f t="shared" si="4"/>
        <v>1077.9313400433514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1160.592978097324</v>
      </c>
      <c r="C16" s="140">
        <f t="shared" si="5"/>
        <v>1285.501372276995</v>
      </c>
      <c r="D16" s="140">
        <f t="shared" si="5"/>
        <v>1371.7543131352552</v>
      </c>
      <c r="E16" s="140">
        <f t="shared" si="5"/>
        <v>1423.9227854020448</v>
      </c>
      <c r="F16" s="140">
        <f t="shared" si="5"/>
        <v>1474.5109531095673</v>
      </c>
      <c r="G16" s="140">
        <f t="shared" si="5"/>
        <v>1578.0746499024949</v>
      </c>
      <c r="H16" s="140">
        <f t="shared" si="5"/>
        <v>1681.3079557716117</v>
      </c>
      <c r="I16" s="140">
        <f t="shared" si="5"/>
        <v>1774.3331158287911</v>
      </c>
      <c r="J16" s="140">
        <f t="shared" si="5"/>
        <v>1898.9934590479422</v>
      </c>
      <c r="K16" s="140">
        <f t="shared" si="5"/>
        <v>2026.9526442330866</v>
      </c>
      <c r="L16" s="140">
        <f t="shared" si="5"/>
        <v>2083.0690165382748</v>
      </c>
      <c r="M16" s="140">
        <f t="shared" si="5"/>
        <v>2146.7476915208026</v>
      </c>
      <c r="N16" s="140">
        <f t="shared" si="5"/>
        <v>2237.3755496792542</v>
      </c>
      <c r="O16" s="140">
        <f t="shared" si="5"/>
        <v>2306.6285648606126</v>
      </c>
      <c r="P16" s="140">
        <f t="shared" si="5"/>
        <v>2392.3929413352362</v>
      </c>
      <c r="Q16" s="140">
        <f t="shared" si="5"/>
        <v>2478.0799204822888</v>
      </c>
      <c r="R16" s="140">
        <f t="shared" ref="R16:W16" si="6">SUM(R17:R18)</f>
        <v>2548.7188513118226</v>
      </c>
      <c r="S16" s="140">
        <f t="shared" si="6"/>
        <v>2641.8394458729476</v>
      </c>
      <c r="T16" s="140">
        <f t="shared" si="6"/>
        <v>2761.6331886101175</v>
      </c>
      <c r="U16" s="140">
        <f t="shared" si="6"/>
        <v>2891.2276764088274</v>
      </c>
      <c r="V16" s="140">
        <f t="shared" si="6"/>
        <v>2894.7563527064231</v>
      </c>
      <c r="W16" s="140">
        <f t="shared" si="6"/>
        <v>2983.5182183964748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1160.592978097324</v>
      </c>
      <c r="C18" s="141">
        <v>1285.501372276995</v>
      </c>
      <c r="D18" s="141">
        <v>1371.7543131352552</v>
      </c>
      <c r="E18" s="141">
        <v>1423.9227854020448</v>
      </c>
      <c r="F18" s="141">
        <v>1474.5109531095673</v>
      </c>
      <c r="G18" s="141">
        <v>1578.0746499024949</v>
      </c>
      <c r="H18" s="141">
        <v>1681.3079557716117</v>
      </c>
      <c r="I18" s="141">
        <v>1774.3331158287911</v>
      </c>
      <c r="J18" s="141">
        <v>1898.9934590479422</v>
      </c>
      <c r="K18" s="141">
        <v>2026.9526442330866</v>
      </c>
      <c r="L18" s="141">
        <v>2083.0690165382748</v>
      </c>
      <c r="M18" s="141">
        <v>2146.7476915208026</v>
      </c>
      <c r="N18" s="141">
        <v>2237.3755496792542</v>
      </c>
      <c r="O18" s="141">
        <v>2306.6285648606126</v>
      </c>
      <c r="P18" s="141">
        <v>2392.3929413352362</v>
      </c>
      <c r="Q18" s="141">
        <v>2478.0799204822888</v>
      </c>
      <c r="R18" s="141">
        <v>2548.7188513118226</v>
      </c>
      <c r="S18" s="141">
        <v>2641.8394458729476</v>
      </c>
      <c r="T18" s="141">
        <v>2761.6331886101175</v>
      </c>
      <c r="U18" s="141">
        <v>2891.2276764088274</v>
      </c>
      <c r="V18" s="141">
        <v>2894.7563527064231</v>
      </c>
      <c r="W18" s="141">
        <v>2983.5182183964748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2210.6560818885191</v>
      </c>
      <c r="C19" s="140">
        <f t="shared" si="7"/>
        <v>2316.0767675022571</v>
      </c>
      <c r="D19" s="140">
        <f t="shared" si="7"/>
        <v>2371.2598397942857</v>
      </c>
      <c r="E19" s="140">
        <f t="shared" si="7"/>
        <v>2403.7493363877506</v>
      </c>
      <c r="F19" s="140">
        <f t="shared" si="7"/>
        <v>2421.3376395772962</v>
      </c>
      <c r="G19" s="140">
        <f t="shared" si="7"/>
        <v>2520.5529065411833</v>
      </c>
      <c r="H19" s="140">
        <f t="shared" si="7"/>
        <v>2597.8158225967413</v>
      </c>
      <c r="I19" s="140">
        <f t="shared" si="7"/>
        <v>2686.0449151457242</v>
      </c>
      <c r="J19" s="140">
        <f t="shared" si="7"/>
        <v>2857.8379515995066</v>
      </c>
      <c r="K19" s="140">
        <f t="shared" si="7"/>
        <v>2882.6565980032901</v>
      </c>
      <c r="L19" s="140">
        <f t="shared" si="7"/>
        <v>2923.8745676865715</v>
      </c>
      <c r="M19" s="140">
        <f t="shared" si="7"/>
        <v>2995.8589012000898</v>
      </c>
      <c r="N19" s="140">
        <f t="shared" si="7"/>
        <v>3125.8315881562485</v>
      </c>
      <c r="O19" s="140">
        <f t="shared" si="7"/>
        <v>3204.207407648702</v>
      </c>
      <c r="P19" s="140">
        <f t="shared" si="7"/>
        <v>3313.1494894292555</v>
      </c>
      <c r="Q19" s="140">
        <f t="shared" si="7"/>
        <v>3418.5282662421682</v>
      </c>
      <c r="R19" s="140">
        <f t="shared" ref="R19:W19" si="8">SUM(R20:R26)</f>
        <v>3527.8804115755693</v>
      </c>
      <c r="S19" s="140">
        <f t="shared" si="8"/>
        <v>3643.5627583906025</v>
      </c>
      <c r="T19" s="140">
        <f t="shared" si="8"/>
        <v>3756.6038958266331</v>
      </c>
      <c r="U19" s="140">
        <f t="shared" si="8"/>
        <v>3863.8237926747493</v>
      </c>
      <c r="V19" s="140">
        <f t="shared" si="8"/>
        <v>3969.0411111111148</v>
      </c>
      <c r="W19" s="140">
        <f t="shared" si="8"/>
        <v>4070.899018018793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146.88030290381698</v>
      </c>
      <c r="C21" s="141">
        <v>149.39076197112024</v>
      </c>
      <c r="D21" s="141">
        <v>146.35018191765613</v>
      </c>
      <c r="E21" s="141">
        <v>147.24614967003211</v>
      </c>
      <c r="F21" s="141">
        <v>157.88455939552333</v>
      </c>
      <c r="G21" s="141">
        <v>205.02364334325114</v>
      </c>
      <c r="H21" s="141">
        <v>234.2853480944558</v>
      </c>
      <c r="I21" s="141">
        <v>241.7829331169207</v>
      </c>
      <c r="J21" s="141">
        <v>249.12499910447656</v>
      </c>
      <c r="K21" s="141">
        <v>248.2687013200761</v>
      </c>
      <c r="L21" s="141">
        <v>228.33023400135133</v>
      </c>
      <c r="M21" s="141">
        <v>182.03521686304342</v>
      </c>
      <c r="N21" s="141">
        <v>127.25884045116825</v>
      </c>
      <c r="O21" s="141">
        <v>89.766935777198142</v>
      </c>
      <c r="P21" s="141">
        <v>65.519051526566301</v>
      </c>
      <c r="Q21" s="141">
        <v>53.296058674552221</v>
      </c>
      <c r="R21" s="141">
        <v>51.787478370229003</v>
      </c>
      <c r="S21" s="141">
        <v>58.746631919384249</v>
      </c>
      <c r="T21" s="141">
        <v>67.829162565200434</v>
      </c>
      <c r="U21" s="141">
        <v>71.653188633422715</v>
      </c>
      <c r="V21" s="141">
        <v>68.551809936491097</v>
      </c>
      <c r="W21" s="141">
        <v>67.660948198383949</v>
      </c>
      <c r="DA21" s="171" t="s">
        <v>261</v>
      </c>
    </row>
    <row r="22" spans="1:105" ht="12" customHeight="1" x14ac:dyDescent="0.25">
      <c r="A22" s="132" t="s">
        <v>168</v>
      </c>
      <c r="B22" s="141">
        <v>0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262</v>
      </c>
    </row>
    <row r="23" spans="1:105" ht="12" customHeight="1" x14ac:dyDescent="0.25">
      <c r="A23" s="132" t="s">
        <v>153</v>
      </c>
      <c r="B23" s="141">
        <v>0</v>
      </c>
      <c r="C23" s="141">
        <v>0</v>
      </c>
      <c r="D23" s="141">
        <v>0</v>
      </c>
      <c r="E23" s="141">
        <v>0</v>
      </c>
      <c r="F23" s="141">
        <v>0</v>
      </c>
      <c r="G23" s="141">
        <v>0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0.71615562740046879</v>
      </c>
      <c r="N25" s="141">
        <v>0.90739488245631983</v>
      </c>
      <c r="O25" s="141">
        <v>1.0219708500545601</v>
      </c>
      <c r="P25" s="141">
        <v>0.98079840915843386</v>
      </c>
      <c r="Q25" s="141">
        <v>0.90934263514254632</v>
      </c>
      <c r="R25" s="141">
        <v>0.75619479355252739</v>
      </c>
      <c r="S25" s="141">
        <v>0.5573952734765244</v>
      </c>
      <c r="T25" s="141">
        <v>0.40951370023086459</v>
      </c>
      <c r="U25" s="141">
        <v>0.2860315628905537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2063.7757789847019</v>
      </c>
      <c r="C26" s="142">
        <v>2166.6860055311367</v>
      </c>
      <c r="D26" s="142">
        <v>2224.9096578766294</v>
      </c>
      <c r="E26" s="142">
        <v>2256.5031867177186</v>
      </c>
      <c r="F26" s="142">
        <v>2263.4530801817727</v>
      </c>
      <c r="G26" s="142">
        <v>2315.5292631979323</v>
      </c>
      <c r="H26" s="142">
        <v>2363.5304745022854</v>
      </c>
      <c r="I26" s="142">
        <v>2444.2619820288037</v>
      </c>
      <c r="J26" s="142">
        <v>2608.7129524950301</v>
      </c>
      <c r="K26" s="142">
        <v>2634.387896683214</v>
      </c>
      <c r="L26" s="142">
        <v>2695.54433368522</v>
      </c>
      <c r="M26" s="142">
        <v>2813.107528709646</v>
      </c>
      <c r="N26" s="142">
        <v>2997.6653528226238</v>
      </c>
      <c r="O26" s="142">
        <v>3113.4185010214492</v>
      </c>
      <c r="P26" s="142">
        <v>3246.6496394935307</v>
      </c>
      <c r="Q26" s="142">
        <v>3364.3228649324733</v>
      </c>
      <c r="R26" s="142">
        <v>3475.3367384117878</v>
      </c>
      <c r="S26" s="142">
        <v>3584.2587311977418</v>
      </c>
      <c r="T26" s="142">
        <v>3688.3652195612017</v>
      </c>
      <c r="U26" s="142">
        <v>3791.884572478436</v>
      </c>
      <c r="V26" s="142">
        <v>3900.4893011746235</v>
      </c>
      <c r="W26" s="142">
        <v>4003.2380698204088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2210.6560818885191</v>
      </c>
      <c r="C29" s="140">
        <f t="shared" si="9"/>
        <v>2316.0767675022571</v>
      </c>
      <c r="D29" s="140">
        <f t="shared" si="9"/>
        <v>2371.2598397942861</v>
      </c>
      <c r="E29" s="140">
        <f t="shared" si="9"/>
        <v>2403.7493363877502</v>
      </c>
      <c r="F29" s="140">
        <f t="shared" si="9"/>
        <v>2421.3376395772962</v>
      </c>
      <c r="G29" s="140">
        <f t="shared" si="9"/>
        <v>2520.5529065411838</v>
      </c>
      <c r="H29" s="140">
        <f t="shared" si="9"/>
        <v>2597.8158225967418</v>
      </c>
      <c r="I29" s="140">
        <f t="shared" si="9"/>
        <v>2686.0449151457251</v>
      </c>
      <c r="J29" s="140">
        <f t="shared" si="9"/>
        <v>2857.8379515995084</v>
      </c>
      <c r="K29" s="140">
        <f t="shared" si="9"/>
        <v>2882.6565980032892</v>
      </c>
      <c r="L29" s="140">
        <f t="shared" si="9"/>
        <v>2923.8745676865724</v>
      </c>
      <c r="M29" s="140">
        <f t="shared" si="9"/>
        <v>2995.8589012000921</v>
      </c>
      <c r="N29" s="140">
        <f t="shared" si="9"/>
        <v>3125.8315881562467</v>
      </c>
      <c r="O29" s="140">
        <f t="shared" si="9"/>
        <v>3204.2074076487038</v>
      </c>
      <c r="P29" s="140">
        <f t="shared" si="9"/>
        <v>3313.1494894292564</v>
      </c>
      <c r="Q29" s="140">
        <f t="shared" si="9"/>
        <v>3418.5282662421673</v>
      </c>
      <c r="R29" s="140">
        <f t="shared" ref="R29:W29" si="10">SUM(R30:R33)</f>
        <v>3527.8804115755688</v>
      </c>
      <c r="S29" s="140">
        <f t="shared" si="10"/>
        <v>3643.5627583906034</v>
      </c>
      <c r="T29" s="140">
        <f t="shared" si="10"/>
        <v>3756.6038958266317</v>
      </c>
      <c r="U29" s="140">
        <f t="shared" si="10"/>
        <v>3863.8237926747515</v>
      </c>
      <c r="V29" s="140">
        <f t="shared" si="10"/>
        <v>3969.0411111111093</v>
      </c>
      <c r="W29" s="140">
        <f t="shared" si="10"/>
        <v>4070.8990180187911</v>
      </c>
      <c r="DA29" s="170" t="s">
        <v>268</v>
      </c>
    </row>
    <row r="30" spans="1:105" ht="12" customHeight="1" x14ac:dyDescent="0.25">
      <c r="A30" s="132" t="s">
        <v>52</v>
      </c>
      <c r="B30" s="141">
        <v>126.11156838098678</v>
      </c>
      <c r="C30" s="141">
        <v>132.04131467657123</v>
      </c>
      <c r="D30" s="141">
        <v>140.93155939637163</v>
      </c>
      <c r="E30" s="141">
        <v>142.4860639126864</v>
      </c>
      <c r="F30" s="141">
        <v>155.51748358749367</v>
      </c>
      <c r="G30" s="141">
        <v>191.47545057756281</v>
      </c>
      <c r="H30" s="141">
        <v>277.91853523438624</v>
      </c>
      <c r="I30" s="141">
        <v>397.64315573960084</v>
      </c>
      <c r="J30" s="141">
        <v>533.87405003795743</v>
      </c>
      <c r="K30" s="141">
        <v>658.608475875934</v>
      </c>
      <c r="L30" s="141">
        <v>674.62375071356598</v>
      </c>
      <c r="M30" s="141">
        <v>701.50426452085776</v>
      </c>
      <c r="N30" s="141">
        <v>696.53419502727695</v>
      </c>
      <c r="O30" s="141">
        <v>715.39845966574183</v>
      </c>
      <c r="P30" s="141">
        <v>725.11333518758488</v>
      </c>
      <c r="Q30" s="141">
        <v>767.16115016357935</v>
      </c>
      <c r="R30" s="141">
        <v>808.88438623992886</v>
      </c>
      <c r="S30" s="141">
        <v>933.23357584640848</v>
      </c>
      <c r="T30" s="141">
        <v>1048.3221372783246</v>
      </c>
      <c r="U30" s="141">
        <v>1085.6083236877059</v>
      </c>
      <c r="V30" s="141">
        <v>1087.5840773506657</v>
      </c>
      <c r="W30" s="141">
        <v>1093.5498014831974</v>
      </c>
      <c r="DA30" s="171" t="s">
        <v>269</v>
      </c>
    </row>
    <row r="31" spans="1:105" ht="12" customHeight="1" x14ac:dyDescent="0.25">
      <c r="A31" s="132" t="s">
        <v>153</v>
      </c>
      <c r="B31" s="141">
        <v>0</v>
      </c>
      <c r="C31" s="141">
        <v>0</v>
      </c>
      <c r="D31" s="141">
        <v>0</v>
      </c>
      <c r="E31" s="141">
        <v>0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2084.5445135075324</v>
      </c>
      <c r="C33" s="153">
        <v>2184.0354528256858</v>
      </c>
      <c r="D33" s="153">
        <v>2230.3282803979146</v>
      </c>
      <c r="E33" s="153">
        <v>2261.2632724750638</v>
      </c>
      <c r="F33" s="153">
        <v>2265.8201559898025</v>
      </c>
      <c r="G33" s="153">
        <v>2329.0774559636211</v>
      </c>
      <c r="H33" s="153">
        <v>2319.8972873623557</v>
      </c>
      <c r="I33" s="153">
        <v>2288.4017594061243</v>
      </c>
      <c r="J33" s="153">
        <v>2323.9639015615508</v>
      </c>
      <c r="K33" s="153">
        <v>2224.0481221273553</v>
      </c>
      <c r="L33" s="153">
        <v>2249.2508169730063</v>
      </c>
      <c r="M33" s="153">
        <v>2294.3546366792343</v>
      </c>
      <c r="N33" s="153">
        <v>2429.2973931289698</v>
      </c>
      <c r="O33" s="153">
        <v>2488.8089479829619</v>
      </c>
      <c r="P33" s="153">
        <v>2588.0361542416713</v>
      </c>
      <c r="Q33" s="153">
        <v>2651.367116078588</v>
      </c>
      <c r="R33" s="153">
        <v>2718.9960253356398</v>
      </c>
      <c r="S33" s="153">
        <v>2710.3291825441947</v>
      </c>
      <c r="T33" s="153">
        <v>2708.2817585483072</v>
      </c>
      <c r="U33" s="153">
        <v>2778.2154689870454</v>
      </c>
      <c r="V33" s="153">
        <v>2881.4570337604437</v>
      </c>
      <c r="W33" s="153">
        <v>2977.3492165355938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45.632273739406131</v>
      </c>
      <c r="C3" s="126">
        <f t="shared" si="0"/>
        <v>48.251636013106108</v>
      </c>
      <c r="D3" s="126">
        <f t="shared" si="0"/>
        <v>52.419187334724697</v>
      </c>
      <c r="E3" s="126">
        <f t="shared" si="0"/>
        <v>58.626622214630231</v>
      </c>
      <c r="F3" s="126">
        <f t="shared" si="0"/>
        <v>59.343128711166081</v>
      </c>
      <c r="G3" s="126">
        <f t="shared" si="0"/>
        <v>65.922722995283053</v>
      </c>
      <c r="H3" s="126">
        <f t="shared" si="0"/>
        <v>56.732268972071907</v>
      </c>
      <c r="I3" s="126">
        <f t="shared" si="0"/>
        <v>59.059138542536431</v>
      </c>
      <c r="J3" s="126">
        <f t="shared" si="0"/>
        <v>57.217359449233726</v>
      </c>
      <c r="K3" s="126">
        <f t="shared" si="0"/>
        <v>51.244532678719885</v>
      </c>
      <c r="L3" s="126">
        <f t="shared" si="0"/>
        <v>73.350274213884461</v>
      </c>
      <c r="M3" s="126">
        <f t="shared" si="0"/>
        <v>69.844448738652218</v>
      </c>
      <c r="N3" s="126">
        <f t="shared" si="0"/>
        <v>81.434652162606</v>
      </c>
      <c r="O3" s="126">
        <f t="shared" si="0"/>
        <v>84.720786134380205</v>
      </c>
      <c r="P3" s="126">
        <f t="shared" si="0"/>
        <v>89.727249094002431</v>
      </c>
      <c r="Q3" s="126">
        <f t="shared" si="0"/>
        <v>99.845414877672425</v>
      </c>
      <c r="R3" s="126">
        <f t="shared" ref="R3:W3" si="1">SUM(R4,R16,R19,R29)</f>
        <v>96.348341314182903</v>
      </c>
      <c r="S3" s="126">
        <f t="shared" si="1"/>
        <v>100.95959411520055</v>
      </c>
      <c r="T3" s="126">
        <f t="shared" si="1"/>
        <v>91.208730270170832</v>
      </c>
      <c r="U3" s="126">
        <f t="shared" si="1"/>
        <v>93.268844524727953</v>
      </c>
      <c r="V3" s="126">
        <f t="shared" si="1"/>
        <v>77.898662204063172</v>
      </c>
      <c r="W3" s="126">
        <f t="shared" si="1"/>
        <v>83.179028165164539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20.649407532791031</v>
      </c>
      <c r="C4" s="131">
        <f t="shared" si="2"/>
        <v>22.123329547033617</v>
      </c>
      <c r="D4" s="131">
        <f t="shared" si="2"/>
        <v>26.211094046047599</v>
      </c>
      <c r="E4" s="131">
        <f t="shared" si="2"/>
        <v>29.914130488404727</v>
      </c>
      <c r="F4" s="131">
        <f t="shared" si="2"/>
        <v>32.675658479687364</v>
      </c>
      <c r="G4" s="131">
        <f t="shared" si="2"/>
        <v>38.7560356950776</v>
      </c>
      <c r="H4" s="131">
        <f t="shared" si="2"/>
        <v>27.571445188097275</v>
      </c>
      <c r="I4" s="131">
        <f t="shared" si="2"/>
        <v>29.119642612573294</v>
      </c>
      <c r="J4" s="131">
        <f t="shared" si="2"/>
        <v>26.822723186577608</v>
      </c>
      <c r="K4" s="131">
        <f t="shared" si="2"/>
        <v>19.667372500516628</v>
      </c>
      <c r="L4" s="131">
        <f t="shared" si="2"/>
        <v>42.180556707292517</v>
      </c>
      <c r="M4" s="131">
        <f t="shared" si="2"/>
        <v>37.552363611770311</v>
      </c>
      <c r="N4" s="131">
        <f t="shared" si="2"/>
        <v>46.029429102019954</v>
      </c>
      <c r="O4" s="131">
        <f t="shared" si="2"/>
        <v>50.744195801380997</v>
      </c>
      <c r="P4" s="131">
        <f t="shared" si="2"/>
        <v>54.849565244752476</v>
      </c>
      <c r="Q4" s="131">
        <f t="shared" si="2"/>
        <v>63.742473460970039</v>
      </c>
      <c r="R4" s="131">
        <f t="shared" ref="R4:W4" si="3">SUM(R5:R15)</f>
        <v>60.673257953889056</v>
      </c>
      <c r="S4" s="131">
        <f t="shared" si="3"/>
        <v>63.82346173195895</v>
      </c>
      <c r="T4" s="131">
        <f t="shared" si="3"/>
        <v>53.550988103553244</v>
      </c>
      <c r="U4" s="131">
        <f t="shared" si="3"/>
        <v>52.960905206505977</v>
      </c>
      <c r="V4" s="131">
        <f t="shared" si="3"/>
        <v>41.311069890576007</v>
      </c>
      <c r="W4" s="131">
        <f t="shared" si="3"/>
        <v>43.473319923892021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1.5850478790013123</v>
      </c>
      <c r="C6" s="133">
        <v>1.598975224044473</v>
      </c>
      <c r="D6" s="133">
        <v>1.5949921774429827</v>
      </c>
      <c r="E6" s="133">
        <v>1.7320961479808277</v>
      </c>
      <c r="F6" s="133">
        <v>1.8250734009976357</v>
      </c>
      <c r="G6" s="133">
        <v>1.5959022798851665</v>
      </c>
      <c r="H6" s="133">
        <v>1.8611164284741393</v>
      </c>
      <c r="I6" s="133">
        <v>2.0679507094454772</v>
      </c>
      <c r="J6" s="133">
        <v>1.1025650442329207</v>
      </c>
      <c r="K6" s="133">
        <v>0.58693270829912048</v>
      </c>
      <c r="L6" s="133">
        <v>2.7537695855970656</v>
      </c>
      <c r="M6" s="133">
        <v>2.171260129103</v>
      </c>
      <c r="N6" s="133">
        <v>2.6130631583168684</v>
      </c>
      <c r="O6" s="133">
        <v>1.8344893423648132</v>
      </c>
      <c r="P6" s="133">
        <v>1.9091778752965858</v>
      </c>
      <c r="Q6" s="133">
        <v>2.3136956495323866</v>
      </c>
      <c r="R6" s="133">
        <v>1.9793176746125363</v>
      </c>
      <c r="S6" s="133">
        <v>2.3143983179508703</v>
      </c>
      <c r="T6" s="133">
        <v>3.0549097973066717</v>
      </c>
      <c r="U6" s="133">
        <v>3.0802763680685952</v>
      </c>
      <c r="V6" s="133">
        <v>2.3715286167563967</v>
      </c>
      <c r="W6" s="133">
        <v>2.7415379278173653</v>
      </c>
      <c r="DA6" s="157" t="s">
        <v>275</v>
      </c>
    </row>
    <row r="7" spans="1:105" ht="12" customHeight="1" x14ac:dyDescent="0.25">
      <c r="A7" s="132" t="s">
        <v>168</v>
      </c>
      <c r="B7" s="133">
        <v>13.115640484196518</v>
      </c>
      <c r="C7" s="133">
        <v>13.11564048419652</v>
      </c>
      <c r="D7" s="133">
        <v>15.205141035554034</v>
      </c>
      <c r="E7" s="133">
        <v>18.343576117239312</v>
      </c>
      <c r="F7" s="133">
        <v>19.389749805975359</v>
      </c>
      <c r="G7" s="133">
        <v>15.688873510985518</v>
      </c>
      <c r="H7" s="133">
        <v>12.663592293811471</v>
      </c>
      <c r="I7" s="133">
        <v>14.558902448859643</v>
      </c>
      <c r="J7" s="133">
        <v>14.55533777962402</v>
      </c>
      <c r="K7" s="133">
        <v>9.8275665462391739</v>
      </c>
      <c r="L7" s="133">
        <v>15.634959447723769</v>
      </c>
      <c r="M7" s="133">
        <v>8.9569248048355661</v>
      </c>
      <c r="N7" s="133">
        <v>15.930316283493328</v>
      </c>
      <c r="O7" s="133">
        <v>20.919312032051725</v>
      </c>
      <c r="P7" s="133">
        <v>22.977779740071142</v>
      </c>
      <c r="Q7" s="133">
        <v>28.035665261107447</v>
      </c>
      <c r="R7" s="133">
        <v>26.19179521728525</v>
      </c>
      <c r="S7" s="133">
        <v>22.349785038693042</v>
      </c>
      <c r="T7" s="133">
        <v>12.012639724849523</v>
      </c>
      <c r="U7" s="133">
        <v>11.485640584694758</v>
      </c>
      <c r="V7" s="133">
        <v>9.7052450558899324</v>
      </c>
      <c r="W7" s="133">
        <v>10.262596732588136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0.76431642304385194</v>
      </c>
      <c r="N9" s="133">
        <v>1.0509028374892522</v>
      </c>
      <c r="O9" s="133">
        <v>0.76431642304385228</v>
      </c>
      <c r="P9" s="133">
        <v>0.83594153052450526</v>
      </c>
      <c r="Q9" s="133">
        <v>0.74041272570937278</v>
      </c>
      <c r="R9" s="133">
        <v>0.90765262252794543</v>
      </c>
      <c r="S9" s="133">
        <v>0.74041272570937233</v>
      </c>
      <c r="T9" s="133">
        <v>0.63731728288907974</v>
      </c>
      <c r="U9" s="133">
        <v>1.0239036973344795</v>
      </c>
      <c r="V9" s="133">
        <v>0.78374892519346551</v>
      </c>
      <c r="W9" s="133">
        <v>0.59527085124677526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0.11562367124010797</v>
      </c>
      <c r="N12" s="133">
        <v>0.18758717190822868</v>
      </c>
      <c r="O12" s="133">
        <v>1.9992610698341528E-2</v>
      </c>
      <c r="P12" s="133">
        <v>2.0474360109694001E-2</v>
      </c>
      <c r="Q12" s="133">
        <v>0.13979452144308893</v>
      </c>
      <c r="R12" s="133">
        <v>6.8637925713409154E-2</v>
      </c>
      <c r="S12" s="133">
        <v>9.1464612180737377E-3</v>
      </c>
      <c r="T12" s="133">
        <v>8.5872159211079196E-3</v>
      </c>
      <c r="U12" s="133">
        <v>1.9626298582221372E-2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2.7088890555231754E-2</v>
      </c>
      <c r="C13" s="133">
        <v>5.325838080942339E-2</v>
      </c>
      <c r="D13" s="133">
        <v>8.3733409780092416E-2</v>
      </c>
      <c r="E13" s="133">
        <v>0.12796416395160676</v>
      </c>
      <c r="F13" s="133">
        <v>0.14779386100466804</v>
      </c>
      <c r="G13" s="133">
        <v>0.21508977396440948</v>
      </c>
      <c r="H13" s="133">
        <v>0.26423956650956409</v>
      </c>
      <c r="I13" s="133">
        <v>0.39956622924532975</v>
      </c>
      <c r="J13" s="133">
        <v>0.59503896848858728</v>
      </c>
      <c r="K13" s="133">
        <v>0.72058631256994565</v>
      </c>
      <c r="L13" s="133">
        <v>0.75866412918062998</v>
      </c>
      <c r="M13" s="133">
        <v>0.92597806043155961</v>
      </c>
      <c r="N13" s="133">
        <v>1.0917603298552898</v>
      </c>
      <c r="O13" s="133">
        <v>1.2091260518979421</v>
      </c>
      <c r="P13" s="133">
        <v>1.5337515872987857</v>
      </c>
      <c r="Q13" s="133">
        <v>1.86726639799384</v>
      </c>
      <c r="R13" s="133">
        <v>1.9714102873367232</v>
      </c>
      <c r="S13" s="133">
        <v>2.0741262689625071</v>
      </c>
      <c r="T13" s="133">
        <v>2.1341800422094148</v>
      </c>
      <c r="U13" s="133">
        <v>2.1084566840586931</v>
      </c>
      <c r="V13" s="133">
        <v>2.4350041077719475</v>
      </c>
      <c r="W13" s="133">
        <v>2.7619381163802168</v>
      </c>
      <c r="DA13" s="157" t="s">
        <v>282</v>
      </c>
    </row>
    <row r="14" spans="1:105" ht="12" customHeight="1" x14ac:dyDescent="0.25">
      <c r="A14" s="60" t="s">
        <v>76</v>
      </c>
      <c r="B14" s="65">
        <v>5.7598465180560652</v>
      </c>
      <c r="C14" s="65">
        <v>7.1947881555961937</v>
      </c>
      <c r="D14" s="65">
        <v>9.1451912157597786</v>
      </c>
      <c r="E14" s="65">
        <v>9.4951765932150227</v>
      </c>
      <c r="F14" s="65">
        <v>11.087980006661676</v>
      </c>
      <c r="G14" s="65">
        <v>21.07504604725964</v>
      </c>
      <c r="H14" s="65">
        <v>12.630521414439944</v>
      </c>
      <c r="I14" s="65">
        <v>11.918812066834347</v>
      </c>
      <c r="J14" s="65">
        <v>10.40520002090333</v>
      </c>
      <c r="K14" s="65">
        <v>8.4232942370816524</v>
      </c>
      <c r="L14" s="65">
        <v>22.84000346438475</v>
      </c>
      <c r="M14" s="65">
        <v>24.4891537772615</v>
      </c>
      <c r="N14" s="65">
        <v>24.939232472504507</v>
      </c>
      <c r="O14" s="65">
        <v>25.733018239652147</v>
      </c>
      <c r="P14" s="65">
        <v>27.28196575918555</v>
      </c>
      <c r="Q14" s="65">
        <v>30.293205676016076</v>
      </c>
      <c r="R14" s="65">
        <v>29.224112177870861</v>
      </c>
      <c r="S14" s="65">
        <v>36.046305183170645</v>
      </c>
      <c r="T14" s="65">
        <v>35.523478379260567</v>
      </c>
      <c r="U14" s="65">
        <v>35.062935539525469</v>
      </c>
      <c r="V14" s="65">
        <v>25.867086913723139</v>
      </c>
      <c r="W14" s="65">
        <v>26.953622826820414</v>
      </c>
      <c r="DA14" s="109" t="s">
        <v>283</v>
      </c>
    </row>
    <row r="15" spans="1:105" ht="12" customHeight="1" x14ac:dyDescent="0.25">
      <c r="A15" s="134" t="s">
        <v>80</v>
      </c>
      <c r="B15" s="135">
        <v>0.16178376098190522</v>
      </c>
      <c r="C15" s="135">
        <v>0.16066730238700788</v>
      </c>
      <c r="D15" s="135">
        <v>0.18203620751071425</v>
      </c>
      <c r="E15" s="135">
        <v>0.21531746601796173</v>
      </c>
      <c r="F15" s="135">
        <v>0.22506140504802499</v>
      </c>
      <c r="G15" s="135">
        <v>0.18112408298286006</v>
      </c>
      <c r="H15" s="135">
        <v>0.15197548486215839</v>
      </c>
      <c r="I15" s="135">
        <v>0.17441115818849906</v>
      </c>
      <c r="J15" s="135">
        <v>0.16458137332875183</v>
      </c>
      <c r="K15" s="135">
        <v>0.10899269632673809</v>
      </c>
      <c r="L15" s="135">
        <v>0.19316008040629926</v>
      </c>
      <c r="M15" s="135">
        <v>0.12910674585472892</v>
      </c>
      <c r="N15" s="135">
        <v>0.216566848452482</v>
      </c>
      <c r="O15" s="135">
        <v>0.26394110167217261</v>
      </c>
      <c r="P15" s="135">
        <v>0.29047439226621119</v>
      </c>
      <c r="Q15" s="135">
        <v>0.35243322916781883</v>
      </c>
      <c r="R15" s="135">
        <v>0.33033204854233317</v>
      </c>
      <c r="S15" s="135">
        <v>0.28928773625443638</v>
      </c>
      <c r="T15" s="135">
        <v>0.17987566111687942</v>
      </c>
      <c r="U15" s="135">
        <v>0.18006603424176262</v>
      </c>
      <c r="V15" s="135">
        <v>0.14845627124113059</v>
      </c>
      <c r="W15" s="135">
        <v>0.15835346903911332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3.9836346396839355</v>
      </c>
      <c r="C16" s="131">
        <f t="shared" si="4"/>
        <v>4.6836648702125876</v>
      </c>
      <c r="D16" s="131">
        <f t="shared" si="4"/>
        <v>3.7153288741594612</v>
      </c>
      <c r="E16" s="131">
        <f t="shared" si="4"/>
        <v>5.6453532485393989</v>
      </c>
      <c r="F16" s="131">
        <f t="shared" si="4"/>
        <v>2.9379250563115895</v>
      </c>
      <c r="G16" s="131">
        <f t="shared" si="4"/>
        <v>2.9546364533044684</v>
      </c>
      <c r="H16" s="131">
        <f t="shared" si="4"/>
        <v>4.0763324197662589</v>
      </c>
      <c r="I16" s="131">
        <f t="shared" si="4"/>
        <v>4.2380454080335879</v>
      </c>
      <c r="J16" s="131">
        <f t="shared" si="4"/>
        <v>3.6827758757808668</v>
      </c>
      <c r="K16" s="131">
        <f t="shared" si="4"/>
        <v>4.0231676698537919</v>
      </c>
      <c r="L16" s="131">
        <f t="shared" si="4"/>
        <v>3.3412465978857226</v>
      </c>
      <c r="M16" s="131">
        <f t="shared" si="4"/>
        <v>3.6570043285760789</v>
      </c>
      <c r="N16" s="131">
        <f t="shared" si="4"/>
        <v>6.5252086460998076</v>
      </c>
      <c r="O16" s="131">
        <f t="shared" si="4"/>
        <v>4.6648772650699071</v>
      </c>
      <c r="P16" s="131">
        <f t="shared" si="4"/>
        <v>4.887374792088945</v>
      </c>
      <c r="Q16" s="131">
        <f t="shared" si="4"/>
        <v>5.3057792021241053</v>
      </c>
      <c r="R16" s="131">
        <f t="shared" ref="R16:W16" si="5">SUM(R17:R18)</f>
        <v>4.4395314535984323</v>
      </c>
      <c r="S16" s="131">
        <f t="shared" si="5"/>
        <v>5.3309420288753371</v>
      </c>
      <c r="T16" s="131">
        <f t="shared" si="5"/>
        <v>4.8596073811740075</v>
      </c>
      <c r="U16" s="131">
        <f t="shared" si="5"/>
        <v>6.8642009698926545</v>
      </c>
      <c r="V16" s="131">
        <f t="shared" si="5"/>
        <v>5.3897590987996287</v>
      </c>
      <c r="W16" s="131">
        <f t="shared" si="5"/>
        <v>6.981787999332683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3.9836346396839355</v>
      </c>
      <c r="C18" s="133">
        <v>4.6836648702125876</v>
      </c>
      <c r="D18" s="133">
        <v>3.7153288741594612</v>
      </c>
      <c r="E18" s="133">
        <v>5.6453532485393989</v>
      </c>
      <c r="F18" s="133">
        <v>2.9379250563115895</v>
      </c>
      <c r="G18" s="133">
        <v>2.9546364533044684</v>
      </c>
      <c r="H18" s="133">
        <v>4.0763324197662589</v>
      </c>
      <c r="I18" s="133">
        <v>4.2380454080335879</v>
      </c>
      <c r="J18" s="133">
        <v>3.6827758757808668</v>
      </c>
      <c r="K18" s="133">
        <v>4.0231676698537919</v>
      </c>
      <c r="L18" s="133">
        <v>3.3412465978857226</v>
      </c>
      <c r="M18" s="133">
        <v>3.6570043285760789</v>
      </c>
      <c r="N18" s="133">
        <v>6.5252086460998076</v>
      </c>
      <c r="O18" s="133">
        <v>4.6648772650699071</v>
      </c>
      <c r="P18" s="133">
        <v>4.887374792088945</v>
      </c>
      <c r="Q18" s="133">
        <v>5.3057792021241053</v>
      </c>
      <c r="R18" s="133">
        <v>4.4395314535984323</v>
      </c>
      <c r="S18" s="133">
        <v>5.3309420288753371</v>
      </c>
      <c r="T18" s="133">
        <v>4.8596073811740075</v>
      </c>
      <c r="U18" s="133">
        <v>6.8642009698926545</v>
      </c>
      <c r="V18" s="133">
        <v>5.3897590987996287</v>
      </c>
      <c r="W18" s="133">
        <v>6.981787999332683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9.9551894973197665</v>
      </c>
      <c r="C19" s="131">
        <f t="shared" si="6"/>
        <v>9.9425351063736773</v>
      </c>
      <c r="D19" s="131">
        <f t="shared" si="6"/>
        <v>10.394631389641544</v>
      </c>
      <c r="E19" s="131">
        <f t="shared" si="6"/>
        <v>10.536955685656892</v>
      </c>
      <c r="F19" s="131">
        <f t="shared" si="6"/>
        <v>10.847597009257468</v>
      </c>
      <c r="G19" s="131">
        <f t="shared" si="6"/>
        <v>11.121087512277898</v>
      </c>
      <c r="H19" s="131">
        <f t="shared" si="6"/>
        <v>11.536511491548582</v>
      </c>
      <c r="I19" s="131">
        <f t="shared" si="6"/>
        <v>11.793637810128491</v>
      </c>
      <c r="J19" s="131">
        <f t="shared" si="6"/>
        <v>12.127451129956944</v>
      </c>
      <c r="K19" s="131">
        <f t="shared" si="6"/>
        <v>12.292855904686869</v>
      </c>
      <c r="L19" s="131">
        <f t="shared" si="6"/>
        <v>12.539667391046356</v>
      </c>
      <c r="M19" s="131">
        <f t="shared" si="6"/>
        <v>12.856472416422502</v>
      </c>
      <c r="N19" s="131">
        <f t="shared" si="6"/>
        <v>12.869407191477061</v>
      </c>
      <c r="O19" s="131">
        <f t="shared" si="6"/>
        <v>13.134531582751933</v>
      </c>
      <c r="P19" s="131">
        <f t="shared" si="6"/>
        <v>13.297717133502134</v>
      </c>
      <c r="Q19" s="131">
        <f t="shared" si="6"/>
        <v>13.482146137074675</v>
      </c>
      <c r="R19" s="131">
        <f t="shared" ref="R19:W19" si="7">SUM(R20:R27)</f>
        <v>13.676023638516769</v>
      </c>
      <c r="S19" s="131">
        <f t="shared" si="7"/>
        <v>13.766889732000616</v>
      </c>
      <c r="T19" s="131">
        <f t="shared" si="7"/>
        <v>13.86886155310008</v>
      </c>
      <c r="U19" s="131">
        <f t="shared" si="7"/>
        <v>14.011126087331366</v>
      </c>
      <c r="V19" s="131">
        <f t="shared" si="7"/>
        <v>13.515588363242495</v>
      </c>
      <c r="W19" s="131">
        <f t="shared" si="7"/>
        <v>14.00594455726095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0.78708324525771267</v>
      </c>
      <c r="C21" s="133">
        <v>0.79399911201455931</v>
      </c>
      <c r="D21" s="133">
        <v>0.79202126056499367</v>
      </c>
      <c r="E21" s="133">
        <v>0.68566907806473065</v>
      </c>
      <c r="F21" s="133">
        <v>0.64053857931422487</v>
      </c>
      <c r="G21" s="133">
        <v>0.70519449609553353</v>
      </c>
      <c r="H21" s="133">
        <v>1.7909835754024033</v>
      </c>
      <c r="I21" s="133">
        <v>2.2473945434500311</v>
      </c>
      <c r="J21" s="133">
        <v>2.1170948556824936</v>
      </c>
      <c r="K21" s="133">
        <v>1.965902155806448</v>
      </c>
      <c r="L21" s="133">
        <v>0.96000458316094806</v>
      </c>
      <c r="M21" s="133">
        <v>0.89176685583375226</v>
      </c>
      <c r="N21" s="133">
        <v>0.6500094430842065</v>
      </c>
      <c r="O21" s="133">
        <v>0.36266588438968261</v>
      </c>
      <c r="P21" s="133">
        <v>0.28759810997169249</v>
      </c>
      <c r="Q21" s="133">
        <v>0.2478710455127508</v>
      </c>
      <c r="R21" s="133">
        <v>0.20990912882886328</v>
      </c>
      <c r="S21" s="133">
        <v>0.25601809664728309</v>
      </c>
      <c r="T21" s="133">
        <v>0.34233465043456263</v>
      </c>
      <c r="U21" s="133">
        <v>0.3446083131724319</v>
      </c>
      <c r="V21" s="133">
        <v>0.2642427759525463</v>
      </c>
      <c r="W21" s="133">
        <v>0.28838239049711423</v>
      </c>
      <c r="DA21" s="157" t="s">
        <v>288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289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3.8088309095051414E-3</v>
      </c>
      <c r="N25" s="133">
        <v>3.4704377220378642E-3</v>
      </c>
      <c r="O25" s="133">
        <v>3.911086636138256E-3</v>
      </c>
      <c r="P25" s="133">
        <v>3.42933722478578E-3</v>
      </c>
      <c r="Q25" s="133">
        <v>3.5416780410038318E-3</v>
      </c>
      <c r="R25" s="133">
        <v>2.987181767244313E-3</v>
      </c>
      <c r="S25" s="133">
        <v>1.4859227754486139E-3</v>
      </c>
      <c r="T25" s="133">
        <v>1.3869887220563078E-3</v>
      </c>
      <c r="U25" s="133">
        <v>1.4399095003237645E-3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9.1681062520620547</v>
      </c>
      <c r="C26" s="65">
        <v>9.1485359943591185</v>
      </c>
      <c r="D26" s="65">
        <v>9.6026101290765506</v>
      </c>
      <c r="E26" s="65">
        <v>9.8512866075921615</v>
      </c>
      <c r="F26" s="65">
        <v>10.207058429943244</v>
      </c>
      <c r="G26" s="65">
        <v>10.415893016182364</v>
      </c>
      <c r="H26" s="65">
        <v>9.7455279161461785</v>
      </c>
      <c r="I26" s="65">
        <v>9.5462432666784593</v>
      </c>
      <c r="J26" s="65">
        <v>10.01035627427445</v>
      </c>
      <c r="K26" s="65">
        <v>10.32695374888042</v>
      </c>
      <c r="L26" s="65">
        <v>11.579662807885407</v>
      </c>
      <c r="M26" s="65">
        <v>11.960896729679245</v>
      </c>
      <c r="N26" s="65">
        <v>12.215927310670816</v>
      </c>
      <c r="O26" s="65">
        <v>12.767954611726113</v>
      </c>
      <c r="P26" s="65">
        <v>13.006689686305656</v>
      </c>
      <c r="Q26" s="65">
        <v>13.230733413520921</v>
      </c>
      <c r="R26" s="65">
        <v>13.463127327920661</v>
      </c>
      <c r="S26" s="65">
        <v>13.509385712577885</v>
      </c>
      <c r="T26" s="65">
        <v>13.525139913943461</v>
      </c>
      <c r="U26" s="65">
        <v>13.66507786465861</v>
      </c>
      <c r="V26" s="65">
        <v>13.251345587289949</v>
      </c>
      <c r="W26" s="65">
        <v>13.717562166763836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11.044042069611404</v>
      </c>
      <c r="C29" s="131">
        <f t="shared" si="8"/>
        <v>11.50210648948622</v>
      </c>
      <c r="D29" s="131">
        <f t="shared" si="8"/>
        <v>12.098133024876088</v>
      </c>
      <c r="E29" s="131">
        <f t="shared" si="8"/>
        <v>12.530182792029214</v>
      </c>
      <c r="F29" s="131">
        <f t="shared" si="8"/>
        <v>12.881948165909655</v>
      </c>
      <c r="G29" s="131">
        <f t="shared" si="8"/>
        <v>13.090963334623089</v>
      </c>
      <c r="H29" s="131">
        <f t="shared" si="8"/>
        <v>13.547979872659791</v>
      </c>
      <c r="I29" s="131">
        <f t="shared" si="8"/>
        <v>13.907812711801057</v>
      </c>
      <c r="J29" s="131">
        <f t="shared" si="8"/>
        <v>14.584409256918306</v>
      </c>
      <c r="K29" s="131">
        <f t="shared" si="8"/>
        <v>15.261136603662599</v>
      </c>
      <c r="L29" s="131">
        <f t="shared" si="8"/>
        <v>15.288803517659863</v>
      </c>
      <c r="M29" s="131">
        <f t="shared" si="8"/>
        <v>15.778608381883327</v>
      </c>
      <c r="N29" s="131">
        <f t="shared" si="8"/>
        <v>16.010607223009181</v>
      </c>
      <c r="O29" s="131">
        <f t="shared" si="8"/>
        <v>16.177181485177368</v>
      </c>
      <c r="P29" s="131">
        <f t="shared" si="8"/>
        <v>16.692591923658878</v>
      </c>
      <c r="Q29" s="131">
        <f t="shared" si="8"/>
        <v>17.315016077503603</v>
      </c>
      <c r="R29" s="131">
        <f t="shared" ref="R29:W29" si="9">SUM(R30:R33)</f>
        <v>17.559528268178646</v>
      </c>
      <c r="S29" s="131">
        <f t="shared" si="9"/>
        <v>18.038300622365639</v>
      </c>
      <c r="T29" s="131">
        <f t="shared" si="9"/>
        <v>18.929273232343508</v>
      </c>
      <c r="U29" s="131">
        <f t="shared" si="9"/>
        <v>19.43261226099796</v>
      </c>
      <c r="V29" s="131">
        <f t="shared" si="9"/>
        <v>17.682244851445041</v>
      </c>
      <c r="W29" s="131">
        <f t="shared" si="9"/>
        <v>18.717975684678883</v>
      </c>
      <c r="DA29" s="156" t="s">
        <v>216</v>
      </c>
    </row>
    <row r="30" spans="1:105" ht="12" customHeight="1" x14ac:dyDescent="0.25">
      <c r="A30" s="132" t="s">
        <v>52</v>
      </c>
      <c r="B30" s="133">
        <v>0.81769822744541354</v>
      </c>
      <c r="C30" s="133">
        <v>0.79685501564540639</v>
      </c>
      <c r="D30" s="133">
        <v>1.0021821448808508</v>
      </c>
      <c r="E30" s="133">
        <v>0.9714303568432695</v>
      </c>
      <c r="F30" s="133">
        <v>0.92358360257696626</v>
      </c>
      <c r="G30" s="133">
        <v>0.99494793597114806</v>
      </c>
      <c r="H30" s="133">
        <v>1.8413651723917281</v>
      </c>
      <c r="I30" s="133">
        <v>2.2768301555309756</v>
      </c>
      <c r="J30" s="133">
        <v>3.3725155085110701</v>
      </c>
      <c r="K30" s="133">
        <v>5.1379647919563416</v>
      </c>
      <c r="L30" s="133">
        <v>3.9770254873038975</v>
      </c>
      <c r="M30" s="133">
        <v>4.6277726711251601</v>
      </c>
      <c r="N30" s="133">
        <v>4.4277270546608367</v>
      </c>
      <c r="O30" s="133">
        <v>4.3950201816719892</v>
      </c>
      <c r="P30" s="133">
        <v>4.3953994231582039</v>
      </c>
      <c r="Q30" s="133">
        <v>5.1292329610167684</v>
      </c>
      <c r="R30" s="133">
        <v>4.4029486049850837</v>
      </c>
      <c r="S30" s="133">
        <v>5.4489301030286761</v>
      </c>
      <c r="T30" s="133">
        <v>7.1183187508830139</v>
      </c>
      <c r="U30" s="133">
        <v>7.5213749920177833</v>
      </c>
      <c r="V30" s="133">
        <v>5.0342200088387772</v>
      </c>
      <c r="W30" s="133">
        <v>5.5387813153914482</v>
      </c>
      <c r="DA30" s="157" t="s">
        <v>295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10.22634384216599</v>
      </c>
      <c r="C33" s="68">
        <v>10.705251473840814</v>
      </c>
      <c r="D33" s="68">
        <v>11.095950879995238</v>
      </c>
      <c r="E33" s="68">
        <v>11.558752435185944</v>
      </c>
      <c r="F33" s="68">
        <v>11.958364563332688</v>
      </c>
      <c r="G33" s="68">
        <v>12.096015398651941</v>
      </c>
      <c r="H33" s="68">
        <v>11.706614700268062</v>
      </c>
      <c r="I33" s="68">
        <v>11.630982556270082</v>
      </c>
      <c r="J33" s="68">
        <v>11.211893748407237</v>
      </c>
      <c r="K33" s="68">
        <v>10.123171811706259</v>
      </c>
      <c r="L33" s="68">
        <v>11.311778030355965</v>
      </c>
      <c r="M33" s="68">
        <v>11.150835710758166</v>
      </c>
      <c r="N33" s="68">
        <v>11.582880168348344</v>
      </c>
      <c r="O33" s="68">
        <v>11.782161303505378</v>
      </c>
      <c r="P33" s="68">
        <v>12.297192500500675</v>
      </c>
      <c r="Q33" s="68">
        <v>12.185783116486835</v>
      </c>
      <c r="R33" s="68">
        <v>13.156579663193561</v>
      </c>
      <c r="S33" s="68">
        <v>12.589370519336963</v>
      </c>
      <c r="T33" s="68">
        <v>11.810954481460495</v>
      </c>
      <c r="U33" s="68">
        <v>11.911237268980177</v>
      </c>
      <c r="V33" s="68">
        <v>12.648024842606263</v>
      </c>
      <c r="W33" s="68">
        <v>13.179194369287433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31.416899140930902</v>
      </c>
      <c r="C3" s="126">
        <f t="shared" si="0"/>
        <v>34.527866020227968</v>
      </c>
      <c r="D3" s="126">
        <f t="shared" si="0"/>
        <v>36.254544143385779</v>
      </c>
      <c r="E3" s="126">
        <f t="shared" si="0"/>
        <v>43.33681199176943</v>
      </c>
      <c r="F3" s="126">
        <f t="shared" si="0"/>
        <v>40.28033155360361</v>
      </c>
      <c r="G3" s="126">
        <f t="shared" si="0"/>
        <v>44.916296740347235</v>
      </c>
      <c r="H3" s="126">
        <f t="shared" si="0"/>
        <v>42.224456723767155</v>
      </c>
      <c r="I3" s="126">
        <f t="shared" si="0"/>
        <v>45.007959018573288</v>
      </c>
      <c r="J3" s="126">
        <f t="shared" si="0"/>
        <v>44.022510374474216</v>
      </c>
      <c r="K3" s="126">
        <f t="shared" si="0"/>
        <v>41.566183873404739</v>
      </c>
      <c r="L3" s="126">
        <f t="shared" si="0"/>
        <v>54.44765907061354</v>
      </c>
      <c r="M3" s="126">
        <f t="shared" si="0"/>
        <v>54.051421867402212</v>
      </c>
      <c r="N3" s="126">
        <f t="shared" si="0"/>
        <v>70.014079877051984</v>
      </c>
      <c r="O3" s="126">
        <f t="shared" si="0"/>
        <v>68.919015999063134</v>
      </c>
      <c r="P3" s="126">
        <f t="shared" si="0"/>
        <v>74.503888020021748</v>
      </c>
      <c r="Q3" s="126">
        <f t="shared" si="0"/>
        <v>84.315837920340442</v>
      </c>
      <c r="R3" s="126">
        <f t="shared" ref="R3:W3" si="1">SUM(R4,R16,R19,R29)</f>
        <v>81.373080947305127</v>
      </c>
      <c r="S3" s="126">
        <f t="shared" si="1"/>
        <v>88.789287132891189</v>
      </c>
      <c r="T3" s="126">
        <f t="shared" si="1"/>
        <v>82.282244342896604</v>
      </c>
      <c r="U3" s="126">
        <f t="shared" si="1"/>
        <v>91.953620276788754</v>
      </c>
      <c r="V3" s="126">
        <f t="shared" si="1"/>
        <v>78.952299549666293</v>
      </c>
      <c r="W3" s="126">
        <f t="shared" si="1"/>
        <v>90.558395289754031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11.521371361389708</v>
      </c>
      <c r="C4" s="131">
        <f t="shared" si="2"/>
        <v>12.500801059180908</v>
      </c>
      <c r="D4" s="131">
        <f t="shared" si="2"/>
        <v>14.9714546075438</v>
      </c>
      <c r="E4" s="131">
        <f t="shared" si="2"/>
        <v>17.25259777274259</v>
      </c>
      <c r="F4" s="131">
        <f t="shared" si="2"/>
        <v>18.98472039191541</v>
      </c>
      <c r="G4" s="131">
        <f t="shared" si="2"/>
        <v>22.841909992548707</v>
      </c>
      <c r="H4" s="131">
        <f t="shared" si="2"/>
        <v>16.571164983603442</v>
      </c>
      <c r="I4" s="131">
        <f t="shared" si="2"/>
        <v>17.913847413275104</v>
      </c>
      <c r="J4" s="131">
        <f t="shared" si="2"/>
        <v>17.106881019554663</v>
      </c>
      <c r="K4" s="131">
        <f t="shared" si="2"/>
        <v>13.100204437747291</v>
      </c>
      <c r="L4" s="131">
        <f t="shared" si="2"/>
        <v>27.200520915555664</v>
      </c>
      <c r="M4" s="131">
        <f t="shared" si="2"/>
        <v>25.014839669016396</v>
      </c>
      <c r="N4" s="131">
        <f t="shared" si="2"/>
        <v>31.271618091988717</v>
      </c>
      <c r="O4" s="131">
        <f t="shared" si="2"/>
        <v>35.098758041377366</v>
      </c>
      <c r="P4" s="131">
        <f t="shared" si="2"/>
        <v>38.777390451258427</v>
      </c>
      <c r="Q4" s="131">
        <f t="shared" si="2"/>
        <v>45.886496194827515</v>
      </c>
      <c r="R4" s="131">
        <f t="shared" ref="R4:W4" si="3">SUM(R5:R15)</f>
        <v>44.75223724526559</v>
      </c>
      <c r="S4" s="131">
        <f t="shared" si="3"/>
        <v>47.776935284053394</v>
      </c>
      <c r="T4" s="131">
        <f t="shared" si="3"/>
        <v>41.731769774830497</v>
      </c>
      <c r="U4" s="131">
        <f t="shared" si="3"/>
        <v>42.1313049708329</v>
      </c>
      <c r="V4" s="131">
        <f t="shared" si="3"/>
        <v>35.383115296461305</v>
      </c>
      <c r="W4" s="131">
        <f t="shared" si="3"/>
        <v>38.391744616958903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0.88769044389069407</v>
      </c>
      <c r="C6" s="133">
        <v>0.89893287960914625</v>
      </c>
      <c r="D6" s="133">
        <v>0.90354195540449567</v>
      </c>
      <c r="E6" s="133">
        <v>0.98746204896986622</v>
      </c>
      <c r="F6" s="133">
        <v>1.0548129761983931</v>
      </c>
      <c r="G6" s="133">
        <v>0.93648668745034691</v>
      </c>
      <c r="H6" s="133">
        <v>1.1099087651900341</v>
      </c>
      <c r="I6" s="133">
        <v>1.2504785124973048</v>
      </c>
      <c r="J6" s="133">
        <v>0.67707882366562033</v>
      </c>
      <c r="K6" s="133">
        <v>0.36760633028264561</v>
      </c>
      <c r="L6" s="133">
        <v>1.7637817171491881</v>
      </c>
      <c r="M6" s="133">
        <v>1.4223590128429762</v>
      </c>
      <c r="N6" s="133">
        <v>1.74761735443916</v>
      </c>
      <c r="O6" s="133">
        <v>1.2451702180996709</v>
      </c>
      <c r="P6" s="133">
        <v>1.2982972253561369</v>
      </c>
      <c r="Q6" s="133">
        <v>1.5862884942706637</v>
      </c>
      <c r="R6" s="133">
        <v>1.3753917274258578</v>
      </c>
      <c r="S6" s="133">
        <v>1.6462063197266892</v>
      </c>
      <c r="T6" s="133">
        <v>2.2383773658357069</v>
      </c>
      <c r="U6" s="133">
        <v>2.3100174551983836</v>
      </c>
      <c r="V6" s="133">
        <v>1.8095513452563545</v>
      </c>
      <c r="W6" s="133">
        <v>2.1241005463275657</v>
      </c>
      <c r="DA6" s="157" t="s">
        <v>303</v>
      </c>
    </row>
    <row r="7" spans="1:105" ht="12" customHeight="1" x14ac:dyDescent="0.25">
      <c r="A7" s="132" t="s">
        <v>168</v>
      </c>
      <c r="B7" s="133">
        <v>7.2014976052045663</v>
      </c>
      <c r="C7" s="133">
        <v>7.2907965714373582</v>
      </c>
      <c r="D7" s="133">
        <v>8.5463361503758932</v>
      </c>
      <c r="E7" s="133">
        <v>10.391613633442203</v>
      </c>
      <c r="F7" s="133">
        <v>11.021620623711154</v>
      </c>
      <c r="G7" s="133">
        <v>8.9586192384019654</v>
      </c>
      <c r="H7" s="133">
        <v>7.3547245611635441</v>
      </c>
      <c r="I7" s="133">
        <v>8.6240090608070776</v>
      </c>
      <c r="J7" s="133">
        <v>8.8194442509656845</v>
      </c>
      <c r="K7" s="133">
        <v>6.0060679661075183</v>
      </c>
      <c r="L7" s="133">
        <v>9.6535120792852123</v>
      </c>
      <c r="M7" s="133">
        <v>5.6295787776482396</v>
      </c>
      <c r="N7" s="133">
        <v>10.375534798797528</v>
      </c>
      <c r="O7" s="133">
        <v>14.029767803121556</v>
      </c>
      <c r="P7" s="133">
        <v>15.637035665973958</v>
      </c>
      <c r="Q7" s="133">
        <v>19.316703136304607</v>
      </c>
      <c r="R7" s="133">
        <v>18.161339699498193</v>
      </c>
      <c r="S7" s="133">
        <v>15.601144805856309</v>
      </c>
      <c r="T7" s="133">
        <v>8.4236104908796499</v>
      </c>
      <c r="U7" s="133">
        <v>8.0695269494069048</v>
      </c>
      <c r="V7" s="133">
        <v>6.8352205235359591</v>
      </c>
      <c r="W7" s="133">
        <v>7.3430547653955305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0.65509289013365557</v>
      </c>
      <c r="N9" s="133">
        <v>0.90198081363519211</v>
      </c>
      <c r="O9" s="133">
        <v>0.6560072907992146</v>
      </c>
      <c r="P9" s="133">
        <v>0.71748506518144828</v>
      </c>
      <c r="Q9" s="133">
        <v>0.63549309774505824</v>
      </c>
      <c r="R9" s="133">
        <v>0.77931894711551353</v>
      </c>
      <c r="S9" s="133">
        <v>0.63572516675794011</v>
      </c>
      <c r="T9" s="133">
        <v>0.54930277849648812</v>
      </c>
      <c r="U9" s="133">
        <v>0.8871615686543588</v>
      </c>
      <c r="V9" s="133">
        <v>0.67986366247223617</v>
      </c>
      <c r="W9" s="133">
        <v>0.51774823079484233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8.9779899455245893E-2</v>
      </c>
      <c r="N12" s="133">
        <v>0.1456643373927678</v>
      </c>
      <c r="O12" s="133">
        <v>1.5524572038223154E-2</v>
      </c>
      <c r="P12" s="133">
        <v>1.5898657921940861E-2</v>
      </c>
      <c r="Q12" s="133">
        <v>0.10855261233452601</v>
      </c>
      <c r="R12" s="133">
        <v>5.3298413017186581E-2</v>
      </c>
      <c r="S12" s="133">
        <v>7.1023688810475886E-3</v>
      </c>
      <c r="T12" s="133">
        <v>6.6681062411761746E-3</v>
      </c>
      <c r="U12" s="133">
        <v>1.5240125003216715E-2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3.1318482997867485E-2</v>
      </c>
      <c r="C13" s="133">
        <v>6.7765070819119727E-2</v>
      </c>
      <c r="D13" s="133">
        <v>0.11621305021879631</v>
      </c>
      <c r="E13" s="133">
        <v>0.18944165284663939</v>
      </c>
      <c r="F13" s="133">
        <v>0.2331492968795974</v>
      </c>
      <c r="G13" s="133">
        <v>0.36539225287169896</v>
      </c>
      <c r="H13" s="133">
        <v>0.4870034820541092</v>
      </c>
      <c r="I13" s="133">
        <v>0.79107545932283307</v>
      </c>
      <c r="J13" s="133">
        <v>1.2360062055176129</v>
      </c>
      <c r="K13" s="133">
        <v>1.5352819122399906</v>
      </c>
      <c r="L13" s="133">
        <v>1.6299886810772342</v>
      </c>
      <c r="M13" s="133">
        <v>2.0196860372280705</v>
      </c>
      <c r="N13" s="133">
        <v>2.4181386536177913</v>
      </c>
      <c r="O13" s="133">
        <v>2.7868424116449044</v>
      </c>
      <c r="P13" s="133">
        <v>3.7028745914697221</v>
      </c>
      <c r="Q13" s="133">
        <v>4.7289360755513181</v>
      </c>
      <c r="R13" s="133">
        <v>5.2612089093413292</v>
      </c>
      <c r="S13" s="133">
        <v>5.8089500006907997</v>
      </c>
      <c r="T13" s="133">
        <v>6.3164672305155234</v>
      </c>
      <c r="U13" s="133">
        <v>6.5281471397766673</v>
      </c>
      <c r="V13" s="133">
        <v>7.8716335144787415</v>
      </c>
      <c r="W13" s="133">
        <v>9.2015769813845107</v>
      </c>
      <c r="DA13" s="157" t="s">
        <v>310</v>
      </c>
    </row>
    <row r="14" spans="1:105" ht="12" customHeight="1" x14ac:dyDescent="0.25">
      <c r="A14" s="60" t="s">
        <v>76</v>
      </c>
      <c r="B14" s="65">
        <v>3.2390810683146762</v>
      </c>
      <c r="C14" s="65">
        <v>4.0826392349282763</v>
      </c>
      <c r="D14" s="65">
        <v>5.2233272440338991</v>
      </c>
      <c r="E14" s="65">
        <v>5.4687629714659209</v>
      </c>
      <c r="F14" s="65">
        <v>6.4500760900782428</v>
      </c>
      <c r="G14" s="65">
        <v>12.400287730841837</v>
      </c>
      <c r="H14" s="65">
        <v>7.467552690333596</v>
      </c>
      <c r="I14" s="65">
        <v>7.0738732224593903</v>
      </c>
      <c r="J14" s="65">
        <v>6.2097703660769952</v>
      </c>
      <c r="K14" s="65">
        <v>5.0822555327903993</v>
      </c>
      <c r="L14" s="65">
        <v>13.960078357637729</v>
      </c>
      <c r="M14" s="65">
        <v>15.06923630585348</v>
      </c>
      <c r="N14" s="65">
        <v>15.466115285653794</v>
      </c>
      <c r="O14" s="65">
        <v>16.101504644001619</v>
      </c>
      <c r="P14" s="65">
        <v>17.115324853089007</v>
      </c>
      <c r="Q14" s="65">
        <v>19.158089549453518</v>
      </c>
      <c r="R14" s="65">
        <v>18.791347500325177</v>
      </c>
      <c r="S14" s="65">
        <v>23.788518885886173</v>
      </c>
      <c r="T14" s="65">
        <v>24.01746814174507</v>
      </c>
      <c r="U14" s="65">
        <v>24.141145698551604</v>
      </c>
      <c r="V14" s="65">
        <v>18.038389979476882</v>
      </c>
      <c r="W14" s="65">
        <v>19.046910624017343</v>
      </c>
      <c r="DA14" s="109" t="s">
        <v>311</v>
      </c>
    </row>
    <row r="15" spans="1:105" ht="12" customHeight="1" x14ac:dyDescent="0.25">
      <c r="A15" s="134" t="s">
        <v>80</v>
      </c>
      <c r="B15" s="135">
        <v>0.16178376098190522</v>
      </c>
      <c r="C15" s="135">
        <v>0.16066730238700788</v>
      </c>
      <c r="D15" s="135">
        <v>0.18203620751071425</v>
      </c>
      <c r="E15" s="135">
        <v>0.21531746601796173</v>
      </c>
      <c r="F15" s="135">
        <v>0.22506140504802499</v>
      </c>
      <c r="G15" s="135">
        <v>0.18112408298286006</v>
      </c>
      <c r="H15" s="135">
        <v>0.15197548486215839</v>
      </c>
      <c r="I15" s="135">
        <v>0.17441115818849906</v>
      </c>
      <c r="J15" s="135">
        <v>0.16458137332875183</v>
      </c>
      <c r="K15" s="135">
        <v>0.10899269632673809</v>
      </c>
      <c r="L15" s="135">
        <v>0.19316008040629926</v>
      </c>
      <c r="M15" s="135">
        <v>0.12910674585472892</v>
      </c>
      <c r="N15" s="135">
        <v>0.216566848452482</v>
      </c>
      <c r="O15" s="135">
        <v>0.26394110167217261</v>
      </c>
      <c r="P15" s="135">
        <v>0.29047439226621119</v>
      </c>
      <c r="Q15" s="135">
        <v>0.35243322916781883</v>
      </c>
      <c r="R15" s="135">
        <v>0.33033204854233317</v>
      </c>
      <c r="S15" s="135">
        <v>0.28928773625443638</v>
      </c>
      <c r="T15" s="135">
        <v>0.17987566111687942</v>
      </c>
      <c r="U15" s="135">
        <v>0.18006603424176262</v>
      </c>
      <c r="V15" s="135">
        <v>0.14845627124113059</v>
      </c>
      <c r="W15" s="135">
        <v>0.15835346903911332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6.9594481371157579</v>
      </c>
      <c r="C16" s="131">
        <f t="shared" si="4"/>
        <v>8.7163802818082718</v>
      </c>
      <c r="D16" s="131">
        <f t="shared" si="4"/>
        <v>7.298716241683981</v>
      </c>
      <c r="E16" s="131">
        <f t="shared" si="4"/>
        <v>11.653462968217497</v>
      </c>
      <c r="F16" s="131">
        <f t="shared" si="4"/>
        <v>6.388661802382825</v>
      </c>
      <c r="G16" s="131">
        <f t="shared" si="4"/>
        <v>6.8298018867600785</v>
      </c>
      <c r="H16" s="131">
        <f t="shared" si="4"/>
        <v>10.029502640711746</v>
      </c>
      <c r="I16" s="131">
        <f t="shared" si="4"/>
        <v>11.117414375127622</v>
      </c>
      <c r="J16" s="131">
        <f t="shared" si="4"/>
        <v>10.362300969548658</v>
      </c>
      <c r="K16" s="131">
        <f t="shared" si="4"/>
        <v>11.55209108019614</v>
      </c>
      <c r="L16" s="131">
        <f t="shared" si="4"/>
        <v>9.8148668738489722</v>
      </c>
      <c r="M16" s="131">
        <f t="shared" si="4"/>
        <v>11.103002593216871</v>
      </c>
      <c r="N16" s="131">
        <f t="shared" si="4"/>
        <v>20.459481397050279</v>
      </c>
      <c r="O16" s="131">
        <f t="shared" si="4"/>
        <v>15.106607056173825</v>
      </c>
      <c r="P16" s="131">
        <f t="shared" si="4"/>
        <v>16.410158873094193</v>
      </c>
      <c r="Q16" s="131">
        <f t="shared" si="4"/>
        <v>18.528111077821013</v>
      </c>
      <c r="R16" s="131">
        <f t="shared" ref="R16:W16" si="5">SUM(R17:R18)</f>
        <v>16.09118072030401</v>
      </c>
      <c r="S16" s="131">
        <f t="shared" si="5"/>
        <v>20.038262195082719</v>
      </c>
      <c r="T16" s="131">
        <f t="shared" si="5"/>
        <v>18.907026379213626</v>
      </c>
      <c r="U16" s="131">
        <f t="shared" si="5"/>
        <v>27.479989725099944</v>
      </c>
      <c r="V16" s="131">
        <f t="shared" si="5"/>
        <v>22.058897705824371</v>
      </c>
      <c r="W16" s="131">
        <f t="shared" si="5"/>
        <v>29.273530864496038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6.9594481371157579</v>
      </c>
      <c r="C18" s="133">
        <v>8.7163802818082718</v>
      </c>
      <c r="D18" s="133">
        <v>7.298716241683981</v>
      </c>
      <c r="E18" s="133">
        <v>11.653462968217497</v>
      </c>
      <c r="F18" s="133">
        <v>6.388661802382825</v>
      </c>
      <c r="G18" s="133">
        <v>6.8298018867600785</v>
      </c>
      <c r="H18" s="133">
        <v>10.029502640711746</v>
      </c>
      <c r="I18" s="133">
        <v>11.117414375127622</v>
      </c>
      <c r="J18" s="133">
        <v>10.362300969548658</v>
      </c>
      <c r="K18" s="133">
        <v>11.55209108019614</v>
      </c>
      <c r="L18" s="133">
        <v>9.8148668738489722</v>
      </c>
      <c r="M18" s="133">
        <v>11.103002593216871</v>
      </c>
      <c r="N18" s="133">
        <v>20.459481397050279</v>
      </c>
      <c r="O18" s="133">
        <v>15.106607056173825</v>
      </c>
      <c r="P18" s="133">
        <v>16.410158873094193</v>
      </c>
      <c r="Q18" s="133">
        <v>18.528111077821013</v>
      </c>
      <c r="R18" s="133">
        <v>16.09118072030401</v>
      </c>
      <c r="S18" s="133">
        <v>20.038262195082719</v>
      </c>
      <c r="T18" s="133">
        <v>18.907026379213626</v>
      </c>
      <c r="U18" s="133">
        <v>27.479989725099944</v>
      </c>
      <c r="V18" s="133">
        <v>22.058897705824371</v>
      </c>
      <c r="W18" s="133">
        <v>29.273530864496038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5.0406318770210659</v>
      </c>
      <c r="C19" s="131">
        <f t="shared" si="6"/>
        <v>5.0558489468341774</v>
      </c>
      <c r="D19" s="131">
        <f t="shared" si="6"/>
        <v>5.3091683017281213</v>
      </c>
      <c r="E19" s="131">
        <f t="shared" si="6"/>
        <v>5.4119616277551099</v>
      </c>
      <c r="F19" s="131">
        <f t="shared" si="6"/>
        <v>5.59829317250193</v>
      </c>
      <c r="G19" s="131">
        <f t="shared" si="6"/>
        <v>5.7646989288582668</v>
      </c>
      <c r="H19" s="131">
        <f t="shared" si="6"/>
        <v>5.9258737006704099</v>
      </c>
      <c r="I19" s="131">
        <f t="shared" si="6"/>
        <v>6.0578113717816215</v>
      </c>
      <c r="J19" s="131">
        <f t="shared" si="6"/>
        <v>6.2871151195087496</v>
      </c>
      <c r="K19" s="131">
        <f t="shared" si="6"/>
        <v>6.4220518619490612</v>
      </c>
      <c r="L19" s="131">
        <f t="shared" si="6"/>
        <v>6.6816709423933709</v>
      </c>
      <c r="M19" s="131">
        <f t="shared" si="6"/>
        <v>6.9166651252540188</v>
      </c>
      <c r="N19" s="131">
        <f t="shared" si="6"/>
        <v>7.026279838153159</v>
      </c>
      <c r="O19" s="131">
        <f t="shared" si="6"/>
        <v>7.2877308146010815</v>
      </c>
      <c r="P19" s="131">
        <f t="shared" si="6"/>
        <v>7.4536646148501848</v>
      </c>
      <c r="Q19" s="131">
        <f t="shared" si="6"/>
        <v>7.6523250507851834</v>
      </c>
      <c r="R19" s="131">
        <f t="shared" ref="R19:W19" si="7">SUM(R20:R27)</f>
        <v>7.8822144706818218</v>
      </c>
      <c r="S19" s="131">
        <f t="shared" si="7"/>
        <v>8.0796929154662394</v>
      </c>
      <c r="T19" s="131">
        <f t="shared" si="7"/>
        <v>8.2870658833934989</v>
      </c>
      <c r="U19" s="131">
        <f t="shared" si="7"/>
        <v>8.5379575567443684</v>
      </c>
      <c r="V19" s="131">
        <f t="shared" si="7"/>
        <v>8.4159134419135295</v>
      </c>
      <c r="W19" s="131">
        <f t="shared" si="7"/>
        <v>8.9174400650705916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0.33984272350473771</v>
      </c>
      <c r="C21" s="133">
        <v>0.34392377602295077</v>
      </c>
      <c r="D21" s="133">
        <v>0.34383891077415235</v>
      </c>
      <c r="E21" s="133">
        <v>0.29871688474628472</v>
      </c>
      <c r="F21" s="133">
        <v>0.28072113086323125</v>
      </c>
      <c r="G21" s="133">
        <v>0.3126042388232545</v>
      </c>
      <c r="H21" s="133">
        <v>0.79930840000390768</v>
      </c>
      <c r="I21" s="133">
        <v>1.0070891207842902</v>
      </c>
      <c r="J21" s="133">
        <v>0.9529041012945535</v>
      </c>
      <c r="K21" s="133">
        <v>0.88830286483262144</v>
      </c>
      <c r="L21" s="133">
        <v>0.4347763515605183</v>
      </c>
      <c r="M21" s="133">
        <v>0.40488785818617357</v>
      </c>
      <c r="N21" s="133">
        <v>0.29584807903793864</v>
      </c>
      <c r="O21" s="133">
        <v>0.16556769403378668</v>
      </c>
      <c r="P21" s="133">
        <v>0.13129703654541805</v>
      </c>
      <c r="Q21" s="133">
        <v>0.1131604575719984</v>
      </c>
      <c r="R21" s="133">
        <v>9.5846106403105966E-2</v>
      </c>
      <c r="S21" s="133">
        <v>0.12216022917882845</v>
      </c>
      <c r="T21" s="133">
        <v>0.17051629840838223</v>
      </c>
      <c r="U21" s="133">
        <v>0.17677851824997509</v>
      </c>
      <c r="V21" s="133">
        <v>0.14017838608551994</v>
      </c>
      <c r="W21" s="133">
        <v>0.16466632297002098</v>
      </c>
      <c r="DA21" s="157" t="s">
        <v>318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319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2.3916876089590325E-3</v>
      </c>
      <c r="N25" s="133">
        <v>2.182430086408069E-3</v>
      </c>
      <c r="O25" s="133">
        <v>2.4636278006895567E-3</v>
      </c>
      <c r="P25" s="133">
        <v>2.160188346622086E-3</v>
      </c>
      <c r="Q25" s="133">
        <v>2.2309534263262E-3</v>
      </c>
      <c r="R25" s="133">
        <v>1.8816683282718637E-3</v>
      </c>
      <c r="S25" s="133">
        <v>9.360039136148097E-4</v>
      </c>
      <c r="T25" s="133">
        <v>8.7368394470726195E-4</v>
      </c>
      <c r="U25" s="133">
        <v>9.0701949645215425E-4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4.700789153516328</v>
      </c>
      <c r="C26" s="65">
        <v>4.7119251708112264</v>
      </c>
      <c r="D26" s="65">
        <v>4.9653293909539693</v>
      </c>
      <c r="E26" s="65">
        <v>5.113244743008825</v>
      </c>
      <c r="F26" s="65">
        <v>5.3175720416386989</v>
      </c>
      <c r="G26" s="65">
        <v>5.452094690035012</v>
      </c>
      <c r="H26" s="65">
        <v>5.1265653006665017</v>
      </c>
      <c r="I26" s="65">
        <v>5.0507222509973317</v>
      </c>
      <c r="J26" s="65">
        <v>5.3342110182141962</v>
      </c>
      <c r="K26" s="65">
        <v>5.5337489971164402</v>
      </c>
      <c r="L26" s="65">
        <v>6.246894590832853</v>
      </c>
      <c r="M26" s="65">
        <v>6.5093855794588862</v>
      </c>
      <c r="N26" s="65">
        <v>6.7282493290288121</v>
      </c>
      <c r="O26" s="65">
        <v>7.1196994927666051</v>
      </c>
      <c r="P26" s="65">
        <v>7.3202073899581448</v>
      </c>
      <c r="Q26" s="65">
        <v>7.5369336397868585</v>
      </c>
      <c r="R26" s="65">
        <v>7.7844866959504442</v>
      </c>
      <c r="S26" s="65">
        <v>7.9565966823737968</v>
      </c>
      <c r="T26" s="65">
        <v>8.1156759010404098</v>
      </c>
      <c r="U26" s="65">
        <v>8.3602720189979411</v>
      </c>
      <c r="V26" s="65">
        <v>8.2757350558280098</v>
      </c>
      <c r="W26" s="65">
        <v>8.7527737421005707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7.8954477654043682</v>
      </c>
      <c r="C29" s="131">
        <f t="shared" si="8"/>
        <v>8.2548357324046115</v>
      </c>
      <c r="D29" s="131">
        <f t="shared" si="8"/>
        <v>8.6752049924298742</v>
      </c>
      <c r="E29" s="131">
        <f t="shared" si="8"/>
        <v>9.0187896230542322</v>
      </c>
      <c r="F29" s="131">
        <f t="shared" si="8"/>
        <v>9.3086561868034465</v>
      </c>
      <c r="G29" s="131">
        <f t="shared" si="8"/>
        <v>9.4798859321801814</v>
      </c>
      <c r="H29" s="131">
        <f t="shared" si="8"/>
        <v>9.6979153987815589</v>
      </c>
      <c r="I29" s="131">
        <f t="shared" si="8"/>
        <v>9.9188858583889434</v>
      </c>
      <c r="J29" s="131">
        <f t="shared" si="8"/>
        <v>10.266213265862149</v>
      </c>
      <c r="K29" s="131">
        <f t="shared" si="8"/>
        <v>10.491836493512247</v>
      </c>
      <c r="L29" s="131">
        <f t="shared" si="8"/>
        <v>10.750600338815532</v>
      </c>
      <c r="M29" s="131">
        <f t="shared" si="8"/>
        <v>11.016914479914922</v>
      </c>
      <c r="N29" s="131">
        <f t="shared" si="8"/>
        <v>11.256700549859827</v>
      </c>
      <c r="O29" s="131">
        <f t="shared" si="8"/>
        <v>11.42592008691086</v>
      </c>
      <c r="P29" s="131">
        <f t="shared" si="8"/>
        <v>11.862674080818955</v>
      </c>
      <c r="Q29" s="131">
        <f t="shared" si="8"/>
        <v>12.248905596906736</v>
      </c>
      <c r="R29" s="131">
        <f t="shared" ref="R29:W29" si="9">SUM(R30:R33)</f>
        <v>12.647448511053707</v>
      </c>
      <c r="S29" s="131">
        <f t="shared" si="9"/>
        <v>12.894396738288835</v>
      </c>
      <c r="T29" s="131">
        <f t="shared" si="9"/>
        <v>13.356382305458984</v>
      </c>
      <c r="U29" s="131">
        <f t="shared" si="9"/>
        <v>13.80436802411154</v>
      </c>
      <c r="V29" s="131">
        <f t="shared" si="9"/>
        <v>13.094373105467088</v>
      </c>
      <c r="W29" s="131">
        <f t="shared" si="9"/>
        <v>13.97567974322849</v>
      </c>
      <c r="DA29" s="156" t="s">
        <v>325</v>
      </c>
    </row>
    <row r="30" spans="1:105" ht="12" customHeight="1" x14ac:dyDescent="0.25">
      <c r="A30" s="132" t="s">
        <v>52</v>
      </c>
      <c r="B30" s="133">
        <v>0.45369988610523937</v>
      </c>
      <c r="C30" s="133">
        <v>0.44292499031970445</v>
      </c>
      <c r="D30" s="133">
        <v>0.55827570982252961</v>
      </c>
      <c r="E30" s="133">
        <v>0.54207630849600841</v>
      </c>
      <c r="F30" s="133">
        <v>0.51682117970874619</v>
      </c>
      <c r="G30" s="133">
        <v>0.55898609640752461</v>
      </c>
      <c r="H30" s="133">
        <v>1.0394545324931028</v>
      </c>
      <c r="I30" s="133">
        <v>1.2899580663684242</v>
      </c>
      <c r="J30" s="133">
        <v>1.9159159792894203</v>
      </c>
      <c r="K30" s="133">
        <v>2.9248655337479672</v>
      </c>
      <c r="L30" s="133">
        <v>2.265780254630084</v>
      </c>
      <c r="M30" s="133">
        <v>2.6382136483892182</v>
      </c>
      <c r="N30" s="133">
        <v>2.5253546359230441</v>
      </c>
      <c r="O30" s="133">
        <v>2.5087480216387212</v>
      </c>
      <c r="P30" s="133">
        <v>2.5108539927702691</v>
      </c>
      <c r="Q30" s="133">
        <v>2.9327271340815515</v>
      </c>
      <c r="R30" s="133">
        <v>2.5222283681203446</v>
      </c>
      <c r="S30" s="133">
        <v>3.1368615052440743</v>
      </c>
      <c r="T30" s="133">
        <v>4.1243771831769482</v>
      </c>
      <c r="U30" s="133">
        <v>4.3823700141178525</v>
      </c>
      <c r="V30" s="133">
        <v>2.9478059636310561</v>
      </c>
      <c r="W30" s="133">
        <v>3.2589925737117555</v>
      </c>
      <c r="DA30" s="157" t="s">
        <v>326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7.441747879299129</v>
      </c>
      <c r="C33" s="68">
        <v>7.8119107420849065</v>
      </c>
      <c r="D33" s="68">
        <v>8.1169292826073445</v>
      </c>
      <c r="E33" s="68">
        <v>8.4767133145582232</v>
      </c>
      <c r="F33" s="68">
        <v>8.7918350070947007</v>
      </c>
      <c r="G33" s="68">
        <v>8.9208998357726568</v>
      </c>
      <c r="H33" s="68">
        <v>8.6584608662884559</v>
      </c>
      <c r="I33" s="68">
        <v>8.6289277920205194</v>
      </c>
      <c r="J33" s="68">
        <v>8.3502972865727276</v>
      </c>
      <c r="K33" s="68">
        <v>7.56697095976428</v>
      </c>
      <c r="L33" s="68">
        <v>8.4848200841854489</v>
      </c>
      <c r="M33" s="68">
        <v>8.3787008315257037</v>
      </c>
      <c r="N33" s="68">
        <v>8.7313459139367833</v>
      </c>
      <c r="O33" s="68">
        <v>8.9171720652721387</v>
      </c>
      <c r="P33" s="68">
        <v>9.3518200880486866</v>
      </c>
      <c r="Q33" s="68">
        <v>9.3161784628251851</v>
      </c>
      <c r="R33" s="68">
        <v>10.125220142933362</v>
      </c>
      <c r="S33" s="68">
        <v>9.7575352330447611</v>
      </c>
      <c r="T33" s="68">
        <v>9.2320051222820361</v>
      </c>
      <c r="U33" s="68">
        <v>9.421998009993688</v>
      </c>
      <c r="V33" s="68">
        <v>10.146567141836032</v>
      </c>
      <c r="W33" s="68">
        <v>10.716687169516735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0.68847980971416234</v>
      </c>
      <c r="C3" s="127">
        <f>IF(SER_hh_tes!C3=0,"",SER_hh_tes!C3/SER_hh_fec!C3)</f>
        <v>0.71557917768528123</v>
      </c>
      <c r="D3" s="127">
        <f>IF(SER_hh_tes!D3=0,"",SER_hh_tes!D3/SER_hh_fec!D3)</f>
        <v>0.69162735988028623</v>
      </c>
      <c r="E3" s="127">
        <f>IF(SER_hh_tes!E3=0,"",SER_hh_tes!E3/SER_hh_fec!E3)</f>
        <v>0.73920021919589218</v>
      </c>
      <c r="F3" s="127">
        <f>IF(SER_hh_tes!F3=0,"",SER_hh_tes!F3/SER_hh_fec!F3)</f>
        <v>0.67876993391527074</v>
      </c>
      <c r="G3" s="127">
        <f>IF(SER_hh_tes!G3=0,"",SER_hh_tes!G3/SER_hh_fec!G3)</f>
        <v>0.68134771592431209</v>
      </c>
      <c r="H3" s="127">
        <f>IF(SER_hh_tes!H3=0,"",SER_hh_tes!H3/SER_hh_fec!H3)</f>
        <v>0.74427583258750607</v>
      </c>
      <c r="I3" s="127">
        <f>IF(SER_hh_tes!I3=0,"",SER_hh_tes!I3/SER_hh_fec!I3)</f>
        <v>0.76208289062931389</v>
      </c>
      <c r="J3" s="127">
        <f>IF(SER_hh_tes!J3=0,"",SER_hh_tes!J3/SER_hh_fec!J3)</f>
        <v>0.76939080723453024</v>
      </c>
      <c r="K3" s="127">
        <f>IF(SER_hh_tes!K3=0,"",SER_hh_tes!K3/SER_hh_fec!K3)</f>
        <v>0.81113402153564307</v>
      </c>
      <c r="L3" s="127">
        <f>IF(SER_hh_tes!L3=0,"",SER_hh_tes!L3/SER_hh_fec!L3)</f>
        <v>0.74229659880817667</v>
      </c>
      <c r="M3" s="127">
        <f>IF(SER_hh_tes!M3=0,"",SER_hh_tes!M3/SER_hh_fec!M3)</f>
        <v>0.773882861752618</v>
      </c>
      <c r="N3" s="127">
        <f>IF(SER_hh_tes!N3=0,"",SER_hh_tes!N3/SER_hh_fec!N3)</f>
        <v>0.85975783057622945</v>
      </c>
      <c r="O3" s="127">
        <f>IF(SER_hh_tes!O3=0,"",SER_hh_tes!O3/SER_hh_fec!O3)</f>
        <v>0.81348414177539585</v>
      </c>
      <c r="P3" s="127">
        <f>IF(SER_hh_tes!P3=0,"",SER_hh_tes!P3/SER_hh_fec!P3)</f>
        <v>0.83033736988824891</v>
      </c>
      <c r="Q3" s="127">
        <f>IF(SER_hh_tes!Q3=0,"",SER_hh_tes!Q3/SER_hh_fec!Q3)</f>
        <v>0.84446379459328857</v>
      </c>
      <c r="R3" s="127">
        <f>IF(SER_hh_tes!R3=0,"",SER_hh_tes!R3/SER_hh_fec!R3)</f>
        <v>0.84457168475744837</v>
      </c>
      <c r="S3" s="127">
        <f>IF(SER_hh_tes!S3=0,"",SER_hh_tes!S3/SER_hh_fec!S3)</f>
        <v>0.8794536855167786</v>
      </c>
      <c r="T3" s="127">
        <f>IF(SER_hh_tes!T3=0,"",SER_hh_tes!T3/SER_hh_fec!T3)</f>
        <v>0.90213123348134616</v>
      </c>
      <c r="U3" s="127">
        <f>IF(SER_hh_tes!U3=0,"",SER_hh_tes!U3/SER_hh_fec!U3)</f>
        <v>0.98589856822349187</v>
      </c>
      <c r="V3" s="127">
        <f>IF(SER_hh_tes!V3=0,"",SER_hh_tes!V3/SER_hh_fec!V3)</f>
        <v>1.0135257437777687</v>
      </c>
      <c r="W3" s="127">
        <f>IF(SER_hh_tes!W3=0,"",SER_hh_tes!W3/SER_hh_fec!W3)</f>
        <v>1.0887166787995723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0.55795166728604184</v>
      </c>
      <c r="C4" s="136">
        <f>IF(SER_hh_tes!C4=0,"",SER_hh_tes!C4/SER_hh_fec!C4)</f>
        <v>0.56505061919384847</v>
      </c>
      <c r="D4" s="136">
        <f>IF(SER_hh_tes!D4=0,"",SER_hh_tes!D4/SER_hh_fec!D4)</f>
        <v>0.57118770323901691</v>
      </c>
      <c r="E4" s="136">
        <f>IF(SER_hh_tes!E4=0,"",SER_hh_tes!E4/SER_hh_fec!E4)</f>
        <v>0.57673739771343235</v>
      </c>
      <c r="F4" s="136">
        <f>IF(SER_hh_tes!F4=0,"",SER_hh_tes!F4/SER_hh_fec!F4)</f>
        <v>0.58100498276774293</v>
      </c>
      <c r="G4" s="136">
        <f>IF(SER_hh_tes!G4=0,"",SER_hh_tes!G4/SER_hh_fec!G4)</f>
        <v>0.58937684370669152</v>
      </c>
      <c r="H4" s="136">
        <f>IF(SER_hh_tes!H4=0,"",SER_hh_tes!H4/SER_hh_fec!H4)</f>
        <v>0.60102634702504798</v>
      </c>
      <c r="I4" s="136">
        <f>IF(SER_hh_tes!I4=0,"",SER_hh_tes!I4/SER_hh_fec!I4)</f>
        <v>0.61518088156549877</v>
      </c>
      <c r="J4" s="136">
        <f>IF(SER_hh_tes!J4=0,"",SER_hh_tes!J4/SER_hh_fec!J4)</f>
        <v>0.63777569863283445</v>
      </c>
      <c r="K4" s="136">
        <f>IF(SER_hh_tes!K4=0,"",SER_hh_tes!K4/SER_hh_fec!K4)</f>
        <v>0.66608818424541316</v>
      </c>
      <c r="L4" s="136">
        <f>IF(SER_hh_tes!L4=0,"",SER_hh_tes!L4/SER_hh_fec!L4)</f>
        <v>0.64485922042970611</v>
      </c>
      <c r="M4" s="136">
        <f>IF(SER_hh_tes!M4=0,"",SER_hh_tes!M4/SER_hh_fec!M4)</f>
        <v>0.66613222878934342</v>
      </c>
      <c r="N4" s="136">
        <f>IF(SER_hh_tes!N4=0,"",SER_hh_tes!N4/SER_hh_fec!N4)</f>
        <v>0.67938314035305714</v>
      </c>
      <c r="O4" s="136">
        <f>IF(SER_hh_tes!O4=0,"",SER_hh_tes!O4/SER_hh_fec!O4)</f>
        <v>0.69168025006757827</v>
      </c>
      <c r="P4" s="136">
        <f>IF(SER_hh_tes!P4=0,"",SER_hh_tes!P4/SER_hh_fec!P4)</f>
        <v>0.70697717070726107</v>
      </c>
      <c r="Q4" s="136">
        <f>IF(SER_hh_tes!Q4=0,"",SER_hh_tes!Q4/SER_hh_fec!Q4)</f>
        <v>0.71987316624799846</v>
      </c>
      <c r="R4" s="136">
        <f>IF(SER_hh_tes!R4=0,"",SER_hh_tes!R4/SER_hh_fec!R4)</f>
        <v>0.73759410248377877</v>
      </c>
      <c r="S4" s="136">
        <f>IF(SER_hh_tes!S4=0,"",SER_hh_tes!S4/SER_hh_fec!S4)</f>
        <v>0.74857950332909595</v>
      </c>
      <c r="T4" s="136">
        <f>IF(SER_hh_tes!T4=0,"",SER_hh_tes!T4/SER_hh_fec!T4)</f>
        <v>0.77929037824908942</v>
      </c>
      <c r="U4" s="136">
        <f>IF(SER_hh_tes!U4=0,"",SER_hh_tes!U4/SER_hh_fec!U4)</f>
        <v>0.79551708579288571</v>
      </c>
      <c r="V4" s="136">
        <f>IF(SER_hh_tes!V4=0,"",SER_hh_tes!V4/SER_hh_fec!V4)</f>
        <v>0.85650445244297579</v>
      </c>
      <c r="W4" s="136">
        <f>IF(SER_hh_tes!W4=0,"",SER_hh_tes!W4/SER_hh_fec!W4)</f>
        <v>0.88311048441137363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>
        <f>IF(SER_hh_tes!B6=0,"",SER_hh_tes!B6/SER_hh_fec!B6)</f>
        <v>0.56004014493871268</v>
      </c>
      <c r="C6" s="137">
        <f>IF(SER_hh_tes!C6=0,"",SER_hh_tes!C6/SER_hh_fec!C6)</f>
        <v>0.56219312600439886</v>
      </c>
      <c r="D6" s="137">
        <f>IF(SER_hh_tes!D6=0,"",SER_hh_tes!D6/SER_hh_fec!D6)</f>
        <v>0.56648676287115851</v>
      </c>
      <c r="E6" s="137">
        <f>IF(SER_hh_tes!E6=0,"",SER_hh_tes!E6/SER_hh_fec!E6)</f>
        <v>0.5700965561992557</v>
      </c>
      <c r="F6" s="137">
        <f>IF(SER_hh_tes!F6=0,"",SER_hh_tes!F6/SER_hh_fec!F6)</f>
        <v>0.57795646773538156</v>
      </c>
      <c r="G6" s="137">
        <f>IF(SER_hh_tes!G6=0,"",SER_hh_tes!G6/SER_hh_fec!G6)</f>
        <v>0.58680703652966271</v>
      </c>
      <c r="H6" s="137">
        <f>IF(SER_hh_tes!H6=0,"",SER_hh_tes!H6/SER_hh_fec!H6)</f>
        <v>0.59636718488375673</v>
      </c>
      <c r="I6" s="137">
        <f>IF(SER_hh_tes!I6=0,"",SER_hh_tes!I6/SER_hh_fec!I6)</f>
        <v>0.60469454459706229</v>
      </c>
      <c r="J6" s="137">
        <f>IF(SER_hh_tes!J6=0,"",SER_hh_tes!J6/SER_hh_fec!J6)</f>
        <v>0.61409422256505453</v>
      </c>
      <c r="K6" s="137">
        <f>IF(SER_hh_tes!K6=0,"",SER_hh_tes!K6/SER_hh_fec!K6)</f>
        <v>0.62631767677070938</v>
      </c>
      <c r="L6" s="137">
        <f>IF(SER_hh_tes!L6=0,"",SER_hh_tes!L6/SER_hh_fec!L6)</f>
        <v>0.64049720295199253</v>
      </c>
      <c r="M6" s="137">
        <f>IF(SER_hh_tes!M6=0,"",SER_hh_tes!M6/SER_hh_fec!M6)</f>
        <v>0.65508457221594496</v>
      </c>
      <c r="N6" s="137">
        <f>IF(SER_hh_tes!N6=0,"",SER_hh_tes!N6/SER_hh_fec!N6)</f>
        <v>0.66880027330255531</v>
      </c>
      <c r="O6" s="137">
        <f>IF(SER_hh_tes!O6=0,"",SER_hh_tes!O6/SER_hh_fec!O6)</f>
        <v>0.67875576562060602</v>
      </c>
      <c r="P6" s="137">
        <f>IF(SER_hh_tes!P6=0,"",SER_hh_tes!P6/SER_hh_fec!P6)</f>
        <v>0.68002947350018383</v>
      </c>
      <c r="Q6" s="137">
        <f>IF(SER_hh_tes!Q6=0,"",SER_hh_tes!Q6/SER_hh_fec!Q6)</f>
        <v>0.68560810692247409</v>
      </c>
      <c r="R6" s="137">
        <f>IF(SER_hh_tes!R6=0,"",SER_hh_tes!R6/SER_hh_fec!R6)</f>
        <v>0.69488174893153487</v>
      </c>
      <c r="S6" s="137">
        <f>IF(SER_hh_tes!S6=0,"",SER_hh_tes!S6/SER_hh_fec!S6)</f>
        <v>0.71128910998527373</v>
      </c>
      <c r="T6" s="137">
        <f>IF(SER_hh_tes!T6=0,"",SER_hh_tes!T6/SER_hh_fec!T6)</f>
        <v>0.73271471642440911</v>
      </c>
      <c r="U6" s="137">
        <f>IF(SER_hh_tes!U6=0,"",SER_hh_tes!U6/SER_hh_fec!U6)</f>
        <v>0.74993837538247199</v>
      </c>
      <c r="V6" s="137">
        <f>IF(SER_hh_tes!V6=0,"",SER_hh_tes!V6/SER_hh_fec!V6)</f>
        <v>0.76303162967155191</v>
      </c>
      <c r="W6" s="137">
        <f>IF(SER_hh_tes!W6=0,"",SER_hh_tes!W6/SER_hh_fec!W6)</f>
        <v>0.77478430072956783</v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0.54907708196804383</v>
      </c>
      <c r="C7" s="137">
        <f>IF(SER_hh_tes!C7=0,"",SER_hh_tes!C7/SER_hh_fec!C7)</f>
        <v>0.55588566797193673</v>
      </c>
      <c r="D7" s="137">
        <f>IF(SER_hh_tes!D7=0,"",SER_hh_tes!D7/SER_hh_fec!D7)</f>
        <v>0.56206885094929926</v>
      </c>
      <c r="E7" s="137">
        <f>IF(SER_hh_tes!E7=0,"",SER_hh_tes!E7/SER_hh_fec!E7)</f>
        <v>0.5664987877514327</v>
      </c>
      <c r="F7" s="137">
        <f>IF(SER_hh_tes!F7=0,"",SER_hh_tes!F7/SER_hh_fec!F7)</f>
        <v>0.56842510780178346</v>
      </c>
      <c r="G7" s="137">
        <f>IF(SER_hh_tes!G7=0,"",SER_hh_tes!G7/SER_hh_fec!G7)</f>
        <v>0.57101736667894254</v>
      </c>
      <c r="H7" s="137">
        <f>IF(SER_hh_tes!H7=0,"",SER_hh_tes!H7/SER_hh_fec!H7)</f>
        <v>0.58077711209620198</v>
      </c>
      <c r="I7" s="137">
        <f>IF(SER_hh_tes!I7=0,"",SER_hh_tes!I7/SER_hh_fec!I7)</f>
        <v>0.59235296692866923</v>
      </c>
      <c r="J7" s="137">
        <f>IF(SER_hh_tes!J7=0,"",SER_hh_tes!J7/SER_hh_fec!J7)</f>
        <v>0.60592508291439318</v>
      </c>
      <c r="K7" s="137">
        <f>IF(SER_hh_tes!K7=0,"",SER_hh_tes!K7/SER_hh_fec!K7)</f>
        <v>0.61114498058585298</v>
      </c>
      <c r="L7" s="137">
        <f>IF(SER_hh_tes!L7=0,"",SER_hh_tes!L7/SER_hh_fec!L7)</f>
        <v>0.61743121954119473</v>
      </c>
      <c r="M7" s="137">
        <f>IF(SER_hh_tes!M7=0,"",SER_hh_tes!M7/SER_hh_fec!M7)</f>
        <v>0.62851691850857161</v>
      </c>
      <c r="N7" s="137">
        <f>IF(SER_hh_tes!N7=0,"",SER_hh_tes!N7/SER_hh_fec!N7)</f>
        <v>0.65130752046325957</v>
      </c>
      <c r="O7" s="137">
        <f>IF(SER_hh_tes!O7=0,"",SER_hh_tes!O7/SER_hh_fec!O7)</f>
        <v>0.67066105145454658</v>
      </c>
      <c r="P7" s="137">
        <f>IF(SER_hh_tes!P7=0,"",SER_hh_tes!P7/SER_hh_fec!P7)</f>
        <v>0.68052857338102168</v>
      </c>
      <c r="Q7" s="137">
        <f>IF(SER_hh_tes!Q7=0,"",SER_hh_tes!Q7/SER_hh_fec!Q7)</f>
        <v>0.68900462879694013</v>
      </c>
      <c r="R7" s="137">
        <f>IF(SER_hh_tes!R7=0,"",SER_hh_tes!R7/SER_hh_fec!R7)</f>
        <v>0.69339804884823752</v>
      </c>
      <c r="S7" s="137">
        <f>IF(SER_hh_tes!S7=0,"",SER_hh_tes!S7/SER_hh_fec!S7)</f>
        <v>0.69804451268085321</v>
      </c>
      <c r="T7" s="137">
        <f>IF(SER_hh_tes!T7=0,"",SER_hh_tes!T7/SER_hh_fec!T7)</f>
        <v>0.70122892917985757</v>
      </c>
      <c r="U7" s="137">
        <f>IF(SER_hh_tes!U7=0,"",SER_hh_tes!U7/SER_hh_fec!U7)</f>
        <v>0.70257526255522817</v>
      </c>
      <c r="V7" s="137">
        <f>IF(SER_hh_tes!V7=0,"",SER_hh_tes!V7/SER_hh_fec!V7)</f>
        <v>0.70428108555463942</v>
      </c>
      <c r="W7" s="137">
        <f>IF(SER_hh_tes!W7=0,"",SER_hh_tes!W7/SER_hh_fec!W7)</f>
        <v>0.71551625351098413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 t="str">
        <f>IF(SER_hh_tes!B9=0,"",SER_hh_tes!B9/SER_hh_fec!B9)</f>
        <v/>
      </c>
      <c r="C9" s="137" t="str">
        <f>IF(SER_hh_tes!C9=0,"",SER_hh_tes!C9/SER_hh_fec!C9)</f>
        <v/>
      </c>
      <c r="D9" s="137" t="str">
        <f>IF(SER_hh_tes!D9=0,"",SER_hh_tes!D9/SER_hh_fec!D9)</f>
        <v/>
      </c>
      <c r="E9" s="137" t="str">
        <f>IF(SER_hh_tes!E9=0,"",SER_hh_tes!E9/SER_hh_fec!E9)</f>
        <v/>
      </c>
      <c r="F9" s="137" t="str">
        <f>IF(SER_hh_tes!F9=0,"",SER_hh_tes!F9/SER_hh_fec!F9)</f>
        <v/>
      </c>
      <c r="G9" s="137" t="str">
        <f>IF(SER_hh_tes!G9=0,"",SER_hh_tes!G9/SER_hh_fec!G9)</f>
        <v/>
      </c>
      <c r="H9" s="137" t="str">
        <f>IF(SER_hh_tes!H9=0,"",SER_hh_tes!H9/SER_hh_fec!H9)</f>
        <v/>
      </c>
      <c r="I9" s="137" t="str">
        <f>IF(SER_hh_tes!I9=0,"",SER_hh_tes!I9/SER_hh_fec!I9)</f>
        <v/>
      </c>
      <c r="J9" s="137" t="str">
        <f>IF(SER_hh_tes!J9=0,"",SER_hh_tes!J9/SER_hh_fec!J9)</f>
        <v/>
      </c>
      <c r="K9" s="137" t="str">
        <f>IF(SER_hh_tes!K9=0,"",SER_hh_tes!K9/SER_hh_fec!K9)</f>
        <v/>
      </c>
      <c r="L9" s="137" t="str">
        <f>IF(SER_hh_tes!L9=0,"",SER_hh_tes!L9/SER_hh_fec!L9)</f>
        <v/>
      </c>
      <c r="M9" s="137">
        <f>IF(SER_hh_tes!M9=0,"",SER_hh_tes!M9/SER_hh_fec!M9)</f>
        <v>0.8570964464230415</v>
      </c>
      <c r="N9" s="137">
        <f>IF(SER_hh_tes!N9=0,"",SER_hh_tes!N9/SER_hh_fec!N9)</f>
        <v>0.85829134859902489</v>
      </c>
      <c r="O9" s="137">
        <f>IF(SER_hh_tes!O9=0,"",SER_hh_tes!O9/SER_hh_fec!O9)</f>
        <v>0.85829281043929173</v>
      </c>
      <c r="P9" s="137">
        <f>IF(SER_hh_tes!P9=0,"",SER_hh_tes!P9/SER_hh_fec!P9)</f>
        <v>0.85829575273197356</v>
      </c>
      <c r="Q9" s="137">
        <f>IF(SER_hh_tes!Q9=0,"",SER_hh_tes!Q9/SER_hh_fec!Q9)</f>
        <v>0.85829575273197334</v>
      </c>
      <c r="R9" s="137">
        <f>IF(SER_hh_tes!R9=0,"",SER_hh_tes!R9/SER_hh_fec!R9)</f>
        <v>0.85860926060566667</v>
      </c>
      <c r="S9" s="137">
        <f>IF(SER_hh_tes!S9=0,"",SER_hh_tes!S9/SER_hh_fec!S9)</f>
        <v>0.8586091846933972</v>
      </c>
      <c r="T9" s="137">
        <f>IF(SER_hh_tes!T9=0,"",SER_hh_tes!T9/SER_hh_fec!T9)</f>
        <v>0.86189845033920121</v>
      </c>
      <c r="U9" s="137">
        <f>IF(SER_hh_tes!U9=0,"",SER_hh_tes!U9/SER_hh_fec!U9)</f>
        <v>0.86645020519400373</v>
      </c>
      <c r="V9" s="137">
        <f>IF(SER_hh_tes!V9=0,"",SER_hh_tes!V9/SER_hh_fec!V9)</f>
        <v>0.86745083867823403</v>
      </c>
      <c r="W9" s="137">
        <f>IF(SER_hh_tes!W9=0,"",SER_hh_tes!W9/SER_hh_fec!W9)</f>
        <v>0.86976916425596118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 t="str">
        <f>IF(SER_hh_tes!I10=0,"",SER_hh_tes!I10/SER_hh_fec!I10)</f>
        <v/>
      </c>
      <c r="J10" s="137" t="str">
        <f>IF(SER_hh_tes!J10=0,"",SER_hh_tes!J10/SER_hh_fec!J10)</f>
        <v/>
      </c>
      <c r="K10" s="137" t="str">
        <f>IF(SER_hh_tes!K10=0,"",SER_hh_tes!K10/SER_hh_fec!K10)</f>
        <v/>
      </c>
      <c r="L10" s="137" t="str">
        <f>IF(SER_hh_tes!L10=0,"",SER_hh_tes!L10/SER_hh_fec!L10)</f>
        <v/>
      </c>
      <c r="M10" s="137" t="str">
        <f>IF(SER_hh_tes!M10=0,"",SER_hh_tes!M10/SER_hh_fec!M10)</f>
        <v/>
      </c>
      <c r="N10" s="137" t="str">
        <f>IF(SER_hh_tes!N10=0,"",SER_hh_tes!N10/SER_hh_fec!N10)</f>
        <v/>
      </c>
      <c r="O10" s="137" t="str">
        <f>IF(SER_hh_tes!O10=0,"",SER_hh_tes!O10/SER_hh_fec!O10)</f>
        <v/>
      </c>
      <c r="P10" s="137" t="str">
        <f>IF(SER_hh_tes!P10=0,"",SER_hh_tes!P10/SER_hh_fec!P10)</f>
        <v/>
      </c>
      <c r="Q10" s="137" t="str">
        <f>IF(SER_hh_tes!Q10=0,"",SER_hh_tes!Q10/SER_hh_fec!Q10)</f>
        <v/>
      </c>
      <c r="R10" s="137" t="str">
        <f>IF(SER_hh_tes!R10=0,"",SER_hh_tes!R10/SER_hh_fec!R10)</f>
        <v/>
      </c>
      <c r="S10" s="137" t="str">
        <f>IF(SER_hh_tes!S10=0,"",SER_hh_tes!S10/SER_hh_fec!S10)</f>
        <v/>
      </c>
      <c r="T10" s="137" t="str">
        <f>IF(SER_hh_tes!T10=0,"",SER_hh_tes!T10/SER_hh_fec!T10)</f>
        <v/>
      </c>
      <c r="U10" s="137" t="str">
        <f>IF(SER_hh_tes!U10=0,"",SER_hh_tes!U10/SER_hh_fec!U10)</f>
        <v/>
      </c>
      <c r="V10" s="137" t="str">
        <f>IF(SER_hh_tes!V10=0,"",SER_hh_tes!V10/SER_hh_fec!V10)</f>
        <v/>
      </c>
      <c r="W10" s="137" t="str">
        <f>IF(SER_hh_tes!W10=0,"",SER_hh_tes!W10/SER_hh_fec!W10)</f>
        <v/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>
        <f>IF(SER_hh_tes!M12=0,"",SER_hh_tes!M12/SER_hh_fec!M12)</f>
        <v>0.77648372943292865</v>
      </c>
      <c r="N12" s="137">
        <f>IF(SER_hh_tes!N12=0,"",SER_hh_tes!N12/SER_hh_fec!N12)</f>
        <v>0.77651545098206198</v>
      </c>
      <c r="O12" s="137">
        <f>IF(SER_hh_tes!O12=0,"",SER_hh_tes!O12/SER_hh_fec!O12)</f>
        <v>0.77651549727374947</v>
      </c>
      <c r="P12" s="137">
        <f>IF(SER_hh_tes!P12=0,"",SER_hh_tes!P12/SER_hh_fec!P12)</f>
        <v>0.77651549727374969</v>
      </c>
      <c r="Q12" s="137">
        <f>IF(SER_hh_tes!Q12=0,"",SER_hh_tes!Q12/SER_hh_fec!Q12)</f>
        <v>0.77651549727374924</v>
      </c>
      <c r="R12" s="137">
        <f>IF(SER_hh_tes!R12=0,"",SER_hh_tes!R12/SER_hh_fec!R12)</f>
        <v>0.77651549727374947</v>
      </c>
      <c r="S12" s="137">
        <f>IF(SER_hh_tes!S12=0,"",SER_hh_tes!S12/SER_hh_fec!S12)</f>
        <v>0.77651549727374902</v>
      </c>
      <c r="T12" s="137">
        <f>IF(SER_hh_tes!T12=0,"",SER_hh_tes!T12/SER_hh_fec!T12)</f>
        <v>0.77651549727374947</v>
      </c>
      <c r="U12" s="137">
        <f>IF(SER_hh_tes!U12=0,"",SER_hh_tes!U12/SER_hh_fec!U12)</f>
        <v>0.77651549727374958</v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1.1561375292949698</v>
      </c>
      <c r="C13" s="137">
        <f>IF(SER_hh_tes!C13=0,"",SER_hh_tes!C13/SER_hh_fec!C13)</f>
        <v>1.2723832341356041</v>
      </c>
      <c r="D13" s="137">
        <f>IF(SER_hh_tes!D13=0,"",SER_hh_tes!D13/SER_hh_fec!D13)</f>
        <v>1.387893440909723</v>
      </c>
      <c r="E13" s="137">
        <f>IF(SER_hh_tes!E13=0,"",SER_hh_tes!E13/SER_hh_fec!E13)</f>
        <v>1.480427386829035</v>
      </c>
      <c r="F13" s="137">
        <f>IF(SER_hh_tes!F13=0,"",SER_hh_tes!F13/SER_hh_fec!F13)</f>
        <v>1.5775303202359225</v>
      </c>
      <c r="G13" s="137">
        <f>IF(SER_hh_tes!G13=0,"",SER_hh_tes!G13/SER_hh_fec!G13)</f>
        <v>1.6987895153591066</v>
      </c>
      <c r="H13" s="137">
        <f>IF(SER_hh_tes!H13=0,"",SER_hh_tes!H13/SER_hh_fec!H13)</f>
        <v>1.8430376967655304</v>
      </c>
      <c r="I13" s="137">
        <f>IF(SER_hh_tes!I13=0,"",SER_hh_tes!I13/SER_hh_fec!I13)</f>
        <v>1.9798356353012019</v>
      </c>
      <c r="J13" s="137">
        <f>IF(SER_hh_tes!J13=0,"",SER_hh_tes!J13/SER_hh_fec!J13)</f>
        <v>2.0771853121772801</v>
      </c>
      <c r="K13" s="137">
        <f>IF(SER_hh_tes!K13=0,"",SER_hh_tes!K13/SER_hh_fec!K13)</f>
        <v>2.1306009918013316</v>
      </c>
      <c r="L13" s="137">
        <f>IF(SER_hh_tes!L13=0,"",SER_hh_tes!L13/SER_hh_fec!L13)</f>
        <v>2.1484984176563735</v>
      </c>
      <c r="M13" s="137">
        <f>IF(SER_hh_tes!M13=0,"",SER_hh_tes!M13/SER_hh_fec!M13)</f>
        <v>2.1811381106446297</v>
      </c>
      <c r="N13" s="137">
        <f>IF(SER_hh_tes!N13=0,"",SER_hh_tes!N13/SER_hh_fec!N13)</f>
        <v>2.2148988083660357</v>
      </c>
      <c r="O13" s="137">
        <f>IF(SER_hh_tes!O13=0,"",SER_hh_tes!O13/SER_hh_fec!O13)</f>
        <v>2.3048402664639069</v>
      </c>
      <c r="P13" s="137">
        <f>IF(SER_hh_tes!P13=0,"",SER_hh_tes!P13/SER_hh_fec!P13)</f>
        <v>2.414259663777206</v>
      </c>
      <c r="Q13" s="137">
        <f>IF(SER_hh_tes!Q13=0,"",SER_hh_tes!Q13/SER_hh_fec!Q13)</f>
        <v>2.5325449441129604</v>
      </c>
      <c r="R13" s="137">
        <f>IF(SER_hh_tes!R13=0,"",SER_hh_tes!R13/SER_hh_fec!R13)</f>
        <v>2.6687539083753893</v>
      </c>
      <c r="S13" s="137">
        <f>IF(SER_hh_tes!S13=0,"",SER_hh_tes!S13/SER_hh_fec!S13)</f>
        <v>2.8006732702905683</v>
      </c>
      <c r="T13" s="137">
        <f>IF(SER_hh_tes!T13=0,"",SER_hh_tes!T13/SER_hh_fec!T13)</f>
        <v>2.9596693369770182</v>
      </c>
      <c r="U13" s="137">
        <f>IF(SER_hh_tes!U13=0,"",SER_hh_tes!U13/SER_hh_fec!U13)</f>
        <v>3.0961732290417512</v>
      </c>
      <c r="V13" s="137">
        <f>IF(SER_hh_tes!V13=0,"",SER_hh_tes!V13/SER_hh_fec!V13)</f>
        <v>3.2326982485796965</v>
      </c>
      <c r="W13" s="137">
        <f>IF(SER_hh_tes!W13=0,"",SER_hh_tes!W13/SER_hh_fec!W13)</f>
        <v>3.3315652247285157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0.5623554478684023</v>
      </c>
      <c r="C14" s="138">
        <f>IF(SER_hh_tes!C14=0,"",SER_hh_tes!C14/SER_hh_fec!C14)</f>
        <v>0.56744398120363693</v>
      </c>
      <c r="D14" s="138">
        <f>IF(SER_hh_tes!D14=0,"",SER_hh_tes!D14/SER_hh_fec!D14)</f>
        <v>0.57115560744455662</v>
      </c>
      <c r="E14" s="138">
        <f>IF(SER_hh_tes!E14=0,"",SER_hh_tes!E14/SER_hh_fec!E14)</f>
        <v>0.57595168639346217</v>
      </c>
      <c r="F14" s="138">
        <f>IF(SER_hh_tes!F14=0,"",SER_hh_tes!F14/SER_hh_fec!F14)</f>
        <v>0.58171786801590797</v>
      </c>
      <c r="G14" s="138">
        <f>IF(SER_hh_tes!G14=0,"",SER_hh_tes!G14/SER_hh_fec!G14)</f>
        <v>0.588387218848057</v>
      </c>
      <c r="H14" s="138">
        <f>IF(SER_hh_tes!H14=0,"",SER_hh_tes!H14/SER_hh_fec!H14)</f>
        <v>0.59123075329227959</v>
      </c>
      <c r="I14" s="138">
        <f>IF(SER_hh_tes!I14=0,"",SER_hh_tes!I14/SER_hh_fec!I14)</f>
        <v>0.59350488813758273</v>
      </c>
      <c r="J14" s="138">
        <f>IF(SER_hh_tes!J14=0,"",SER_hh_tes!J14/SER_hh_fec!J14)</f>
        <v>0.59679490577807204</v>
      </c>
      <c r="K14" s="138">
        <f>IF(SER_hh_tes!K14=0,"",SER_hh_tes!K14/SER_hh_fec!K14)</f>
        <v>0.6033572364618246</v>
      </c>
      <c r="L14" s="138">
        <f>IF(SER_hh_tes!L14=0,"",SER_hh_tes!L14/SER_hh_fec!L14)</f>
        <v>0.61121174431545899</v>
      </c>
      <c r="M14" s="138">
        <f>IF(SER_hh_tes!M14=0,"",SER_hh_tes!M14/SER_hh_fec!M14)</f>
        <v>0.61534328392537041</v>
      </c>
      <c r="N14" s="138">
        <f>IF(SER_hh_tes!N14=0,"",SER_hh_tes!N14/SER_hh_fec!N14)</f>
        <v>0.62015201561255662</v>
      </c>
      <c r="O14" s="138">
        <f>IF(SER_hh_tes!O14=0,"",SER_hh_tes!O14/SER_hh_fec!O14)</f>
        <v>0.62571380061398019</v>
      </c>
      <c r="P14" s="138">
        <f>IF(SER_hh_tes!P14=0,"",SER_hh_tes!P14/SER_hh_fec!P14)</f>
        <v>0.62734940011888463</v>
      </c>
      <c r="Q14" s="138">
        <f>IF(SER_hh_tes!Q14=0,"",SER_hh_tes!Q14/SER_hh_fec!Q14)</f>
        <v>0.63242199436890489</v>
      </c>
      <c r="R14" s="138">
        <f>IF(SER_hh_tes!R14=0,"",SER_hh_tes!R14/SER_hh_fec!R14)</f>
        <v>0.64300832771078664</v>
      </c>
      <c r="S14" s="138">
        <f>IF(SER_hh_tes!S14=0,"",SER_hh_tes!S14/SER_hh_fec!S14)</f>
        <v>0.65994333580110154</v>
      </c>
      <c r="T14" s="138">
        <f>IF(SER_hh_tes!T14=0,"",SER_hh_tes!T14/SER_hh_fec!T14)</f>
        <v>0.6761012501457917</v>
      </c>
      <c r="U14" s="138">
        <f>IF(SER_hh_tes!U14=0,"",SER_hh_tes!U14/SER_hh_fec!U14)</f>
        <v>0.68850897185542159</v>
      </c>
      <c r="V14" s="138">
        <f>IF(SER_hh_tes!V14=0,"",SER_hh_tes!V14/SER_hh_fec!V14)</f>
        <v>0.69734910775387948</v>
      </c>
      <c r="W14" s="138">
        <f>IF(SER_hh_tes!W14=0,"",SER_hh_tes!W14/SER_hh_fec!W14)</f>
        <v>0.70665493638445387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1.7470096448573722</v>
      </c>
      <c r="C16" s="136">
        <f>IF(SER_hh_tes!C16=0,"",SER_hh_tes!C16/SER_hh_fec!C16)</f>
        <v>1.8610170717472028</v>
      </c>
      <c r="D16" s="136">
        <f>IF(SER_hh_tes!D16=0,"",SER_hh_tes!D16/SER_hh_fec!D16)</f>
        <v>1.9644872604542198</v>
      </c>
      <c r="E16" s="136">
        <f>IF(SER_hh_tes!E16=0,"",SER_hh_tes!E16/SER_hh_fec!E16)</f>
        <v>2.0642575327296928</v>
      </c>
      <c r="F16" s="136">
        <f>IF(SER_hh_tes!F16=0,"",SER_hh_tes!F16/SER_hh_fec!F16)</f>
        <v>2.174548935024045</v>
      </c>
      <c r="G16" s="136">
        <f>IF(SER_hh_tes!G16=0,"",SER_hh_tes!G16/SER_hh_fec!G16)</f>
        <v>2.3115540590862276</v>
      </c>
      <c r="H16" s="136">
        <f>IF(SER_hh_tes!H16=0,"",SER_hh_tes!H16/SER_hh_fec!H16)</f>
        <v>2.4604231470618991</v>
      </c>
      <c r="I16" s="136">
        <f>IF(SER_hh_tes!I16=0,"",SER_hh_tes!I16/SER_hh_fec!I16)</f>
        <v>2.6232409766194542</v>
      </c>
      <c r="J16" s="136">
        <f>IF(SER_hh_tes!J16=0,"",SER_hh_tes!J16/SER_hh_fec!J16)</f>
        <v>2.8137202260106355</v>
      </c>
      <c r="K16" s="136">
        <f>IF(SER_hh_tes!K16=0,"",SER_hh_tes!K16/SER_hh_fec!K16)</f>
        <v>2.8713919051293133</v>
      </c>
      <c r="L16" s="136">
        <f>IF(SER_hh_tes!L16=0,"",SER_hh_tes!L16/SER_hh_fec!L16)</f>
        <v>2.9374865297460038</v>
      </c>
      <c r="M16" s="136">
        <f>IF(SER_hh_tes!M16=0,"",SER_hh_tes!M16/SER_hh_fec!M16)</f>
        <v>3.0360922754335449</v>
      </c>
      <c r="N16" s="136">
        <f>IF(SER_hh_tes!N16=0,"",SER_hh_tes!N16/SER_hh_fec!N16)</f>
        <v>3.135452444004093</v>
      </c>
      <c r="O16" s="136">
        <f>IF(SER_hh_tes!O16=0,"",SER_hh_tes!O16/SER_hh_fec!O16)</f>
        <v>3.2383718151151486</v>
      </c>
      <c r="P16" s="136">
        <f>IF(SER_hh_tes!P16=0,"",SER_hh_tes!P16/SER_hh_fec!P16)</f>
        <v>3.3576632796111427</v>
      </c>
      <c r="Q16" s="136">
        <f>IF(SER_hh_tes!Q16=0,"",SER_hh_tes!Q16/SER_hh_fec!Q16)</f>
        <v>3.4920622159330539</v>
      </c>
      <c r="R16" s="136">
        <f>IF(SER_hh_tes!R16=0,"",SER_hh_tes!R16/SER_hh_fec!R16)</f>
        <v>3.6245222921579736</v>
      </c>
      <c r="S16" s="136">
        <f>IF(SER_hh_tes!S16=0,"",SER_hh_tes!S16/SER_hh_fec!S16)</f>
        <v>3.7588595198642909</v>
      </c>
      <c r="T16" s="136">
        <f>IF(SER_hh_tes!T16=0,"",SER_hh_tes!T16/SER_hh_fec!T16)</f>
        <v>3.8906489549873831</v>
      </c>
      <c r="U16" s="136">
        <f>IF(SER_hh_tes!U16=0,"",SER_hh_tes!U16/SER_hh_fec!U16)</f>
        <v>4.0033777923506353</v>
      </c>
      <c r="V16" s="136">
        <f>IF(SER_hh_tes!V16=0,"",SER_hh_tes!V16/SER_hh_fec!V16)</f>
        <v>4.0927427926671491</v>
      </c>
      <c r="W16" s="136">
        <f>IF(SER_hh_tes!W16=0,"",SER_hh_tes!W16/SER_hh_fec!W16)</f>
        <v>4.1928415568181094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1.7470096448573722</v>
      </c>
      <c r="C18" s="137">
        <f>IF(SER_hh_tes!C18=0,"",SER_hh_tes!C18/SER_hh_fec!C18)</f>
        <v>1.8610170717472028</v>
      </c>
      <c r="D18" s="137">
        <f>IF(SER_hh_tes!D18=0,"",SER_hh_tes!D18/SER_hh_fec!D18)</f>
        <v>1.9644872604542198</v>
      </c>
      <c r="E18" s="137">
        <f>IF(SER_hh_tes!E18=0,"",SER_hh_tes!E18/SER_hh_fec!E18)</f>
        <v>2.0642575327296928</v>
      </c>
      <c r="F18" s="137">
        <f>IF(SER_hh_tes!F18=0,"",SER_hh_tes!F18/SER_hh_fec!F18)</f>
        <v>2.174548935024045</v>
      </c>
      <c r="G18" s="137">
        <f>IF(SER_hh_tes!G18=0,"",SER_hh_tes!G18/SER_hh_fec!G18)</f>
        <v>2.3115540590862276</v>
      </c>
      <c r="H18" s="137">
        <f>IF(SER_hh_tes!H18=0,"",SER_hh_tes!H18/SER_hh_fec!H18)</f>
        <v>2.4604231470618991</v>
      </c>
      <c r="I18" s="137">
        <f>IF(SER_hh_tes!I18=0,"",SER_hh_tes!I18/SER_hh_fec!I18)</f>
        <v>2.6232409766194542</v>
      </c>
      <c r="J18" s="137">
        <f>IF(SER_hh_tes!J18=0,"",SER_hh_tes!J18/SER_hh_fec!J18)</f>
        <v>2.8137202260106355</v>
      </c>
      <c r="K18" s="137">
        <f>IF(SER_hh_tes!K18=0,"",SER_hh_tes!K18/SER_hh_fec!K18)</f>
        <v>2.8713919051293133</v>
      </c>
      <c r="L18" s="137">
        <f>IF(SER_hh_tes!L18=0,"",SER_hh_tes!L18/SER_hh_fec!L18)</f>
        <v>2.9374865297460038</v>
      </c>
      <c r="M18" s="137">
        <f>IF(SER_hh_tes!M18=0,"",SER_hh_tes!M18/SER_hh_fec!M18)</f>
        <v>3.0360922754335449</v>
      </c>
      <c r="N18" s="137">
        <f>IF(SER_hh_tes!N18=0,"",SER_hh_tes!N18/SER_hh_fec!N18)</f>
        <v>3.135452444004093</v>
      </c>
      <c r="O18" s="137">
        <f>IF(SER_hh_tes!O18=0,"",SER_hh_tes!O18/SER_hh_fec!O18)</f>
        <v>3.2383718151151486</v>
      </c>
      <c r="P18" s="137">
        <f>IF(SER_hh_tes!P18=0,"",SER_hh_tes!P18/SER_hh_fec!P18)</f>
        <v>3.3576632796111427</v>
      </c>
      <c r="Q18" s="137">
        <f>IF(SER_hh_tes!Q18=0,"",SER_hh_tes!Q18/SER_hh_fec!Q18)</f>
        <v>3.4920622159330539</v>
      </c>
      <c r="R18" s="137">
        <f>IF(SER_hh_tes!R18=0,"",SER_hh_tes!R18/SER_hh_fec!R18)</f>
        <v>3.6245222921579736</v>
      </c>
      <c r="S18" s="137">
        <f>IF(SER_hh_tes!S18=0,"",SER_hh_tes!S18/SER_hh_fec!S18)</f>
        <v>3.7588595198642909</v>
      </c>
      <c r="T18" s="137">
        <f>IF(SER_hh_tes!T18=0,"",SER_hh_tes!T18/SER_hh_fec!T18)</f>
        <v>3.8906489549873831</v>
      </c>
      <c r="U18" s="137">
        <f>IF(SER_hh_tes!U18=0,"",SER_hh_tes!U18/SER_hh_fec!U18)</f>
        <v>4.0033777923506353</v>
      </c>
      <c r="V18" s="137">
        <f>IF(SER_hh_tes!V18=0,"",SER_hh_tes!V18/SER_hh_fec!V18)</f>
        <v>4.0927427926671491</v>
      </c>
      <c r="W18" s="137">
        <f>IF(SER_hh_tes!W18=0,"",SER_hh_tes!W18/SER_hh_fec!W18)</f>
        <v>4.1928415568181094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0.50633208723733025</v>
      </c>
      <c r="C19" s="136">
        <f>IF(SER_hh_tes!C19=0,"",SER_hh_tes!C19/SER_hh_fec!C19)</f>
        <v>0.50850702489278787</v>
      </c>
      <c r="D19" s="136">
        <f>IF(SER_hh_tes!D19=0,"",SER_hh_tes!D19/SER_hh_fec!D19)</f>
        <v>0.51076061311984688</v>
      </c>
      <c r="E19" s="136">
        <f>IF(SER_hh_tes!E19=0,"",SER_hh_tes!E19/SER_hh_fec!E19)</f>
        <v>0.51361719544118201</v>
      </c>
      <c r="F19" s="136">
        <f>IF(SER_hh_tes!F19=0,"",SER_hh_tes!F19/SER_hh_fec!F19)</f>
        <v>0.51608602050060304</v>
      </c>
      <c r="G19" s="136">
        <f>IF(SER_hh_tes!G19=0,"",SER_hh_tes!G19/SER_hh_fec!G19)</f>
        <v>0.51835748279958471</v>
      </c>
      <c r="H19" s="136">
        <f>IF(SER_hh_tes!H19=0,"",SER_hh_tes!H19/SER_hh_fec!H19)</f>
        <v>0.51366253178108356</v>
      </c>
      <c r="I19" s="136">
        <f>IF(SER_hh_tes!I19=0,"",SER_hh_tes!I19/SER_hh_fec!I19)</f>
        <v>0.51365078946032361</v>
      </c>
      <c r="J19" s="136">
        <f>IF(SER_hh_tes!J19=0,"",SER_hh_tes!J19/SER_hh_fec!J19)</f>
        <v>0.51842015705826805</v>
      </c>
      <c r="K19" s="136">
        <f>IF(SER_hh_tes!K19=0,"",SER_hh_tes!K19/SER_hh_fec!K19)</f>
        <v>0.52242147079105838</v>
      </c>
      <c r="L19" s="136">
        <f>IF(SER_hh_tes!L19=0,"",SER_hh_tes!L19/SER_hh_fec!L19)</f>
        <v>0.53284275683135385</v>
      </c>
      <c r="M19" s="136">
        <f>IF(SER_hh_tes!M19=0,"",SER_hh_tes!M19/SER_hh_fec!M19)</f>
        <v>0.53799089682009993</v>
      </c>
      <c r="N19" s="136">
        <f>IF(SER_hh_tes!N19=0,"",SER_hh_tes!N19/SER_hh_fec!N19)</f>
        <v>0.54596763732881248</v>
      </c>
      <c r="O19" s="136">
        <f>IF(SER_hh_tes!O19=0,"",SER_hh_tes!O19/SER_hh_fec!O19)</f>
        <v>0.55485273827132275</v>
      </c>
      <c r="P19" s="136">
        <f>IF(SER_hh_tes!P19=0,"",SER_hh_tes!P19/SER_hh_fec!P19)</f>
        <v>0.56052212120466127</v>
      </c>
      <c r="Q19" s="136">
        <f>IF(SER_hh_tes!Q19=0,"",SER_hh_tes!Q19/SER_hh_fec!Q19)</f>
        <v>0.56758953455800232</v>
      </c>
      <c r="R19" s="136">
        <f>IF(SER_hh_tes!R19=0,"",SER_hh_tes!R19/SER_hh_fec!R19)</f>
        <v>0.57635279661864391</v>
      </c>
      <c r="S19" s="136">
        <f>IF(SER_hh_tes!S19=0,"",SER_hh_tes!S19/SER_hh_fec!S19)</f>
        <v>0.58689312348346179</v>
      </c>
      <c r="T19" s="136">
        <f>IF(SER_hh_tes!T19=0,"",SER_hh_tes!T19/SER_hh_fec!T19)</f>
        <v>0.59753036337298404</v>
      </c>
      <c r="U19" s="136">
        <f>IF(SER_hh_tes!U19=0,"",SER_hh_tes!U19/SER_hh_fec!U19)</f>
        <v>0.60936983248364684</v>
      </c>
      <c r="V19" s="136">
        <f>IF(SER_hh_tes!V19=0,"",SER_hh_tes!V19/SER_hh_fec!V19)</f>
        <v>0.62268198880647818</v>
      </c>
      <c r="W19" s="136">
        <f>IF(SER_hh_tes!W19=0,"",SER_hh_tes!W19/SER_hh_fec!W19)</f>
        <v>0.63668965906677244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0.43177481613582547</v>
      </c>
      <c r="C21" s="137">
        <f>IF(SER_hh_tes!C21=0,"",SER_hh_tes!C21/SER_hh_fec!C21)</f>
        <v>0.43315385473207474</v>
      </c>
      <c r="D21" s="137">
        <f>IF(SER_hh_tes!D21=0,"",SER_hh_tes!D21/SER_hh_fec!D21)</f>
        <v>0.43412838504975554</v>
      </c>
      <c r="E21" s="137">
        <f>IF(SER_hh_tes!E21=0,"",SER_hh_tes!E21/SER_hh_fec!E21)</f>
        <v>0.43565751220603288</v>
      </c>
      <c r="F21" s="137">
        <f>IF(SER_hh_tes!F21=0,"",SER_hh_tes!F21/SER_hh_fec!F21)</f>
        <v>0.43825795967477504</v>
      </c>
      <c r="G21" s="137">
        <f>IF(SER_hh_tes!G21=0,"",SER_hh_tes!G21/SER_hh_fec!G21)</f>
        <v>0.44328797311104601</v>
      </c>
      <c r="H21" s="137">
        <f>IF(SER_hh_tes!H21=0,"",SER_hh_tes!H21/SER_hh_fec!H21)</f>
        <v>0.44629577344075688</v>
      </c>
      <c r="I21" s="137">
        <f>IF(SER_hh_tes!I21=0,"",SER_hh_tes!I21/SER_hh_fec!I21)</f>
        <v>0.44811407223507926</v>
      </c>
      <c r="J21" s="137">
        <f>IF(SER_hh_tes!J21=0,"",SER_hh_tes!J21/SER_hh_fec!J21)</f>
        <v>0.45009986148559378</v>
      </c>
      <c r="K21" s="137">
        <f>IF(SER_hh_tes!K21=0,"",SER_hh_tes!K21/SER_hh_fec!K21)</f>
        <v>0.45185507437842137</v>
      </c>
      <c r="L21" s="137">
        <f>IF(SER_hh_tes!L21=0,"",SER_hh_tes!L21/SER_hh_fec!L21)</f>
        <v>0.45288987072223857</v>
      </c>
      <c r="M21" s="137">
        <f>IF(SER_hh_tes!M21=0,"",SER_hh_tes!M21/SER_hh_fec!M21)</f>
        <v>0.4540288255136215</v>
      </c>
      <c r="N21" s="137">
        <f>IF(SER_hh_tes!N21=0,"",SER_hh_tes!N21/SER_hh_fec!N21)</f>
        <v>0.45514427857259998</v>
      </c>
      <c r="O21" s="137">
        <f>IF(SER_hh_tes!O21=0,"",SER_hh_tes!O21/SER_hh_fec!O21)</f>
        <v>0.4565295528483872</v>
      </c>
      <c r="P21" s="137">
        <f>IF(SER_hh_tes!P21=0,"",SER_hh_tes!P21/SER_hh_fec!P21)</f>
        <v>0.45652955284838714</v>
      </c>
      <c r="Q21" s="137">
        <f>IF(SER_hh_tes!Q21=0,"",SER_hh_tes!Q21/SER_hh_fec!Q21)</f>
        <v>0.45652955284838737</v>
      </c>
      <c r="R21" s="137">
        <f>IF(SER_hh_tes!R21=0,"",SER_hh_tes!R21/SER_hh_fec!R21)</f>
        <v>0.45660761367481206</v>
      </c>
      <c r="S21" s="137">
        <f>IF(SER_hh_tes!S21=0,"",SER_hh_tes!S21/SER_hh_fec!S21)</f>
        <v>0.47715466515294414</v>
      </c>
      <c r="T21" s="137">
        <f>IF(SER_hh_tes!T21=0,"",SER_hh_tes!T21/SER_hh_fec!T21)</f>
        <v>0.49809827369776133</v>
      </c>
      <c r="U21" s="137">
        <f>IF(SER_hh_tes!U21=0,"",SER_hh_tes!U21/SER_hh_fec!U21)</f>
        <v>0.51298390518373915</v>
      </c>
      <c r="V21" s="137">
        <f>IF(SER_hh_tes!V21=0,"",SER_hh_tes!V21/SER_hh_fec!V21)</f>
        <v>0.53049089262782223</v>
      </c>
      <c r="W21" s="137">
        <f>IF(SER_hh_tes!W21=0,"",SER_hh_tes!W21/SER_hh_fec!W21)</f>
        <v>0.57099992369911634</v>
      </c>
      <c r="DA21" s="164" t="s">
        <v>345</v>
      </c>
    </row>
    <row r="22" spans="1:105" ht="12" customHeight="1" x14ac:dyDescent="0.25">
      <c r="A22" s="132" t="s">
        <v>168</v>
      </c>
      <c r="B22" s="137" t="str">
        <f>IF(SER_hh_tes!B22=0,"",SER_hh_tes!B22/SER_hh_fec!B22)</f>
        <v/>
      </c>
      <c r="C22" s="137" t="str">
        <f>IF(SER_hh_tes!C22=0,"",SER_hh_tes!C22/SER_hh_fec!C22)</f>
        <v/>
      </c>
      <c r="D22" s="137" t="str">
        <f>IF(SER_hh_tes!D22=0,"",SER_hh_tes!D22/SER_hh_fec!D22)</f>
        <v/>
      </c>
      <c r="E22" s="137" t="str">
        <f>IF(SER_hh_tes!E22=0,"",SER_hh_tes!E22/SER_hh_fec!E22)</f>
        <v/>
      </c>
      <c r="F22" s="137" t="str">
        <f>IF(SER_hh_tes!F22=0,"",SER_hh_tes!F22/SER_hh_fec!F22)</f>
        <v/>
      </c>
      <c r="G22" s="137" t="str">
        <f>IF(SER_hh_tes!G22=0,"",SER_hh_tes!G22/SER_hh_fec!G22)</f>
        <v/>
      </c>
      <c r="H22" s="137" t="str">
        <f>IF(SER_hh_tes!H22=0,"",SER_hh_tes!H22/SER_hh_fec!H22)</f>
        <v/>
      </c>
      <c r="I22" s="137" t="str">
        <f>IF(SER_hh_tes!I22=0,"",SER_hh_tes!I22/SER_hh_fec!I22)</f>
        <v/>
      </c>
      <c r="J22" s="137" t="str">
        <f>IF(SER_hh_tes!J22=0,"",SER_hh_tes!J22/SER_hh_fec!J22)</f>
        <v/>
      </c>
      <c r="K22" s="137" t="str">
        <f>IF(SER_hh_tes!K22=0,"",SER_hh_tes!K22/SER_hh_fec!K22)</f>
        <v/>
      </c>
      <c r="L22" s="137" t="str">
        <f>IF(SER_hh_tes!L22=0,"",SER_hh_tes!L22/SER_hh_fec!L22)</f>
        <v/>
      </c>
      <c r="M22" s="137" t="str">
        <f>IF(SER_hh_tes!M22=0,"",SER_hh_tes!M22/SER_hh_fec!M22)</f>
        <v/>
      </c>
      <c r="N22" s="137" t="str">
        <f>IF(SER_hh_tes!N22=0,"",SER_hh_tes!N22/SER_hh_fec!N22)</f>
        <v/>
      </c>
      <c r="O22" s="137" t="str">
        <f>IF(SER_hh_tes!O22=0,"",SER_hh_tes!O22/SER_hh_fec!O22)</f>
        <v/>
      </c>
      <c r="P22" s="137" t="str">
        <f>IF(SER_hh_tes!P22=0,"",SER_hh_tes!P22/SER_hh_fec!P22)</f>
        <v/>
      </c>
      <c r="Q22" s="137" t="str">
        <f>IF(SER_hh_tes!Q22=0,"",SER_hh_tes!Q22/SER_hh_fec!Q22)</f>
        <v/>
      </c>
      <c r="R22" s="137" t="str">
        <f>IF(SER_hh_tes!R22=0,"",SER_hh_tes!R22/SER_hh_fec!R22)</f>
        <v/>
      </c>
      <c r="S22" s="137" t="str">
        <f>IF(SER_hh_tes!S22=0,"",SER_hh_tes!S22/SER_hh_fec!S22)</f>
        <v/>
      </c>
      <c r="T22" s="137" t="str">
        <f>IF(SER_hh_tes!T22=0,"",SER_hh_tes!T22/SER_hh_fec!T22)</f>
        <v/>
      </c>
      <c r="U22" s="137" t="str">
        <f>IF(SER_hh_tes!U22=0,"",SER_hh_tes!U22/SER_hh_fec!U22)</f>
        <v/>
      </c>
      <c r="V22" s="137" t="str">
        <f>IF(SER_hh_tes!V22=0,"",SER_hh_tes!V22/SER_hh_fec!V22)</f>
        <v/>
      </c>
      <c r="W22" s="137" t="str">
        <f>IF(SER_hh_tes!W22=0,"",SER_hh_tes!W22/SER_hh_fec!W22)</f>
        <v/>
      </c>
      <c r="DA22" s="164" t="s">
        <v>346</v>
      </c>
    </row>
    <row r="23" spans="1:105" ht="12" customHeight="1" x14ac:dyDescent="0.25">
      <c r="A23" s="132" t="s">
        <v>153</v>
      </c>
      <c r="B23" s="137" t="str">
        <f>IF(SER_hh_tes!B23=0,"",SER_hh_tes!B23/SER_hh_fec!B23)</f>
        <v/>
      </c>
      <c r="C23" s="137" t="str">
        <f>IF(SER_hh_tes!C23=0,"",SER_hh_tes!C23/SER_hh_fec!C23)</f>
        <v/>
      </c>
      <c r="D23" s="137" t="str">
        <f>IF(SER_hh_tes!D23=0,"",SER_hh_tes!D23/SER_hh_fec!D23)</f>
        <v/>
      </c>
      <c r="E23" s="137" t="str">
        <f>IF(SER_hh_tes!E23=0,"",SER_hh_tes!E23/SER_hh_fec!E23)</f>
        <v/>
      </c>
      <c r="F23" s="137" t="str">
        <f>IF(SER_hh_tes!F23=0,"",SER_hh_tes!F23/SER_hh_fec!F23)</f>
        <v/>
      </c>
      <c r="G23" s="137" t="str">
        <f>IF(SER_hh_tes!G23=0,"",SER_hh_tes!G23/SER_hh_fec!G23)</f>
        <v/>
      </c>
      <c r="H23" s="137" t="str">
        <f>IF(SER_hh_tes!H23=0,"",SER_hh_tes!H23/SER_hh_fec!H23)</f>
        <v/>
      </c>
      <c r="I23" s="137" t="str">
        <f>IF(SER_hh_tes!I23=0,"",SER_hh_tes!I23/SER_hh_fec!I23)</f>
        <v/>
      </c>
      <c r="J23" s="137" t="str">
        <f>IF(SER_hh_tes!J23=0,"",SER_hh_tes!J23/SER_hh_fec!J23)</f>
        <v/>
      </c>
      <c r="K23" s="137" t="str">
        <f>IF(SER_hh_tes!K23=0,"",SER_hh_tes!K23/SER_hh_fec!K23)</f>
        <v/>
      </c>
      <c r="L23" s="137" t="str">
        <f>IF(SER_hh_tes!L23=0,"",SER_hh_tes!L23/SER_hh_fec!L23)</f>
        <v/>
      </c>
      <c r="M23" s="137" t="str">
        <f>IF(SER_hh_tes!M23=0,"",SER_hh_tes!M23/SER_hh_fec!M23)</f>
        <v/>
      </c>
      <c r="N23" s="137" t="str">
        <f>IF(SER_hh_tes!N23=0,"",SER_hh_tes!N23/SER_hh_fec!N23)</f>
        <v/>
      </c>
      <c r="O23" s="137" t="str">
        <f>IF(SER_hh_tes!O23=0,"",SER_hh_tes!O23/SER_hh_fec!O23)</f>
        <v/>
      </c>
      <c r="P23" s="137" t="str">
        <f>IF(SER_hh_tes!P23=0,"",SER_hh_tes!P23/SER_hh_fec!P23)</f>
        <v/>
      </c>
      <c r="Q23" s="137" t="str">
        <f>IF(SER_hh_tes!Q23=0,"",SER_hh_tes!Q23/SER_hh_fec!Q23)</f>
        <v/>
      </c>
      <c r="R23" s="137" t="str">
        <f>IF(SER_hh_tes!R23=0,"",SER_hh_tes!R23/SER_hh_fec!R23)</f>
        <v/>
      </c>
      <c r="S23" s="137" t="str">
        <f>IF(SER_hh_tes!S23=0,"",SER_hh_tes!S23/SER_hh_fec!S23)</f>
        <v/>
      </c>
      <c r="T23" s="137" t="str">
        <f>IF(SER_hh_tes!T23=0,"",SER_hh_tes!T23/SER_hh_fec!T23)</f>
        <v/>
      </c>
      <c r="U23" s="137" t="str">
        <f>IF(SER_hh_tes!U23=0,"",SER_hh_tes!U23/SER_hh_fec!U23)</f>
        <v/>
      </c>
      <c r="V23" s="137" t="str">
        <f>IF(SER_hh_tes!V23=0,"",SER_hh_tes!V23/SER_hh_fec!V23)</f>
        <v/>
      </c>
      <c r="W23" s="137" t="str">
        <f>IF(SER_hh_tes!W23=0,"",SER_hh_tes!W23/SER_hh_fec!W23)</f>
        <v/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>
        <f>IF(SER_hh_tes!M25=0,"",SER_hh_tes!M25/SER_hh_fec!M25)</f>
        <v>0.62793220958967966</v>
      </c>
      <c r="N25" s="137">
        <f>IF(SER_hh_tes!N25=0,"",SER_hh_tes!N25/SER_hh_fec!N25)</f>
        <v>0.62886306028466388</v>
      </c>
      <c r="O25" s="137">
        <f>IF(SER_hh_tes!O25=0,"",SER_hh_tes!O25/SER_hh_fec!O25)</f>
        <v>0.62990877725022809</v>
      </c>
      <c r="P25" s="137">
        <f>IF(SER_hh_tes!P25=0,"",SER_hh_tes!P25/SER_hh_fec!P25)</f>
        <v>0.62991423853249839</v>
      </c>
      <c r="Q25" s="137">
        <f>IF(SER_hh_tes!Q25=0,"",SER_hh_tes!Q25/SER_hh_fec!Q25)</f>
        <v>0.62991423853249862</v>
      </c>
      <c r="R25" s="137">
        <f>IF(SER_hh_tes!R25=0,"",SER_hh_tes!R25/SER_hh_fec!R25)</f>
        <v>0.62991423853249817</v>
      </c>
      <c r="S25" s="137">
        <f>IF(SER_hh_tes!S25=0,"",SER_hh_tes!S25/SER_hh_fec!S25)</f>
        <v>0.62991423853249806</v>
      </c>
      <c r="T25" s="137">
        <f>IF(SER_hh_tes!T25=0,"",SER_hh_tes!T25/SER_hh_fec!T25)</f>
        <v>0.62991423853249828</v>
      </c>
      <c r="U25" s="137">
        <f>IF(SER_hh_tes!U25=0,"",SER_hh_tes!U25/SER_hh_fec!U25)</f>
        <v>0.62991423853249828</v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0.51273283972456629</v>
      </c>
      <c r="C26" s="138">
        <f>IF(SER_hh_tes!C26=0,"",SER_hh_tes!C26/SER_hh_fec!C26)</f>
        <v>0.5150469073649101</v>
      </c>
      <c r="D26" s="138">
        <f>IF(SER_hh_tes!D26=0,"",SER_hh_tes!D26/SER_hh_fec!D26)</f>
        <v>0.51708122314775973</v>
      </c>
      <c r="E26" s="138">
        <f>IF(SER_hh_tes!E26=0,"",SER_hh_tes!E26/SER_hh_fec!E26)</f>
        <v>0.51904334394942531</v>
      </c>
      <c r="F26" s="138">
        <f>IF(SER_hh_tes!F26=0,"",SER_hh_tes!F26/SER_hh_fec!F26)</f>
        <v>0.52097007949314411</v>
      </c>
      <c r="G26" s="138">
        <f>IF(SER_hh_tes!G26=0,"",SER_hh_tes!G26/SER_hh_fec!G26)</f>
        <v>0.5234399663633752</v>
      </c>
      <c r="H26" s="138">
        <f>IF(SER_hh_tes!H26=0,"",SER_hh_tes!H26/SER_hh_fec!H26)</f>
        <v>0.52604285214482016</v>
      </c>
      <c r="I26" s="138">
        <f>IF(SER_hh_tes!I26=0,"",SER_hh_tes!I26/SER_hh_fec!I26)</f>
        <v>0.52907956668431844</v>
      </c>
      <c r="J26" s="138">
        <f>IF(SER_hh_tes!J26=0,"",SER_hh_tes!J26/SER_hh_fec!J26)</f>
        <v>0.53286924781314238</v>
      </c>
      <c r="K26" s="138">
        <f>IF(SER_hh_tes!K26=0,"",SER_hh_tes!K26/SER_hh_fec!K26)</f>
        <v>0.5358549221464628</v>
      </c>
      <c r="L26" s="138">
        <f>IF(SER_hh_tes!L26=0,"",SER_hh_tes!L26/SER_hh_fec!L26)</f>
        <v>0.53947120002310456</v>
      </c>
      <c r="M26" s="138">
        <f>IF(SER_hh_tes!M26=0,"",SER_hh_tes!M26/SER_hh_fec!M26)</f>
        <v>0.54422220395121235</v>
      </c>
      <c r="N26" s="138">
        <f>IF(SER_hh_tes!N26=0,"",SER_hh_tes!N26/SER_hh_fec!N26)</f>
        <v>0.55077679802102086</v>
      </c>
      <c r="O26" s="138">
        <f>IF(SER_hh_tes!O26=0,"",SER_hh_tes!O26/SER_hh_fec!O26)</f>
        <v>0.5576225565704831</v>
      </c>
      <c r="P26" s="138">
        <f>IF(SER_hh_tes!P26=0,"",SER_hh_tes!P26/SER_hh_fec!P26)</f>
        <v>0.56280326251385593</v>
      </c>
      <c r="Q26" s="138">
        <f>IF(SER_hh_tes!Q26=0,"",SER_hh_tes!Q26/SER_hh_fec!Q26)</f>
        <v>0.56965350326570852</v>
      </c>
      <c r="R26" s="138">
        <f>IF(SER_hh_tes!R26=0,"",SER_hh_tes!R26/SER_hh_fec!R26)</f>
        <v>0.57820790863401383</v>
      </c>
      <c r="S26" s="138">
        <f>IF(SER_hh_tes!S26=0,"",SER_hh_tes!S26/SER_hh_fec!S26)</f>
        <v>0.58896805907065219</v>
      </c>
      <c r="T26" s="138">
        <f>IF(SER_hh_tes!T26=0,"",SER_hh_tes!T26/SER_hh_fec!T26)</f>
        <v>0.60004376684293836</v>
      </c>
      <c r="U26" s="138">
        <f>IF(SER_hh_tes!U26=0,"",SER_hh_tes!U26/SER_hh_fec!U26)</f>
        <v>0.61179834478804873</v>
      </c>
      <c r="V26" s="138">
        <f>IF(SER_hh_tes!V26=0,"",SER_hh_tes!V26/SER_hh_fec!V26)</f>
        <v>0.62452035540946838</v>
      </c>
      <c r="W26" s="138">
        <f>IF(SER_hh_tes!W26=0,"",SER_hh_tes!W26/SER_hh_fec!W26)</f>
        <v>0.63807064518414147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0.71490562202124763</v>
      </c>
      <c r="C29" s="136">
        <f>IF(SER_hh_tes!C29=0,"",SER_hh_tes!C29/SER_hh_fec!C29)</f>
        <v>0.71768034315715512</v>
      </c>
      <c r="D29" s="136">
        <f>IF(SER_hh_tes!D29=0,"",SER_hh_tes!D29/SER_hh_fec!D29)</f>
        <v>0.71706973089087256</v>
      </c>
      <c r="E29" s="136">
        <f>IF(SER_hh_tes!E29=0,"",SER_hh_tes!E29/SER_hh_fec!E29)</f>
        <v>0.71976520795780619</v>
      </c>
      <c r="F29" s="136">
        <f>IF(SER_hh_tes!F29=0,"",SER_hh_tes!F29/SER_hh_fec!F29)</f>
        <v>0.72261245480226</v>
      </c>
      <c r="G29" s="136">
        <f>IF(SER_hh_tes!G29=0,"",SER_hh_tes!G29/SER_hh_fec!G29)</f>
        <v>0.7241549525318508</v>
      </c>
      <c r="H29" s="136">
        <f>IF(SER_hh_tes!H29=0,"",SER_hh_tes!H29/SER_hh_fec!H29)</f>
        <v>0.71582003294470697</v>
      </c>
      <c r="I29" s="136">
        <f>IF(SER_hh_tes!I29=0,"",SER_hh_tes!I29/SER_hh_fec!I29)</f>
        <v>0.71318805220698511</v>
      </c>
      <c r="J29" s="136">
        <f>IF(SER_hh_tes!J29=0,"",SER_hh_tes!J29/SER_hh_fec!J29)</f>
        <v>0.70391697634185868</v>
      </c>
      <c r="K29" s="136">
        <f>IF(SER_hh_tes!K29=0,"",SER_hh_tes!K29/SER_hh_fec!K29)</f>
        <v>0.68748722758921221</v>
      </c>
      <c r="L29" s="136">
        <f>IF(SER_hh_tes!L29=0,"",SER_hh_tes!L29/SER_hh_fec!L29)</f>
        <v>0.70316819274952935</v>
      </c>
      <c r="M29" s="136">
        <f>IF(SER_hh_tes!M29=0,"",SER_hh_tes!M29/SER_hh_fec!M29)</f>
        <v>0.69821838613881282</v>
      </c>
      <c r="N29" s="136">
        <f>IF(SER_hh_tes!N29=0,"",SER_hh_tes!N29/SER_hh_fec!N29)</f>
        <v>0.70307767800852583</v>
      </c>
      <c r="O29" s="136">
        <f>IF(SER_hh_tes!O29=0,"",SER_hh_tes!O29/SER_hh_fec!O29)</f>
        <v>0.70629856612414621</v>
      </c>
      <c r="P29" s="136">
        <f>IF(SER_hh_tes!P29=0,"",SER_hh_tes!P29/SER_hh_fec!P29)</f>
        <v>0.71065501002307829</v>
      </c>
      <c r="Q29" s="136">
        <f>IF(SER_hh_tes!Q29=0,"",SER_hh_tes!Q29/SER_hh_fec!Q29)</f>
        <v>0.70741520204656516</v>
      </c>
      <c r="R29" s="136">
        <f>IF(SER_hh_tes!R29=0,"",SER_hh_tes!R29/SER_hh_fec!R29)</f>
        <v>0.72026129164149566</v>
      </c>
      <c r="S29" s="136">
        <f>IF(SER_hh_tes!S29=0,"",SER_hh_tes!S29/SER_hh_fec!S29)</f>
        <v>0.71483434100777254</v>
      </c>
      <c r="T29" s="136">
        <f>IF(SER_hh_tes!T29=0,"",SER_hh_tes!T29/SER_hh_fec!T29)</f>
        <v>0.70559403636467133</v>
      </c>
      <c r="U29" s="136">
        <f>IF(SER_hh_tes!U29=0,"",SER_hh_tes!U29/SER_hh_fec!U29)</f>
        <v>0.71037119655896519</v>
      </c>
      <c r="V29" s="136">
        <f>IF(SER_hh_tes!V29=0,"",SER_hh_tes!V29/SER_hh_fec!V29)</f>
        <v>0.74053793596218531</v>
      </c>
      <c r="W29" s="136">
        <f>IF(SER_hh_tes!W29=0,"",SER_hh_tes!W29/SER_hh_fec!W29)</f>
        <v>0.74664482840780277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0.55485003009319434</v>
      </c>
      <c r="C30" s="137">
        <f>IF(SER_hh_tes!C30=0,"",SER_hh_tes!C30/SER_hh_fec!C30)</f>
        <v>0.5558413784481997</v>
      </c>
      <c r="D30" s="137">
        <f>IF(SER_hh_tes!D30=0,"",SER_hh_tes!D30/SER_hh_fec!D30)</f>
        <v>0.5570601239247811</v>
      </c>
      <c r="E30" s="137">
        <f>IF(SER_hh_tes!E30=0,"",SER_hh_tes!E30/SER_hh_fec!E30)</f>
        <v>0.55801870373654272</v>
      </c>
      <c r="F30" s="137">
        <f>IF(SER_hh_tes!F30=0,"",SER_hh_tes!F30/SER_hh_fec!F30)</f>
        <v>0.55958245497940962</v>
      </c>
      <c r="G30" s="137">
        <f>IF(SER_hh_tes!G30=0,"",SER_hh_tes!G30/SER_hh_fec!G30)</f>
        <v>0.56182446960092425</v>
      </c>
      <c r="H30" s="137">
        <f>IF(SER_hh_tes!H30=0,"",SER_hh_tes!H30/SER_hh_fec!H30)</f>
        <v>0.56450211401737727</v>
      </c>
      <c r="I30" s="137">
        <f>IF(SER_hh_tes!I30=0,"",SER_hh_tes!I30/SER_hh_fec!I30)</f>
        <v>0.56655875855948301</v>
      </c>
      <c r="J30" s="137">
        <f>IF(SER_hh_tes!J30=0,"",SER_hh_tes!J30/SER_hh_fec!J30)</f>
        <v>0.56809701080819552</v>
      </c>
      <c r="K30" s="137">
        <f>IF(SER_hh_tes!K30=0,"",SER_hh_tes!K30/SER_hh_fec!K30)</f>
        <v>0.56926539051550984</v>
      </c>
      <c r="L30" s="137">
        <f>IF(SER_hh_tes!L30=0,"",SER_hh_tes!L30/SER_hh_fec!L30)</f>
        <v>0.56971730803920506</v>
      </c>
      <c r="M30" s="137">
        <f>IF(SER_hh_tes!M30=0,"",SER_hh_tes!M30/SER_hh_fec!M30)</f>
        <v>0.57008280999848326</v>
      </c>
      <c r="N30" s="137">
        <f>IF(SER_hh_tes!N30=0,"",SER_hh_tes!N30/SER_hh_fec!N30)</f>
        <v>0.57035011525038237</v>
      </c>
      <c r="O30" s="137">
        <f>IF(SER_hh_tes!O30=0,"",SER_hh_tes!O30/SER_hh_fec!O30)</f>
        <v>0.57081604132346053</v>
      </c>
      <c r="P30" s="137">
        <f>IF(SER_hh_tes!P30=0,"",SER_hh_tes!P30/SER_hh_fec!P30)</f>
        <v>0.57124592125603868</v>
      </c>
      <c r="Q30" s="137">
        <f>IF(SER_hh_tes!Q30=0,"",SER_hh_tes!Q30/SER_hh_fec!Q30)</f>
        <v>0.57176719333492643</v>
      </c>
      <c r="R30" s="137">
        <f>IF(SER_hh_tes!R30=0,"",SER_hh_tes!R30/SER_hh_fec!R30)</f>
        <v>0.57284983187508487</v>
      </c>
      <c r="S30" s="137">
        <f>IF(SER_hh_tes!S30=0,"",SER_hh_tes!S30/SER_hh_fec!S30)</f>
        <v>0.5756839316952358</v>
      </c>
      <c r="T30" s="137">
        <f>IF(SER_hh_tes!T30=0,"",SER_hh_tes!T30/SER_hh_fec!T30)</f>
        <v>0.57940327309244577</v>
      </c>
      <c r="U30" s="137">
        <f>IF(SER_hh_tes!U30=0,"",SER_hh_tes!U30/SER_hh_fec!U30)</f>
        <v>0.58265543451413271</v>
      </c>
      <c r="V30" s="137">
        <f>IF(SER_hh_tes!V30=0,"",SER_hh_tes!V30/SER_hh_fec!V30)</f>
        <v>0.5855536624254557</v>
      </c>
      <c r="W30" s="137">
        <f>IF(SER_hh_tes!W30=0,"",SER_hh_tes!W30/SER_hh_fec!W30)</f>
        <v>0.58839524222693185</v>
      </c>
      <c r="DA30" s="164" t="s">
        <v>352</v>
      </c>
    </row>
    <row r="31" spans="1:105" ht="12" customHeight="1" x14ac:dyDescent="0.25">
      <c r="A31" s="132" t="s">
        <v>153</v>
      </c>
      <c r="B31" s="137" t="str">
        <f>IF(SER_hh_tes!B31=0,"",SER_hh_tes!B31/SER_hh_fec!B31)</f>
        <v/>
      </c>
      <c r="C31" s="137" t="str">
        <f>IF(SER_hh_tes!C31=0,"",SER_hh_tes!C31/SER_hh_fec!C31)</f>
        <v/>
      </c>
      <c r="D31" s="137" t="str">
        <f>IF(SER_hh_tes!D31=0,"",SER_hh_tes!D31/SER_hh_fec!D31)</f>
        <v/>
      </c>
      <c r="E31" s="137" t="str">
        <f>IF(SER_hh_tes!E31=0,"",SER_hh_tes!E31/SER_hh_fec!E31)</f>
        <v/>
      </c>
      <c r="F31" s="137" t="str">
        <f>IF(SER_hh_tes!F31=0,"",SER_hh_tes!F31/SER_hh_fec!F31)</f>
        <v/>
      </c>
      <c r="G31" s="137" t="str">
        <f>IF(SER_hh_tes!G31=0,"",SER_hh_tes!G31/SER_hh_fec!G31)</f>
        <v/>
      </c>
      <c r="H31" s="137" t="str">
        <f>IF(SER_hh_tes!H31=0,"",SER_hh_tes!H31/SER_hh_fec!H31)</f>
        <v/>
      </c>
      <c r="I31" s="137" t="str">
        <f>IF(SER_hh_tes!I31=0,"",SER_hh_tes!I31/SER_hh_fec!I31)</f>
        <v/>
      </c>
      <c r="J31" s="137" t="str">
        <f>IF(SER_hh_tes!J31=0,"",SER_hh_tes!J31/SER_hh_fec!J31)</f>
        <v/>
      </c>
      <c r="K31" s="137" t="str">
        <f>IF(SER_hh_tes!K31=0,"",SER_hh_tes!K31/SER_hh_fec!K31)</f>
        <v/>
      </c>
      <c r="L31" s="137" t="str">
        <f>IF(SER_hh_tes!L31=0,"",SER_hh_tes!L31/SER_hh_fec!L31)</f>
        <v/>
      </c>
      <c r="M31" s="137" t="str">
        <f>IF(SER_hh_tes!M31=0,"",SER_hh_tes!M31/SER_hh_fec!M31)</f>
        <v/>
      </c>
      <c r="N31" s="137" t="str">
        <f>IF(SER_hh_tes!N31=0,"",SER_hh_tes!N31/SER_hh_fec!N31)</f>
        <v/>
      </c>
      <c r="O31" s="137" t="str">
        <f>IF(SER_hh_tes!O31=0,"",SER_hh_tes!O31/SER_hh_fec!O31)</f>
        <v/>
      </c>
      <c r="P31" s="137" t="str">
        <f>IF(SER_hh_tes!P31=0,"",SER_hh_tes!P31/SER_hh_fec!P31)</f>
        <v/>
      </c>
      <c r="Q31" s="137" t="str">
        <f>IF(SER_hh_tes!Q31=0,"",SER_hh_tes!Q31/SER_hh_fec!Q31)</f>
        <v/>
      </c>
      <c r="R31" s="137" t="str">
        <f>IF(SER_hh_tes!R31=0,"",SER_hh_tes!R31/SER_hh_fec!R31)</f>
        <v/>
      </c>
      <c r="S31" s="137" t="str">
        <f>IF(SER_hh_tes!S31=0,"",SER_hh_tes!S31/SER_hh_fec!S31)</f>
        <v/>
      </c>
      <c r="T31" s="137" t="str">
        <f>IF(SER_hh_tes!T31=0,"",SER_hh_tes!T31/SER_hh_fec!T31)</f>
        <v/>
      </c>
      <c r="U31" s="137" t="str">
        <f>IF(SER_hh_tes!U31=0,"",SER_hh_tes!U31/SER_hh_fec!U31)</f>
        <v/>
      </c>
      <c r="V31" s="137" t="str">
        <f>IF(SER_hh_tes!V31=0,"",SER_hh_tes!V31/SER_hh_fec!V31)</f>
        <v/>
      </c>
      <c r="W31" s="137" t="str">
        <f>IF(SER_hh_tes!W31=0,"",SER_hh_tes!W31/SER_hh_fec!W31)</f>
        <v/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0.72770366361189454</v>
      </c>
      <c r="C33" s="150">
        <f>IF(SER_hh_tes!C33=0,"",SER_hh_tes!C33/SER_hh_fec!C33)</f>
        <v>0.72972697196081471</v>
      </c>
      <c r="D33" s="150">
        <f>IF(SER_hh_tes!D33=0,"",SER_hh_tes!D33/SER_hh_fec!D33)</f>
        <v>0.73152173891119709</v>
      </c>
      <c r="E33" s="150">
        <f>IF(SER_hh_tes!E33=0,"",SER_hh_tes!E33/SER_hh_fec!E33)</f>
        <v>0.73335884318746203</v>
      </c>
      <c r="F33" s="150">
        <f>IF(SER_hh_tes!F33=0,"",SER_hh_tes!F33/SER_hh_fec!F33)</f>
        <v>0.73520379484437592</v>
      </c>
      <c r="G33" s="150">
        <f>IF(SER_hh_tes!G33=0,"",SER_hh_tes!G33/SER_hh_fec!G33)</f>
        <v>0.73750731474489195</v>
      </c>
      <c r="H33" s="150">
        <f>IF(SER_hh_tes!H33=0,"",SER_hh_tes!H33/SER_hh_fec!H33)</f>
        <v>0.73962123875915997</v>
      </c>
      <c r="I33" s="150">
        <f>IF(SER_hh_tes!I33=0,"",SER_hh_tes!I33/SER_hh_fec!I33)</f>
        <v>0.74189155991544309</v>
      </c>
      <c r="J33" s="150">
        <f>IF(SER_hh_tes!J33=0,"",SER_hh_tes!J33/SER_hh_fec!J33)</f>
        <v>0.74477135388113824</v>
      </c>
      <c r="K33" s="150">
        <f>IF(SER_hh_tes!K33=0,"",SER_hh_tes!K33/SER_hh_fec!K33)</f>
        <v>0.74749012468739962</v>
      </c>
      <c r="L33" s="150">
        <f>IF(SER_hh_tes!L33=0,"",SER_hh_tes!L33/SER_hh_fec!L33)</f>
        <v>0.75008721541528023</v>
      </c>
      <c r="M33" s="150">
        <f>IF(SER_hh_tes!M33=0,"",SER_hh_tes!M33/SER_hh_fec!M33)</f>
        <v>0.75139667096359908</v>
      </c>
      <c r="N33" s="150">
        <f>IF(SER_hh_tes!N33=0,"",SER_hh_tes!N33/SER_hh_fec!N33)</f>
        <v>0.75381474961609873</v>
      </c>
      <c r="O33" s="150">
        <f>IF(SER_hh_tes!O33=0,"",SER_hh_tes!O33/SER_hh_fec!O33)</f>
        <v>0.75683669876588267</v>
      </c>
      <c r="P33" s="150">
        <f>IF(SER_hh_tes!P33=0,"",SER_hh_tes!P33/SER_hh_fec!P33)</f>
        <v>0.76048415828799387</v>
      </c>
      <c r="Q33" s="150">
        <f>IF(SER_hh_tes!Q33=0,"",SER_hh_tes!Q33/SER_hh_fec!Q33)</f>
        <v>0.76451208541704641</v>
      </c>
      <c r="R33" s="150">
        <f>IF(SER_hh_tes!R33=0,"",SER_hh_tes!R33/SER_hh_fec!R33)</f>
        <v>0.76959364835979094</v>
      </c>
      <c r="S33" s="150">
        <f>IF(SER_hh_tes!S33=0,"",SER_hh_tes!S33/SER_hh_fec!S33)</f>
        <v>0.77506140740376395</v>
      </c>
      <c r="T33" s="150">
        <f>IF(SER_hh_tes!T33=0,"",SER_hh_tes!T33/SER_hh_fec!T33)</f>
        <v>0.78164767604289709</v>
      </c>
      <c r="U33" s="150">
        <f>IF(SER_hh_tes!U33=0,"",SER_hh_tes!U33/SER_hh_fec!U33)</f>
        <v>0.79101757418021668</v>
      </c>
      <c r="V33" s="150">
        <f>IF(SER_hh_tes!V33=0,"",SER_hh_tes!V33/SER_hh_fec!V33)</f>
        <v>0.80222542793054963</v>
      </c>
      <c r="W33" s="150">
        <f>IF(SER_hh_tes!W33=0,"",SER_hh_tes!W33/SER_hh_fec!W33)</f>
        <v>0.81315191727430003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48.078090234720122</v>
      </c>
      <c r="C3" s="126">
        <f t="shared" si="0"/>
        <v>48.078090234720136</v>
      </c>
      <c r="D3" s="126">
        <f t="shared" si="0"/>
        <v>54.894832792548804</v>
      </c>
      <c r="E3" s="126">
        <f t="shared" si="0"/>
        <v>64.342492792548754</v>
      </c>
      <c r="F3" s="126">
        <f t="shared" si="0"/>
        <v>67.491799072548815</v>
      </c>
      <c r="G3" s="126">
        <f t="shared" si="0"/>
        <v>58.074488507756008</v>
      </c>
      <c r="H3" s="126">
        <f t="shared" si="0"/>
        <v>54.458155387109763</v>
      </c>
      <c r="I3" s="126">
        <f t="shared" si="0"/>
        <v>63.600875463704718</v>
      </c>
      <c r="J3" s="126">
        <f t="shared" si="0"/>
        <v>63.590144707109772</v>
      </c>
      <c r="K3" s="126">
        <f t="shared" si="0"/>
        <v>51.108725811303486</v>
      </c>
      <c r="L3" s="126">
        <f t="shared" si="0"/>
        <v>69.880292487855854</v>
      </c>
      <c r="M3" s="126">
        <f t="shared" si="0"/>
        <v>48.124426424708211</v>
      </c>
      <c r="N3" s="126">
        <f t="shared" si="0"/>
        <v>70.146533727855854</v>
      </c>
      <c r="O3" s="126">
        <f t="shared" si="0"/>
        <v>83.11104281130352</v>
      </c>
      <c r="P3" s="126">
        <f t="shared" si="0"/>
        <v>89.588933847855813</v>
      </c>
      <c r="Q3" s="126">
        <f t="shared" si="0"/>
        <v>108.09093461656664</v>
      </c>
      <c r="R3" s="126">
        <f t="shared" ref="R3:W3" si="1">SUM(R4,R16,R19,R29)</f>
        <v>99.106991847855852</v>
      </c>
      <c r="S3" s="126">
        <f t="shared" si="1"/>
        <v>90.956541600000051</v>
      </c>
      <c r="T3" s="126">
        <f t="shared" si="1"/>
        <v>65.246223240000006</v>
      </c>
      <c r="U3" s="126">
        <f t="shared" si="1"/>
        <v>64.806378840000008</v>
      </c>
      <c r="V3" s="126">
        <f t="shared" si="1"/>
        <v>50.699870279999985</v>
      </c>
      <c r="W3" s="126">
        <f t="shared" si="1"/>
        <v>54.885231719999993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43.838464921604739</v>
      </c>
      <c r="C4" s="131">
        <f t="shared" si="2"/>
        <v>43.875259167795797</v>
      </c>
      <c r="D4" s="131">
        <f t="shared" si="2"/>
        <v>50.154779206440864</v>
      </c>
      <c r="E4" s="131">
        <f t="shared" si="2"/>
        <v>59.964650182768807</v>
      </c>
      <c r="F4" s="131">
        <f t="shared" si="2"/>
        <v>63.359590352578195</v>
      </c>
      <c r="G4" s="131">
        <f t="shared" si="2"/>
        <v>53.582931860638055</v>
      </c>
      <c r="H4" s="131">
        <f t="shared" si="2"/>
        <v>44.861959294895883</v>
      </c>
      <c r="I4" s="131">
        <f t="shared" si="2"/>
        <v>51.648458338828007</v>
      </c>
      <c r="J4" s="131">
        <f t="shared" si="2"/>
        <v>49.087303382569431</v>
      </c>
      <c r="K4" s="131">
        <f t="shared" si="2"/>
        <v>32.34122715492385</v>
      </c>
      <c r="L4" s="131">
        <f t="shared" si="2"/>
        <v>56.837296905972828</v>
      </c>
      <c r="M4" s="131">
        <f t="shared" si="2"/>
        <v>33.542516118989646</v>
      </c>
      <c r="N4" s="131">
        <f t="shared" si="2"/>
        <v>56.731809944368955</v>
      </c>
      <c r="O4" s="131">
        <f t="shared" si="2"/>
        <v>70.541850917808304</v>
      </c>
      <c r="P4" s="131">
        <f t="shared" si="2"/>
        <v>77.217059408607909</v>
      </c>
      <c r="Q4" s="131">
        <f t="shared" si="2"/>
        <v>93.885320553153292</v>
      </c>
      <c r="R4" s="131">
        <f t="shared" ref="R4:W4" si="3">SUM(R5:R15)</f>
        <v>86.920417696338603</v>
      </c>
      <c r="S4" s="131">
        <f t="shared" si="3"/>
        <v>75.884805535763562</v>
      </c>
      <c r="T4" s="131">
        <f t="shared" si="3"/>
        <v>45.536140870138425</v>
      </c>
      <c r="U4" s="131">
        <f t="shared" si="3"/>
        <v>44.025467232730492</v>
      </c>
      <c r="V4" s="131">
        <f t="shared" si="3"/>
        <v>36.702016163973106</v>
      </c>
      <c r="W4" s="131">
        <f t="shared" si="3"/>
        <v>39.490618078593215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4.187491708135501</v>
      </c>
      <c r="C6" s="133">
        <v>4.2242859543265521</v>
      </c>
      <c r="D6" s="133">
        <v>4.2137632598150354</v>
      </c>
      <c r="E6" s="133">
        <v>4.5759742361430282</v>
      </c>
      <c r="F6" s="133">
        <v>4.8216081259523458</v>
      </c>
      <c r="G6" s="133">
        <v>4.2161676328820494</v>
      </c>
      <c r="H6" s="133">
        <v>4.9168291477861175</v>
      </c>
      <c r="I6" s="133">
        <v>5.4632585951232917</v>
      </c>
      <c r="J6" s="133">
        <v>2.9128343954596621</v>
      </c>
      <c r="K6" s="133">
        <v>1.5506003836203643</v>
      </c>
      <c r="L6" s="133">
        <v>7.2751034581169893</v>
      </c>
      <c r="M6" s="133">
        <v>5.7361887342814466</v>
      </c>
      <c r="N6" s="133">
        <v>6.9033752565131126</v>
      </c>
      <c r="O6" s="133">
        <v>4.8464838265048034</v>
      </c>
      <c r="P6" s="133">
        <v>5.043801280752092</v>
      </c>
      <c r="Q6" s="133">
        <v>6.1124849765866465</v>
      </c>
      <c r="R6" s="133">
        <v>5.2291015684827613</v>
      </c>
      <c r="S6" s="133">
        <v>6.1143413357635206</v>
      </c>
      <c r="T6" s="133">
        <v>8.0706769901384163</v>
      </c>
      <c r="U6" s="133">
        <v>8.1376921927304746</v>
      </c>
      <c r="V6" s="133">
        <v>6.2652722039731161</v>
      </c>
      <c r="W6" s="133">
        <v>7.2427889985932064</v>
      </c>
      <c r="DA6" s="157" t="s">
        <v>358</v>
      </c>
    </row>
    <row r="7" spans="1:105" ht="12" customHeight="1" x14ac:dyDescent="0.25">
      <c r="A7" s="132" t="s">
        <v>168</v>
      </c>
      <c r="B7" s="133">
        <v>39.650973213469236</v>
      </c>
      <c r="C7" s="133">
        <v>39.650973213469243</v>
      </c>
      <c r="D7" s="133">
        <v>45.941015946625832</v>
      </c>
      <c r="E7" s="133">
        <v>55.388675946625781</v>
      </c>
      <c r="F7" s="133">
        <v>58.53798222662585</v>
      </c>
      <c r="G7" s="133">
        <v>49.366764227756008</v>
      </c>
      <c r="H7" s="133">
        <v>39.945130147109765</v>
      </c>
      <c r="I7" s="133">
        <v>46.185199743704715</v>
      </c>
      <c r="J7" s="133">
        <v>46.174468987109769</v>
      </c>
      <c r="K7" s="133">
        <v>30.790626771303486</v>
      </c>
      <c r="L7" s="133">
        <v>49.56219344785584</v>
      </c>
      <c r="M7" s="133">
        <v>27.806327384708201</v>
      </c>
      <c r="N7" s="133">
        <v>49.82843468785584</v>
      </c>
      <c r="O7" s="133">
        <v>65.695367091303495</v>
      </c>
      <c r="P7" s="133">
        <v>72.173258127855817</v>
      </c>
      <c r="Q7" s="133">
        <v>87.772835576566649</v>
      </c>
      <c r="R7" s="133">
        <v>81.691316127855842</v>
      </c>
      <c r="S7" s="133">
        <v>69.770464200000035</v>
      </c>
      <c r="T7" s="133">
        <v>37.465463880000009</v>
      </c>
      <c r="U7" s="133">
        <v>35.887775040000015</v>
      </c>
      <c r="V7" s="133">
        <v>30.436743959999987</v>
      </c>
      <c r="W7" s="133">
        <v>32.24782908000001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2.0793722428155901</v>
      </c>
      <c r="C19" s="131">
        <f t="shared" si="6"/>
        <v>2.0976430692571939</v>
      </c>
      <c r="D19" s="131">
        <f t="shared" si="6"/>
        <v>2.0924178412658487</v>
      </c>
      <c r="E19" s="131">
        <f t="shared" si="6"/>
        <v>1.8114491158021326</v>
      </c>
      <c r="F19" s="131">
        <f t="shared" si="6"/>
        <v>1.6922201689637351</v>
      </c>
      <c r="G19" s="131">
        <f t="shared" si="6"/>
        <v>1.8630327475555044</v>
      </c>
      <c r="H19" s="131">
        <f t="shared" si="6"/>
        <v>4.7315472111352079</v>
      </c>
      <c r="I19" s="131">
        <f t="shared" si="6"/>
        <v>5.9373260204199694</v>
      </c>
      <c r="J19" s="131">
        <f t="shared" si="6"/>
        <v>5.5930910800577944</v>
      </c>
      <c r="K19" s="131">
        <f t="shared" si="6"/>
        <v>5.1936595010821058</v>
      </c>
      <c r="L19" s="131">
        <f t="shared" si="6"/>
        <v>2.5362080761190806</v>
      </c>
      <c r="M19" s="131">
        <f t="shared" si="6"/>
        <v>2.3559328168350002</v>
      </c>
      <c r="N19" s="131">
        <f t="shared" si="6"/>
        <v>1.7172409674084272</v>
      </c>
      <c r="O19" s="131">
        <f t="shared" si="6"/>
        <v>0.95811641012527848</v>
      </c>
      <c r="P19" s="131">
        <f t="shared" si="6"/>
        <v>0.75979704886940336</v>
      </c>
      <c r="Q19" s="131">
        <f t="shared" si="6"/>
        <v>0.65484327730560743</v>
      </c>
      <c r="R19" s="131">
        <f t="shared" ref="R19:W19" si="7">SUM(R20:R27)</f>
        <v>0.55455279810641223</v>
      </c>
      <c r="S19" s="131">
        <f t="shared" si="7"/>
        <v>0.67636673380403523</v>
      </c>
      <c r="T19" s="131">
        <f t="shared" si="7"/>
        <v>0.90440391681127841</v>
      </c>
      <c r="U19" s="131">
        <f t="shared" si="7"/>
        <v>0.91041064000750338</v>
      </c>
      <c r="V19" s="131">
        <f t="shared" si="7"/>
        <v>0.69809527389997439</v>
      </c>
      <c r="W19" s="131">
        <f t="shared" si="7"/>
        <v>0.76186901668852369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2.0793722428155901</v>
      </c>
      <c r="C21" s="133">
        <v>2.0976430692571939</v>
      </c>
      <c r="D21" s="133">
        <v>2.0924178412658487</v>
      </c>
      <c r="E21" s="133">
        <v>1.8114491158021326</v>
      </c>
      <c r="F21" s="133">
        <v>1.6922201689637351</v>
      </c>
      <c r="G21" s="133">
        <v>1.8630327475555044</v>
      </c>
      <c r="H21" s="133">
        <v>4.7315472111352079</v>
      </c>
      <c r="I21" s="133">
        <v>5.9373260204199694</v>
      </c>
      <c r="J21" s="133">
        <v>5.5930910800577944</v>
      </c>
      <c r="K21" s="133">
        <v>5.1936595010821058</v>
      </c>
      <c r="L21" s="133">
        <v>2.5362080761190806</v>
      </c>
      <c r="M21" s="133">
        <v>2.3559328168350002</v>
      </c>
      <c r="N21" s="133">
        <v>1.7172409674084272</v>
      </c>
      <c r="O21" s="133">
        <v>0.95811641012527848</v>
      </c>
      <c r="P21" s="133">
        <v>0.75979704886940336</v>
      </c>
      <c r="Q21" s="133">
        <v>0.65484327730560743</v>
      </c>
      <c r="R21" s="133">
        <v>0.55455279810641223</v>
      </c>
      <c r="S21" s="133">
        <v>0.67636673380403523</v>
      </c>
      <c r="T21" s="133">
        <v>0.90440391681127841</v>
      </c>
      <c r="U21" s="133">
        <v>0.91041064000750338</v>
      </c>
      <c r="V21" s="133">
        <v>0.69809527389997439</v>
      </c>
      <c r="W21" s="133">
        <v>0.76186901668852369</v>
      </c>
      <c r="DA21" s="157" t="s">
        <v>371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372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2.1602530702997971</v>
      </c>
      <c r="C29" s="131">
        <f t="shared" si="8"/>
        <v>2.1051879976671426</v>
      </c>
      <c r="D29" s="131">
        <f t="shared" si="8"/>
        <v>2.6476357448420895</v>
      </c>
      <c r="E29" s="131">
        <f t="shared" si="8"/>
        <v>2.5663934939778144</v>
      </c>
      <c r="F29" s="131">
        <f t="shared" si="8"/>
        <v>2.4399885510068922</v>
      </c>
      <c r="G29" s="131">
        <f t="shared" si="8"/>
        <v>2.6285238995624463</v>
      </c>
      <c r="H29" s="131">
        <f t="shared" si="8"/>
        <v>4.8646488810786739</v>
      </c>
      <c r="I29" s="131">
        <f t="shared" si="8"/>
        <v>6.0150911044567437</v>
      </c>
      <c r="J29" s="131">
        <f t="shared" si="8"/>
        <v>8.9097502444825487</v>
      </c>
      <c r="K29" s="131">
        <f t="shared" si="8"/>
        <v>13.573839155297536</v>
      </c>
      <c r="L29" s="131">
        <f t="shared" si="8"/>
        <v>10.506787505763938</v>
      </c>
      <c r="M29" s="131">
        <f t="shared" si="8"/>
        <v>12.225977488883565</v>
      </c>
      <c r="N29" s="131">
        <f t="shared" si="8"/>
        <v>11.69748281607847</v>
      </c>
      <c r="O29" s="131">
        <f t="shared" si="8"/>
        <v>11.611075483369925</v>
      </c>
      <c r="P29" s="131">
        <f t="shared" si="8"/>
        <v>11.612077390378504</v>
      </c>
      <c r="Q29" s="131">
        <f t="shared" si="8"/>
        <v>13.550770786107741</v>
      </c>
      <c r="R29" s="131">
        <f t="shared" ref="R29:W29" si="9">SUM(R30:R33)</f>
        <v>11.632021353410829</v>
      </c>
      <c r="S29" s="131">
        <f t="shared" si="9"/>
        <v>14.395369330432453</v>
      </c>
      <c r="T29" s="131">
        <f t="shared" si="9"/>
        <v>18.805678453050312</v>
      </c>
      <c r="U29" s="131">
        <f t="shared" si="9"/>
        <v>19.870500967262018</v>
      </c>
      <c r="V29" s="131">
        <f t="shared" si="9"/>
        <v>13.299758842126909</v>
      </c>
      <c r="W29" s="131">
        <f t="shared" si="9"/>
        <v>14.63274462471826</v>
      </c>
      <c r="DA29" s="156" t="s">
        <v>236</v>
      </c>
    </row>
    <row r="30" spans="1:105" ht="12" customHeight="1" x14ac:dyDescent="0.25">
      <c r="A30" s="132" t="s">
        <v>52</v>
      </c>
      <c r="B30" s="133">
        <v>2.1602530702997971</v>
      </c>
      <c r="C30" s="133">
        <v>2.1051879976671426</v>
      </c>
      <c r="D30" s="133">
        <v>2.6476357448420895</v>
      </c>
      <c r="E30" s="133">
        <v>2.5663934939778144</v>
      </c>
      <c r="F30" s="133">
        <v>2.4399885510068922</v>
      </c>
      <c r="G30" s="133">
        <v>2.6285238995624463</v>
      </c>
      <c r="H30" s="133">
        <v>4.8646488810786739</v>
      </c>
      <c r="I30" s="133">
        <v>6.0150911044567437</v>
      </c>
      <c r="J30" s="133">
        <v>8.9097502444825487</v>
      </c>
      <c r="K30" s="133">
        <v>13.573839155297536</v>
      </c>
      <c r="L30" s="133">
        <v>10.506787505763938</v>
      </c>
      <c r="M30" s="133">
        <v>12.225977488883565</v>
      </c>
      <c r="N30" s="133">
        <v>11.69748281607847</v>
      </c>
      <c r="O30" s="133">
        <v>11.611075483369925</v>
      </c>
      <c r="P30" s="133">
        <v>11.612077390378504</v>
      </c>
      <c r="Q30" s="133">
        <v>13.550770786107741</v>
      </c>
      <c r="R30" s="133">
        <v>11.632021353410829</v>
      </c>
      <c r="S30" s="133">
        <v>14.395369330432453</v>
      </c>
      <c r="T30" s="133">
        <v>18.805678453050312</v>
      </c>
      <c r="U30" s="133">
        <v>19.870500967262018</v>
      </c>
      <c r="V30" s="133">
        <v>13.299758842126909</v>
      </c>
      <c r="W30" s="133">
        <v>14.63274462471826</v>
      </c>
      <c r="DA30" s="157" t="s">
        <v>378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240065.99123999613</v>
      </c>
      <c r="C3" s="126">
        <f>IF(SER_hh_fec!C3=0,0,11630*1000*SER_hh_fec!C3/SER_hh_num!C3)</f>
        <v>242291.8509033735</v>
      </c>
      <c r="D3" s="126">
        <f>IF(SER_hh_fec!D3=0,0,11630*1000*SER_hh_fec!D3/SER_hh_num!D3)</f>
        <v>257093.35538518461</v>
      </c>
      <c r="E3" s="126">
        <f>IF(SER_hh_fec!E3=0,0,11630*1000*SER_hh_fec!E3/SER_hh_num!E3)</f>
        <v>283651.71277832577</v>
      </c>
      <c r="F3" s="126">
        <f>IF(SER_hh_fec!F3=0,0,11630*1000*SER_hh_fec!F3/SER_hh_num!F3)</f>
        <v>285032.77511984896</v>
      </c>
      <c r="G3" s="126">
        <f>IF(SER_hh_fec!G3=0,0,11630*1000*SER_hh_fec!G3/SER_hh_num!G3)</f>
        <v>304171.86104108277</v>
      </c>
      <c r="H3" s="126">
        <f>IF(SER_hh_fec!H3=0,0,11630*1000*SER_hh_fec!H3/SER_hh_num!H3)</f>
        <v>253981.16464071462</v>
      </c>
      <c r="I3" s="126">
        <f>IF(SER_hh_fec!I3=0,0,11630*1000*SER_hh_fec!I3/SER_hh_num!I3)</f>
        <v>255713.4385120417</v>
      </c>
      <c r="J3" s="126">
        <f>IF(SER_hh_fec!J3=0,0,11630*1000*SER_hh_fec!J3/SER_hh_num!J3)</f>
        <v>232846.61400138112</v>
      </c>
      <c r="K3" s="126">
        <f>IF(SER_hh_fec!K3=0,0,11630*1000*SER_hh_fec!K3/SER_hh_num!K3)</f>
        <v>206744.67970493657</v>
      </c>
      <c r="L3" s="126">
        <f>IF(SER_hh_fec!L3=0,0,11630*1000*SER_hh_fec!L3/SER_hh_num!L3)</f>
        <v>291757.96340074792</v>
      </c>
      <c r="M3" s="126">
        <f>IF(SER_hh_fec!M3=0,0,11630*1000*SER_hh_fec!M3/SER_hh_num!M3)</f>
        <v>271137.91590956942</v>
      </c>
      <c r="N3" s="126">
        <f>IF(SER_hh_fec!N3=0,0,11630*1000*SER_hh_fec!N3/SER_hh_num!N3)</f>
        <v>302986.57427342085</v>
      </c>
      <c r="O3" s="126">
        <f>IF(SER_hh_fec!O3=0,0,11630*1000*SER_hh_fec!O3/SER_hh_num!O3)</f>
        <v>307502.79784974107</v>
      </c>
      <c r="P3" s="126">
        <f>IF(SER_hh_fec!P3=0,0,11630*1000*SER_hh_fec!P3/SER_hh_num!P3)</f>
        <v>314965.53665708977</v>
      </c>
      <c r="Q3" s="126">
        <f>IF(SER_hh_fec!Q3=0,0,11630*1000*SER_hh_fec!Q3/SER_hh_num!Q3)</f>
        <v>339678.97428087879</v>
      </c>
      <c r="R3" s="126">
        <f>IF(SER_hh_fec!R3=0,0,11630*1000*SER_hh_fec!R3/SER_hh_num!R3)</f>
        <v>317621.65344587521</v>
      </c>
      <c r="S3" s="126">
        <f>IF(SER_hh_fec!S3=0,0,11630*1000*SER_hh_fec!S3/SER_hh_num!S3)</f>
        <v>322256.03274044348</v>
      </c>
      <c r="T3" s="126">
        <f>IF(SER_hh_fec!T3=0,0,11630*1000*SER_hh_fec!T3/SER_hh_num!T3)</f>
        <v>282371.40844700875</v>
      </c>
      <c r="U3" s="126">
        <f>IF(SER_hh_fec!U3=0,0,11630*1000*SER_hh_fec!U3/SER_hh_num!U3)</f>
        <v>280736.57599993353</v>
      </c>
      <c r="V3" s="126">
        <f>IF(SER_hh_fec!V3=0,0,11630*1000*SER_hh_fec!V3/SER_hh_num!V3)</f>
        <v>228257.00618143418</v>
      </c>
      <c r="W3" s="126">
        <f>IF(SER_hh_fec!W3=0,0,11630*1000*SER_hh_fec!W3/SER_hh_num!W3)</f>
        <v>237631.07197673991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108634.08902627775</v>
      </c>
      <c r="C4" s="131">
        <f>IF(SER_hh_fec!C4=0,0,11630*1000*SER_hh_fec!C4/SER_hh_num!C4)</f>
        <v>111090.58483820324</v>
      </c>
      <c r="D4" s="131">
        <f>IF(SER_hh_fec!D4=0,0,11630*1000*SER_hh_fec!D4/SER_hh_num!D4)</f>
        <v>128554.03639863398</v>
      </c>
      <c r="E4" s="131">
        <f>IF(SER_hh_fec!E4=0,0,11630*1000*SER_hh_fec!E4/SER_hh_num!E4)</f>
        <v>144732.78570009209</v>
      </c>
      <c r="F4" s="131">
        <f>IF(SER_hh_fec!F4=0,0,11630*1000*SER_hh_fec!F4/SER_hh_num!F4)</f>
        <v>156945.44284418979</v>
      </c>
      <c r="G4" s="131">
        <f>IF(SER_hh_fec!G4=0,0,11630*1000*SER_hh_fec!G4/SER_hh_num!G4)</f>
        <v>178822.94553867084</v>
      </c>
      <c r="H4" s="131">
        <f>IF(SER_hh_fec!H4=0,0,11630*1000*SER_hh_fec!H4/SER_hh_num!H4)</f>
        <v>123432.88725412723</v>
      </c>
      <c r="I4" s="131">
        <f>IF(SER_hh_fec!I4=0,0,11630*1000*SER_hh_fec!I4/SER_hh_num!I4)</f>
        <v>126081.82449765703</v>
      </c>
      <c r="J4" s="131">
        <f>IF(SER_hh_fec!J4=0,0,11630*1000*SER_hh_fec!J4/SER_hh_num!J4)</f>
        <v>109155.33908607476</v>
      </c>
      <c r="K4" s="131">
        <f>IF(SER_hh_fec!K4=0,0,11630*1000*SER_hh_fec!K4/SER_hh_num!K4)</f>
        <v>79347.481881623462</v>
      </c>
      <c r="L4" s="131">
        <f>IF(SER_hh_fec!L4=0,0,11630*1000*SER_hh_fec!L4/SER_hh_num!L4)</f>
        <v>167777.33214935855</v>
      </c>
      <c r="M4" s="131">
        <f>IF(SER_hh_fec!M4=0,0,11630*1000*SER_hh_fec!M4/SER_hh_num!M4)</f>
        <v>145779.22499285275</v>
      </c>
      <c r="N4" s="131">
        <f>IF(SER_hh_fec!N4=0,0,11630*1000*SER_hh_fec!N4/SER_hh_num!N4)</f>
        <v>171257.55030591672</v>
      </c>
      <c r="O4" s="131">
        <f>IF(SER_hh_fec!O4=0,0,11630*1000*SER_hh_fec!O4/SER_hh_num!O4)</f>
        <v>184181.27233627674</v>
      </c>
      <c r="P4" s="131">
        <f>IF(SER_hh_fec!P4=0,0,11630*1000*SER_hh_fec!P4/SER_hh_num!P4)</f>
        <v>192535.96791564039</v>
      </c>
      <c r="Q4" s="131">
        <f>IF(SER_hh_fec!Q4=0,0,11630*1000*SER_hh_fec!Q4/SER_hh_num!Q4)</f>
        <v>216855.0056091788</v>
      </c>
      <c r="R4" s="131">
        <f>IF(SER_hh_fec!R4=0,0,11630*1000*SER_hh_fec!R4/SER_hh_num!R4)</f>
        <v>200015.28047505204</v>
      </c>
      <c r="S4" s="131">
        <f>IF(SER_hh_fec!S4=0,0,11630*1000*SER_hh_fec!S4/SER_hh_num!S4)</f>
        <v>203720.06993247164</v>
      </c>
      <c r="T4" s="131">
        <f>IF(SER_hh_fec!T4=0,0,11630*1000*SER_hh_fec!T4/SER_hh_num!T4)</f>
        <v>165787.5061930847</v>
      </c>
      <c r="U4" s="131">
        <f>IF(SER_hh_fec!U4=0,0,11630*1000*SER_hh_fec!U4/SER_hh_num!U4)</f>
        <v>159410.82218070835</v>
      </c>
      <c r="V4" s="131">
        <f>IF(SER_hh_fec!V4=0,0,11630*1000*SER_hh_fec!V4/SER_hh_num!V4)</f>
        <v>121048.81994857961</v>
      </c>
      <c r="W4" s="131">
        <f>IF(SER_hh_fec!W4=0,0,11630*1000*SER_hh_fec!W4/SER_hh_num!W4)</f>
        <v>124197.310834039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113464.3150212555</v>
      </c>
      <c r="C6" s="133">
        <f>IF(SER_hh_fec!C6=0,0,11630*1000*SER_hh_fec!C6/SER_hh_num!C6)</f>
        <v>120231.16823847557</v>
      </c>
      <c r="D6" s="133">
        <f>IF(SER_hh_fec!D6=0,0,11630*1000*SER_hh_fec!D6/SER_hh_num!D6)</f>
        <v>123059.22543771313</v>
      </c>
      <c r="E6" s="133">
        <f>IF(SER_hh_fec!E6=0,0,11630*1000*SER_hh_fec!E6/SER_hh_num!E6)</f>
        <v>139751.56710573542</v>
      </c>
      <c r="F6" s="133">
        <f>IF(SER_hh_fec!F6=0,0,11630*1000*SER_hh_fec!F6/SER_hh_num!F6)</f>
        <v>146270.59168096413</v>
      </c>
      <c r="G6" s="133">
        <f>IF(SER_hh_fec!G6=0,0,11630*1000*SER_hh_fec!G6/SER_hh_num!G6)</f>
        <v>125951.75223225684</v>
      </c>
      <c r="H6" s="133">
        <f>IF(SER_hh_fec!H6=0,0,11630*1000*SER_hh_fec!H6/SER_hh_num!H6)</f>
        <v>144193.82004239596</v>
      </c>
      <c r="I6" s="133">
        <f>IF(SER_hh_fec!I6=0,0,11630*1000*SER_hh_fec!I6/SER_hh_num!I6)</f>
        <v>162043.69109259162</v>
      </c>
      <c r="J6" s="133">
        <f>IF(SER_hh_fec!J6=0,0,11630*1000*SER_hh_fec!J6/SER_hh_num!J6)</f>
        <v>86977.088433809957</v>
      </c>
      <c r="K6" s="133">
        <f>IF(SER_hh_fec!K6=0,0,11630*1000*SER_hh_fec!K6/SER_hh_num!K6)</f>
        <v>45290.228741948442</v>
      </c>
      <c r="L6" s="133">
        <f>IF(SER_hh_fec!L6=0,0,11630*1000*SER_hh_fec!L6/SER_hh_num!L6)</f>
        <v>202807.53129210981</v>
      </c>
      <c r="M6" s="133">
        <f>IF(SER_hh_fec!M6=0,0,11630*1000*SER_hh_fec!M6/SER_hh_num!M6)</f>
        <v>154190.20106180166</v>
      </c>
      <c r="N6" s="133">
        <f>IF(SER_hh_fec!N6=0,0,11630*1000*SER_hh_fec!N6/SER_hh_num!N6)</f>
        <v>189989.12124125281</v>
      </c>
      <c r="O6" s="133">
        <f>IF(SER_hh_fec!O6=0,0,11630*1000*SER_hh_fec!O6/SER_hh_num!O6)</f>
        <v>148339.23541872945</v>
      </c>
      <c r="P6" s="133">
        <f>IF(SER_hh_fec!P6=0,0,11630*1000*SER_hh_fec!P6/SER_hh_num!P6)</f>
        <v>157672.20135799181</v>
      </c>
      <c r="Q6" s="133">
        <f>IF(SER_hh_fec!Q6=0,0,11630*1000*SER_hh_fec!Q6/SER_hh_num!Q6)</f>
        <v>190310.59660839563</v>
      </c>
      <c r="R6" s="133">
        <f>IF(SER_hh_fec!R6=0,0,11630*1000*SER_hh_fec!R6/SER_hh_num!R6)</f>
        <v>158893.24236554661</v>
      </c>
      <c r="S6" s="133">
        <f>IF(SER_hh_fec!S6=0,0,11630*1000*SER_hh_fec!S6/SER_hh_num!S6)</f>
        <v>171069.12531781476</v>
      </c>
      <c r="T6" s="133">
        <f>IF(SER_hh_fec!T6=0,0,11630*1000*SER_hh_fec!T6/SER_hh_num!T6)</f>
        <v>195168.17254395588</v>
      </c>
      <c r="U6" s="133">
        <f>IF(SER_hh_fec!U6=0,0,11630*1000*SER_hh_fec!U6/SER_hh_num!U6)</f>
        <v>175982.76623608658</v>
      </c>
      <c r="V6" s="133">
        <f>IF(SER_hh_fec!V6=0,0,11630*1000*SER_hh_fec!V6/SER_hh_num!V6)</f>
        <v>129328.46704107043</v>
      </c>
      <c r="W6" s="133">
        <f>IF(SER_hh_fec!W6=0,0,11630*1000*SER_hh_fec!W6/SER_hh_num!W6)</f>
        <v>144771.09351804678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111002.76556825155</v>
      </c>
      <c r="C7" s="133">
        <f>IF(SER_hh_fec!C7=0,0,11630*1000*SER_hh_fec!C7/SER_hh_num!C7)</f>
        <v>108146.08788248364</v>
      </c>
      <c r="D7" s="133">
        <f>IF(SER_hh_fec!D7=0,0,11630*1000*SER_hh_fec!D7/SER_hh_num!D7)</f>
        <v>123982.0941844918</v>
      </c>
      <c r="E7" s="133">
        <f>IF(SER_hh_fec!E7=0,0,11630*1000*SER_hh_fec!E7/SER_hh_num!E7)</f>
        <v>153264.53270200751</v>
      </c>
      <c r="F7" s="133">
        <f>IF(SER_hh_fec!F7=0,0,11630*1000*SER_hh_fec!F7/SER_hh_num!F7)</f>
        <v>174417.81196514057</v>
      </c>
      <c r="G7" s="133">
        <f>IF(SER_hh_fec!G7=0,0,11630*1000*SER_hh_fec!G7/SER_hh_num!G7)</f>
        <v>152145.70865813104</v>
      </c>
      <c r="H7" s="133">
        <f>IF(SER_hh_fec!H7=0,0,11630*1000*SER_hh_fec!H7/SER_hh_num!H7)</f>
        <v>120120.35784404491</v>
      </c>
      <c r="I7" s="133">
        <f>IF(SER_hh_fec!I7=0,0,11630*1000*SER_hh_fec!I7/SER_hh_num!I7)</f>
        <v>131958.10106399871</v>
      </c>
      <c r="J7" s="133">
        <f>IF(SER_hh_fec!J7=0,0,11630*1000*SER_hh_fec!J7/SER_hh_num!J7)</f>
        <v>121546.86923889244</v>
      </c>
      <c r="K7" s="133">
        <f>IF(SER_hh_fec!K7=0,0,11630*1000*SER_hh_fec!K7/SER_hh_num!K7)</f>
        <v>90643.307428819477</v>
      </c>
      <c r="L7" s="133">
        <f>IF(SER_hh_fec!L7=0,0,11630*1000*SER_hh_fec!L7/SER_hh_num!L7)</f>
        <v>168193.01073889912</v>
      </c>
      <c r="M7" s="133">
        <f>IF(SER_hh_fec!M7=0,0,11630*1000*SER_hh_fec!M7/SER_hh_num!M7)</f>
        <v>98395.580246421407</v>
      </c>
      <c r="N7" s="133">
        <f>IF(SER_hh_fec!N7=0,0,11630*1000*SER_hh_fec!N7/SER_hh_num!N7)</f>
        <v>159129.04061909224</v>
      </c>
      <c r="O7" s="133">
        <f>IF(SER_hh_fec!O7=0,0,11630*1000*SER_hh_fec!O7/SER_hh_num!O7)</f>
        <v>200815.28722287316</v>
      </c>
      <c r="P7" s="133">
        <f>IF(SER_hh_fec!P7=0,0,11630*1000*SER_hh_fec!P7/SER_hh_num!P7)</f>
        <v>200507.49104374411</v>
      </c>
      <c r="Q7" s="133">
        <f>IF(SER_hh_fec!Q7=0,0,11630*1000*SER_hh_fec!Q7/SER_hh_num!Q7)</f>
        <v>235879.02170696159</v>
      </c>
      <c r="R7" s="133">
        <f>IF(SER_hh_fec!R7=0,0,11630*1000*SER_hh_fec!R7/SER_hh_num!R7)</f>
        <v>230935.75619103972</v>
      </c>
      <c r="S7" s="133">
        <f>IF(SER_hh_fec!S7=0,0,11630*1000*SER_hh_fec!S7/SER_hh_num!S7)</f>
        <v>225845.65246508192</v>
      </c>
      <c r="T7" s="133">
        <f>IF(SER_hh_fec!T7=0,0,11630*1000*SER_hh_fec!T7/SER_hh_num!T7)</f>
        <v>149522.76409995908</v>
      </c>
      <c r="U7" s="133">
        <f>IF(SER_hh_fec!U7=0,0,11630*1000*SER_hh_fec!U7/SER_hh_num!U7)</f>
        <v>162748.272608275</v>
      </c>
      <c r="V7" s="133">
        <f>IF(SER_hh_fec!V7=0,0,11630*1000*SER_hh_fec!V7/SER_hh_num!V7)</f>
        <v>143496.05812009735</v>
      </c>
      <c r="W7" s="133">
        <f>IF(SER_hh_fec!W7=0,0,11630*1000*SER_hh_fec!W7/SER_hh_num!W7)</f>
        <v>152092.43647948027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0</v>
      </c>
      <c r="C9" s="133">
        <f>IF(SER_hh_fec!C9=0,0,11630*1000*SER_hh_fec!C9/SER_hh_num!C9)</f>
        <v>0</v>
      </c>
      <c r="D9" s="133">
        <f>IF(SER_hh_fec!D9=0,0,11630*1000*SER_hh_fec!D9/SER_hh_num!D9)</f>
        <v>0</v>
      </c>
      <c r="E9" s="133">
        <f>IF(SER_hh_fec!E9=0,0,11630*1000*SER_hh_fec!E9/SER_hh_num!E9)</f>
        <v>0</v>
      </c>
      <c r="F9" s="133">
        <f>IF(SER_hh_fec!F9=0,0,11630*1000*SER_hh_fec!F9/SER_hh_num!F9)</f>
        <v>0</v>
      </c>
      <c r="G9" s="133">
        <f>IF(SER_hh_fec!G9=0,0,11630*1000*SER_hh_fec!G9/SER_hh_num!G9)</f>
        <v>0</v>
      </c>
      <c r="H9" s="133">
        <f>IF(SER_hh_fec!H9=0,0,11630*1000*SER_hh_fec!H9/SER_hh_num!H9)</f>
        <v>0</v>
      </c>
      <c r="I9" s="133">
        <f>IF(SER_hh_fec!I9=0,0,11630*1000*SER_hh_fec!I9/SER_hh_num!I9)</f>
        <v>0</v>
      </c>
      <c r="J9" s="133">
        <f>IF(SER_hh_fec!J9=0,0,11630*1000*SER_hh_fec!J9/SER_hh_num!J9)</f>
        <v>0</v>
      </c>
      <c r="K9" s="133">
        <f>IF(SER_hh_fec!K9=0,0,11630*1000*SER_hh_fec!K9/SER_hh_num!K9)</f>
        <v>0</v>
      </c>
      <c r="L9" s="133">
        <f>IF(SER_hh_fec!L9=0,0,11630*1000*SER_hh_fec!L9/SER_hh_num!L9)</f>
        <v>0</v>
      </c>
      <c r="M9" s="133">
        <f>IF(SER_hh_fec!M9=0,0,11630*1000*SER_hh_fec!M9/SER_hh_num!M9)</f>
        <v>157763.69919823599</v>
      </c>
      <c r="N9" s="133">
        <f>IF(SER_hh_fec!N9=0,0,11630*1000*SER_hh_fec!N9/SER_hh_num!N9)</f>
        <v>179757.77906442524</v>
      </c>
      <c r="O9" s="133">
        <f>IF(SER_hh_fec!O9=0,0,11630*1000*SER_hh_fec!O9/SER_hh_num!O9)</f>
        <v>131053.97065511921</v>
      </c>
      <c r="P9" s="133">
        <f>IF(SER_hh_fec!P9=0,0,11630*1000*SER_hh_fec!P9/SER_hh_num!P9)</f>
        <v>156866.85240049753</v>
      </c>
      <c r="Q9" s="133">
        <f>IF(SER_hh_fec!Q9=0,0,11630*1000*SER_hh_fec!Q9/SER_hh_num!Q9)</f>
        <v>156395.46087032623</v>
      </c>
      <c r="R9" s="133">
        <f>IF(SER_hh_fec!R9=0,0,11630*1000*SER_hh_fec!R9/SER_hh_num!R9)</f>
        <v>189878.70666044301</v>
      </c>
      <c r="S9" s="133">
        <f>IF(SER_hh_fec!S9=0,0,11630*1000*SER_hh_fec!S9/SER_hh_num!S9)</f>
        <v>155768.92232646156</v>
      </c>
      <c r="T9" s="133">
        <f>IF(SER_hh_fec!T9=0,0,11630*1000*SER_hh_fec!T9/SER_hh_num!T9)</f>
        <v>122522.7107105296</v>
      </c>
      <c r="U9" s="133">
        <f>IF(SER_hh_fec!U9=0,0,11630*1000*SER_hh_fec!U9/SER_hh_num!U9)</f>
        <v>172211.46144223798</v>
      </c>
      <c r="V9" s="133">
        <f>IF(SER_hh_fec!V9=0,0,11630*1000*SER_hh_fec!V9/SER_hh_num!V9)</f>
        <v>127733.78591147934</v>
      </c>
      <c r="W9" s="133">
        <f>IF(SER_hh_fec!W9=0,0,11630*1000*SER_hh_fec!W9/SER_hh_num!W9)</f>
        <v>94904.576393326046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0</v>
      </c>
      <c r="J10" s="133">
        <f>IF(SER_hh_fec!J10=0,0,11630*1000*SER_hh_fec!J10/SER_hh_num!J10)</f>
        <v>0</v>
      </c>
      <c r="K10" s="133">
        <f>IF(SER_hh_fec!K10=0,0,11630*1000*SER_hh_fec!K10/SER_hh_num!K10)</f>
        <v>0</v>
      </c>
      <c r="L10" s="133">
        <f>IF(SER_hh_fec!L10=0,0,11630*1000*SER_hh_fec!L10/SER_hh_num!L10)</f>
        <v>0</v>
      </c>
      <c r="M10" s="133">
        <f>IF(SER_hh_fec!M10=0,0,11630*1000*SER_hh_fec!M10/SER_hh_num!M10)</f>
        <v>0</v>
      </c>
      <c r="N10" s="133">
        <f>IF(SER_hh_fec!N10=0,0,11630*1000*SER_hh_fec!N10/SER_hh_num!N10)</f>
        <v>0</v>
      </c>
      <c r="O10" s="133">
        <f>IF(SER_hh_fec!O10=0,0,11630*1000*SER_hh_fec!O10/SER_hh_num!O10)</f>
        <v>0</v>
      </c>
      <c r="P10" s="133">
        <f>IF(SER_hh_fec!P10=0,0,11630*1000*SER_hh_fec!P10/SER_hh_num!P10)</f>
        <v>0</v>
      </c>
      <c r="Q10" s="133">
        <f>IF(SER_hh_fec!Q10=0,0,11630*1000*SER_hh_fec!Q10/SER_hh_num!Q10)</f>
        <v>0</v>
      </c>
      <c r="R10" s="133">
        <f>IF(SER_hh_fec!R10=0,0,11630*1000*SER_hh_fec!R10/SER_hh_num!R10)</f>
        <v>0</v>
      </c>
      <c r="S10" s="133">
        <f>IF(SER_hh_fec!S10=0,0,11630*1000*SER_hh_fec!S10/SER_hh_num!S10)</f>
        <v>0</v>
      </c>
      <c r="T10" s="133">
        <f>IF(SER_hh_fec!T10=0,0,11630*1000*SER_hh_fec!T10/SER_hh_num!T10)</f>
        <v>0</v>
      </c>
      <c r="U10" s="133">
        <f>IF(SER_hh_fec!U10=0,0,11630*1000*SER_hh_fec!U10/SER_hh_num!U10)</f>
        <v>0</v>
      </c>
      <c r="V10" s="133">
        <f>IF(SER_hh_fec!V10=0,0,11630*1000*SER_hh_fec!V10/SER_hh_num!V10)</f>
        <v>0</v>
      </c>
      <c r="W10" s="133">
        <f>IF(SER_hh_fec!W10=0,0,11630*1000*SER_hh_fec!W10/SER_hh_num!W10)</f>
        <v>0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181941.68167668619</v>
      </c>
      <c r="N12" s="133">
        <f>IF(SER_hh_fec!N12=0,0,11630*1000*SER_hh_fec!N12/SER_hh_num!N12)</f>
        <v>293492.78747186635</v>
      </c>
      <c r="O12" s="133">
        <f>IF(SER_hh_fec!O12=0,0,11630*1000*SER_hh_fec!O12/SER_hh_num!O12)</f>
        <v>41093.083196711988</v>
      </c>
      <c r="P12" s="133">
        <f>IF(SER_hh_fec!P12=0,0,11630*1000*SER_hh_fec!P12/SER_hh_num!P12)</f>
        <v>49240.839737555085</v>
      </c>
      <c r="Q12" s="133">
        <f>IF(SER_hh_fec!Q12=0,0,11630*1000*SER_hh_fec!Q12/SER_hh_num!Q12)</f>
        <v>356713.65989638824</v>
      </c>
      <c r="R12" s="133">
        <f>IF(SER_hh_fec!R12=0,0,11630*1000*SER_hh_fec!R12/SER_hh_num!R12)</f>
        <v>220775.6247051458</v>
      </c>
      <c r="S12" s="133">
        <f>IF(SER_hh_fec!S12=0,0,11630*1000*SER_hh_fec!S12/SER_hh_num!S12)</f>
        <v>49824.183481843953</v>
      </c>
      <c r="T12" s="133">
        <f>IF(SER_hh_fec!T12=0,0,11630*1000*SER_hh_fec!T12/SER_hh_num!T12)</f>
        <v>94686.208795439336</v>
      </c>
      <c r="U12" s="133">
        <f>IF(SER_hh_fec!U12=0,0,11630*1000*SER_hh_fec!U12/SER_hh_num!U12)</f>
        <v>308786.73195705109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38436.949138558884</v>
      </c>
      <c r="C13" s="133">
        <f>IF(SER_hh_fec!C13=0,0,11630*1000*SER_hh_fec!C13/SER_hh_num!C13)</f>
        <v>49939.276853426883</v>
      </c>
      <c r="D13" s="133">
        <f>IF(SER_hh_fec!D13=0,0,11630*1000*SER_hh_fec!D13/SER_hh_num!D13)</f>
        <v>51875.64242313955</v>
      </c>
      <c r="E13" s="133">
        <f>IF(SER_hh_fec!E13=0,0,11630*1000*SER_hh_fec!E13/SER_hh_num!E13)</f>
        <v>58282.909393581082</v>
      </c>
      <c r="F13" s="133">
        <f>IF(SER_hh_fec!F13=0,0,11630*1000*SER_hh_fec!F13/SER_hh_num!F13)</f>
        <v>49452.237599544715</v>
      </c>
      <c r="G13" s="133">
        <f>IF(SER_hh_fec!G13=0,0,11630*1000*SER_hh_fec!G13/SER_hh_num!G13)</f>
        <v>48246.824842619564</v>
      </c>
      <c r="H13" s="133">
        <f>IF(SER_hh_fec!H13=0,0,11630*1000*SER_hh_fec!H13/SER_hh_num!H13)</f>
        <v>35795.880950531937</v>
      </c>
      <c r="I13" s="133">
        <f>IF(SER_hh_fec!I13=0,0,11630*1000*SER_hh_fec!I13/SER_hh_num!I13)</f>
        <v>32736.273224358236</v>
      </c>
      <c r="J13" s="133">
        <f>IF(SER_hh_fec!J13=0,0,11630*1000*SER_hh_fec!J13/SER_hh_num!J13)</f>
        <v>34673.537065088254</v>
      </c>
      <c r="K13" s="133">
        <f>IF(SER_hh_fec!K13=0,0,11630*1000*SER_hh_fec!K13/SER_hh_num!K13)</f>
        <v>36591.454989354039</v>
      </c>
      <c r="L13" s="133">
        <f>IF(SER_hh_fec!L13=0,0,11630*1000*SER_hh_fec!L13/SER_hh_num!L13)</f>
        <v>37977.06726675509</v>
      </c>
      <c r="M13" s="133">
        <f>IF(SER_hh_fec!M13=0,0,11630*1000*SER_hh_fec!M13/SER_hh_num!M13)</f>
        <v>44686.409183307587</v>
      </c>
      <c r="N13" s="133">
        <f>IF(SER_hh_fec!N13=0,0,11630*1000*SER_hh_fec!N13/SER_hh_num!N13)</f>
        <v>51453.187528094473</v>
      </c>
      <c r="O13" s="133">
        <f>IF(SER_hh_fec!O13=0,0,11630*1000*SER_hh_fec!O13/SER_hh_num!O13)</f>
        <v>51238.373523073045</v>
      </c>
      <c r="P13" s="133">
        <f>IF(SER_hh_fec!P13=0,0,11630*1000*SER_hh_fec!P13/SER_hh_num!P13)</f>
        <v>56624.419751812755</v>
      </c>
      <c r="Q13" s="133">
        <f>IF(SER_hh_fec!Q13=0,0,11630*1000*SER_hh_fec!Q13/SER_hh_num!Q13)</f>
        <v>60680.135502634788</v>
      </c>
      <c r="R13" s="133">
        <f>IF(SER_hh_fec!R13=0,0,11630*1000*SER_hh_fec!R13/SER_hh_num!R13)</f>
        <v>55414.927474207449</v>
      </c>
      <c r="S13" s="133">
        <f>IF(SER_hh_fec!S13=0,0,11630*1000*SER_hh_fec!S13/SER_hh_num!S13)</f>
        <v>51490.417353032331</v>
      </c>
      <c r="T13" s="133">
        <f>IF(SER_hh_fec!T13=0,0,11630*1000*SER_hh_fec!T13/SER_hh_num!T13)</f>
        <v>43991.035199934151</v>
      </c>
      <c r="U13" s="133">
        <f>IF(SER_hh_fec!U13=0,0,11630*1000*SER_hh_fec!U13/SER_hh_num!U13)</f>
        <v>36632.094213316544</v>
      </c>
      <c r="V13" s="133">
        <f>IF(SER_hh_fec!V13=0,0,11630*1000*SER_hh_fec!V13/SER_hh_num!V13)</f>
        <v>34056.264765887172</v>
      </c>
      <c r="W13" s="133">
        <f>IF(SER_hh_fec!W13=0,0,11630*1000*SER_hh_fec!W13/SER_hh_num!W13)</f>
        <v>34153.166498452592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100605.34194358093</v>
      </c>
      <c r="C14" s="65">
        <f>IF(SER_hh_fec!C14=0,0,11630*1000*SER_hh_fec!C14/SER_hh_num!C14)</f>
        <v>113296.52352629138</v>
      </c>
      <c r="D14" s="65">
        <f>IF(SER_hh_fec!D14=0,0,11630*1000*SER_hh_fec!D14/SER_hh_num!D14)</f>
        <v>137157.55932555062</v>
      </c>
      <c r="E14" s="65">
        <f>IF(SER_hh_fec!E14=0,0,11630*1000*SER_hh_fec!E14/SER_hh_num!E14)</f>
        <v>131131.02524739862</v>
      </c>
      <c r="F14" s="65">
        <f>IF(SER_hh_fec!F14=0,0,11630*1000*SER_hh_fec!F14/SER_hh_num!F14)</f>
        <v>135943.47995613559</v>
      </c>
      <c r="G14" s="65">
        <f>IF(SER_hh_fec!G14=0,0,11630*1000*SER_hh_fec!G14/SER_hh_num!G14)</f>
        <v>218434.41622088468</v>
      </c>
      <c r="H14" s="65">
        <f>IF(SER_hh_fec!H14=0,0,11630*1000*SER_hh_fec!H14/SER_hh_num!H14)</f>
        <v>129333.07385390023</v>
      </c>
      <c r="I14" s="65">
        <f>IF(SER_hh_fec!I14=0,0,11630*1000*SER_hh_fec!I14/SER_hh_num!I14)</f>
        <v>124593.931362793</v>
      </c>
      <c r="J14" s="65">
        <f>IF(SER_hh_fec!J14=0,0,11630*1000*SER_hh_fec!J14/SER_hh_num!J14)</f>
        <v>108228.17499344349</v>
      </c>
      <c r="K14" s="65">
        <f>IF(SER_hh_fec!K14=0,0,11630*1000*SER_hh_fec!K14/SER_hh_num!K14)</f>
        <v>78876.055315176505</v>
      </c>
      <c r="L14" s="65">
        <f>IF(SER_hh_fec!L14=0,0,11630*1000*SER_hh_fec!L14/SER_hh_num!L14)</f>
        <v>182874.55028155912</v>
      </c>
      <c r="M14" s="65">
        <f>IF(SER_hh_fec!M14=0,0,11630*1000*SER_hh_fec!M14/SER_hh_num!M14)</f>
        <v>193921.01325383305</v>
      </c>
      <c r="N14" s="65">
        <f>IF(SER_hh_fec!N14=0,0,11630*1000*SER_hh_fec!N14/SER_hh_num!N14)</f>
        <v>196053.78259796713</v>
      </c>
      <c r="O14" s="65">
        <f>IF(SER_hh_fec!O14=0,0,11630*1000*SER_hh_fec!O14/SER_hh_num!O14)</f>
        <v>199392.91690466314</v>
      </c>
      <c r="P14" s="65">
        <f>IF(SER_hh_fec!P14=0,0,11630*1000*SER_hh_fec!P14/SER_hh_num!P14)</f>
        <v>217660.63371907131</v>
      </c>
      <c r="Q14" s="65">
        <f>IF(SER_hh_fec!Q14=0,0,11630*1000*SER_hh_fec!Q14/SER_hh_num!Q14)</f>
        <v>238475.63228134284</v>
      </c>
      <c r="R14" s="65">
        <f>IF(SER_hh_fec!R14=0,0,11630*1000*SER_hh_fec!R14/SER_hh_num!R14)</f>
        <v>213620.66232868982</v>
      </c>
      <c r="S14" s="65">
        <f>IF(SER_hh_fec!S14=0,0,11630*1000*SER_hh_fec!S14/SER_hh_num!S14)</f>
        <v>231687.01184216919</v>
      </c>
      <c r="T14" s="65">
        <f>IF(SER_hh_fec!T14=0,0,11630*1000*SER_hh_fec!T14/SER_hh_num!T14)</f>
        <v>205087.98029252066</v>
      </c>
      <c r="U14" s="65">
        <f>IF(SER_hh_fec!U14=0,0,11630*1000*SER_hh_fec!U14/SER_hh_num!U14)</f>
        <v>194162.0813934053</v>
      </c>
      <c r="V14" s="65">
        <f>IF(SER_hh_fec!V14=0,0,11630*1000*SER_hh_fec!V14/SER_hh_num!V14)</f>
        <v>145591.13640923009</v>
      </c>
      <c r="W14" s="65">
        <f>IF(SER_hh_fec!W14=0,0,11630*1000*SER_hh_fec!W14/SER_hh_num!W14)</f>
        <v>152729.28347414659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1224.4699050535528</v>
      </c>
      <c r="C15" s="135">
        <f>IF(SER_hh_fec!C15=0,0,11630*1000*SER_hh_fec!C15/SER_hh_num!C15)</f>
        <v>1193.8756774017781</v>
      </c>
      <c r="D15" s="135">
        <f>IF(SER_hh_fec!D15=0,0,11630*1000*SER_hh_fec!D15/SER_hh_num!D15)</f>
        <v>1342.4401098661849</v>
      </c>
      <c r="E15" s="135">
        <f>IF(SER_hh_fec!E15=0,0,11630*1000*SER_hh_fec!E15/SER_hh_num!E15)</f>
        <v>1630.2070189339265</v>
      </c>
      <c r="F15" s="135">
        <f>IF(SER_hh_fec!F15=0,0,11630*1000*SER_hh_fec!F15/SER_hh_num!F15)</f>
        <v>1820.2109441979483</v>
      </c>
      <c r="G15" s="135">
        <f>IF(SER_hh_fec!G15=0,0,11630*1000*SER_hh_fec!G15/SER_hh_num!G15)</f>
        <v>1564.2711004874964</v>
      </c>
      <c r="H15" s="135">
        <f>IF(SER_hh_fec!H15=0,0,11630*1000*SER_hh_fec!H15/SER_hh_num!H15)</f>
        <v>1284.3225450611183</v>
      </c>
      <c r="I15" s="135">
        <f>IF(SER_hh_fec!I15=0,0,11630*1000*SER_hh_fec!I15/SER_hh_num!I15)</f>
        <v>1416.9237413654905</v>
      </c>
      <c r="J15" s="135">
        <f>IF(SER_hh_fec!J15=0,0,11630*1000*SER_hh_fec!J15/SER_hh_num!J15)</f>
        <v>1242.8052478950156</v>
      </c>
      <c r="K15" s="135">
        <f>IF(SER_hh_fec!K15=0,0,11630*1000*SER_hh_fec!K15/SER_hh_num!K15)</f>
        <v>897.94920683096973</v>
      </c>
      <c r="L15" s="135">
        <f>IF(SER_hh_fec!L15=0,0,11630*1000*SER_hh_fec!L15/SER_hh_num!L15)</f>
        <v>1813.0852491315566</v>
      </c>
      <c r="M15" s="135">
        <f>IF(SER_hh_fec!M15=0,0,11630*1000*SER_hh_fec!M15/SER_hh_num!M15)</f>
        <v>1167.4187071078265</v>
      </c>
      <c r="N15" s="135">
        <f>IF(SER_hh_fec!N15=0,0,11630*1000*SER_hh_fec!N15/SER_hh_num!N15)</f>
        <v>1799.4970383359512</v>
      </c>
      <c r="O15" s="135">
        <f>IF(SER_hh_fec!O15=0,0,11630*1000*SER_hh_fec!O15/SER_hh_num!O15)</f>
        <v>2148.354082626387</v>
      </c>
      <c r="P15" s="135">
        <f>IF(SER_hh_fec!P15=0,0,11630*1000*SER_hh_fec!P15/SER_hh_num!P15)</f>
        <v>2193.0635535999431</v>
      </c>
      <c r="Q15" s="135">
        <f>IF(SER_hh_fec!Q15=0,0,11630*1000*SER_hh_fec!Q15/SER_hh_num!Q15)</f>
        <v>2588.7612121845855</v>
      </c>
      <c r="R15" s="135">
        <f>IF(SER_hh_fec!R15=0,0,11630*1000*SER_hh_fec!R15/SER_hh_num!R15)</f>
        <v>2522.3136727737656</v>
      </c>
      <c r="S15" s="135">
        <f>IF(SER_hh_fec!S15=0,0,11630*1000*SER_hh_fec!S15/SER_hh_num!S15)</f>
        <v>2463.5682135213369</v>
      </c>
      <c r="T15" s="135">
        <f>IF(SER_hh_fec!T15=0,0,11630*1000*SER_hh_fec!T15/SER_hh_num!T15)</f>
        <v>1775.9376973282599</v>
      </c>
      <c r="U15" s="135">
        <f>IF(SER_hh_fec!U15=0,0,11630*1000*SER_hh_fec!U15/SER_hh_num!U15)</f>
        <v>1913.8552383249464</v>
      </c>
      <c r="V15" s="135">
        <f>IF(SER_hh_fec!V15=0,0,11630*1000*SER_hh_fec!V15/SER_hh_num!V15)</f>
        <v>1611.7756737577122</v>
      </c>
      <c r="W15" s="135">
        <f>IF(SER_hh_fec!W15=0,0,11630*1000*SER_hh_fec!W15/SER_hh_num!W15)</f>
        <v>1708.5047780972968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39918.965333976965</v>
      </c>
      <c r="C16" s="131">
        <f>IF(SER_hh_fec!C16=0,0,11630*1000*SER_hh_fec!C16/SER_hh_num!C16)</f>
        <v>42373.367788856151</v>
      </c>
      <c r="D16" s="131">
        <f>IF(SER_hh_fec!D16=0,0,11630*1000*SER_hh_fec!D16/SER_hh_num!D16)</f>
        <v>31499.28117063197</v>
      </c>
      <c r="E16" s="131">
        <f>IF(SER_hh_fec!E16=0,0,11630*1000*SER_hh_fec!E16/SER_hh_num!E16)</f>
        <v>46108.861346702433</v>
      </c>
      <c r="F16" s="131">
        <f>IF(SER_hh_fec!F16=0,0,11630*1000*SER_hh_fec!F16/SER_hh_num!F16)</f>
        <v>23172.475140213381</v>
      </c>
      <c r="G16" s="131">
        <f>IF(SER_hh_fec!G16=0,0,11630*1000*SER_hh_fec!G16/SER_hh_num!G16)</f>
        <v>21774.902698078404</v>
      </c>
      <c r="H16" s="131">
        <f>IF(SER_hh_fec!H16=0,0,11630*1000*SER_hh_fec!H16/SER_hh_num!H16)</f>
        <v>28196.943860962401</v>
      </c>
      <c r="I16" s="131">
        <f>IF(SER_hh_fec!I16=0,0,11630*1000*SER_hh_fec!I16/SER_hh_num!I16)</f>
        <v>27778.587715987018</v>
      </c>
      <c r="J16" s="131">
        <f>IF(SER_hh_fec!J16=0,0,11630*1000*SER_hh_fec!J16/SER_hh_num!J16)</f>
        <v>22554.413355801964</v>
      </c>
      <c r="K16" s="131">
        <f>IF(SER_hh_fec!K16=0,0,11630*1000*SER_hh_fec!K16/SER_hh_num!K16)</f>
        <v>23083.637466085325</v>
      </c>
      <c r="L16" s="131">
        <f>IF(SER_hh_fec!L16=0,0,11630*1000*SER_hh_fec!L16/SER_hh_num!L16)</f>
        <v>18654.541748207583</v>
      </c>
      <c r="M16" s="131">
        <f>IF(SER_hh_fec!M16=0,0,11630*1000*SER_hh_fec!M16/SER_hh_num!M16)</f>
        <v>19811.811378359951</v>
      </c>
      <c r="N16" s="131">
        <f>IF(SER_hh_fec!N16=0,0,11630*1000*SER_hh_fec!N16/SER_hh_num!N16)</f>
        <v>33918.390037389989</v>
      </c>
      <c r="O16" s="131">
        <f>IF(SER_hh_fec!O16=0,0,11630*1000*SER_hh_fec!O16/SER_hh_num!O16)</f>
        <v>23520.268247454678</v>
      </c>
      <c r="P16" s="131">
        <f>IF(SER_hh_fec!P16=0,0,11630*1000*SER_hh_fec!P16/SER_hh_num!P16)</f>
        <v>23758.709470305886</v>
      </c>
      <c r="Q16" s="131">
        <f>IF(SER_hh_fec!Q16=0,0,11630*1000*SER_hh_fec!Q16/SER_hh_num!Q16)</f>
        <v>24900.815994947396</v>
      </c>
      <c r="R16" s="131">
        <f>IF(SER_hh_fec!R16=0,0,11630*1000*SER_hh_fec!R16/SER_hh_num!R16)</f>
        <v>20257.923222396603</v>
      </c>
      <c r="S16" s="131">
        <f>IF(SER_hh_fec!S16=0,0,11630*1000*SER_hh_fec!S16/SER_hh_num!S16)</f>
        <v>23468.063470955472</v>
      </c>
      <c r="T16" s="131">
        <f>IF(SER_hh_fec!T16=0,0,11630*1000*SER_hh_fec!T16/SER_hh_num!T16)</f>
        <v>20465.148693950141</v>
      </c>
      <c r="U16" s="131">
        <f>IF(SER_hh_fec!U16=0,0,11630*1000*SER_hh_fec!U16/SER_hh_num!U16)</f>
        <v>27611.335465288794</v>
      </c>
      <c r="V16" s="131">
        <f>IF(SER_hh_fec!V16=0,0,11630*1000*SER_hh_fec!V16/SER_hh_num!V16)</f>
        <v>21653.946198420097</v>
      </c>
      <c r="W16" s="131">
        <f>IF(SER_hh_fec!W16=0,0,11630*1000*SER_hh_fec!W16/SER_hh_num!W16)</f>
        <v>27215.585254874019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39918.965333976965</v>
      </c>
      <c r="C18" s="133">
        <f>IF(SER_hh_fec!C18=0,0,11630*1000*SER_hh_fec!C18/SER_hh_num!C18)</f>
        <v>42373.367788856151</v>
      </c>
      <c r="D18" s="133">
        <f>IF(SER_hh_fec!D18=0,0,11630*1000*SER_hh_fec!D18/SER_hh_num!D18)</f>
        <v>31499.28117063197</v>
      </c>
      <c r="E18" s="133">
        <f>IF(SER_hh_fec!E18=0,0,11630*1000*SER_hh_fec!E18/SER_hh_num!E18)</f>
        <v>46108.861346702433</v>
      </c>
      <c r="F18" s="133">
        <f>IF(SER_hh_fec!F18=0,0,11630*1000*SER_hh_fec!F18/SER_hh_num!F18)</f>
        <v>23172.475140213381</v>
      </c>
      <c r="G18" s="133">
        <f>IF(SER_hh_fec!G18=0,0,11630*1000*SER_hh_fec!G18/SER_hh_num!G18)</f>
        <v>21774.902698078404</v>
      </c>
      <c r="H18" s="133">
        <f>IF(SER_hh_fec!H18=0,0,11630*1000*SER_hh_fec!H18/SER_hh_num!H18)</f>
        <v>28196.943860962401</v>
      </c>
      <c r="I18" s="133">
        <f>IF(SER_hh_fec!I18=0,0,11630*1000*SER_hh_fec!I18/SER_hh_num!I18)</f>
        <v>27778.587715987018</v>
      </c>
      <c r="J18" s="133">
        <f>IF(SER_hh_fec!J18=0,0,11630*1000*SER_hh_fec!J18/SER_hh_num!J18)</f>
        <v>22554.413355801964</v>
      </c>
      <c r="K18" s="133">
        <f>IF(SER_hh_fec!K18=0,0,11630*1000*SER_hh_fec!K18/SER_hh_num!K18)</f>
        <v>23083.637466085325</v>
      </c>
      <c r="L18" s="133">
        <f>IF(SER_hh_fec!L18=0,0,11630*1000*SER_hh_fec!L18/SER_hh_num!L18)</f>
        <v>18654.541748207583</v>
      </c>
      <c r="M18" s="133">
        <f>IF(SER_hh_fec!M18=0,0,11630*1000*SER_hh_fec!M18/SER_hh_num!M18)</f>
        <v>19811.811378359951</v>
      </c>
      <c r="N18" s="133">
        <f>IF(SER_hh_fec!N18=0,0,11630*1000*SER_hh_fec!N18/SER_hh_num!N18)</f>
        <v>33918.390037389989</v>
      </c>
      <c r="O18" s="133">
        <f>IF(SER_hh_fec!O18=0,0,11630*1000*SER_hh_fec!O18/SER_hh_num!O18)</f>
        <v>23520.268247454678</v>
      </c>
      <c r="P18" s="133">
        <f>IF(SER_hh_fec!P18=0,0,11630*1000*SER_hh_fec!P18/SER_hh_num!P18)</f>
        <v>23758.709470305886</v>
      </c>
      <c r="Q18" s="133">
        <f>IF(SER_hh_fec!Q18=0,0,11630*1000*SER_hh_fec!Q18/SER_hh_num!Q18)</f>
        <v>24900.815994947396</v>
      </c>
      <c r="R18" s="133">
        <f>IF(SER_hh_fec!R18=0,0,11630*1000*SER_hh_fec!R18/SER_hh_num!R18)</f>
        <v>20257.923222396603</v>
      </c>
      <c r="S18" s="133">
        <f>IF(SER_hh_fec!S18=0,0,11630*1000*SER_hh_fec!S18/SER_hh_num!S18)</f>
        <v>23468.063470955472</v>
      </c>
      <c r="T18" s="133">
        <f>IF(SER_hh_fec!T18=0,0,11630*1000*SER_hh_fec!T18/SER_hh_num!T18)</f>
        <v>20465.148693950141</v>
      </c>
      <c r="U18" s="133">
        <f>IF(SER_hh_fec!U18=0,0,11630*1000*SER_hh_fec!U18/SER_hh_num!U18)</f>
        <v>27611.335465288794</v>
      </c>
      <c r="V18" s="133">
        <f>IF(SER_hh_fec!V18=0,0,11630*1000*SER_hh_fec!V18/SER_hh_num!V18)</f>
        <v>21653.946198420097</v>
      </c>
      <c r="W18" s="133">
        <f>IF(SER_hh_fec!W18=0,0,11630*1000*SER_hh_fec!W18/SER_hh_num!W18)</f>
        <v>27215.585254874019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52373.073678164059</v>
      </c>
      <c r="C19" s="131">
        <f>IF(SER_hh_fec!C19=0,0,11630*1000*SER_hh_fec!C19/SER_hh_num!C19)</f>
        <v>49925.669524256467</v>
      </c>
      <c r="D19" s="131">
        <f>IF(SER_hh_fec!D19=0,0,11630*1000*SER_hh_fec!D19/SER_hh_num!D19)</f>
        <v>50981.153997875961</v>
      </c>
      <c r="E19" s="131">
        <f>IF(SER_hh_fec!E19=0,0,11630*1000*SER_hh_fec!E19/SER_hh_num!E19)</f>
        <v>50980.687865043619</v>
      </c>
      <c r="F19" s="131">
        <f>IF(SER_hh_fec!F19=0,0,11630*1000*SER_hh_fec!F19/SER_hh_num!F19)</f>
        <v>52102.421056688421</v>
      </c>
      <c r="G19" s="131">
        <f>IF(SER_hh_fec!G19=0,0,11630*1000*SER_hh_fec!G19/SER_hh_num!G19)</f>
        <v>51313.442948228265</v>
      </c>
      <c r="H19" s="131">
        <f>IF(SER_hh_fec!H19=0,0,11630*1000*SER_hh_fec!H19/SER_hh_num!H19)</f>
        <v>51647.090405583825</v>
      </c>
      <c r="I19" s="131">
        <f>IF(SER_hh_fec!I19=0,0,11630*1000*SER_hh_fec!I19/SER_hh_num!I19)</f>
        <v>51063.929332824693</v>
      </c>
      <c r="J19" s="131">
        <f>IF(SER_hh_fec!J19=0,0,11630*1000*SER_hh_fec!J19/SER_hh_num!J19)</f>
        <v>49352.783128399271</v>
      </c>
      <c r="K19" s="131">
        <f>IF(SER_hh_fec!K19=0,0,11630*1000*SER_hh_fec!K19/SER_hh_num!K19)</f>
        <v>49595.194332386141</v>
      </c>
      <c r="L19" s="131">
        <f>IF(SER_hh_fec!L19=0,0,11630*1000*SER_hh_fec!L19/SER_hh_num!L19)</f>
        <v>49877.766088049997</v>
      </c>
      <c r="M19" s="131">
        <f>IF(SER_hh_fec!M19=0,0,11630*1000*SER_hh_fec!M19/SER_hh_num!M19)</f>
        <v>49909.150976068406</v>
      </c>
      <c r="N19" s="131">
        <f>IF(SER_hh_fec!N19=0,0,11630*1000*SER_hh_fec!N19/SER_hh_num!N19)</f>
        <v>47882.043998781395</v>
      </c>
      <c r="O19" s="131">
        <f>IF(SER_hh_fec!O19=0,0,11630*1000*SER_hh_fec!O19/SER_hh_num!O19)</f>
        <v>47673.131877408247</v>
      </c>
      <c r="P19" s="131">
        <f>IF(SER_hh_fec!P19=0,0,11630*1000*SER_hh_fec!P19/SER_hh_num!P19)</f>
        <v>46678.379818373738</v>
      </c>
      <c r="Q19" s="131">
        <f>IF(SER_hh_fec!Q19=0,0,11630*1000*SER_hh_fec!Q19/SER_hh_num!Q19)</f>
        <v>45866.919142528735</v>
      </c>
      <c r="R19" s="131">
        <f>IF(SER_hh_fec!R19=0,0,11630*1000*SER_hh_fec!R19/SER_hh_num!R19)</f>
        <v>45084.338571702472</v>
      </c>
      <c r="S19" s="131">
        <f>IF(SER_hh_fec!S19=0,0,11630*1000*SER_hh_fec!S19/SER_hh_num!S19)</f>
        <v>43942.958636971263</v>
      </c>
      <c r="T19" s="131">
        <f>IF(SER_hh_fec!T19=0,0,11630*1000*SER_hh_fec!T19/SER_hh_num!T19)</f>
        <v>42936.350047909778</v>
      </c>
      <c r="U19" s="131">
        <f>IF(SER_hh_fec!U19=0,0,11630*1000*SER_hh_fec!U19/SER_hh_num!U19)</f>
        <v>42173.092029867476</v>
      </c>
      <c r="V19" s="131">
        <f>IF(SER_hh_fec!V19=0,0,11630*1000*SER_hh_fec!V19/SER_hh_num!V19)</f>
        <v>39603.09008250777</v>
      </c>
      <c r="W19" s="131">
        <f>IF(SER_hh_fec!W19=0,0,11630*1000*SER_hh_fec!W19/SER_hh_num!W19)</f>
        <v>40013.062097575443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62321.345758263131</v>
      </c>
      <c r="C21" s="133">
        <f>IF(SER_hh_fec!C21=0,0,11630*1000*SER_hh_fec!C21/SER_hh_num!C21)</f>
        <v>61812.454471009747</v>
      </c>
      <c r="D21" s="133">
        <f>IF(SER_hh_fec!D21=0,0,11630*1000*SER_hh_fec!D21/SER_hh_num!D21)</f>
        <v>62939.499901363692</v>
      </c>
      <c r="E21" s="133">
        <f>IF(SER_hh_fec!E21=0,0,11630*1000*SER_hh_fec!E21/SER_hh_num!E21)</f>
        <v>54156.467899247029</v>
      </c>
      <c r="F21" s="133">
        <f>IF(SER_hh_fec!F21=0,0,11630*1000*SER_hh_fec!F21/SER_hh_num!F21)</f>
        <v>47182.977904523694</v>
      </c>
      <c r="G21" s="133">
        <f>IF(SER_hh_fec!G21=0,0,11630*1000*SER_hh_fec!G21/SER_hh_num!G21)</f>
        <v>40002.274156548025</v>
      </c>
      <c r="H21" s="133">
        <f>IF(SER_hh_fec!H21=0,0,11630*1000*SER_hh_fec!H21/SER_hh_num!H21)</f>
        <v>88905.000467772988</v>
      </c>
      <c r="I21" s="133">
        <f>IF(SER_hh_fec!I21=0,0,11630*1000*SER_hh_fec!I21/SER_hh_num!I21)</f>
        <v>108101.91688626967</v>
      </c>
      <c r="J21" s="133">
        <f>IF(SER_hh_fec!J21=0,0,11630*1000*SER_hh_fec!J21/SER_hh_num!J21)</f>
        <v>98833.169132342475</v>
      </c>
      <c r="K21" s="133">
        <f>IF(SER_hh_fec!K21=0,0,11630*1000*SER_hh_fec!K21/SER_hh_num!K21)</f>
        <v>92091.519996121846</v>
      </c>
      <c r="L21" s="133">
        <f>IF(SER_hh_fec!L21=0,0,11630*1000*SER_hh_fec!L21/SER_hh_num!L21)</f>
        <v>48897.831472006241</v>
      </c>
      <c r="M21" s="133">
        <f>IF(SER_hh_fec!M21=0,0,11630*1000*SER_hh_fec!M21/SER_hh_num!M21)</f>
        <v>56973.857652772123</v>
      </c>
      <c r="N21" s="133">
        <f>IF(SER_hh_fec!N21=0,0,11630*1000*SER_hh_fec!N21/SER_hh_num!N21)</f>
        <v>59403.415874829494</v>
      </c>
      <c r="O21" s="133">
        <f>IF(SER_hh_fec!O21=0,0,11630*1000*SER_hh_fec!O21/SER_hh_num!O21)</f>
        <v>46986.166999401801</v>
      </c>
      <c r="P21" s="133">
        <f>IF(SER_hh_fec!P21=0,0,11630*1000*SER_hh_fec!P21/SER_hh_num!P21)</f>
        <v>51050.281422565567</v>
      </c>
      <c r="Q21" s="133">
        <f>IF(SER_hh_fec!Q21=0,0,11630*1000*SER_hh_fec!Q21/SER_hh_num!Q21)</f>
        <v>54089.182783974633</v>
      </c>
      <c r="R21" s="133">
        <f>IF(SER_hh_fec!R21=0,0,11630*1000*SER_hh_fec!R21/SER_hh_num!R21)</f>
        <v>47139.641571794971</v>
      </c>
      <c r="S21" s="133">
        <f>IF(SER_hh_fec!S21=0,0,11630*1000*SER_hh_fec!S21/SER_hh_num!S21)</f>
        <v>50683.594390463069</v>
      </c>
      <c r="T21" s="133">
        <f>IF(SER_hh_fec!T21=0,0,11630*1000*SER_hh_fec!T21/SER_hh_num!T21)</f>
        <v>58696.758650483251</v>
      </c>
      <c r="U21" s="133">
        <f>IF(SER_hh_fec!U21=0,0,11630*1000*SER_hh_fec!U21/SER_hh_num!U21)</f>
        <v>55933.235612154494</v>
      </c>
      <c r="V21" s="133">
        <f>IF(SER_hh_fec!V21=0,0,11630*1000*SER_hh_fec!V21/SER_hh_num!V21)</f>
        <v>44829.501761881795</v>
      </c>
      <c r="W21" s="133">
        <f>IF(SER_hh_fec!W21=0,0,11630*1000*SER_hh_fec!W21/SER_hh_num!W21)</f>
        <v>49569.024537577265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0</v>
      </c>
      <c r="C22" s="133">
        <f>IF(SER_hh_fec!C22=0,0,11630*1000*SER_hh_fec!C22/SER_hh_num!C22)</f>
        <v>0</v>
      </c>
      <c r="D22" s="133">
        <f>IF(SER_hh_fec!D22=0,0,11630*1000*SER_hh_fec!D22/SER_hh_num!D22)</f>
        <v>0</v>
      </c>
      <c r="E22" s="133">
        <f>IF(SER_hh_fec!E22=0,0,11630*1000*SER_hh_fec!E22/SER_hh_num!E22)</f>
        <v>0</v>
      </c>
      <c r="F22" s="133">
        <f>IF(SER_hh_fec!F22=0,0,11630*1000*SER_hh_fec!F22/SER_hh_num!F22)</f>
        <v>0</v>
      </c>
      <c r="G22" s="133">
        <f>IF(SER_hh_fec!G22=0,0,11630*1000*SER_hh_fec!G22/SER_hh_num!G22)</f>
        <v>0</v>
      </c>
      <c r="H22" s="133">
        <f>IF(SER_hh_fec!H22=0,0,11630*1000*SER_hh_fec!H22/SER_hh_num!H22)</f>
        <v>0</v>
      </c>
      <c r="I22" s="133">
        <f>IF(SER_hh_fec!I22=0,0,11630*1000*SER_hh_fec!I22/SER_hh_num!I22)</f>
        <v>0</v>
      </c>
      <c r="J22" s="133">
        <f>IF(SER_hh_fec!J22=0,0,11630*1000*SER_hh_fec!J22/SER_hh_num!J22)</f>
        <v>0</v>
      </c>
      <c r="K22" s="133">
        <f>IF(SER_hh_fec!K22=0,0,11630*1000*SER_hh_fec!K22/SER_hh_num!K22)</f>
        <v>0</v>
      </c>
      <c r="L22" s="133">
        <f>IF(SER_hh_fec!L22=0,0,11630*1000*SER_hh_fec!L22/SER_hh_num!L22)</f>
        <v>0</v>
      </c>
      <c r="M22" s="133">
        <f>IF(SER_hh_fec!M22=0,0,11630*1000*SER_hh_fec!M22/SER_hh_num!M22)</f>
        <v>0</v>
      </c>
      <c r="N22" s="133">
        <f>IF(SER_hh_fec!N22=0,0,11630*1000*SER_hh_fec!N22/SER_hh_num!N22)</f>
        <v>0</v>
      </c>
      <c r="O22" s="133">
        <f>IF(SER_hh_fec!O22=0,0,11630*1000*SER_hh_fec!O22/SER_hh_num!O22)</f>
        <v>0</v>
      </c>
      <c r="P22" s="133">
        <f>IF(SER_hh_fec!P22=0,0,11630*1000*SER_hh_fec!P22/SER_hh_num!P22)</f>
        <v>0</v>
      </c>
      <c r="Q22" s="133">
        <f>IF(SER_hh_fec!Q22=0,0,11630*1000*SER_hh_fec!Q22/SER_hh_num!Q22)</f>
        <v>0</v>
      </c>
      <c r="R22" s="133">
        <f>IF(SER_hh_fec!R22=0,0,11630*1000*SER_hh_fec!R22/SER_hh_num!R22)</f>
        <v>0</v>
      </c>
      <c r="S22" s="133">
        <f>IF(SER_hh_fec!S22=0,0,11630*1000*SER_hh_fec!S22/SER_hh_num!S22)</f>
        <v>0</v>
      </c>
      <c r="T22" s="133">
        <f>IF(SER_hh_fec!T22=0,0,11630*1000*SER_hh_fec!T22/SER_hh_num!T22)</f>
        <v>0</v>
      </c>
      <c r="U22" s="133">
        <f>IF(SER_hh_fec!U22=0,0,11630*1000*SER_hh_fec!U22/SER_hh_num!U22)</f>
        <v>0</v>
      </c>
      <c r="V22" s="133">
        <f>IF(SER_hh_fec!V22=0,0,11630*1000*SER_hh_fec!V22/SER_hh_num!V22)</f>
        <v>0</v>
      </c>
      <c r="W22" s="133">
        <f>IF(SER_hh_fec!W22=0,0,11630*1000*SER_hh_fec!W22/SER_hh_num!W22)</f>
        <v>0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0</v>
      </c>
      <c r="C23" s="133">
        <f>IF(SER_hh_fec!C23=0,0,11630*1000*SER_hh_fec!C23/SER_hh_num!C23)</f>
        <v>0</v>
      </c>
      <c r="D23" s="133">
        <f>IF(SER_hh_fec!D23=0,0,11630*1000*SER_hh_fec!D23/SER_hh_num!D23)</f>
        <v>0</v>
      </c>
      <c r="E23" s="133">
        <f>IF(SER_hh_fec!E23=0,0,11630*1000*SER_hh_fec!E23/SER_hh_num!E23)</f>
        <v>0</v>
      </c>
      <c r="F23" s="133">
        <f>IF(SER_hh_fec!F23=0,0,11630*1000*SER_hh_fec!F23/SER_hh_num!F23)</f>
        <v>0</v>
      </c>
      <c r="G23" s="133">
        <f>IF(SER_hh_fec!G23=0,0,11630*1000*SER_hh_fec!G23/SER_hh_num!G23)</f>
        <v>0</v>
      </c>
      <c r="H23" s="133">
        <f>IF(SER_hh_fec!H23=0,0,11630*1000*SER_hh_fec!H23/SER_hh_num!H23)</f>
        <v>0</v>
      </c>
      <c r="I23" s="133">
        <f>IF(SER_hh_fec!I23=0,0,11630*1000*SER_hh_fec!I23/SER_hh_num!I23)</f>
        <v>0</v>
      </c>
      <c r="J23" s="133">
        <f>IF(SER_hh_fec!J23=0,0,11630*1000*SER_hh_fec!J23/SER_hh_num!J23)</f>
        <v>0</v>
      </c>
      <c r="K23" s="133">
        <f>IF(SER_hh_fec!K23=0,0,11630*1000*SER_hh_fec!K23/SER_hh_num!K23)</f>
        <v>0</v>
      </c>
      <c r="L23" s="133">
        <f>IF(SER_hh_fec!L23=0,0,11630*1000*SER_hh_fec!L23/SER_hh_num!L23)</f>
        <v>0</v>
      </c>
      <c r="M23" s="133">
        <f>IF(SER_hh_fec!M23=0,0,11630*1000*SER_hh_fec!M23/SER_hh_num!M23)</f>
        <v>0</v>
      </c>
      <c r="N23" s="133">
        <f>IF(SER_hh_fec!N23=0,0,11630*1000*SER_hh_fec!N23/SER_hh_num!N23)</f>
        <v>0</v>
      </c>
      <c r="O23" s="133">
        <f>IF(SER_hh_fec!O23=0,0,11630*1000*SER_hh_fec!O23/SER_hh_num!O23)</f>
        <v>0</v>
      </c>
      <c r="P23" s="133">
        <f>IF(SER_hh_fec!P23=0,0,11630*1000*SER_hh_fec!P23/SER_hh_num!P23)</f>
        <v>0</v>
      </c>
      <c r="Q23" s="133">
        <f>IF(SER_hh_fec!Q23=0,0,11630*1000*SER_hh_fec!Q23/SER_hh_num!Q23)</f>
        <v>0</v>
      </c>
      <c r="R23" s="133">
        <f>IF(SER_hh_fec!R23=0,0,11630*1000*SER_hh_fec!R23/SER_hh_num!R23)</f>
        <v>0</v>
      </c>
      <c r="S23" s="133">
        <f>IF(SER_hh_fec!S23=0,0,11630*1000*SER_hh_fec!S23/SER_hh_num!S23)</f>
        <v>0</v>
      </c>
      <c r="T23" s="133">
        <f>IF(SER_hh_fec!T23=0,0,11630*1000*SER_hh_fec!T23/SER_hh_num!T23)</f>
        <v>0</v>
      </c>
      <c r="U23" s="133">
        <f>IF(SER_hh_fec!U23=0,0,11630*1000*SER_hh_fec!U23/SER_hh_num!U23)</f>
        <v>0</v>
      </c>
      <c r="V23" s="133">
        <f>IF(SER_hh_fec!V23=0,0,11630*1000*SER_hh_fec!V23/SER_hh_num!V23)</f>
        <v>0</v>
      </c>
      <c r="W23" s="133">
        <f>IF(SER_hh_fec!W23=0,0,11630*1000*SER_hh_fec!W23/SER_hh_num!W23)</f>
        <v>0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61853.460034007971</v>
      </c>
      <c r="N25" s="133">
        <f>IF(SER_hh_fec!N25=0,0,11630*1000*SER_hh_fec!N25/SER_hh_num!N25)</f>
        <v>44480.293516801124</v>
      </c>
      <c r="O25" s="133">
        <f>IF(SER_hh_fec!O25=0,0,11630*1000*SER_hh_fec!O25/SER_hh_num!O25)</f>
        <v>44508.057715990188</v>
      </c>
      <c r="P25" s="133">
        <f>IF(SER_hh_fec!P25=0,0,11630*1000*SER_hh_fec!P25/SER_hh_num!P25)</f>
        <v>40664.005520237406</v>
      </c>
      <c r="Q25" s="133">
        <f>IF(SER_hh_fec!Q25=0,0,11630*1000*SER_hh_fec!Q25/SER_hh_num!Q25)</f>
        <v>45296.144736926108</v>
      </c>
      <c r="R25" s="133">
        <f>IF(SER_hh_fec!R25=0,0,11630*1000*SER_hh_fec!R25/SER_hh_num!R25)</f>
        <v>45941.765599630722</v>
      </c>
      <c r="S25" s="133">
        <f>IF(SER_hh_fec!S25=0,0,11630*1000*SER_hh_fec!S25/SER_hh_num!S25)</f>
        <v>31003.639070497444</v>
      </c>
      <c r="T25" s="133">
        <f>IF(SER_hh_fec!T25=0,0,11630*1000*SER_hh_fec!T25/SER_hh_num!T25)</f>
        <v>39389.83928601446</v>
      </c>
      <c r="U25" s="133">
        <f>IF(SER_hh_fec!U25=0,0,11630*1000*SER_hh_fec!U25/SER_hh_num!U25)</f>
        <v>58546.502069679213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51665.048498600518</v>
      </c>
      <c r="C26" s="65">
        <f>IF(SER_hh_fec!C26=0,0,11630*1000*SER_hh_fec!C26/SER_hh_num!C26)</f>
        <v>49106.087980807584</v>
      </c>
      <c r="D26" s="65">
        <f>IF(SER_hh_fec!D26=0,0,11630*1000*SER_hh_fec!D26/SER_hh_num!D26)</f>
        <v>50194.557520929608</v>
      </c>
      <c r="E26" s="65">
        <f>IF(SER_hh_fec!E26=0,0,11630*1000*SER_hh_fec!E26/SER_hh_num!E26)</f>
        <v>50773.45510552972</v>
      </c>
      <c r="F26" s="65">
        <f>IF(SER_hh_fec!F26=0,0,11630*1000*SER_hh_fec!F26/SER_hh_num!F26)</f>
        <v>52445.571140669177</v>
      </c>
      <c r="G26" s="65">
        <f>IF(SER_hh_fec!G26=0,0,11630*1000*SER_hh_fec!G26/SER_hh_num!G26)</f>
        <v>52314.966475915389</v>
      </c>
      <c r="H26" s="65">
        <f>IF(SER_hh_fec!H26=0,0,11630*1000*SER_hh_fec!H26/SER_hh_num!H26)</f>
        <v>47953.893925843033</v>
      </c>
      <c r="I26" s="65">
        <f>IF(SER_hh_fec!I26=0,0,11630*1000*SER_hh_fec!I26/SER_hh_num!I26)</f>
        <v>45421.812394806613</v>
      </c>
      <c r="J26" s="65">
        <f>IF(SER_hh_fec!J26=0,0,11630*1000*SER_hh_fec!J26/SER_hh_num!J26)</f>
        <v>44627.540702960359</v>
      </c>
      <c r="K26" s="65">
        <f>IF(SER_hh_fec!K26=0,0,11630*1000*SER_hh_fec!K26/SER_hh_num!K26)</f>
        <v>45590.276303156599</v>
      </c>
      <c r="L26" s="65">
        <f>IF(SER_hh_fec!L26=0,0,11630*1000*SER_hh_fec!L26/SER_hh_num!L26)</f>
        <v>49960.772958829744</v>
      </c>
      <c r="M26" s="65">
        <f>IF(SER_hh_fec!M26=0,0,11630*1000*SER_hh_fec!M26/SER_hh_num!M26)</f>
        <v>49448.955486595383</v>
      </c>
      <c r="N26" s="65">
        <f>IF(SER_hh_fec!N26=0,0,11630*1000*SER_hh_fec!N26/SER_hh_num!N26)</f>
        <v>47393.960933406481</v>
      </c>
      <c r="O26" s="65">
        <f>IF(SER_hh_fec!O26=0,0,11630*1000*SER_hh_fec!O26/SER_hh_num!O26)</f>
        <v>47693.977563780041</v>
      </c>
      <c r="P26" s="65">
        <f>IF(SER_hh_fec!P26=0,0,11630*1000*SER_hh_fec!P26/SER_hh_num!P26)</f>
        <v>46591.96952195069</v>
      </c>
      <c r="Q26" s="65">
        <f>IF(SER_hh_fec!Q26=0,0,11630*1000*SER_hh_fec!Q26/SER_hh_num!Q26)</f>
        <v>45736.820090344321</v>
      </c>
      <c r="R26" s="65">
        <f>IF(SER_hh_fec!R26=0,0,11630*1000*SER_hh_fec!R26/SER_hh_num!R26)</f>
        <v>45053.52505647319</v>
      </c>
      <c r="S26" s="65">
        <f>IF(SER_hh_fec!S26=0,0,11630*1000*SER_hh_fec!S26/SER_hh_num!S26)</f>
        <v>43834.490649278101</v>
      </c>
      <c r="T26" s="65">
        <f>IF(SER_hh_fec!T26=0,0,11630*1000*SER_hh_fec!T26/SER_hh_num!T26)</f>
        <v>42646.909358362253</v>
      </c>
      <c r="U26" s="65">
        <f>IF(SER_hh_fec!U26=0,0,11630*1000*SER_hh_fec!U26/SER_hh_num!U26)</f>
        <v>41911.838962467104</v>
      </c>
      <c r="V26" s="65">
        <f>IF(SER_hh_fec!V26=0,0,11630*1000*SER_hh_fec!V26/SER_hh_num!V26)</f>
        <v>39511.234945259632</v>
      </c>
      <c r="W26" s="65">
        <f>IF(SER_hh_fec!W26=0,0,11630*1000*SER_hh_fec!W26/SER_hh_num!W26)</f>
        <v>39851.551473335283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58101.398187571096</v>
      </c>
      <c r="C29" s="131">
        <f>IF(SER_hh_fec!C29=0,0,11630*1000*SER_hh_fec!C29/SER_hh_num!C29)</f>
        <v>57756.936363118359</v>
      </c>
      <c r="D29" s="131">
        <f>IF(SER_hh_fec!D29=0,0,11630*1000*SER_hh_fec!D29/SER_hh_num!D29)</f>
        <v>59336.089920670674</v>
      </c>
      <c r="E29" s="131">
        <f>IF(SER_hh_fec!E29=0,0,11630*1000*SER_hh_fec!E29/SER_hh_num!E29)</f>
        <v>60624.468477353992</v>
      </c>
      <c r="F29" s="131">
        <f>IF(SER_hh_fec!F29=0,0,11630*1000*SER_hh_fec!F29/SER_hh_num!F29)</f>
        <v>61873.674584137523</v>
      </c>
      <c r="G29" s="131">
        <f>IF(SER_hh_fec!G29=0,0,11630*1000*SER_hh_fec!G29/SER_hh_num!G29)</f>
        <v>60402.581983723547</v>
      </c>
      <c r="H29" s="131">
        <f>IF(SER_hh_fec!H29=0,0,11630*1000*SER_hh_fec!H29/SER_hh_num!H29)</f>
        <v>60652.108031867909</v>
      </c>
      <c r="I29" s="131">
        <f>IF(SER_hh_fec!I29=0,0,11630*1000*SER_hh_fec!I29/SER_hh_num!I29)</f>
        <v>60217.854484190946</v>
      </c>
      <c r="J29" s="131">
        <f>IF(SER_hh_fec!J29=0,0,11630*1000*SER_hh_fec!J29/SER_hh_num!J29)</f>
        <v>59351.398690407499</v>
      </c>
      <c r="K29" s="131">
        <f>IF(SER_hh_fec!K29=0,0,11630*1000*SER_hh_fec!K29/SER_hh_num!K29)</f>
        <v>61570.642449584455</v>
      </c>
      <c r="L29" s="131">
        <f>IF(SER_hh_fec!L29=0,0,11630*1000*SER_hh_fec!L29/SER_hh_num!L29)</f>
        <v>60812.726672837423</v>
      </c>
      <c r="M29" s="131">
        <f>IF(SER_hh_fec!M29=0,0,11630*1000*SER_hh_fec!M29/SER_hh_num!M29)</f>
        <v>61252.956675561021</v>
      </c>
      <c r="N29" s="131">
        <f>IF(SER_hh_fec!N29=0,0,11630*1000*SER_hh_fec!N29/SER_hh_num!N29)</f>
        <v>59569.223981586205</v>
      </c>
      <c r="O29" s="131">
        <f>IF(SER_hh_fec!O29=0,0,11630*1000*SER_hh_fec!O29/SER_hh_num!O29)</f>
        <v>58716.742313093033</v>
      </c>
      <c r="P29" s="131">
        <f>IF(SER_hh_fec!P29=0,0,11630*1000*SER_hh_fec!P29/SER_hh_num!P29)</f>
        <v>58595.256474707276</v>
      </c>
      <c r="Q29" s="131">
        <f>IF(SER_hh_fec!Q29=0,0,11630*1000*SER_hh_fec!Q29/SER_hh_num!Q29)</f>
        <v>58906.529739690523</v>
      </c>
      <c r="R29" s="131">
        <f>IF(SER_hh_fec!R29=0,0,11630*1000*SER_hh_fec!R29/SER_hh_num!R29)</f>
        <v>57886.688304072413</v>
      </c>
      <c r="S29" s="131">
        <f>IF(SER_hh_fec!S29=0,0,11630*1000*SER_hh_fec!S29/SER_hh_num!S29)</f>
        <v>57577.006394361277</v>
      </c>
      <c r="T29" s="131">
        <f>IF(SER_hh_fec!T29=0,0,11630*1000*SER_hh_fec!T29/SER_hh_num!T29)</f>
        <v>58602.784269250747</v>
      </c>
      <c r="U29" s="131">
        <f>IF(SER_hh_fec!U29=0,0,11630*1000*SER_hh_fec!U29/SER_hh_num!U29)</f>
        <v>58491.611606065439</v>
      </c>
      <c r="V29" s="131">
        <f>IF(SER_hh_fec!V29=0,0,11630*1000*SER_hh_fec!V29/SER_hh_num!V29)</f>
        <v>51812.138465035168</v>
      </c>
      <c r="W29" s="131">
        <f>IF(SER_hh_fec!W29=0,0,11630*1000*SER_hh_fec!W29/SER_hh_num!W29)</f>
        <v>53474.688575979446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75408.073242421975</v>
      </c>
      <c r="C30" s="133">
        <f>IF(SER_hh_fec!C30=0,0,11630*1000*SER_hh_fec!C30/SER_hh_num!C30)</f>
        <v>70185.7888544671</v>
      </c>
      <c r="D30" s="133">
        <f>IF(SER_hh_fec!D30=0,0,11630*1000*SER_hh_fec!D30/SER_hh_num!D30)</f>
        <v>82702.401044065715</v>
      </c>
      <c r="E30" s="133">
        <f>IF(SER_hh_fec!E30=0,0,11630*1000*SER_hh_fec!E30/SER_hh_num!E30)</f>
        <v>79290.105571379449</v>
      </c>
      <c r="F30" s="133">
        <f>IF(SER_hh_fec!F30=0,0,11630*1000*SER_hh_fec!F30/SER_hh_num!F30)</f>
        <v>69067.972617542429</v>
      </c>
      <c r="G30" s="133">
        <f>IF(SER_hh_fec!G30=0,0,11630*1000*SER_hh_fec!G30/SER_hh_num!G30)</f>
        <v>60432.000344906759</v>
      </c>
      <c r="H30" s="133">
        <f>IF(SER_hh_fec!H30=0,0,11630*1000*SER_hh_fec!H30/SER_hh_num!H30)</f>
        <v>77055.23108365231</v>
      </c>
      <c r="I30" s="133">
        <f>IF(SER_hh_fec!I30=0,0,11630*1000*SER_hh_fec!I30/SER_hh_num!I30)</f>
        <v>66591.199487828068</v>
      </c>
      <c r="J30" s="133">
        <f>IF(SER_hh_fec!J30=0,0,11630*1000*SER_hh_fec!J30/SER_hh_num!J30)</f>
        <v>73467.431805676097</v>
      </c>
      <c r="K30" s="133">
        <f>IF(SER_hh_fec!K30=0,0,11630*1000*SER_hh_fec!K30/SER_hh_num!K30)</f>
        <v>90728.456616019263</v>
      </c>
      <c r="L30" s="133">
        <f>IF(SER_hh_fec!L30=0,0,11630*1000*SER_hh_fec!L30/SER_hh_num!L30)</f>
        <v>68560.892450675805</v>
      </c>
      <c r="M30" s="133">
        <f>IF(SER_hh_fec!M30=0,0,11630*1000*SER_hh_fec!M30/SER_hh_num!M30)</f>
        <v>76722.265119723103</v>
      </c>
      <c r="N30" s="133">
        <f>IF(SER_hh_fec!N30=0,0,11630*1000*SER_hh_fec!N30/SER_hh_num!N30)</f>
        <v>73929.558682598421</v>
      </c>
      <c r="O30" s="133">
        <f>IF(SER_hh_fec!O30=0,0,11630*1000*SER_hh_fec!O30/SER_hh_num!O30)</f>
        <v>71448.413149683678</v>
      </c>
      <c r="P30" s="133">
        <f>IF(SER_hh_fec!P30=0,0,11630*1000*SER_hh_fec!P30/SER_hh_num!P30)</f>
        <v>70497.248927446213</v>
      </c>
      <c r="Q30" s="133">
        <f>IF(SER_hh_fec!Q30=0,0,11630*1000*SER_hh_fec!Q30/SER_hh_num!Q30)</f>
        <v>77758.081628488872</v>
      </c>
      <c r="R30" s="133">
        <f>IF(SER_hh_fec!R30=0,0,11630*1000*SER_hh_fec!R30/SER_hh_num!R30)</f>
        <v>63304.834593244166</v>
      </c>
      <c r="S30" s="133">
        <f>IF(SER_hh_fec!S30=0,0,11630*1000*SER_hh_fec!S30/SER_hh_num!S30)</f>
        <v>67904.819048916324</v>
      </c>
      <c r="T30" s="133">
        <f>IF(SER_hh_fec!T30=0,0,11630*1000*SER_hh_fec!T30/SER_hh_num!T30)</f>
        <v>78970.045684335433</v>
      </c>
      <c r="U30" s="133">
        <f>IF(SER_hh_fec!U30=0,0,11630*1000*SER_hh_fec!U30/SER_hh_num!U30)</f>
        <v>80575.64523826378</v>
      </c>
      <c r="V30" s="133">
        <f>IF(SER_hh_fec!V30=0,0,11630*1000*SER_hh_fec!V30/SER_hh_num!V30)</f>
        <v>53833.059826893339</v>
      </c>
      <c r="W30" s="133">
        <f>IF(SER_hh_fec!W30=0,0,11630*1000*SER_hh_fec!W30/SER_hh_num!W30)</f>
        <v>58905.434951964831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0</v>
      </c>
      <c r="C31" s="133">
        <f>IF(SER_hh_fec!C31=0,0,11630*1000*SER_hh_fec!C31/SER_hh_num!C31)</f>
        <v>0</v>
      </c>
      <c r="D31" s="133">
        <f>IF(SER_hh_fec!D31=0,0,11630*1000*SER_hh_fec!D31/SER_hh_num!D31)</f>
        <v>0</v>
      </c>
      <c r="E31" s="133">
        <f>IF(SER_hh_fec!E31=0,0,11630*1000*SER_hh_fec!E31/SER_hh_num!E31)</f>
        <v>0</v>
      </c>
      <c r="F31" s="133">
        <f>IF(SER_hh_fec!F31=0,0,11630*1000*SER_hh_fec!F31/SER_hh_num!F31)</f>
        <v>0</v>
      </c>
      <c r="G31" s="133">
        <f>IF(SER_hh_fec!G31=0,0,11630*1000*SER_hh_fec!G31/SER_hh_num!G31)</f>
        <v>0</v>
      </c>
      <c r="H31" s="133">
        <f>IF(SER_hh_fec!H31=0,0,11630*1000*SER_hh_fec!H31/SER_hh_num!H31)</f>
        <v>0</v>
      </c>
      <c r="I31" s="133">
        <f>IF(SER_hh_fec!I31=0,0,11630*1000*SER_hh_fec!I31/SER_hh_num!I31)</f>
        <v>0</v>
      </c>
      <c r="J31" s="133">
        <f>IF(SER_hh_fec!J31=0,0,11630*1000*SER_hh_fec!J31/SER_hh_num!J31)</f>
        <v>0</v>
      </c>
      <c r="K31" s="133">
        <f>IF(SER_hh_fec!K31=0,0,11630*1000*SER_hh_fec!K31/SER_hh_num!K31)</f>
        <v>0</v>
      </c>
      <c r="L31" s="133">
        <f>IF(SER_hh_fec!L31=0,0,11630*1000*SER_hh_fec!L31/SER_hh_num!L31)</f>
        <v>0</v>
      </c>
      <c r="M31" s="133">
        <f>IF(SER_hh_fec!M31=0,0,11630*1000*SER_hh_fec!M31/SER_hh_num!M31)</f>
        <v>0</v>
      </c>
      <c r="N31" s="133">
        <f>IF(SER_hh_fec!N31=0,0,11630*1000*SER_hh_fec!N31/SER_hh_num!N31)</f>
        <v>0</v>
      </c>
      <c r="O31" s="133">
        <f>IF(SER_hh_fec!O31=0,0,11630*1000*SER_hh_fec!O31/SER_hh_num!O31)</f>
        <v>0</v>
      </c>
      <c r="P31" s="133">
        <f>IF(SER_hh_fec!P31=0,0,11630*1000*SER_hh_fec!P31/SER_hh_num!P31)</f>
        <v>0</v>
      </c>
      <c r="Q31" s="133">
        <f>IF(SER_hh_fec!Q31=0,0,11630*1000*SER_hh_fec!Q31/SER_hh_num!Q31)</f>
        <v>0</v>
      </c>
      <c r="R31" s="133">
        <f>IF(SER_hh_fec!R31=0,0,11630*1000*SER_hh_fec!R31/SER_hh_num!R31)</f>
        <v>0</v>
      </c>
      <c r="S31" s="133">
        <f>IF(SER_hh_fec!S31=0,0,11630*1000*SER_hh_fec!S31/SER_hh_num!S31)</f>
        <v>0</v>
      </c>
      <c r="T31" s="133">
        <f>IF(SER_hh_fec!T31=0,0,11630*1000*SER_hh_fec!T31/SER_hh_num!T31)</f>
        <v>0</v>
      </c>
      <c r="U31" s="133">
        <f>IF(SER_hh_fec!U31=0,0,11630*1000*SER_hh_fec!U31/SER_hh_num!U31)</f>
        <v>0</v>
      </c>
      <c r="V31" s="133">
        <f>IF(SER_hh_fec!V31=0,0,11630*1000*SER_hh_fec!V31/SER_hh_num!V31)</f>
        <v>0</v>
      </c>
      <c r="W31" s="133">
        <f>IF(SER_hh_fec!W31=0,0,11630*1000*SER_hh_fec!W31/SER_hh_num!W31)</f>
        <v>0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57054.372364670882</v>
      </c>
      <c r="C33" s="68">
        <f>IF(SER_hh_fec!C33=0,0,11630*1000*SER_hh_fec!C33/SER_hh_num!C33)</f>
        <v>57005.519063204301</v>
      </c>
      <c r="D33" s="68">
        <f>IF(SER_hh_fec!D33=0,0,11630*1000*SER_hh_fec!D33/SER_hh_num!D33)</f>
        <v>57859.602942093101</v>
      </c>
      <c r="E33" s="68">
        <f>IF(SER_hh_fec!E33=0,0,11630*1000*SER_hh_fec!E33/SER_hh_num!E33)</f>
        <v>59448.314779408305</v>
      </c>
      <c r="F33" s="68">
        <f>IF(SER_hh_fec!F33=0,0,11630*1000*SER_hh_fec!F33/SER_hh_num!F33)</f>
        <v>61379.884676153924</v>
      </c>
      <c r="G33" s="68">
        <f>IF(SER_hh_fec!G33=0,0,11630*1000*SER_hh_fec!G33/SER_hh_num!G33)</f>
        <v>60400.163475078247</v>
      </c>
      <c r="H33" s="68">
        <f>IF(SER_hh_fec!H33=0,0,11630*1000*SER_hh_fec!H33/SER_hh_num!H33)</f>
        <v>58687.050373214202</v>
      </c>
      <c r="I33" s="68">
        <f>IF(SER_hh_fec!I33=0,0,11630*1000*SER_hh_fec!I33/SER_hh_num!I33)</f>
        <v>59110.392907810594</v>
      </c>
      <c r="J33" s="68">
        <f>IF(SER_hh_fec!J33=0,0,11630*1000*SER_hh_fec!J33/SER_hh_num!J33)</f>
        <v>56108.584219556833</v>
      </c>
      <c r="K33" s="68">
        <f>IF(SER_hh_fec!K33=0,0,11630*1000*SER_hh_fec!K33/SER_hh_num!K33)</f>
        <v>52936.124447491646</v>
      </c>
      <c r="L33" s="68">
        <f>IF(SER_hh_fec!L33=0,0,11630*1000*SER_hh_fec!L33/SER_hh_num!L33)</f>
        <v>58488.798803721278</v>
      </c>
      <c r="M33" s="68">
        <f>IF(SER_hh_fec!M33=0,0,11630*1000*SER_hh_fec!M33/SER_hh_num!M33)</f>
        <v>56523.179652740044</v>
      </c>
      <c r="N33" s="68">
        <f>IF(SER_hh_fec!N33=0,0,11630*1000*SER_hh_fec!N33/SER_hh_num!N33)</f>
        <v>55451.793073545537</v>
      </c>
      <c r="O33" s="68">
        <f>IF(SER_hh_fec!O33=0,0,11630*1000*SER_hh_fec!O33/SER_hh_num!O33)</f>
        <v>55057.073011096239</v>
      </c>
      <c r="P33" s="68">
        <f>IF(SER_hh_fec!P33=0,0,11630*1000*SER_hh_fec!P33/SER_hh_num!P33)</f>
        <v>55260.568345007727</v>
      </c>
      <c r="Q33" s="68">
        <f>IF(SER_hh_fec!Q33=0,0,11630*1000*SER_hh_fec!Q33/SER_hh_num!Q33)</f>
        <v>53451.917988010988</v>
      </c>
      <c r="R33" s="68">
        <f>IF(SER_hh_fec!R33=0,0,11630*1000*SER_hh_fec!R33/SER_hh_num!R33)</f>
        <v>56274.823522058308</v>
      </c>
      <c r="S33" s="68">
        <f>IF(SER_hh_fec!S33=0,0,11630*1000*SER_hh_fec!S33/SER_hh_num!S33)</f>
        <v>54020.884283306586</v>
      </c>
      <c r="T33" s="68">
        <f>IF(SER_hh_fec!T33=0,0,11630*1000*SER_hh_fec!T33/SER_hh_num!T33)</f>
        <v>50719.021455512819</v>
      </c>
      <c r="U33" s="68">
        <f>IF(SER_hh_fec!U33=0,0,11630*1000*SER_hh_fec!U33/SER_hh_num!U33)</f>
        <v>49862.111482932429</v>
      </c>
      <c r="V33" s="68">
        <f>IF(SER_hh_fec!V33=0,0,11630*1000*SER_hh_fec!V33/SER_hh_num!V33)</f>
        <v>51049.357042656513</v>
      </c>
      <c r="W33" s="68">
        <f>IF(SER_hh_fec!W33=0,0,11630*1000*SER_hh_fec!W33/SER_hh_num!W33)</f>
        <v>51480.031184638996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165280.58796775431</v>
      </c>
      <c r="C3" s="126">
        <f>IF(SER_hh_tes!C3=0,0,11630*1000*SER_hh_tes!C3/SER_hh_num!C3)</f>
        <v>173379.00342928077</v>
      </c>
      <c r="D3" s="126">
        <f>IF(SER_hh_tes!D3=0,0,11630*1000*SER_hh_tes!D3/SER_hh_num!D3)</f>
        <v>177812.7986278194</v>
      </c>
      <c r="E3" s="126">
        <f>IF(SER_hh_tes!E3=0,0,11630*1000*SER_hh_tes!E3/SER_hh_num!E3)</f>
        <v>209675.40826102867</v>
      </c>
      <c r="F3" s="126">
        <f>IF(SER_hh_tes!F3=0,0,11630*1000*SER_hh_tes!F3/SER_hh_num!F3)</f>
        <v>193471.67793178611</v>
      </c>
      <c r="G3" s="126">
        <f>IF(SER_hh_tes!G3=0,0,11630*1000*SER_hh_tes!G3/SER_hh_num!G3)</f>
        <v>207246.80276878897</v>
      </c>
      <c r="H3" s="126">
        <f>IF(SER_hh_tes!H3=0,0,11630*1000*SER_hh_tes!H3/SER_hh_num!H3)</f>
        <v>189032.04277451232</v>
      </c>
      <c r="I3" s="126">
        <f>IF(SER_hh_tes!I3=0,0,11630*1000*SER_hh_tes!I3/SER_hh_num!I3)</f>
        <v>194874.83639401809</v>
      </c>
      <c r="J3" s="126">
        <f>IF(SER_hh_tes!J3=0,0,11630*1000*SER_hh_tes!J3/SER_hh_num!J3)</f>
        <v>179150.04430834972</v>
      </c>
      <c r="K3" s="126">
        <f>IF(SER_hh_tes!K3=0,0,11630*1000*SER_hh_tes!K3/SER_hh_num!K3)</f>
        <v>167697.64348016365</v>
      </c>
      <c r="L3" s="126">
        <f>IF(SER_hh_tes!L3=0,0,11630*1000*SER_hh_tes!L3/SER_hh_num!L3)</f>
        <v>216570.94390757568</v>
      </c>
      <c r="M3" s="126">
        <f>IF(SER_hh_tes!M3=0,0,11630*1000*SER_hh_tes!M3/SER_hh_num!M3)</f>
        <v>209828.98629373824</v>
      </c>
      <c r="N3" s="126">
        <f>IF(SER_hh_tes!N3=0,0,11630*1000*SER_hh_tes!N3/SER_hh_num!N3)</f>
        <v>260495.0797910399</v>
      </c>
      <c r="O3" s="126">
        <f>IF(SER_hh_tes!O3=0,0,11630*1000*SER_hh_tes!O3/SER_hh_num!O3)</f>
        <v>250148.64960232962</v>
      </c>
      <c r="P3" s="126">
        <f>IF(SER_hh_tes!P3=0,0,11630*1000*SER_hh_tes!P3/SER_hh_num!P3)</f>
        <v>261527.65531328876</v>
      </c>
      <c r="Q3" s="126">
        <f>IF(SER_hh_tes!Q3=0,0,11630*1000*SER_hh_tes!Q3/SER_hh_num!Q3)</f>
        <v>286846.59556478693</v>
      </c>
      <c r="R3" s="126">
        <f>IF(SER_hh_tes!R3=0,0,11630*1000*SER_hh_tes!R3/SER_hh_num!R3)</f>
        <v>268254.2549662292</v>
      </c>
      <c r="S3" s="126">
        <f>IF(SER_hh_tes!S3=0,0,11630*1000*SER_hh_tes!S3/SER_hh_num!S3)</f>
        <v>283409.25567359867</v>
      </c>
      <c r="T3" s="126">
        <f>IF(SER_hh_tes!T3=0,0,11630*1000*SER_hh_tes!T3/SER_hh_num!T3)</f>
        <v>254736.06700216501</v>
      </c>
      <c r="U3" s="126">
        <f>IF(SER_hh_tes!U3=0,0,11630*1000*SER_hh_tes!U3/SER_hh_num!U3)</f>
        <v>276777.78832629998</v>
      </c>
      <c r="V3" s="126">
        <f>IF(SER_hh_tes!V3=0,0,11630*1000*SER_hh_tes!V3/SER_hh_num!V3)</f>
        <v>231344.35196252484</v>
      </c>
      <c r="W3" s="126">
        <f>IF(SER_hh_tes!W3=0,0,11630*1000*SER_hh_tes!W3/SER_hh_num!W3)</f>
        <v>258712.91146209842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60612.571096311971</v>
      </c>
      <c r="C4" s="131">
        <f>IF(SER_hh_tes!C4=0,0,11630*1000*SER_hh_tes!C4/SER_hh_num!C4)</f>
        <v>62771.803749433493</v>
      </c>
      <c r="D4" s="131">
        <f>IF(SER_hh_tes!D4=0,0,11630*1000*SER_hh_tes!D4/SER_hh_num!D4)</f>
        <v>73428.484792640724</v>
      </c>
      <c r="E4" s="131">
        <f>IF(SER_hh_tes!E4=0,0,11630*1000*SER_hh_tes!E4/SER_hh_num!E4)</f>
        <v>83472.810188486983</v>
      </c>
      <c r="F4" s="131">
        <f>IF(SER_hh_tes!F4=0,0,11630*1000*SER_hh_tes!F4/SER_hh_num!F4)</f>
        <v>91186.084315164277</v>
      </c>
      <c r="G4" s="131">
        <f>IF(SER_hh_tes!G4=0,0,11630*1000*SER_hh_tes!G4/SER_hh_num!G4)</f>
        <v>105394.10322391543</v>
      </c>
      <c r="H4" s="131">
        <f>IF(SER_hh_tes!H4=0,0,11630*1000*SER_hh_tes!H4/SER_hh_num!H4)</f>
        <v>74186.417329102696</v>
      </c>
      <c r="I4" s="131">
        <f>IF(SER_hh_tes!I4=0,0,11630*1000*SER_hh_tes!I4/SER_hh_num!I4)</f>
        <v>77563.127943855172</v>
      </c>
      <c r="J4" s="131">
        <f>IF(SER_hh_tes!J4=0,0,11630*1000*SER_hh_tes!J4/SER_hh_num!J4)</f>
        <v>69616.622645125273</v>
      </c>
      <c r="K4" s="131">
        <f>IF(SER_hh_tes!K4=0,0,11630*1000*SER_hh_tes!K4/SER_hh_num!K4)</f>
        <v>52852.420130976388</v>
      </c>
      <c r="L4" s="131">
        <f>IF(SER_hh_tes!L4=0,0,11630*1000*SER_hh_tes!L4/SER_hh_num!L4)</f>
        <v>108192.75961561121</v>
      </c>
      <c r="M4" s="131">
        <f>IF(SER_hh_tes!M4=0,0,11630*1000*SER_hh_tes!M4/SER_hh_num!M4)</f>
        <v>97108.240055672155</v>
      </c>
      <c r="N4" s="131">
        <f>IF(SER_hh_tes!N4=0,0,11630*1000*SER_hh_tes!N4/SER_hh_num!N4)</f>
        <v>116349.49233600538</v>
      </c>
      <c r="O4" s="131">
        <f>IF(SER_hh_tes!O4=0,0,11630*1000*SER_hh_tes!O4/SER_hh_num!O4)</f>
        <v>127394.54850732065</v>
      </c>
      <c r="P4" s="131">
        <f>IF(SER_hh_tes!P4=0,0,11630*1000*SER_hh_tes!P4/SER_hh_num!P4)</f>
        <v>136118.53385638341</v>
      </c>
      <c r="Q4" s="131">
        <f>IF(SER_hh_tes!Q4=0,0,11630*1000*SER_hh_tes!Q4/SER_hh_num!Q4)</f>
        <v>156108.099504607</v>
      </c>
      <c r="R4" s="131">
        <f>IF(SER_hh_tes!R4=0,0,11630*1000*SER_hh_tes!R4/SER_hh_num!R4)</f>
        <v>147530.09128503728</v>
      </c>
      <c r="S4" s="131">
        <f>IF(SER_hh_tes!S4=0,0,11630*1000*SER_hh_tes!S4/SER_hh_num!S4)</f>
        <v>152500.66876821831</v>
      </c>
      <c r="T4" s="131">
        <f>IF(SER_hh_tes!T4=0,0,11630*1000*SER_hh_tes!T4/SER_hh_num!T4)</f>
        <v>129196.60841018223</v>
      </c>
      <c r="U4" s="131">
        <f>IF(SER_hh_tes!U4=0,0,11630*1000*SER_hh_tes!U4/SER_hh_num!U4)</f>
        <v>126814.032705045</v>
      </c>
      <c r="V4" s="131">
        <f>IF(SER_hh_tes!V4=0,0,11630*1000*SER_hh_tes!V4/SER_hh_num!V4)</f>
        <v>103678.85324892653</v>
      </c>
      <c r="W4" s="131">
        <f>IF(SER_hh_tes!W4=0,0,11630*1000*SER_hh_tes!W4/SER_hh_num!W4)</f>
        <v>109679.94733323813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63544.571429875701</v>
      </c>
      <c r="C6" s="133">
        <f>IF(SER_hh_tes!C6=0,0,11630*1000*SER_hh_tes!C6/SER_hh_num!C6)</f>
        <v>67593.136315149372</v>
      </c>
      <c r="D6" s="133">
        <f>IF(SER_hh_tes!D6=0,0,11630*1000*SER_hh_tes!D6/SER_hh_num!D6)</f>
        <v>69711.422259642219</v>
      </c>
      <c r="E6" s="133">
        <f>IF(SER_hh_tes!E6=0,0,11630*1000*SER_hh_tes!E6/SER_hh_num!E6)</f>
        <v>79671.88713042895</v>
      </c>
      <c r="F6" s="133">
        <f>IF(SER_hh_tes!F6=0,0,11630*1000*SER_hh_tes!F6/SER_hh_num!F6)</f>
        <v>84538.03450149433</v>
      </c>
      <c r="G6" s="133">
        <f>IF(SER_hh_tes!G6=0,0,11630*1000*SER_hh_tes!G6/SER_hh_num!G6)</f>
        <v>73909.374473128977</v>
      </c>
      <c r="H6" s="133">
        <f>IF(SER_hh_tes!H6=0,0,11630*1000*SER_hh_tes!H6/SER_hh_num!H6)</f>
        <v>85992.462536318722</v>
      </c>
      <c r="I6" s="133">
        <f>IF(SER_hh_tes!I6=0,0,11630*1000*SER_hh_tes!I6/SER_hh_num!I6)</f>
        <v>97986.935990061727</v>
      </c>
      <c r="J6" s="133">
        <f>IF(SER_hh_tes!J6=0,0,11630*1000*SER_hh_tes!J6/SER_hh_num!J6)</f>
        <v>53412.12750273251</v>
      </c>
      <c r="K6" s="133">
        <f>IF(SER_hh_tes!K6=0,0,11630*1000*SER_hh_tes!K6/SER_hh_num!K6)</f>
        <v>28366.070846071154</v>
      </c>
      <c r="L6" s="133">
        <f>IF(SER_hh_tes!L6=0,0,11630*1000*SER_hh_tes!L6/SER_hh_num!L6)</f>
        <v>129897.65653019503</v>
      </c>
      <c r="M6" s="133">
        <f>IF(SER_hh_tes!M6=0,0,11630*1000*SER_hh_tes!M6/SER_hh_num!M6)</f>
        <v>101007.62190246087</v>
      </c>
      <c r="N6" s="133">
        <f>IF(SER_hh_tes!N6=0,0,11630*1000*SER_hh_tes!N6/SER_hh_num!N6)</f>
        <v>127064.77621066221</v>
      </c>
      <c r="O6" s="133">
        <f>IF(SER_hh_tes!O6=0,0,11630*1000*SER_hh_tes!O6/SER_hh_num!O6)</f>
        <v>100686.11130821503</v>
      </c>
      <c r="P6" s="133">
        <f>IF(SER_hh_tes!P6=0,0,11630*1000*SER_hh_tes!P6/SER_hh_num!P6)</f>
        <v>107221.74407509014</v>
      </c>
      <c r="Q6" s="133">
        <f>IF(SER_hh_tes!Q6=0,0,11630*1000*SER_hh_tes!Q6/SER_hh_num!Q6)</f>
        <v>130478.48786796875</v>
      </c>
      <c r="R6" s="133">
        <f>IF(SER_hh_tes!R6=0,0,11630*1000*SER_hh_tes!R6/SER_hh_num!R6)</f>
        <v>110412.01414837326</v>
      </c>
      <c r="S6" s="133">
        <f>IF(SER_hh_tes!S6=0,0,11630*1000*SER_hh_tes!S6/SER_hh_num!S6)</f>
        <v>121679.60589326773</v>
      </c>
      <c r="T6" s="133">
        <f>IF(SER_hh_tes!T6=0,0,11630*1000*SER_hh_tes!T6/SER_hh_num!T6)</f>
        <v>143002.5922006148</v>
      </c>
      <c r="U6" s="133">
        <f>IF(SER_hh_tes!U6=0,0,11630*1000*SER_hh_tes!U6/SER_hh_num!U6)</f>
        <v>131976.22980640412</v>
      </c>
      <c r="V6" s="133">
        <f>IF(SER_hh_tes!V6=0,0,11630*1000*SER_hh_tes!V6/SER_hh_num!V6)</f>
        <v>98681.710969271531</v>
      </c>
      <c r="W6" s="133">
        <f>IF(SER_hh_tes!W6=0,0,11630*1000*SER_hh_tes!W6/SER_hh_num!W6)</f>
        <v>112166.37045723475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60949.074608598414</v>
      </c>
      <c r="C7" s="133">
        <f>IF(SER_hh_tes!C7=0,0,11630*1000*SER_hh_tes!C7/SER_hh_num!C7)</f>
        <v>60116.8603011062</v>
      </c>
      <c r="D7" s="133">
        <f>IF(SER_hh_tes!D7=0,0,11630*1000*SER_hh_tes!D7/SER_hh_num!D7)</f>
        <v>69686.473216565093</v>
      </c>
      <c r="E7" s="133">
        <f>IF(SER_hh_tes!E7=0,0,11630*1000*SER_hh_tes!E7/SER_hh_num!E7)</f>
        <v>86824.171980977073</v>
      </c>
      <c r="F7" s="133">
        <f>IF(SER_hh_tes!F7=0,0,11630*1000*SER_hh_tes!F7/SER_hh_num!F7)</f>
        <v>99143.463568836218</v>
      </c>
      <c r="G7" s="133">
        <f>IF(SER_hh_tes!G7=0,0,11630*1000*SER_hh_tes!G7/SER_hh_num!G7)</f>
        <v>86877.841909467563</v>
      </c>
      <c r="H7" s="133">
        <f>IF(SER_hh_tes!H7=0,0,11630*1000*SER_hh_tes!H7/SER_hh_num!H7)</f>
        <v>69763.154532626781</v>
      </c>
      <c r="I7" s="133">
        <f>IF(SER_hh_tes!I7=0,0,11630*1000*SER_hh_tes!I7/SER_hh_num!I7)</f>
        <v>78165.772675532819</v>
      </c>
      <c r="J7" s="133">
        <f>IF(SER_hh_tes!J7=0,0,11630*1000*SER_hh_tes!J7/SER_hh_num!J7)</f>
        <v>73648.296821560813</v>
      </c>
      <c r="K7" s="133">
        <f>IF(SER_hh_tes!K7=0,0,11630*1000*SER_hh_tes!K7/SER_hh_num!K7)</f>
        <v>55396.202358823379</v>
      </c>
      <c r="L7" s="133">
        <f>IF(SER_hh_tes!L7=0,0,11630*1000*SER_hh_tes!L7/SER_hh_num!L7)</f>
        <v>103847.61573882373</v>
      </c>
      <c r="M7" s="133">
        <f>IF(SER_hh_tes!M7=0,0,11630*1000*SER_hh_tes!M7/SER_hh_num!M7)</f>
        <v>61843.286891343669</v>
      </c>
      <c r="N7" s="133">
        <f>IF(SER_hh_tes!N7=0,0,11630*1000*SER_hh_tes!N7/SER_hh_num!N7)</f>
        <v>103641.9408793183</v>
      </c>
      <c r="O7" s="133">
        <f>IF(SER_hh_tes!O7=0,0,11630*1000*SER_hh_tes!O7/SER_hh_num!O7)</f>
        <v>134678.9916770389</v>
      </c>
      <c r="P7" s="133">
        <f>IF(SER_hh_tes!P7=0,0,11630*1000*SER_hh_tes!P7/SER_hh_num!P7)</f>
        <v>136451.07683220715</v>
      </c>
      <c r="Q7" s="133">
        <f>IF(SER_hh_tes!Q7=0,0,11630*1000*SER_hh_tes!Q7/SER_hh_num!Q7)</f>
        <v>162521.73779219046</v>
      </c>
      <c r="R7" s="133">
        <f>IF(SER_hh_tes!R7=0,0,11630*1000*SER_hh_tes!R7/SER_hh_num!R7)</f>
        <v>160130.40275215925</v>
      </c>
      <c r="S7" s="133">
        <f>IF(SER_hh_tes!S7=0,0,11630*1000*SER_hh_tes!S7/SER_hh_num!S7)</f>
        <v>157650.31841607744</v>
      </c>
      <c r="T7" s="133">
        <f>IF(SER_hh_tes!T7=0,0,11630*1000*SER_hh_tes!T7/SER_hh_num!T7)</f>
        <v>104849.68775782677</v>
      </c>
      <c r="U7" s="133">
        <f>IF(SER_hh_tes!U7=0,0,11630*1000*SER_hh_tes!U7/SER_hh_num!U7)</f>
        <v>114342.91035816866</v>
      </c>
      <c r="V7" s="133">
        <f>IF(SER_hh_tes!V7=0,0,11630*1000*SER_hh_tes!V7/SER_hh_num!V7)</f>
        <v>101061.5595856338</v>
      </c>
      <c r="W7" s="133">
        <f>IF(SER_hh_tes!W7=0,0,11630*1000*SER_hh_tes!W7/SER_hh_num!W7)</f>
        <v>108824.61033715506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0</v>
      </c>
      <c r="C9" s="133">
        <f>IF(SER_hh_tes!C9=0,0,11630*1000*SER_hh_tes!C9/SER_hh_num!C9)</f>
        <v>0</v>
      </c>
      <c r="D9" s="133">
        <f>IF(SER_hh_tes!D9=0,0,11630*1000*SER_hh_tes!D9/SER_hh_num!D9)</f>
        <v>0</v>
      </c>
      <c r="E9" s="133">
        <f>IF(SER_hh_tes!E9=0,0,11630*1000*SER_hh_tes!E9/SER_hh_num!E9)</f>
        <v>0</v>
      </c>
      <c r="F9" s="133">
        <f>IF(SER_hh_tes!F9=0,0,11630*1000*SER_hh_tes!F9/SER_hh_num!F9)</f>
        <v>0</v>
      </c>
      <c r="G9" s="133">
        <f>IF(SER_hh_tes!G9=0,0,11630*1000*SER_hh_tes!G9/SER_hh_num!G9)</f>
        <v>0</v>
      </c>
      <c r="H9" s="133">
        <f>IF(SER_hh_tes!H9=0,0,11630*1000*SER_hh_tes!H9/SER_hh_num!H9)</f>
        <v>0</v>
      </c>
      <c r="I9" s="133">
        <f>IF(SER_hh_tes!I9=0,0,11630*1000*SER_hh_tes!I9/SER_hh_num!I9)</f>
        <v>0</v>
      </c>
      <c r="J9" s="133">
        <f>IF(SER_hh_tes!J9=0,0,11630*1000*SER_hh_tes!J9/SER_hh_num!J9)</f>
        <v>0</v>
      </c>
      <c r="K9" s="133">
        <f>IF(SER_hh_tes!K9=0,0,11630*1000*SER_hh_tes!K9/SER_hh_num!K9)</f>
        <v>0</v>
      </c>
      <c r="L9" s="133">
        <f>IF(SER_hh_tes!L9=0,0,11630*1000*SER_hh_tes!L9/SER_hh_num!L9)</f>
        <v>0</v>
      </c>
      <c r="M9" s="133">
        <f>IF(SER_hh_tes!M9=0,0,11630*1000*SER_hh_tes!M9/SER_hh_num!M9)</f>
        <v>135218.7059573617</v>
      </c>
      <c r="N9" s="133">
        <f>IF(SER_hh_tes!N9=0,0,11630*1000*SER_hh_tes!N9/SER_hh_num!N9)</f>
        <v>154284.54661437109</v>
      </c>
      <c r="O9" s="133">
        <f>IF(SER_hh_tes!O9=0,0,11630*1000*SER_hh_tes!O9/SER_hh_num!O9)</f>
        <v>112482.68079281073</v>
      </c>
      <c r="P9" s="133">
        <f>IF(SER_hh_tes!P9=0,0,11630*1000*SER_hh_tes!P9/SER_hh_num!P9)</f>
        <v>134638.15315978043</v>
      </c>
      <c r="Q9" s="133">
        <f>IF(SER_hh_tes!Q9=0,0,11630*1000*SER_hh_tes!Q9/SER_hh_num!Q9)</f>
        <v>134233.55981156055</v>
      </c>
      <c r="R9" s="133">
        <f>IF(SER_hh_tes!R9=0,0,11630*1000*SER_hh_tes!R9/SER_hh_num!R9)</f>
        <v>163031.61593048327</v>
      </c>
      <c r="S9" s="133">
        <f>IF(SER_hh_tes!S9=0,0,11630*1000*SER_hh_tes!S9/SER_hh_num!S9)</f>
        <v>133744.62739929228</v>
      </c>
      <c r="T9" s="133">
        <f>IF(SER_hh_tes!T9=0,0,11630*1000*SER_hh_tes!T9/SER_hh_num!T9)</f>
        <v>105602.1344927637</v>
      </c>
      <c r="U9" s="133">
        <f>IF(SER_hh_tes!U9=0,0,11630*1000*SER_hh_tes!U9/SER_hh_num!U9)</f>
        <v>149212.65610338634</v>
      </c>
      <c r="V9" s="133">
        <f>IF(SER_hh_tes!V9=0,0,11630*1000*SER_hh_tes!V9/SER_hh_num!V9)</f>
        <v>110802.77971645875</v>
      </c>
      <c r="W9" s="133">
        <f>IF(SER_hh_tes!W9=0,0,11630*1000*SER_hh_tes!W9/SER_hh_num!W9)</f>
        <v>82545.074093689225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0</v>
      </c>
      <c r="J10" s="133">
        <f>IF(SER_hh_tes!J10=0,0,11630*1000*SER_hh_tes!J10/SER_hh_num!J10)</f>
        <v>0</v>
      </c>
      <c r="K10" s="133">
        <f>IF(SER_hh_tes!K10=0,0,11630*1000*SER_hh_tes!K10/SER_hh_num!K10)</f>
        <v>0</v>
      </c>
      <c r="L10" s="133">
        <f>IF(SER_hh_tes!L10=0,0,11630*1000*SER_hh_tes!L10/SER_hh_num!L10)</f>
        <v>0</v>
      </c>
      <c r="M10" s="133">
        <f>IF(SER_hh_tes!M10=0,0,11630*1000*SER_hh_tes!M10/SER_hh_num!M10)</f>
        <v>0</v>
      </c>
      <c r="N10" s="133">
        <f>IF(SER_hh_tes!N10=0,0,11630*1000*SER_hh_tes!N10/SER_hh_num!N10)</f>
        <v>0</v>
      </c>
      <c r="O10" s="133">
        <f>IF(SER_hh_tes!O10=0,0,11630*1000*SER_hh_tes!O10/SER_hh_num!O10)</f>
        <v>0</v>
      </c>
      <c r="P10" s="133">
        <f>IF(SER_hh_tes!P10=0,0,11630*1000*SER_hh_tes!P10/SER_hh_num!P10)</f>
        <v>0</v>
      </c>
      <c r="Q10" s="133">
        <f>IF(SER_hh_tes!Q10=0,0,11630*1000*SER_hh_tes!Q10/SER_hh_num!Q10)</f>
        <v>0</v>
      </c>
      <c r="R10" s="133">
        <f>IF(SER_hh_tes!R10=0,0,11630*1000*SER_hh_tes!R10/SER_hh_num!R10)</f>
        <v>0</v>
      </c>
      <c r="S10" s="133">
        <f>IF(SER_hh_tes!S10=0,0,11630*1000*SER_hh_tes!S10/SER_hh_num!S10)</f>
        <v>0</v>
      </c>
      <c r="T10" s="133">
        <f>IF(SER_hh_tes!T10=0,0,11630*1000*SER_hh_tes!T10/SER_hh_num!T10)</f>
        <v>0</v>
      </c>
      <c r="U10" s="133">
        <f>IF(SER_hh_tes!U10=0,0,11630*1000*SER_hh_tes!U10/SER_hh_num!U10)</f>
        <v>0</v>
      </c>
      <c r="V10" s="133">
        <f>IF(SER_hh_tes!V10=0,0,11630*1000*SER_hh_tes!V10/SER_hh_num!V10)</f>
        <v>0</v>
      </c>
      <c r="W10" s="133">
        <f>IF(SER_hh_tes!W10=0,0,11630*1000*SER_hh_tes!W10/SER_hh_num!W10)</f>
        <v>0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141274.75552761203</v>
      </c>
      <c r="N12" s="133">
        <f>IF(SER_hh_tes!N12=0,0,11630*1000*SER_hh_tes!N12/SER_hh_num!N12)</f>
        <v>227901.68422369877</v>
      </c>
      <c r="O12" s="133">
        <f>IF(SER_hh_tes!O12=0,0,11630*1000*SER_hh_tes!O12/SER_hh_num!O12)</f>
        <v>31909.415933006367</v>
      </c>
      <c r="P12" s="133">
        <f>IF(SER_hh_tes!P12=0,0,11630*1000*SER_hh_tes!P12/SER_hh_num!P12)</f>
        <v>38236.275154984607</v>
      </c>
      <c r="Q12" s="133">
        <f>IF(SER_hh_tes!Q12=0,0,11630*1000*SER_hh_tes!Q12/SER_hh_num!Q12)</f>
        <v>276993.68499878305</v>
      </c>
      <c r="R12" s="133">
        <f>IF(SER_hh_tes!R12=0,0,11630*1000*SER_hh_tes!R12/SER_hh_num!R12)</f>
        <v>171435.69400383899</v>
      </c>
      <c r="S12" s="133">
        <f>IF(SER_hh_tes!S12=0,0,11630*1000*SER_hh_tes!S12/SER_hh_num!S12)</f>
        <v>38689.250612662574</v>
      </c>
      <c r="T12" s="133">
        <f>IF(SER_hh_tes!T12=0,0,11630*1000*SER_hh_tes!T12/SER_hh_num!T12)</f>
        <v>73525.30850775665</v>
      </c>
      <c r="U12" s="133">
        <f>IF(SER_hh_tes!U12=0,0,11630*1000*SER_hh_tes!U12/SER_hh_num!U12)</f>
        <v>239777.68271716559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44438.399410689897</v>
      </c>
      <c r="C13" s="133">
        <f>IF(SER_hh_tes!C13=0,0,11630*1000*SER_hh_tes!C13/SER_hh_num!C13)</f>
        <v>63541.898593156606</v>
      </c>
      <c r="D13" s="133">
        <f>IF(SER_hh_tes!D13=0,0,11630*1000*SER_hh_tes!D13/SER_hh_num!D13)</f>
        <v>71997.863862053535</v>
      </c>
      <c r="E13" s="133">
        <f>IF(SER_hh_tes!E13=0,0,11630*1000*SER_hh_tes!E13/SER_hh_num!E13)</f>
        <v>86283.615250332645</v>
      </c>
      <c r="F13" s="133">
        <f>IF(SER_hh_tes!F13=0,0,11630*1000*SER_hh_tes!F13/SER_hh_num!F13)</f>
        <v>78012.404216792711</v>
      </c>
      <c r="G13" s="133">
        <f>IF(SER_hh_tes!G13=0,0,11630*1000*SER_hh_tes!G13/SER_hh_num!G13)</f>
        <v>81961.200192009404</v>
      </c>
      <c r="H13" s="133">
        <f>IF(SER_hh_tes!H13=0,0,11630*1000*SER_hh_tes!H13/SER_hh_num!H13)</f>
        <v>65973.15798076152</v>
      </c>
      <c r="I13" s="133">
        <f>IF(SER_hh_tes!I13=0,0,11630*1000*SER_hh_tes!I13/SER_hh_num!I13)</f>
        <v>64812.440296541004</v>
      </c>
      <c r="J13" s="133">
        <f>IF(SER_hh_tes!J13=0,0,11630*1000*SER_hh_tes!J13/SER_hh_num!J13)</f>
        <v>72023.36191283584</v>
      </c>
      <c r="K13" s="133">
        <f>IF(SER_hh_tes!K13=0,0,11630*1000*SER_hh_tes!K13/SER_hh_num!K13)</f>
        <v>77961.790291771496</v>
      </c>
      <c r="L13" s="133">
        <f>IF(SER_hh_tes!L13=0,0,11630*1000*SER_hh_tes!L13/SER_hh_num!L13)</f>
        <v>81593.668929852967</v>
      </c>
      <c r="M13" s="133">
        <f>IF(SER_hh_tes!M13=0,0,11630*1000*SER_hh_tes!M13/SER_hh_num!M13)</f>
        <v>97467.230097572319</v>
      </c>
      <c r="N13" s="133">
        <f>IF(SER_hh_tes!N13=0,0,11630*1000*SER_hh_tes!N13/SER_hh_num!N13)</f>
        <v>113963.60374261062</v>
      </c>
      <c r="O13" s="133">
        <f>IF(SER_hh_tes!O13=0,0,11630*1000*SER_hh_tes!O13/SER_hh_num!O13)</f>
        <v>118096.26648409688</v>
      </c>
      <c r="P13" s="133">
        <f>IF(SER_hh_tes!P13=0,0,11630*1000*SER_hh_tes!P13/SER_hh_num!P13)</f>
        <v>136706.05259159082</v>
      </c>
      <c r="Q13" s="133">
        <f>IF(SER_hh_tes!Q13=0,0,11630*1000*SER_hh_tes!Q13/SER_hh_num!Q13)</f>
        <v>153675.1703752871</v>
      </c>
      <c r="R13" s="133">
        <f>IF(SER_hh_tes!R13=0,0,11630*1000*SER_hh_tes!R13/SER_hh_num!R13)</f>
        <v>147888.80427912984</v>
      </c>
      <c r="S13" s="133">
        <f>IF(SER_hh_tes!S13=0,0,11630*1000*SER_hh_tes!S13/SER_hh_num!S13)</f>
        <v>144207.83555674332</v>
      </c>
      <c r="T13" s="133">
        <f>IF(SER_hh_tes!T13=0,0,11630*1000*SER_hh_tes!T13/SER_hh_num!T13)</f>
        <v>130198.91798312178</v>
      </c>
      <c r="U13" s="133">
        <f>IF(SER_hh_tes!U13=0,0,11630*1000*SER_hh_tes!U13/SER_hh_num!U13)</f>
        <v>113419.30942700594</v>
      </c>
      <c r="V13" s="133">
        <f>IF(SER_hh_tes!V13=0,0,11630*1000*SER_hh_tes!V13/SER_hh_num!V13)</f>
        <v>110093.6274618499</v>
      </c>
      <c r="W13" s="133">
        <f>IF(SER_hh_tes!W13=0,0,11630*1000*SER_hh_tes!W13/SER_hh_num!W13)</f>
        <v>113783.50182060762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56575.962126636216</v>
      </c>
      <c r="C14" s="65">
        <f>IF(SER_hh_tes!C14=0,0,11630*1000*SER_hh_tes!C14/SER_hh_num!C14)</f>
        <v>64289.430366290289</v>
      </c>
      <c r="D14" s="65">
        <f>IF(SER_hh_tes!D14=0,0,11630*1000*SER_hh_tes!D14/SER_hh_num!D14)</f>
        <v>78338.309112197676</v>
      </c>
      <c r="E14" s="65">
        <f>IF(SER_hh_tes!E14=0,0,11630*1000*SER_hh_tes!E14/SER_hh_num!E14)</f>
        <v>75525.135129742892</v>
      </c>
      <c r="F14" s="65">
        <f>IF(SER_hh_tes!F14=0,0,11630*1000*SER_hh_tes!F14/SER_hh_num!F14)</f>
        <v>79080.751330746527</v>
      </c>
      <c r="G14" s="65">
        <f>IF(SER_hh_tes!G14=0,0,11630*1000*SER_hh_tes!G14/SER_hh_num!G14)</f>
        <v>128524.01866090525</v>
      </c>
      <c r="H14" s="65">
        <f>IF(SER_hh_tes!H14=0,0,11630*1000*SER_hh_tes!H14/SER_hh_num!H14)</f>
        <v>76465.690680247455</v>
      </c>
      <c r="I14" s="65">
        <f>IF(SER_hh_tes!I14=0,0,11630*1000*SER_hh_tes!I14/SER_hh_num!I14)</f>
        <v>73947.107296096103</v>
      </c>
      <c r="J14" s="65">
        <f>IF(SER_hh_tes!J14=0,0,11630*1000*SER_hh_tes!J14/SER_hh_num!J14)</f>
        <v>64590.023497744805</v>
      </c>
      <c r="K14" s="65">
        <f>IF(SER_hh_tes!K14=0,0,11630*1000*SER_hh_tes!K14/SER_hh_num!K14)</f>
        <v>47590.438757974909</v>
      </c>
      <c r="L14" s="65">
        <f>IF(SER_hh_tes!L14=0,0,11630*1000*SER_hh_tes!L14/SER_hh_num!L14)</f>
        <v>111775.07286849685</v>
      </c>
      <c r="M14" s="65">
        <f>IF(SER_hh_tes!M14=0,0,11630*1000*SER_hh_tes!M14/SER_hh_num!M14)</f>
        <v>119327.99311774889</v>
      </c>
      <c r="N14" s="65">
        <f>IF(SER_hh_tes!N14=0,0,11630*1000*SER_hh_tes!N14/SER_hh_num!N14)</f>
        <v>121583.14844659528</v>
      </c>
      <c r="O14" s="65">
        <f>IF(SER_hh_tes!O14=0,0,11630*1000*SER_hh_tes!O14/SER_hh_num!O14)</f>
        <v>124762.89985192432</v>
      </c>
      <c r="P14" s="65">
        <f>IF(SER_hh_tes!P14=0,0,11630*1000*SER_hh_tes!P14/SER_hh_num!P14)</f>
        <v>136549.26799315566</v>
      </c>
      <c r="Q14" s="65">
        <f>IF(SER_hh_tes!Q14=0,0,11630*1000*SER_hh_tes!Q14/SER_hh_num!Q14)</f>
        <v>150817.23497575245</v>
      </c>
      <c r="R14" s="65">
        <f>IF(SER_hh_tes!R14=0,0,11630*1000*SER_hh_tes!R14/SER_hh_num!R14)</f>
        <v>137359.86484844147</v>
      </c>
      <c r="S14" s="65">
        <f>IF(SER_hh_tes!S14=0,0,11630*1000*SER_hh_tes!S14/SER_hh_num!S14)</f>
        <v>152900.29945691043</v>
      </c>
      <c r="T14" s="65">
        <f>IF(SER_hh_tes!T14=0,0,11630*1000*SER_hh_tes!T14/SER_hh_num!T14)</f>
        <v>138660.23986564871</v>
      </c>
      <c r="U14" s="65">
        <f>IF(SER_hh_tes!U14=0,0,11630*1000*SER_hh_tes!U14/SER_hh_num!U14)</f>
        <v>133682.33503348217</v>
      </c>
      <c r="V14" s="65">
        <f>IF(SER_hh_tes!V14=0,0,11630*1000*SER_hh_tes!V14/SER_hh_num!V14)</f>
        <v>101527.84907184997</v>
      </c>
      <c r="W14" s="65">
        <f>IF(SER_hh_tes!W14=0,0,11630*1000*SER_hh_tes!W14/SER_hh_num!W14)</f>
        <v>107926.90209746629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1224.4699050535528</v>
      </c>
      <c r="C15" s="135">
        <f>IF(SER_hh_tes!C15=0,0,11630*1000*SER_hh_tes!C15/SER_hh_num!C15)</f>
        <v>1193.8756774017781</v>
      </c>
      <c r="D15" s="135">
        <f>IF(SER_hh_tes!D15=0,0,11630*1000*SER_hh_tes!D15/SER_hh_num!D15)</f>
        <v>1342.4401098661849</v>
      </c>
      <c r="E15" s="135">
        <f>IF(SER_hh_tes!E15=0,0,11630*1000*SER_hh_tes!E15/SER_hh_num!E15)</f>
        <v>1630.2070189339265</v>
      </c>
      <c r="F15" s="135">
        <f>IF(SER_hh_tes!F15=0,0,11630*1000*SER_hh_tes!F15/SER_hh_num!F15)</f>
        <v>1820.2109441979483</v>
      </c>
      <c r="G15" s="135">
        <f>IF(SER_hh_tes!G15=0,0,11630*1000*SER_hh_tes!G15/SER_hh_num!G15)</f>
        <v>1564.2711004874964</v>
      </c>
      <c r="H15" s="135">
        <f>IF(SER_hh_tes!H15=0,0,11630*1000*SER_hh_tes!H15/SER_hh_num!H15)</f>
        <v>1284.3225450611183</v>
      </c>
      <c r="I15" s="135">
        <f>IF(SER_hh_tes!I15=0,0,11630*1000*SER_hh_tes!I15/SER_hh_num!I15)</f>
        <v>1416.9237413654905</v>
      </c>
      <c r="J15" s="135">
        <f>IF(SER_hh_tes!J15=0,0,11630*1000*SER_hh_tes!J15/SER_hh_num!J15)</f>
        <v>1242.8052478950156</v>
      </c>
      <c r="K15" s="135">
        <f>IF(SER_hh_tes!K15=0,0,11630*1000*SER_hh_tes!K15/SER_hh_num!K15)</f>
        <v>897.94920683096973</v>
      </c>
      <c r="L15" s="135">
        <f>IF(SER_hh_tes!L15=0,0,11630*1000*SER_hh_tes!L15/SER_hh_num!L15)</f>
        <v>1813.0852491315566</v>
      </c>
      <c r="M15" s="135">
        <f>IF(SER_hh_tes!M15=0,0,11630*1000*SER_hh_tes!M15/SER_hh_num!M15)</f>
        <v>1167.4187071078265</v>
      </c>
      <c r="N15" s="135">
        <f>IF(SER_hh_tes!N15=0,0,11630*1000*SER_hh_tes!N15/SER_hh_num!N15)</f>
        <v>1799.4970383359512</v>
      </c>
      <c r="O15" s="135">
        <f>IF(SER_hh_tes!O15=0,0,11630*1000*SER_hh_tes!O15/SER_hh_num!O15)</f>
        <v>2148.354082626387</v>
      </c>
      <c r="P15" s="135">
        <f>IF(SER_hh_tes!P15=0,0,11630*1000*SER_hh_tes!P15/SER_hh_num!P15)</f>
        <v>2193.0635535999431</v>
      </c>
      <c r="Q15" s="135">
        <f>IF(SER_hh_tes!Q15=0,0,11630*1000*SER_hh_tes!Q15/SER_hh_num!Q15)</f>
        <v>2588.7612121845855</v>
      </c>
      <c r="R15" s="135">
        <f>IF(SER_hh_tes!R15=0,0,11630*1000*SER_hh_tes!R15/SER_hh_num!R15)</f>
        <v>2522.3136727737656</v>
      </c>
      <c r="S15" s="135">
        <f>IF(SER_hh_tes!S15=0,0,11630*1000*SER_hh_tes!S15/SER_hh_num!S15)</f>
        <v>2463.5682135213369</v>
      </c>
      <c r="T15" s="135">
        <f>IF(SER_hh_tes!T15=0,0,11630*1000*SER_hh_tes!T15/SER_hh_num!T15)</f>
        <v>1775.9376973282599</v>
      </c>
      <c r="U15" s="135">
        <f>IF(SER_hh_tes!U15=0,0,11630*1000*SER_hh_tes!U15/SER_hh_num!U15)</f>
        <v>1913.8552383249464</v>
      </c>
      <c r="V15" s="135">
        <f>IF(SER_hh_tes!V15=0,0,11630*1000*SER_hh_tes!V15/SER_hh_num!V15)</f>
        <v>1611.7756737577122</v>
      </c>
      <c r="W15" s="135">
        <f>IF(SER_hh_tes!W15=0,0,11630*1000*SER_hh_tes!W15/SER_hh_num!W15)</f>
        <v>1708.5047780972968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69738.817451184863</v>
      </c>
      <c r="C16" s="131">
        <f>IF(SER_hh_tes!C16=0,0,11630*1000*SER_hh_tes!C16/SER_hh_num!C16)</f>
        <v>78857.560842484309</v>
      </c>
      <c r="D16" s="131">
        <f>IF(SER_hh_tes!D16=0,0,11630*1000*SER_hh_tes!D16/SER_hh_num!D16)</f>
        <v>61879.936573171988</v>
      </c>
      <c r="E16" s="131">
        <f>IF(SER_hh_tes!E16=0,0,11630*1000*SER_hh_tes!E16/SER_hh_num!E16)</f>
        <v>95180.564360519464</v>
      </c>
      <c r="F16" s="131">
        <f>IF(SER_hh_tes!F16=0,0,11630*1000*SER_hh_tes!F16/SER_hh_num!F16)</f>
        <v>50389.68113802217</v>
      </c>
      <c r="G16" s="131">
        <f>IF(SER_hh_tes!G16=0,0,11630*1000*SER_hh_tes!G16/SER_hh_num!G16)</f>
        <v>50333.864717950783</v>
      </c>
      <c r="H16" s="131">
        <f>IF(SER_hh_tes!H16=0,0,11630*1000*SER_hh_tes!H16/SER_hh_num!H16)</f>
        <v>69376.41335191681</v>
      </c>
      <c r="I16" s="131">
        <f>IF(SER_hh_tes!I16=0,0,11630*1000*SER_hh_tes!I16/SER_hh_num!I16)</f>
        <v>72869.929569194952</v>
      </c>
      <c r="J16" s="131">
        <f>IF(SER_hh_tes!J16=0,0,11630*1000*SER_hh_tes!J16/SER_hh_num!J16)</f>
        <v>63461.809045024413</v>
      </c>
      <c r="K16" s="131">
        <f>IF(SER_hh_tes!K16=0,0,11630*1000*SER_hh_tes!K16/SER_hh_num!K16)</f>
        <v>66282.169761057143</v>
      </c>
      <c r="L16" s="131">
        <f>IF(SER_hh_tes!L16=0,0,11630*1000*SER_hh_tes!L16/SER_hh_num!L16)</f>
        <v>54797.465103944232</v>
      </c>
      <c r="M16" s="131">
        <f>IF(SER_hh_tes!M16=0,0,11630*1000*SER_hh_tes!M16/SER_hh_num!M16)</f>
        <v>60150.48748818507</v>
      </c>
      <c r="N16" s="131">
        <f>IF(SER_hh_tes!N16=0,0,11630*1000*SER_hh_tes!N16/SER_hh_num!N16)</f>
        <v>106349.49893941851</v>
      </c>
      <c r="O16" s="131">
        <f>IF(SER_hh_tes!O16=0,0,11630*1000*SER_hh_tes!O16/SER_hh_num!O16)</f>
        <v>76167.373776505003</v>
      </c>
      <c r="P16" s="131">
        <f>IF(SER_hh_tes!P16=0,0,11630*1000*SER_hh_tes!P16/SER_hh_num!P16)</f>
        <v>79773.746359395576</v>
      </c>
      <c r="Q16" s="131">
        <f>IF(SER_hh_tes!Q16=0,0,11630*1000*SER_hh_tes!Q16/SER_hh_num!Q16)</f>
        <v>86955.198681857233</v>
      </c>
      <c r="R16" s="131">
        <f>IF(SER_hh_tes!R16=0,0,11630*1000*SER_hh_tes!R16/SER_hh_num!R16)</f>
        <v>73425.29431240118</v>
      </c>
      <c r="S16" s="131">
        <f>IF(SER_hh_tes!S16=0,0,11630*1000*SER_hh_tes!S16/SER_hh_num!S16)</f>
        <v>88213.1537905804</v>
      </c>
      <c r="T16" s="131">
        <f>IF(SER_hh_tes!T16=0,0,11630*1000*SER_hh_tes!T16/SER_hh_num!T16)</f>
        <v>79622.70937977852</v>
      </c>
      <c r="U16" s="131">
        <f>IF(SER_hh_tes!U16=0,0,11630*1000*SER_hh_tes!U16/SER_hh_num!U16)</f>
        <v>110538.60721888066</v>
      </c>
      <c r="V16" s="131">
        <f>IF(SER_hh_tes!V16=0,0,11630*1000*SER_hh_tes!V16/SER_hh_num!V16)</f>
        <v>88624.032236386091</v>
      </c>
      <c r="W16" s="131">
        <f>IF(SER_hh_tes!W16=0,0,11630*1000*SER_hh_tes!W16/SER_hh_num!W16)</f>
        <v>114110.63684976196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69738.817451184863</v>
      </c>
      <c r="C18" s="133">
        <f>IF(SER_hh_tes!C18=0,0,11630*1000*SER_hh_tes!C18/SER_hh_num!C18)</f>
        <v>78857.560842484309</v>
      </c>
      <c r="D18" s="133">
        <f>IF(SER_hh_tes!D18=0,0,11630*1000*SER_hh_tes!D18/SER_hh_num!D18)</f>
        <v>61879.936573171988</v>
      </c>
      <c r="E18" s="133">
        <f>IF(SER_hh_tes!E18=0,0,11630*1000*SER_hh_tes!E18/SER_hh_num!E18)</f>
        <v>95180.564360519464</v>
      </c>
      <c r="F18" s="133">
        <f>IF(SER_hh_tes!F18=0,0,11630*1000*SER_hh_tes!F18/SER_hh_num!F18)</f>
        <v>50389.68113802217</v>
      </c>
      <c r="G18" s="133">
        <f>IF(SER_hh_tes!G18=0,0,11630*1000*SER_hh_tes!G18/SER_hh_num!G18)</f>
        <v>50333.864717950783</v>
      </c>
      <c r="H18" s="133">
        <f>IF(SER_hh_tes!H18=0,0,11630*1000*SER_hh_tes!H18/SER_hh_num!H18)</f>
        <v>69376.41335191681</v>
      </c>
      <c r="I18" s="133">
        <f>IF(SER_hh_tes!I18=0,0,11630*1000*SER_hh_tes!I18/SER_hh_num!I18)</f>
        <v>72869.929569194952</v>
      </c>
      <c r="J18" s="133">
        <f>IF(SER_hh_tes!J18=0,0,11630*1000*SER_hh_tes!J18/SER_hh_num!J18)</f>
        <v>63461.809045024413</v>
      </c>
      <c r="K18" s="133">
        <f>IF(SER_hh_tes!K18=0,0,11630*1000*SER_hh_tes!K18/SER_hh_num!K18)</f>
        <v>66282.169761057143</v>
      </c>
      <c r="L18" s="133">
        <f>IF(SER_hh_tes!L18=0,0,11630*1000*SER_hh_tes!L18/SER_hh_num!L18)</f>
        <v>54797.465103944232</v>
      </c>
      <c r="M18" s="133">
        <f>IF(SER_hh_tes!M18=0,0,11630*1000*SER_hh_tes!M18/SER_hh_num!M18)</f>
        <v>60150.48748818507</v>
      </c>
      <c r="N18" s="133">
        <f>IF(SER_hh_tes!N18=0,0,11630*1000*SER_hh_tes!N18/SER_hh_num!N18)</f>
        <v>106349.49893941851</v>
      </c>
      <c r="O18" s="133">
        <f>IF(SER_hh_tes!O18=0,0,11630*1000*SER_hh_tes!O18/SER_hh_num!O18)</f>
        <v>76167.373776505003</v>
      </c>
      <c r="P18" s="133">
        <f>IF(SER_hh_tes!P18=0,0,11630*1000*SER_hh_tes!P18/SER_hh_num!P18)</f>
        <v>79773.746359395576</v>
      </c>
      <c r="Q18" s="133">
        <f>IF(SER_hh_tes!Q18=0,0,11630*1000*SER_hh_tes!Q18/SER_hh_num!Q18)</f>
        <v>86955.198681857233</v>
      </c>
      <c r="R18" s="133">
        <f>IF(SER_hh_tes!R18=0,0,11630*1000*SER_hh_tes!R18/SER_hh_num!R18)</f>
        <v>73425.29431240118</v>
      </c>
      <c r="S18" s="133">
        <f>IF(SER_hh_tes!S18=0,0,11630*1000*SER_hh_tes!S18/SER_hh_num!S18)</f>
        <v>88213.1537905804</v>
      </c>
      <c r="T18" s="133">
        <f>IF(SER_hh_tes!T18=0,0,11630*1000*SER_hh_tes!T18/SER_hh_num!T18)</f>
        <v>79622.70937977852</v>
      </c>
      <c r="U18" s="133">
        <f>IF(SER_hh_tes!U18=0,0,11630*1000*SER_hh_tes!U18/SER_hh_num!U18)</f>
        <v>110538.60721888066</v>
      </c>
      <c r="V18" s="133">
        <f>IF(SER_hh_tes!V18=0,0,11630*1000*SER_hh_tes!V18/SER_hh_num!V18)</f>
        <v>88624.032236386091</v>
      </c>
      <c r="W18" s="133">
        <f>IF(SER_hh_tes!W18=0,0,11630*1000*SER_hh_tes!W18/SER_hh_num!W18)</f>
        <v>114110.63684976196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26518.167710499289</v>
      </c>
      <c r="C19" s="131">
        <f>IF(SER_hh_tes!C19=0,0,11630*1000*SER_hh_tes!C19/SER_hh_num!C19)</f>
        <v>25387.553675560186</v>
      </c>
      <c r="D19" s="131">
        <f>IF(SER_hh_tes!D19=0,0,11630*1000*SER_hh_tes!D19/SER_hh_num!D19)</f>
        <v>26039.165473512461</v>
      </c>
      <c r="E19" s="131">
        <f>IF(SER_hh_tes!E19=0,0,11630*1000*SER_hh_tes!E19/SER_hh_num!E19)</f>
        <v>26184.557922906006</v>
      </c>
      <c r="F19" s="131">
        <f>IF(SER_hh_tes!F19=0,0,11630*1000*SER_hh_tes!F19/SER_hh_num!F19)</f>
        <v>26889.331141593153</v>
      </c>
      <c r="G19" s="131">
        <f>IF(SER_hh_tes!G19=0,0,11630*1000*SER_hh_tes!G19/SER_hh_num!G19)</f>
        <v>26598.707120423707</v>
      </c>
      <c r="H19" s="131">
        <f>IF(SER_hh_tes!H19=0,0,11630*1000*SER_hh_tes!H19/SER_hh_num!H19)</f>
        <v>26529.175216858701</v>
      </c>
      <c r="I19" s="131">
        <f>IF(SER_hh_tes!I19=0,0,11630*1000*SER_hh_tes!I19/SER_hh_num!I19)</f>
        <v>26229.027614751576</v>
      </c>
      <c r="J19" s="131">
        <f>IF(SER_hh_tes!J19=0,0,11630*1000*SER_hh_tes!J19/SER_hh_num!J19)</f>
        <v>25585.477580687391</v>
      </c>
      <c r="K19" s="131">
        <f>IF(SER_hh_tes!K19=0,0,11630*1000*SER_hh_tes!K19/SER_hh_num!K19)</f>
        <v>25909.594367293532</v>
      </c>
      <c r="L19" s="131">
        <f>IF(SER_hh_tes!L19=0,0,11630*1000*SER_hh_tes!L19/SER_hh_num!L19)</f>
        <v>26577.00638694597</v>
      </c>
      <c r="M19" s="131">
        <f>IF(SER_hh_tes!M19=0,0,11630*1000*SER_hh_tes!M19/SER_hh_num!M19)</f>
        <v>26850.668893144808</v>
      </c>
      <c r="N19" s="131">
        <f>IF(SER_hh_tes!N19=0,0,11630*1000*SER_hh_tes!N19/SER_hh_num!N19)</f>
        <v>26142.046432488922</v>
      </c>
      <c r="O19" s="131">
        <f>IF(SER_hh_tes!O19=0,0,11630*1000*SER_hh_tes!O19/SER_hh_num!O19)</f>
        <v>26451.567764149855</v>
      </c>
      <c r="P19" s="131">
        <f>IF(SER_hh_tes!P19=0,0,11630*1000*SER_hh_tes!P19/SER_hh_num!P19)</f>
        <v>26164.264470191705</v>
      </c>
      <c r="Q19" s="131">
        <f>IF(SER_hh_tes!Q19=0,0,11630*1000*SER_hh_tes!Q19/SER_hh_num!Q19)</f>
        <v>26033.583287717407</v>
      </c>
      <c r="R19" s="131">
        <f>IF(SER_hh_tes!R19=0,0,11630*1000*SER_hh_tes!R19/SER_hh_num!R19)</f>
        <v>25984.484619502517</v>
      </c>
      <c r="S19" s="131">
        <f>IF(SER_hh_tes!S19=0,0,11630*1000*SER_hh_tes!S19/SER_hh_num!S19)</f>
        <v>25789.820249556629</v>
      </c>
      <c r="T19" s="131">
        <f>IF(SER_hh_tes!T19=0,0,11630*1000*SER_hh_tes!T19/SER_hh_num!T19)</f>
        <v>25655.772846037173</v>
      </c>
      <c r="U19" s="131">
        <f>IF(SER_hh_tes!U19=0,0,11630*1000*SER_hh_tes!U19/SER_hh_num!U19)</f>
        <v>25699.010025557764</v>
      </c>
      <c r="V19" s="131">
        <f>IF(SER_hh_tes!V19=0,0,11630*1000*SER_hh_tes!V19/SER_hh_num!V19)</f>
        <v>24660.130895458049</v>
      </c>
      <c r="W19" s="131">
        <f>IF(SER_hh_tes!W19=0,0,11630*1000*SER_hh_tes!W19/SER_hh_num!W19)</f>
        <v>25475.902865122905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26908.787606111269</v>
      </c>
      <c r="C21" s="133">
        <f>IF(SER_hh_tes!C21=0,0,11630*1000*SER_hh_tes!C21/SER_hh_num!C21)</f>
        <v>26774.302924568739</v>
      </c>
      <c r="D21" s="133">
        <f>IF(SER_hh_tes!D21=0,0,11630*1000*SER_hh_tes!D21/SER_hh_num!D21)</f>
        <v>27323.823448018269</v>
      </c>
      <c r="E21" s="133">
        <f>IF(SER_hh_tes!E21=0,0,11630*1000*SER_hh_tes!E21/SER_hh_num!E21)</f>
        <v>23593.672074851842</v>
      </c>
      <c r="F21" s="133">
        <f>IF(SER_hh_tes!F21=0,0,11630*1000*SER_hh_tes!F21/SER_hh_num!F21)</f>
        <v>20678.315627816544</v>
      </c>
      <c r="G21" s="133">
        <f>IF(SER_hh_tes!G21=0,0,11630*1000*SER_hh_tes!G21/SER_hh_num!G21)</f>
        <v>17732.52703068855</v>
      </c>
      <c r="H21" s="133">
        <f>IF(SER_hh_tes!H21=0,0,11630*1000*SER_hh_tes!H21/SER_hh_num!H21)</f>
        <v>39677.925946515599</v>
      </c>
      <c r="I21" s="133">
        <f>IF(SER_hh_tes!I21=0,0,11630*1000*SER_hh_tes!I21/SER_hh_num!I21)</f>
        <v>48441.990192324389</v>
      </c>
      <c r="J21" s="133">
        <f>IF(SER_hh_tes!J21=0,0,11630*1000*SER_hh_tes!J21/SER_hh_num!J21)</f>
        <v>44484.795736649612</v>
      </c>
      <c r="K21" s="133">
        <f>IF(SER_hh_tes!K21=0,0,11630*1000*SER_hh_tes!K21/SER_hh_num!K21)</f>
        <v>41612.020617469519</v>
      </c>
      <c r="L21" s="133">
        <f>IF(SER_hh_tes!L21=0,0,11630*1000*SER_hh_tes!L21/SER_hh_num!L21)</f>
        <v>22145.332573954714</v>
      </c>
      <c r="M21" s="133">
        <f>IF(SER_hh_tes!M21=0,0,11630*1000*SER_hh_tes!M21/SER_hh_num!M21)</f>
        <v>25867.77367506838</v>
      </c>
      <c r="N21" s="133">
        <f>IF(SER_hh_tes!N21=0,0,11630*1000*SER_hh_tes!N21/SER_hh_num!N21)</f>
        <v>27037.124863097401</v>
      </c>
      <c r="O21" s="133">
        <f>IF(SER_hh_tes!O21=0,0,11630*1000*SER_hh_tes!O21/SER_hh_num!O21)</f>
        <v>21450.573810296555</v>
      </c>
      <c r="P21" s="133">
        <f>IF(SER_hh_tes!P21=0,0,11630*1000*SER_hh_tes!P21/SER_hh_num!P21)</f>
        <v>23305.962150628184</v>
      </c>
      <c r="Q21" s="133">
        <f>IF(SER_hh_tes!Q21=0,0,11630*1000*SER_hh_tes!Q21/SER_hh_num!Q21)</f>
        <v>24693.310430302634</v>
      </c>
      <c r="R21" s="133">
        <f>IF(SER_hh_tes!R21=0,0,11630*1000*SER_hh_tes!R21/SER_hh_num!R21)</f>
        <v>21524.319247583273</v>
      </c>
      <c r="S21" s="133">
        <f>IF(SER_hh_tes!S21=0,0,11630*1000*SER_hh_tes!S21/SER_hh_num!S21)</f>
        <v>24183.913510129041</v>
      </c>
      <c r="T21" s="133">
        <f>IF(SER_hh_tes!T21=0,0,11630*1000*SER_hh_tes!T21/SER_hh_num!T21)</f>
        <v>29236.754155459847</v>
      </c>
      <c r="U21" s="133">
        <f>IF(SER_hh_tes!U21=0,0,11630*1000*SER_hh_tes!U21/SER_hh_num!U21)</f>
        <v>28692.849633885202</v>
      </c>
      <c r="V21" s="133">
        <f>IF(SER_hh_tes!V21=0,0,11630*1000*SER_hh_tes!V21/SER_hh_num!V21)</f>
        <v>23781.642405721203</v>
      </c>
      <c r="W21" s="133">
        <f>IF(SER_hh_tes!W21=0,0,11630*1000*SER_hh_tes!W21/SER_hh_num!W21)</f>
        <v>28303.909228796245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0</v>
      </c>
      <c r="C22" s="133">
        <f>IF(SER_hh_tes!C22=0,0,11630*1000*SER_hh_tes!C22/SER_hh_num!C22)</f>
        <v>0</v>
      </c>
      <c r="D22" s="133">
        <f>IF(SER_hh_tes!D22=0,0,11630*1000*SER_hh_tes!D22/SER_hh_num!D22)</f>
        <v>0</v>
      </c>
      <c r="E22" s="133">
        <f>IF(SER_hh_tes!E22=0,0,11630*1000*SER_hh_tes!E22/SER_hh_num!E22)</f>
        <v>0</v>
      </c>
      <c r="F22" s="133">
        <f>IF(SER_hh_tes!F22=0,0,11630*1000*SER_hh_tes!F22/SER_hh_num!F22)</f>
        <v>0</v>
      </c>
      <c r="G22" s="133">
        <f>IF(SER_hh_tes!G22=0,0,11630*1000*SER_hh_tes!G22/SER_hh_num!G22)</f>
        <v>0</v>
      </c>
      <c r="H22" s="133">
        <f>IF(SER_hh_tes!H22=0,0,11630*1000*SER_hh_tes!H22/SER_hh_num!H22)</f>
        <v>0</v>
      </c>
      <c r="I22" s="133">
        <f>IF(SER_hh_tes!I22=0,0,11630*1000*SER_hh_tes!I22/SER_hh_num!I22)</f>
        <v>0</v>
      </c>
      <c r="J22" s="133">
        <f>IF(SER_hh_tes!J22=0,0,11630*1000*SER_hh_tes!J22/SER_hh_num!J22)</f>
        <v>0</v>
      </c>
      <c r="K22" s="133">
        <f>IF(SER_hh_tes!K22=0,0,11630*1000*SER_hh_tes!K22/SER_hh_num!K22)</f>
        <v>0</v>
      </c>
      <c r="L22" s="133">
        <f>IF(SER_hh_tes!L22=0,0,11630*1000*SER_hh_tes!L22/SER_hh_num!L22)</f>
        <v>0</v>
      </c>
      <c r="M22" s="133">
        <f>IF(SER_hh_tes!M22=0,0,11630*1000*SER_hh_tes!M22/SER_hh_num!M22)</f>
        <v>0</v>
      </c>
      <c r="N22" s="133">
        <f>IF(SER_hh_tes!N22=0,0,11630*1000*SER_hh_tes!N22/SER_hh_num!N22)</f>
        <v>0</v>
      </c>
      <c r="O22" s="133">
        <f>IF(SER_hh_tes!O22=0,0,11630*1000*SER_hh_tes!O22/SER_hh_num!O22)</f>
        <v>0</v>
      </c>
      <c r="P22" s="133">
        <f>IF(SER_hh_tes!P22=0,0,11630*1000*SER_hh_tes!P22/SER_hh_num!P22)</f>
        <v>0</v>
      </c>
      <c r="Q22" s="133">
        <f>IF(SER_hh_tes!Q22=0,0,11630*1000*SER_hh_tes!Q22/SER_hh_num!Q22)</f>
        <v>0</v>
      </c>
      <c r="R22" s="133">
        <f>IF(SER_hh_tes!R22=0,0,11630*1000*SER_hh_tes!R22/SER_hh_num!R22)</f>
        <v>0</v>
      </c>
      <c r="S22" s="133">
        <f>IF(SER_hh_tes!S22=0,0,11630*1000*SER_hh_tes!S22/SER_hh_num!S22)</f>
        <v>0</v>
      </c>
      <c r="T22" s="133">
        <f>IF(SER_hh_tes!T22=0,0,11630*1000*SER_hh_tes!T22/SER_hh_num!T22)</f>
        <v>0</v>
      </c>
      <c r="U22" s="133">
        <f>IF(SER_hh_tes!U22=0,0,11630*1000*SER_hh_tes!U22/SER_hh_num!U22)</f>
        <v>0</v>
      </c>
      <c r="V22" s="133">
        <f>IF(SER_hh_tes!V22=0,0,11630*1000*SER_hh_tes!V22/SER_hh_num!V22)</f>
        <v>0</v>
      </c>
      <c r="W22" s="133">
        <f>IF(SER_hh_tes!W22=0,0,11630*1000*SER_hh_tes!W22/SER_hh_num!W22)</f>
        <v>0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0</v>
      </c>
      <c r="C23" s="133">
        <f>IF(SER_hh_tes!C23=0,0,11630*1000*SER_hh_tes!C23/SER_hh_num!C23)</f>
        <v>0</v>
      </c>
      <c r="D23" s="133">
        <f>IF(SER_hh_tes!D23=0,0,11630*1000*SER_hh_tes!D23/SER_hh_num!D23)</f>
        <v>0</v>
      </c>
      <c r="E23" s="133">
        <f>IF(SER_hh_tes!E23=0,0,11630*1000*SER_hh_tes!E23/SER_hh_num!E23)</f>
        <v>0</v>
      </c>
      <c r="F23" s="133">
        <f>IF(SER_hh_tes!F23=0,0,11630*1000*SER_hh_tes!F23/SER_hh_num!F23)</f>
        <v>0</v>
      </c>
      <c r="G23" s="133">
        <f>IF(SER_hh_tes!G23=0,0,11630*1000*SER_hh_tes!G23/SER_hh_num!G23)</f>
        <v>0</v>
      </c>
      <c r="H23" s="133">
        <f>IF(SER_hh_tes!H23=0,0,11630*1000*SER_hh_tes!H23/SER_hh_num!H23)</f>
        <v>0</v>
      </c>
      <c r="I23" s="133">
        <f>IF(SER_hh_tes!I23=0,0,11630*1000*SER_hh_tes!I23/SER_hh_num!I23)</f>
        <v>0</v>
      </c>
      <c r="J23" s="133">
        <f>IF(SER_hh_tes!J23=0,0,11630*1000*SER_hh_tes!J23/SER_hh_num!J23)</f>
        <v>0</v>
      </c>
      <c r="K23" s="133">
        <f>IF(SER_hh_tes!K23=0,0,11630*1000*SER_hh_tes!K23/SER_hh_num!K23)</f>
        <v>0</v>
      </c>
      <c r="L23" s="133">
        <f>IF(SER_hh_tes!L23=0,0,11630*1000*SER_hh_tes!L23/SER_hh_num!L23)</f>
        <v>0</v>
      </c>
      <c r="M23" s="133">
        <f>IF(SER_hh_tes!M23=0,0,11630*1000*SER_hh_tes!M23/SER_hh_num!M23)</f>
        <v>0</v>
      </c>
      <c r="N23" s="133">
        <f>IF(SER_hh_tes!N23=0,0,11630*1000*SER_hh_tes!N23/SER_hh_num!N23)</f>
        <v>0</v>
      </c>
      <c r="O23" s="133">
        <f>IF(SER_hh_tes!O23=0,0,11630*1000*SER_hh_tes!O23/SER_hh_num!O23)</f>
        <v>0</v>
      </c>
      <c r="P23" s="133">
        <f>IF(SER_hh_tes!P23=0,0,11630*1000*SER_hh_tes!P23/SER_hh_num!P23)</f>
        <v>0</v>
      </c>
      <c r="Q23" s="133">
        <f>IF(SER_hh_tes!Q23=0,0,11630*1000*SER_hh_tes!Q23/SER_hh_num!Q23)</f>
        <v>0</v>
      </c>
      <c r="R23" s="133">
        <f>IF(SER_hh_tes!R23=0,0,11630*1000*SER_hh_tes!R23/SER_hh_num!R23)</f>
        <v>0</v>
      </c>
      <c r="S23" s="133">
        <f>IF(SER_hh_tes!S23=0,0,11630*1000*SER_hh_tes!S23/SER_hh_num!S23)</f>
        <v>0</v>
      </c>
      <c r="T23" s="133">
        <f>IF(SER_hh_tes!T23=0,0,11630*1000*SER_hh_tes!T23/SER_hh_num!T23)</f>
        <v>0</v>
      </c>
      <c r="U23" s="133">
        <f>IF(SER_hh_tes!U23=0,0,11630*1000*SER_hh_tes!U23/SER_hh_num!U23)</f>
        <v>0</v>
      </c>
      <c r="V23" s="133">
        <f>IF(SER_hh_tes!V23=0,0,11630*1000*SER_hh_tes!V23/SER_hh_num!V23)</f>
        <v>0</v>
      </c>
      <c r="W23" s="133">
        <f>IF(SER_hh_tes!W23=0,0,11630*1000*SER_hh_tes!W23/SER_hh_num!W23)</f>
        <v>0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38839.779829921565</v>
      </c>
      <c r="N25" s="133">
        <f>IF(SER_hh_tes!N25=0,0,11630*1000*SER_hh_tes!N25/SER_hh_num!N25)</f>
        <v>27972.013503335653</v>
      </c>
      <c r="O25" s="133">
        <f>IF(SER_hh_tes!O25=0,0,11630*1000*SER_hh_tes!O25/SER_hh_num!O25)</f>
        <v>28036.016213661962</v>
      </c>
      <c r="P25" s="133">
        <f>IF(SER_hh_tes!P25=0,0,11630*1000*SER_hh_tes!P25/SER_hh_num!P25)</f>
        <v>25614.836072961658</v>
      </c>
      <c r="Q25" s="133">
        <f>IF(SER_hh_tes!Q25=0,0,11630*1000*SER_hh_tes!Q25/SER_hh_num!Q25)</f>
        <v>28532.686520418651</v>
      </c>
      <c r="R25" s="133">
        <f>IF(SER_hh_tes!R25=0,0,11630*1000*SER_hh_tes!R25/SER_hh_num!R25)</f>
        <v>28939.372294529909</v>
      </c>
      <c r="S25" s="133">
        <f>IF(SER_hh_tes!S25=0,0,11630*1000*SER_hh_tes!S25/SER_hh_num!S25)</f>
        <v>19529.633696828801</v>
      </c>
      <c r="T25" s="133">
        <f>IF(SER_hh_tes!T25=0,0,11630*1000*SER_hh_tes!T25/SER_hh_num!T25)</f>
        <v>24812.220619767282</v>
      </c>
      <c r="U25" s="133">
        <f>IF(SER_hh_tes!U25=0,0,11630*1000*SER_hh_tes!U25/SER_hh_num!U25)</f>
        <v>36879.27526996332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26490.367031194888</v>
      </c>
      <c r="C26" s="65">
        <f>IF(SER_hh_tes!C26=0,0,11630*1000*SER_hh_tes!C26/SER_hh_num!C26)</f>
        <v>25291.938747304128</v>
      </c>
      <c r="D26" s="65">
        <f>IF(SER_hh_tes!D26=0,0,11630*1000*SER_hh_tes!D26/SER_hh_num!D26)</f>
        <v>25954.663198282862</v>
      </c>
      <c r="E26" s="65">
        <f>IF(SER_hh_tes!E26=0,0,11630*1000*SER_hh_tes!E26/SER_hh_num!E26)</f>
        <v>26353.623921840168</v>
      </c>
      <c r="F26" s="65">
        <f>IF(SER_hh_tes!F26=0,0,11630*1000*SER_hh_tes!F26/SER_hh_num!F26)</f>
        <v>27322.573366217766</v>
      </c>
      <c r="G26" s="65">
        <f>IF(SER_hh_tes!G26=0,0,11630*1000*SER_hh_tes!G26/SER_hh_num!G26)</f>
        <v>27383.744292454256</v>
      </c>
      <c r="H26" s="65">
        <f>IF(SER_hh_tes!H26=0,0,11630*1000*SER_hh_tes!H26/SER_hh_num!H26)</f>
        <v>25225.803132200639</v>
      </c>
      <c r="I26" s="65">
        <f>IF(SER_hh_tes!I26=0,0,11630*1000*SER_hh_tes!I26/SER_hh_num!I26)</f>
        <v>24031.752819860681</v>
      </c>
      <c r="J26" s="65">
        <f>IF(SER_hh_tes!J26=0,0,11630*1000*SER_hh_tes!J26/SER_hh_num!J26)</f>
        <v>23780.64404613688</v>
      </c>
      <c r="K26" s="65">
        <f>IF(SER_hh_tes!K26=0,0,11630*1000*SER_hh_tes!K26/SER_hh_num!K26)</f>
        <v>24429.77395906371</v>
      </c>
      <c r="L26" s="65">
        <f>IF(SER_hh_tes!L26=0,0,11630*1000*SER_hh_tes!L26/SER_hh_num!L26)</f>
        <v>26952.398142181755</v>
      </c>
      <c r="M26" s="65">
        <f>IF(SER_hh_tes!M26=0,0,11630*1000*SER_hh_tes!M26/SER_hh_num!M26)</f>
        <v>26911.219538000329</v>
      </c>
      <c r="N26" s="65">
        <f>IF(SER_hh_tes!N26=0,0,11630*1000*SER_hh_tes!N26/SER_hh_num!N26)</f>
        <v>26103.494048434972</v>
      </c>
      <c r="O26" s="65">
        <f>IF(SER_hh_tes!O26=0,0,11630*1000*SER_hh_tes!O26/SER_hh_num!O26)</f>
        <v>26595.237702130289</v>
      </c>
      <c r="P26" s="65">
        <f>IF(SER_hh_tes!P26=0,0,11630*1000*SER_hh_tes!P26/SER_hh_num!P26)</f>
        <v>26222.11245389999</v>
      </c>
      <c r="Q26" s="65">
        <f>IF(SER_hh_tes!Q26=0,0,11630*1000*SER_hh_tes!Q26/SER_hh_num!Q26)</f>
        <v>26054.139792698079</v>
      </c>
      <c r="R26" s="65">
        <f>IF(SER_hh_tes!R26=0,0,11630*1000*SER_hh_tes!R26/SER_hh_num!R26)</f>
        <v>26050.304499493501</v>
      </c>
      <c r="S26" s="65">
        <f>IF(SER_hh_tes!S26=0,0,11630*1000*SER_hh_tes!S26/SER_hh_num!S26)</f>
        <v>25817.114878055974</v>
      </c>
      <c r="T26" s="65">
        <f>IF(SER_hh_tes!T26=0,0,11630*1000*SER_hh_tes!T26/SER_hh_num!T26)</f>
        <v>25590.012135601042</v>
      </c>
      <c r="U26" s="65">
        <f>IF(SER_hh_tes!U26=0,0,11630*1000*SER_hh_tes!U26/SER_hh_num!U26)</f>
        <v>25641.593704260627</v>
      </c>
      <c r="V26" s="65">
        <f>IF(SER_hh_tes!V26=0,0,11630*1000*SER_hh_tes!V26/SER_hh_num!V26)</f>
        <v>24675.570490680555</v>
      </c>
      <c r="W26" s="65">
        <f>IF(SER_hh_tes!W26=0,0,11630*1000*SER_hh_tes!W26/SER_hh_num!W26)</f>
        <v>25428.105160180068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41537.016211589704</v>
      </c>
      <c r="C29" s="131">
        <f>IF(SER_hh_tes!C29=0,0,11630*1000*SER_hh_tes!C29/SER_hh_num!C29)</f>
        <v>41451.017908788752</v>
      </c>
      <c r="D29" s="131">
        <f>IF(SER_hh_tes!D29=0,0,11630*1000*SER_hh_tes!D29/SER_hh_num!D29)</f>
        <v>42548.114031531935</v>
      </c>
      <c r="E29" s="131">
        <f>IF(SER_hh_tes!E29=0,0,11630*1000*SER_hh_tes!E29/SER_hh_num!E29)</f>
        <v>43635.383160934165</v>
      </c>
      <c r="F29" s="131">
        <f>IF(SER_hh_tes!F29=0,0,11630*1000*SER_hh_tes!F29/SER_hh_num!F29)</f>
        <v>44710.687878879813</v>
      </c>
      <c r="G29" s="131">
        <f>IF(SER_hh_tes!G29=0,0,11630*1000*SER_hh_tes!G29/SER_hh_num!G29)</f>
        <v>43740.828889224547</v>
      </c>
      <c r="H29" s="131">
        <f>IF(SER_hh_tes!H29=0,0,11630*1000*SER_hh_tes!H29/SER_hh_num!H29)</f>
        <v>43415.993969537609</v>
      </c>
      <c r="I29" s="131">
        <f>IF(SER_hh_tes!I29=0,0,11630*1000*SER_hh_tes!I29/SER_hh_num!I29)</f>
        <v>42946.654347663803</v>
      </c>
      <c r="J29" s="131">
        <f>IF(SER_hh_tes!J29=0,0,11630*1000*SER_hh_tes!J29/SER_hh_num!J29)</f>
        <v>41778.457107811795</v>
      </c>
      <c r="K29" s="131">
        <f>IF(SER_hh_tes!K29=0,0,11630*1000*SER_hh_tes!K29/SER_hh_num!K29)</f>
        <v>42329.03027855148</v>
      </c>
      <c r="L29" s="131">
        <f>IF(SER_hh_tes!L29=0,0,11630*1000*SER_hh_tes!L29/SER_hh_num!L29)</f>
        <v>42761.575110710182</v>
      </c>
      <c r="M29" s="131">
        <f>IF(SER_hh_tes!M29=0,0,11630*1000*SER_hh_tes!M29/SER_hh_num!M29)</f>
        <v>42767.940556240836</v>
      </c>
      <c r="N29" s="131">
        <f>IF(SER_hh_tes!N29=0,0,11630*1000*SER_hh_tes!N29/SER_hh_num!N29)</f>
        <v>41881.791677743422</v>
      </c>
      <c r="O29" s="131">
        <f>IF(SER_hh_tes!O29=0,0,11630*1000*SER_hh_tes!O29/SER_hh_num!O29)</f>
        <v>41471.550903218595</v>
      </c>
      <c r="P29" s="131">
        <f>IF(SER_hh_tes!P29=0,0,11630*1000*SER_hh_tes!P29/SER_hh_num!P29)</f>
        <v>41641.012577337948</v>
      </c>
      <c r="Q29" s="131">
        <f>IF(SER_hh_tes!Q29=0,0,11630*1000*SER_hh_tes!Q29/SER_hh_num!Q29)</f>
        <v>41671.374637665169</v>
      </c>
      <c r="R29" s="131">
        <f>IF(SER_hh_tes!R29=0,0,11630*1000*SER_hh_tes!R29/SER_hh_num!R29)</f>
        <v>41693.540886739858</v>
      </c>
      <c r="S29" s="131">
        <f>IF(SER_hh_tes!S29=0,0,11630*1000*SER_hh_tes!S29/SER_hh_num!S29)</f>
        <v>41158.021423113547</v>
      </c>
      <c r="T29" s="131">
        <f>IF(SER_hh_tes!T29=0,0,11630*1000*SER_hh_tes!T29/SER_hh_num!T29)</f>
        <v>41349.7750947487</v>
      </c>
      <c r="U29" s="131">
        <f>IF(SER_hh_tes!U29=0,0,11630*1000*SER_hh_tes!U29/SER_hh_num!U29)</f>
        <v>41550.75612526296</v>
      </c>
      <c r="V29" s="131">
        <f>IF(SER_hh_tes!V29=0,0,11630*1000*SER_hh_tes!V29/SER_hh_num!V29)</f>
        <v>38368.854076684089</v>
      </c>
      <c r="W29" s="131">
        <f>IF(SER_hh_tes!W29=0,0,11630*1000*SER_hh_tes!W29/SER_hh_num!W29)</f>
        <v>39926.599675972873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41840.171707827642</v>
      </c>
      <c r="C30" s="133">
        <f>IF(SER_hh_tes!C30=0,0,11630*1000*SER_hh_tes!C30/SER_hh_num!C30)</f>
        <v>39012.165624341287</v>
      </c>
      <c r="D30" s="133">
        <f>IF(SER_hh_tes!D30=0,0,11630*1000*SER_hh_tes!D30/SER_hh_num!D30)</f>
        <v>46070.209774484189</v>
      </c>
      <c r="E30" s="133">
        <f>IF(SER_hh_tes!E30=0,0,11630*1000*SER_hh_tes!E30/SER_hh_num!E30)</f>
        <v>44245.361930074789</v>
      </c>
      <c r="F30" s="133">
        <f>IF(SER_hh_tes!F30=0,0,11630*1000*SER_hh_tes!F30/SER_hh_num!F30)</f>
        <v>38649.225677775037</v>
      </c>
      <c r="G30" s="133">
        <f>IF(SER_hh_tes!G30=0,0,11630*1000*SER_hh_tes!G30/SER_hh_num!G30)</f>
        <v>33952.176540700108</v>
      </c>
      <c r="H30" s="133">
        <f>IF(SER_hh_tes!H30=0,0,11630*1000*SER_hh_tes!H30/SER_hh_num!H30)</f>
        <v>43497.840842819249</v>
      </c>
      <c r="I30" s="133">
        <f>IF(SER_hh_tes!I30=0,0,11630*1000*SER_hh_tes!I30/SER_hh_num!I30)</f>
        <v>37727.827312810761</v>
      </c>
      <c r="J30" s="133">
        <f>IF(SER_hh_tes!J30=0,0,11630*1000*SER_hh_tes!J30/SER_hh_num!J30)</f>
        <v>41736.628400559537</v>
      </c>
      <c r="K30" s="133">
        <f>IF(SER_hh_tes!K30=0,0,11630*1000*SER_hh_tes!K30/SER_hh_num!K30)</f>
        <v>51648.570286387709</v>
      </c>
      <c r="L30" s="133">
        <f>IF(SER_hh_tes!L30=0,0,11630*1000*SER_hh_tes!L30/SER_hh_num!L30)</f>
        <v>39060.327083764474</v>
      </c>
      <c r="M30" s="133">
        <f>IF(SER_hh_tes!M30=0,0,11630*1000*SER_hh_tes!M30/SER_hh_num!M30)</f>
        <v>43738.04448890037</v>
      </c>
      <c r="N30" s="133">
        <f>IF(SER_hh_tes!N30=0,0,11630*1000*SER_hh_tes!N30/SER_hh_num!N30)</f>
        <v>42165.73231502992</v>
      </c>
      <c r="O30" s="133">
        <f>IF(SER_hh_tes!O30=0,0,11630*1000*SER_hh_tes!O30/SER_hh_num!O30)</f>
        <v>40783.900352945515</v>
      </c>
      <c r="P30" s="133">
        <f>IF(SER_hh_tes!P30=0,0,11630*1000*SER_hh_tes!P30/SER_hh_num!P30)</f>
        <v>40271.265909575297</v>
      </c>
      <c r="Q30" s="133">
        <f>IF(SER_hh_tes!Q30=0,0,11630*1000*SER_hh_tes!Q30/SER_hh_num!Q30)</f>
        <v>44459.520091829188</v>
      </c>
      <c r="R30" s="133">
        <f>IF(SER_hh_tes!R30=0,0,11630*1000*SER_hh_tes!R30/SER_hh_num!R30)</f>
        <v>36264.163853619975</v>
      </c>
      <c r="S30" s="133">
        <f>IF(SER_hh_tes!S30=0,0,11630*1000*SER_hh_tes!S30/SER_hh_num!S30)</f>
        <v>39091.71321113369</v>
      </c>
      <c r="T30" s="133">
        <f>IF(SER_hh_tes!T30=0,0,11630*1000*SER_hh_tes!T30/SER_hh_num!T30)</f>
        <v>45755.502945763918</v>
      </c>
      <c r="U30" s="133">
        <f>IF(SER_hh_tes!U30=0,0,11630*1000*SER_hh_tes!U30/SER_hh_num!U30)</f>
        <v>46947.83758755718</v>
      </c>
      <c r="V30" s="133">
        <f>IF(SER_hh_tes!V30=0,0,11630*1000*SER_hh_tes!V30/SER_hh_num!V30)</f>
        <v>31522.145341206065</v>
      </c>
      <c r="W30" s="133">
        <f>IF(SER_hh_tes!W30=0,0,11630*1000*SER_hh_tes!W30/SER_hh_num!W30)</f>
        <v>34659.677667044125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0</v>
      </c>
      <c r="C31" s="133">
        <f>IF(SER_hh_tes!C31=0,0,11630*1000*SER_hh_tes!C31/SER_hh_num!C31)</f>
        <v>0</v>
      </c>
      <c r="D31" s="133">
        <f>IF(SER_hh_tes!D31=0,0,11630*1000*SER_hh_tes!D31/SER_hh_num!D31)</f>
        <v>0</v>
      </c>
      <c r="E31" s="133">
        <f>IF(SER_hh_tes!E31=0,0,11630*1000*SER_hh_tes!E31/SER_hh_num!E31)</f>
        <v>0</v>
      </c>
      <c r="F31" s="133">
        <f>IF(SER_hh_tes!F31=0,0,11630*1000*SER_hh_tes!F31/SER_hh_num!F31)</f>
        <v>0</v>
      </c>
      <c r="G31" s="133">
        <f>IF(SER_hh_tes!G31=0,0,11630*1000*SER_hh_tes!G31/SER_hh_num!G31)</f>
        <v>0</v>
      </c>
      <c r="H31" s="133">
        <f>IF(SER_hh_tes!H31=0,0,11630*1000*SER_hh_tes!H31/SER_hh_num!H31)</f>
        <v>0</v>
      </c>
      <c r="I31" s="133">
        <f>IF(SER_hh_tes!I31=0,0,11630*1000*SER_hh_tes!I31/SER_hh_num!I31)</f>
        <v>0</v>
      </c>
      <c r="J31" s="133">
        <f>IF(SER_hh_tes!J31=0,0,11630*1000*SER_hh_tes!J31/SER_hh_num!J31)</f>
        <v>0</v>
      </c>
      <c r="K31" s="133">
        <f>IF(SER_hh_tes!K31=0,0,11630*1000*SER_hh_tes!K31/SER_hh_num!K31)</f>
        <v>0</v>
      </c>
      <c r="L31" s="133">
        <f>IF(SER_hh_tes!L31=0,0,11630*1000*SER_hh_tes!L31/SER_hh_num!L31)</f>
        <v>0</v>
      </c>
      <c r="M31" s="133">
        <f>IF(SER_hh_tes!M31=0,0,11630*1000*SER_hh_tes!M31/SER_hh_num!M31)</f>
        <v>0</v>
      </c>
      <c r="N31" s="133">
        <f>IF(SER_hh_tes!N31=0,0,11630*1000*SER_hh_tes!N31/SER_hh_num!N31)</f>
        <v>0</v>
      </c>
      <c r="O31" s="133">
        <f>IF(SER_hh_tes!O31=0,0,11630*1000*SER_hh_tes!O31/SER_hh_num!O31)</f>
        <v>0</v>
      </c>
      <c r="P31" s="133">
        <f>IF(SER_hh_tes!P31=0,0,11630*1000*SER_hh_tes!P31/SER_hh_num!P31)</f>
        <v>0</v>
      </c>
      <c r="Q31" s="133">
        <f>IF(SER_hh_tes!Q31=0,0,11630*1000*SER_hh_tes!Q31/SER_hh_num!Q31)</f>
        <v>0</v>
      </c>
      <c r="R31" s="133">
        <f>IF(SER_hh_tes!R31=0,0,11630*1000*SER_hh_tes!R31/SER_hh_num!R31)</f>
        <v>0</v>
      </c>
      <c r="S31" s="133">
        <f>IF(SER_hh_tes!S31=0,0,11630*1000*SER_hh_tes!S31/SER_hh_num!S31)</f>
        <v>0</v>
      </c>
      <c r="T31" s="133">
        <f>IF(SER_hh_tes!T31=0,0,11630*1000*SER_hh_tes!T31/SER_hh_num!T31)</f>
        <v>0</v>
      </c>
      <c r="U31" s="133">
        <f>IF(SER_hh_tes!U31=0,0,11630*1000*SER_hh_tes!U31/SER_hh_num!U31)</f>
        <v>0</v>
      </c>
      <c r="V31" s="133">
        <f>IF(SER_hh_tes!V31=0,0,11630*1000*SER_hh_tes!V31/SER_hh_num!V31)</f>
        <v>0</v>
      </c>
      <c r="W31" s="133">
        <f>IF(SER_hh_tes!W31=0,0,11630*1000*SER_hh_tes!W31/SER_hh_num!W31)</f>
        <v>0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41518.675794848234</v>
      </c>
      <c r="C33" s="68">
        <f>IF(SER_hh_tes!C33=0,0,11630*1000*SER_hh_tes!C33/SER_hh_num!C33)</f>
        <v>41598.464811046571</v>
      </c>
      <c r="D33" s="68">
        <f>IF(SER_hh_tes!D33=0,0,11630*1000*SER_hh_tes!D33/SER_hh_num!D33)</f>
        <v>42325.557356911362</v>
      </c>
      <c r="E33" s="68">
        <f>IF(SER_hh_tes!E33=0,0,11630*1000*SER_hh_tes!E33/SER_hh_num!E33)</f>
        <v>43596.947356070981</v>
      </c>
      <c r="F33" s="68">
        <f>IF(SER_hh_tes!F33=0,0,11630*1000*SER_hh_tes!F33/SER_hh_num!F33)</f>
        <v>45126.724141018516</v>
      </c>
      <c r="G33" s="68">
        <f>IF(SER_hh_tes!G33=0,0,11630*1000*SER_hh_tes!G33/SER_hh_num!G33)</f>
        <v>44545.562374657464</v>
      </c>
      <c r="H33" s="68">
        <f>IF(SER_hh_tes!H33=0,0,11630*1000*SER_hh_tes!H33/SER_hh_num!H33)</f>
        <v>43406.188896157917</v>
      </c>
      <c r="I33" s="68">
        <f>IF(SER_hh_tes!I33=0,0,11630*1000*SER_hh_tes!I33/SER_hh_num!I33)</f>
        <v>43853.501601590346</v>
      </c>
      <c r="J33" s="68">
        <f>IF(SER_hh_tes!J33=0,0,11630*1000*SER_hh_tes!J33/SER_hh_num!J33)</f>
        <v>41788.066233553218</v>
      </c>
      <c r="K33" s="68">
        <f>IF(SER_hh_tes!K33=0,0,11630*1000*SER_hh_tes!K33/SER_hh_num!K33)</f>
        <v>39569.230263723235</v>
      </c>
      <c r="L33" s="68">
        <f>IF(SER_hh_tes!L33=0,0,11630*1000*SER_hh_tes!L33/SER_hh_num!L33)</f>
        <v>43871.700227667861</v>
      </c>
      <c r="M33" s="68">
        <f>IF(SER_hh_tes!M33=0,0,11630*1000*SER_hh_tes!M33/SER_hh_num!M33)</f>
        <v>42471.329023346312</v>
      </c>
      <c r="N33" s="68">
        <f>IF(SER_hh_tes!N33=0,0,11630*1000*SER_hh_tes!N33/SER_hh_num!N33)</f>
        <v>41800.379511498453</v>
      </c>
      <c r="O33" s="68">
        <f>IF(SER_hh_tes!O33=0,0,11630*1000*SER_hh_tes!O33/SER_hh_num!O33)</f>
        <v>41669.213381430251</v>
      </c>
      <c r="P33" s="68">
        <f>IF(SER_hh_tes!P33=0,0,11630*1000*SER_hh_tes!P33/SER_hh_num!P33)</f>
        <v>42024.786804369367</v>
      </c>
      <c r="Q33" s="68">
        <f>IF(SER_hh_tes!Q33=0,0,11630*1000*SER_hh_tes!Q33/SER_hh_num!Q33)</f>
        <v>40864.637290555213</v>
      </c>
      <c r="R33" s="68">
        <f>IF(SER_hh_tes!R33=0,0,11630*1000*SER_hh_tes!R33/SER_hh_num!R33)</f>
        <v>43308.746745144228</v>
      </c>
      <c r="S33" s="68">
        <f>IF(SER_hh_tes!S33=0,0,11630*1000*SER_hh_tes!S33/SER_hh_num!S33)</f>
        <v>41869.502601815475</v>
      </c>
      <c r="T33" s="68">
        <f>IF(SER_hh_tes!T33=0,0,11630*1000*SER_hh_tes!T33/SER_hh_num!T33)</f>
        <v>39644.405251871423</v>
      </c>
      <c r="U33" s="68">
        <f>IF(SER_hh_tes!U33=0,0,11630*1000*SER_hh_tes!U33/SER_hh_num!U33)</f>
        <v>39441.806468732735</v>
      </c>
      <c r="V33" s="68">
        <f>IF(SER_hh_tes!V33=0,0,11630*1000*SER_hh_tes!V33/SER_hh_num!V33)</f>
        <v>40953.092299124539</v>
      </c>
      <c r="W33" s="68">
        <f>IF(SER_hh_tes!W33=0,0,11630*1000*SER_hh_tes!W33/SER_hh_num!W33)</f>
        <v>41861.08605912995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21748.335541025441</v>
      </c>
      <c r="C3" s="126">
        <f>IF(SER_hh_emi!C3=0,0,1000000*SER_hh_emi!C3/SER_hh_num!C3)</f>
        <v>20758.41824818671</v>
      </c>
      <c r="D3" s="126">
        <f>IF(SER_hh_emi!D3=0,0,1000000*SER_hh_emi!D3/SER_hh_num!D3)</f>
        <v>23150.070638109028</v>
      </c>
      <c r="E3" s="126">
        <f>IF(SER_hh_emi!E3=0,0,1000000*SER_hh_emi!E3/SER_hh_num!E3)</f>
        <v>26767.555093427432</v>
      </c>
      <c r="F3" s="126">
        <f>IF(SER_hh_emi!F3=0,0,1000000*SER_hh_emi!F3/SER_hh_num!F3)</f>
        <v>27873.766123889753</v>
      </c>
      <c r="G3" s="126">
        <f>IF(SER_hh_emi!G3=0,0,1000000*SER_hh_emi!G3/SER_hh_num!G3)</f>
        <v>23040.376719347842</v>
      </c>
      <c r="H3" s="126">
        <f>IF(SER_hh_emi!H3=0,0,1000000*SER_hh_emi!H3/SER_hh_num!H3)</f>
        <v>20963.05477602109</v>
      </c>
      <c r="I3" s="126">
        <f>IF(SER_hh_emi!I3=0,0,1000000*SER_hh_emi!I3/SER_hh_num!I3)</f>
        <v>23678.262081575878</v>
      </c>
      <c r="J3" s="126">
        <f>IF(SER_hh_emi!J3=0,0,1000000*SER_hh_emi!J3/SER_hh_num!J3)</f>
        <v>22251.137322715906</v>
      </c>
      <c r="K3" s="126">
        <f>IF(SER_hh_emi!K3=0,0,1000000*SER_hh_emi!K3/SER_hh_num!K3)</f>
        <v>17729.730917898658</v>
      </c>
      <c r="L3" s="126">
        <f>IF(SER_hh_emi!L3=0,0,1000000*SER_hh_emi!L3/SER_hh_num!L3)</f>
        <v>23899.894085794029</v>
      </c>
      <c r="M3" s="126">
        <f>IF(SER_hh_emi!M3=0,0,1000000*SER_hh_emi!M3/SER_hh_num!M3)</f>
        <v>16063.649194369724</v>
      </c>
      <c r="N3" s="126">
        <f>IF(SER_hh_emi!N3=0,0,1000000*SER_hh_emi!N3/SER_hh_num!N3)</f>
        <v>22440.919080106731</v>
      </c>
      <c r="O3" s="126">
        <f>IF(SER_hh_emi!O3=0,0,1000000*SER_hh_emi!O3/SER_hh_num!O3)</f>
        <v>25938.09708226463</v>
      </c>
      <c r="P3" s="126">
        <f>IF(SER_hh_emi!P3=0,0,1000000*SER_hh_emi!P3/SER_hh_num!P3)</f>
        <v>27040.41400295795</v>
      </c>
      <c r="Q3" s="126">
        <f>IF(SER_hh_emi!Q3=0,0,1000000*SER_hh_emi!Q3/SER_hh_num!Q3)</f>
        <v>31619.143151150853</v>
      </c>
      <c r="R3" s="126">
        <f>IF(SER_hh_emi!R3=0,0,1000000*SER_hh_emi!R3/SER_hh_num!R3)</f>
        <v>28092.503227339879</v>
      </c>
      <c r="S3" s="126">
        <f>IF(SER_hh_emi!S3=0,0,1000000*SER_hh_emi!S3/SER_hh_num!S3)</f>
        <v>24963.626985850649</v>
      </c>
      <c r="T3" s="126">
        <f>IF(SER_hh_emi!T3=0,0,1000000*SER_hh_emi!T3/SER_hh_num!T3)</f>
        <v>17368.406424878791</v>
      </c>
      <c r="U3" s="126">
        <f>IF(SER_hh_emi!U3=0,0,1000000*SER_hh_emi!U3/SER_hh_num!U3)</f>
        <v>16772.602043308376</v>
      </c>
      <c r="V3" s="126">
        <f>IF(SER_hh_emi!V3=0,0,1000000*SER_hh_emi!V3/SER_hh_num!V3)</f>
        <v>12773.833492948343</v>
      </c>
      <c r="W3" s="126">
        <f>IF(SER_hh_emi!W3=0,0,1000000*SER_hh_emi!W3/SER_hh_num!W3)</f>
        <v>13482.336819720793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19830.52238688997</v>
      </c>
      <c r="C4" s="131">
        <f>IF(SER_hh_emi!C4=0,0,1000000*SER_hh_emi!C4/SER_hh_num!C4)</f>
        <v>18943.784499471712</v>
      </c>
      <c r="D4" s="131">
        <f>IF(SER_hh_emi!D4=0,0,1000000*SER_hh_emi!D4/SER_hh_num!D4)</f>
        <v>21151.11063104411</v>
      </c>
      <c r="E4" s="131">
        <f>IF(SER_hh_emi!E4=0,0,1000000*SER_hh_emi!E4/SER_hh_num!E4)</f>
        <v>24946.29921474302</v>
      </c>
      <c r="F4" s="131">
        <f>IF(SER_hh_emi!F4=0,0,1000000*SER_hh_emi!F4/SER_hh_num!F4)</f>
        <v>26167.18516119014</v>
      </c>
      <c r="G4" s="131">
        <f>IF(SER_hh_emi!G4=0,0,1000000*SER_hh_emi!G4/SER_hh_num!G4)</f>
        <v>21258.403948428517</v>
      </c>
      <c r="H4" s="131">
        <f>IF(SER_hh_emi!H4=0,0,1000000*SER_hh_emi!H4/SER_hh_num!H4)</f>
        <v>17269.10695695605</v>
      </c>
      <c r="I4" s="131">
        <f>IF(SER_hh_emi!I4=0,0,1000000*SER_hh_emi!I4/SER_hh_num!I4)</f>
        <v>19228.44180586829</v>
      </c>
      <c r="J4" s="131">
        <f>IF(SER_hh_emi!J4=0,0,1000000*SER_hh_emi!J4/SER_hh_num!J4)</f>
        <v>17176.377462233533</v>
      </c>
      <c r="K4" s="131">
        <f>IF(SER_hh_emi!K4=0,0,1000000*SER_hh_emi!K4/SER_hh_num!K4)</f>
        <v>11219.243796616436</v>
      </c>
      <c r="L4" s="131">
        <f>IF(SER_hh_emi!L4=0,0,1000000*SER_hh_emi!L4/SER_hh_num!L4)</f>
        <v>19439.033922355862</v>
      </c>
      <c r="M4" s="131">
        <f>IF(SER_hh_emi!M4=0,0,1000000*SER_hh_emi!M4/SER_hh_num!M4)</f>
        <v>11196.293692454299</v>
      </c>
      <c r="N4" s="131">
        <f>IF(SER_hh_emi!N4=0,0,1000000*SER_hh_emi!N4/SER_hh_num!N4)</f>
        <v>18149.349491292291</v>
      </c>
      <c r="O4" s="131">
        <f>IF(SER_hh_emi!O4=0,0,1000000*SER_hh_emi!O4/SER_hh_num!O4)</f>
        <v>22015.382259406553</v>
      </c>
      <c r="P4" s="131">
        <f>IF(SER_hh_emi!P4=0,0,1000000*SER_hh_emi!P4/SER_hh_num!P4)</f>
        <v>23306.240679743623</v>
      </c>
      <c r="Q4" s="131">
        <f>IF(SER_hh_emi!Q4=0,0,1000000*SER_hh_emi!Q4/SER_hh_num!Q4)</f>
        <v>27463.666596022369</v>
      </c>
      <c r="R4" s="131">
        <f>IF(SER_hh_emi!R4=0,0,1000000*SER_hh_emi!R4/SER_hh_num!R4)</f>
        <v>24638.141761024006</v>
      </c>
      <c r="S4" s="131">
        <f>IF(SER_hh_emi!S4=0,0,1000000*SER_hh_emi!S4/SER_hh_num!S4)</f>
        <v>20827.088914829794</v>
      </c>
      <c r="T4" s="131">
        <f>IF(SER_hh_emi!T4=0,0,1000000*SER_hh_emi!T4/SER_hh_num!T4)</f>
        <v>12121.624247029717</v>
      </c>
      <c r="U4" s="131">
        <f>IF(SER_hh_emi!U4=0,0,1000000*SER_hh_emi!U4/SER_hh_num!U4)</f>
        <v>11394.274065032783</v>
      </c>
      <c r="V4" s="131">
        <f>IF(SER_hh_emi!V4=0,0,1000000*SER_hh_emi!V4/SER_hh_num!V4)</f>
        <v>9247.0738237575479</v>
      </c>
      <c r="W4" s="131">
        <f>IF(SER_hh_emi!W4=0,0,1000000*SER_hh_emi!W4/SER_hh_num!W4)</f>
        <v>9700.7117847429035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25774.553800228408</v>
      </c>
      <c r="C6" s="133">
        <f>IF(SER_hh_emi!C6=0,0,1000000*SER_hh_emi!C6/SER_hh_num!C6)</f>
        <v>27311.712177052115</v>
      </c>
      <c r="D6" s="133">
        <f>IF(SER_hh_emi!D6=0,0,1000000*SER_hh_emi!D6/SER_hh_num!D6)</f>
        <v>27954.133650430918</v>
      </c>
      <c r="E6" s="133">
        <f>IF(SER_hh_emi!E6=0,0,1000000*SER_hh_emi!E6/SER_hh_num!E6)</f>
        <v>31745.965983738861</v>
      </c>
      <c r="F6" s="133">
        <f>IF(SER_hh_emi!F6=0,0,1000000*SER_hh_emi!F6/SER_hh_num!F6)</f>
        <v>33226.827606247818</v>
      </c>
      <c r="G6" s="133">
        <f>IF(SER_hh_emi!G6=0,0,1000000*SER_hh_emi!G6/SER_hh_num!G6)</f>
        <v>28611.20003707947</v>
      </c>
      <c r="H6" s="133">
        <f>IF(SER_hh_emi!H6=0,0,1000000*SER_hh_emi!H6/SER_hh_num!H6)</f>
        <v>32755.068160830673</v>
      </c>
      <c r="I6" s="133">
        <f>IF(SER_hh_emi!I6=0,0,1000000*SER_hh_emi!I6/SER_hh_num!I6)</f>
        <v>36809.844868593122</v>
      </c>
      <c r="J6" s="133">
        <f>IF(SER_hh_emi!J6=0,0,1000000*SER_hh_emi!J6/SER_hh_num!J6)</f>
        <v>19757.715408624274</v>
      </c>
      <c r="K6" s="133">
        <f>IF(SER_hh_emi!K6=0,0,1000000*SER_hh_emi!K6/SER_hh_num!K6)</f>
        <v>10288.12836102101</v>
      </c>
      <c r="L6" s="133">
        <f>IF(SER_hh_emi!L6=0,0,1000000*SER_hh_emi!L6/SER_hh_num!L6)</f>
        <v>46069.758808315673</v>
      </c>
      <c r="M6" s="133">
        <f>IF(SER_hh_emi!M6=0,0,1000000*SER_hh_emi!M6/SER_hh_num!M6)</f>
        <v>35025.846073198867</v>
      </c>
      <c r="N6" s="133">
        <f>IF(SER_hh_emi!N6=0,0,1000000*SER_hh_emi!N6/SER_hh_num!N6)</f>
        <v>43157.928781162998</v>
      </c>
      <c r="O6" s="133">
        <f>IF(SER_hh_emi!O6=0,0,1000000*SER_hh_emi!O6/SER_hh_num!O6)</f>
        <v>33696.740717718581</v>
      </c>
      <c r="P6" s="133">
        <f>IF(SER_hh_emi!P6=0,0,1000000*SER_hh_emi!P6/SER_hh_num!P6)</f>
        <v>35816.817260481424</v>
      </c>
      <c r="Q6" s="133">
        <f>IF(SER_hh_emi!Q6=0,0,1000000*SER_hh_emi!Q6/SER_hh_num!Q6)</f>
        <v>43230.95512556316</v>
      </c>
      <c r="R6" s="133">
        <f>IF(SER_hh_emi!R6=0,0,1000000*SER_hh_emi!R6/SER_hh_num!R6)</f>
        <v>36094.188935757571</v>
      </c>
      <c r="S6" s="133">
        <f>IF(SER_hh_emi!S6=0,0,1000000*SER_hh_emi!S6/SER_hh_num!S6)</f>
        <v>38860.062507194809</v>
      </c>
      <c r="T6" s="133">
        <f>IF(SER_hh_emi!T6=0,0,1000000*SER_hh_emi!T6/SER_hh_num!T6)</f>
        <v>44334.402075085032</v>
      </c>
      <c r="U6" s="133">
        <f>IF(SER_hh_emi!U6=0,0,1000000*SER_hh_emi!U6/SER_hh_num!U6)</f>
        <v>39976.245178189434</v>
      </c>
      <c r="V6" s="133">
        <f>IF(SER_hh_emi!V6=0,0,1000000*SER_hh_emi!V6/SER_hh_num!V6)</f>
        <v>29378.254573049562</v>
      </c>
      <c r="W6" s="133">
        <f>IF(SER_hh_emi!W6=0,0,1000000*SER_hh_emi!W6/SER_hh_num!W6)</f>
        <v>32886.201603559515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28854.824160851756</v>
      </c>
      <c r="C7" s="133">
        <f>IF(SER_hh_emi!C7=0,0,1000000*SER_hh_emi!C7/SER_hh_num!C7)</f>
        <v>28112.239668608825</v>
      </c>
      <c r="D7" s="133">
        <f>IF(SER_hh_emi!D7=0,0,1000000*SER_hh_emi!D7/SER_hh_num!D7)</f>
        <v>32209.901390340183</v>
      </c>
      <c r="E7" s="133">
        <f>IF(SER_hh_emi!E7=0,0,1000000*SER_hh_emi!E7/SER_hh_num!E7)</f>
        <v>39792.289546228378</v>
      </c>
      <c r="F7" s="133">
        <f>IF(SER_hh_emi!F7=0,0,1000000*SER_hh_emi!F7/SER_hh_num!F7)</f>
        <v>45276.897752784971</v>
      </c>
      <c r="G7" s="133">
        <f>IF(SER_hh_emi!G7=0,0,1000000*SER_hh_emi!G7/SER_hh_num!G7)</f>
        <v>41164.504594518257</v>
      </c>
      <c r="H7" s="133">
        <f>IF(SER_hh_emi!H7=0,0,1000000*SER_hh_emi!H7/SER_hh_num!H7)</f>
        <v>32579.455612139573</v>
      </c>
      <c r="I7" s="133">
        <f>IF(SER_hh_emi!I7=0,0,1000000*SER_hh_emi!I7/SER_hh_num!I7)</f>
        <v>35994.034835600309</v>
      </c>
      <c r="J7" s="133">
        <f>IF(SER_hh_emi!J7=0,0,1000000*SER_hh_emi!J7/SER_hh_num!J7)</f>
        <v>33154.591667537148</v>
      </c>
      <c r="K7" s="133">
        <f>IF(SER_hh_emi!K7=0,0,1000000*SER_hh_emi!K7/SER_hh_num!K7)</f>
        <v>24419.038820891252</v>
      </c>
      <c r="L7" s="133">
        <f>IF(SER_hh_emi!L7=0,0,1000000*SER_hh_emi!L7/SER_hh_num!L7)</f>
        <v>45843.945685260071</v>
      </c>
      <c r="M7" s="133">
        <f>IF(SER_hh_emi!M7=0,0,1000000*SER_hh_emi!M7/SER_hh_num!M7)</f>
        <v>26265.192001891803</v>
      </c>
      <c r="N7" s="133">
        <f>IF(SER_hh_emi!N7=0,0,1000000*SER_hh_emi!N7/SER_hh_num!N7)</f>
        <v>42797.911437427749</v>
      </c>
      <c r="O7" s="133">
        <f>IF(SER_hh_emi!O7=0,0,1000000*SER_hh_emi!O7/SER_hh_num!O7)</f>
        <v>54225.604457876274</v>
      </c>
      <c r="P7" s="133">
        <f>IF(SER_hh_emi!P7=0,0,1000000*SER_hh_emi!P7/SER_hh_num!P7)</f>
        <v>54152.578058166007</v>
      </c>
      <c r="Q7" s="133">
        <f>IF(SER_hh_emi!Q7=0,0,1000000*SER_hh_emi!Q7/SER_hh_num!Q7)</f>
        <v>63497.827403749638</v>
      </c>
      <c r="R7" s="133">
        <f>IF(SER_hh_emi!R7=0,0,1000000*SER_hh_emi!R7/SER_hh_num!R7)</f>
        <v>61932.996433489665</v>
      </c>
      <c r="S7" s="133">
        <f>IF(SER_hh_emi!S7=0,0,1000000*SER_hh_emi!S7/SER_hh_num!S7)</f>
        <v>60622.003054848428</v>
      </c>
      <c r="T7" s="133">
        <f>IF(SER_hh_emi!T7=0,0,1000000*SER_hh_emi!T7/SER_hh_num!T7)</f>
        <v>40097.774038700867</v>
      </c>
      <c r="U7" s="133">
        <f>IF(SER_hh_emi!U7=0,0,1000000*SER_hh_emi!U7/SER_hh_num!U7)</f>
        <v>43724.815430043629</v>
      </c>
      <c r="V7" s="133">
        <f>IF(SER_hh_emi!V7=0,0,1000000*SER_hh_emi!V7/SER_hh_num!V7)</f>
        <v>38694.740770702061</v>
      </c>
      <c r="W7" s="133">
        <f>IF(SER_hh_emi!W7=0,0,1000000*SER_hh_emi!W7/SER_hh_num!W7)</f>
        <v>41093.309783928788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0</v>
      </c>
      <c r="C9" s="133">
        <f>IF(SER_hh_emi!C9=0,0,1000000*SER_hh_emi!C9/SER_hh_num!C9)</f>
        <v>0</v>
      </c>
      <c r="D9" s="133">
        <f>IF(SER_hh_emi!D9=0,0,1000000*SER_hh_emi!D9/SER_hh_num!D9)</f>
        <v>0</v>
      </c>
      <c r="E9" s="133">
        <f>IF(SER_hh_emi!E9=0,0,1000000*SER_hh_emi!E9/SER_hh_num!E9)</f>
        <v>0</v>
      </c>
      <c r="F9" s="133">
        <f>IF(SER_hh_emi!F9=0,0,1000000*SER_hh_emi!F9/SER_hh_num!F9)</f>
        <v>0</v>
      </c>
      <c r="G9" s="133">
        <f>IF(SER_hh_emi!G9=0,0,1000000*SER_hh_emi!G9/SER_hh_num!G9)</f>
        <v>0</v>
      </c>
      <c r="H9" s="133">
        <f>IF(SER_hh_emi!H9=0,0,1000000*SER_hh_emi!H9/SER_hh_num!H9)</f>
        <v>0</v>
      </c>
      <c r="I9" s="133">
        <f>IF(SER_hh_emi!I9=0,0,1000000*SER_hh_emi!I9/SER_hh_num!I9)</f>
        <v>0</v>
      </c>
      <c r="J9" s="133">
        <f>IF(SER_hh_emi!J9=0,0,1000000*SER_hh_emi!J9/SER_hh_num!J9)</f>
        <v>0</v>
      </c>
      <c r="K9" s="133">
        <f>IF(SER_hh_emi!K9=0,0,1000000*SER_hh_emi!K9/SER_hh_num!K9)</f>
        <v>0</v>
      </c>
      <c r="L9" s="133">
        <f>IF(SER_hh_emi!L9=0,0,1000000*SER_hh_emi!L9/SER_hh_num!L9)</f>
        <v>0</v>
      </c>
      <c r="M9" s="133">
        <f>IF(SER_hh_emi!M9=0,0,1000000*SER_hh_emi!M9/SER_hh_num!M9)</f>
        <v>0</v>
      </c>
      <c r="N9" s="133">
        <f>IF(SER_hh_emi!N9=0,0,1000000*SER_hh_emi!N9/SER_hh_num!N9)</f>
        <v>0</v>
      </c>
      <c r="O9" s="133">
        <f>IF(SER_hh_emi!O9=0,0,1000000*SER_hh_emi!O9/SER_hh_num!O9)</f>
        <v>0</v>
      </c>
      <c r="P9" s="133">
        <f>IF(SER_hh_emi!P9=0,0,1000000*SER_hh_emi!P9/SER_hh_num!P9)</f>
        <v>0</v>
      </c>
      <c r="Q9" s="133">
        <f>IF(SER_hh_emi!Q9=0,0,1000000*SER_hh_emi!Q9/SER_hh_num!Q9)</f>
        <v>0</v>
      </c>
      <c r="R9" s="133">
        <f>IF(SER_hh_emi!R9=0,0,1000000*SER_hh_emi!R9/SER_hh_num!R9)</f>
        <v>0</v>
      </c>
      <c r="S9" s="133">
        <f>IF(SER_hh_emi!S9=0,0,1000000*SER_hh_emi!S9/SER_hh_num!S9)</f>
        <v>0</v>
      </c>
      <c r="T9" s="133">
        <f>IF(SER_hh_emi!T9=0,0,1000000*SER_hh_emi!T9/SER_hh_num!T9)</f>
        <v>0</v>
      </c>
      <c r="U9" s="133">
        <f>IF(SER_hh_emi!U9=0,0,1000000*SER_hh_emi!U9/SER_hh_num!U9)</f>
        <v>0</v>
      </c>
      <c r="V9" s="133">
        <f>IF(SER_hh_emi!V9=0,0,1000000*SER_hh_emi!V9/SER_hh_num!V9)</f>
        <v>0</v>
      </c>
      <c r="W9" s="133">
        <f>IF(SER_hh_emi!W9=0,0,1000000*SER_hh_emi!W9/SER_hh_num!W9)</f>
        <v>0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940.61317807482021</v>
      </c>
      <c r="C19" s="131">
        <f>IF(SER_hh_emi!C19=0,0,1000000*SER_hh_emi!C19/SER_hh_num!C19)</f>
        <v>905.68805779238903</v>
      </c>
      <c r="D19" s="131">
        <f>IF(SER_hh_emi!D19=0,0,1000000*SER_hh_emi!D19/SER_hh_num!D19)</f>
        <v>882.40765779905962</v>
      </c>
      <c r="E19" s="131">
        <f>IF(SER_hh_emi!E19=0,0,1000000*SER_hh_emi!E19/SER_hh_num!E19)</f>
        <v>753.59318394001059</v>
      </c>
      <c r="F19" s="131">
        <f>IF(SER_hh_emi!F19=0,0,1000000*SER_hh_emi!F19/SER_hh_num!F19)</f>
        <v>698.87823214079037</v>
      </c>
      <c r="G19" s="131">
        <f>IF(SER_hh_emi!G19=0,0,1000000*SER_hh_emi!G19/SER_hh_num!G19)</f>
        <v>739.13653735284697</v>
      </c>
      <c r="H19" s="131">
        <f>IF(SER_hh_emi!H19=0,0,1000000*SER_hh_emi!H19/SER_hh_num!H19)</f>
        <v>1821.3559136789065</v>
      </c>
      <c r="I19" s="131">
        <f>IF(SER_hh_emi!I19=0,0,1000000*SER_hh_emi!I19/SER_hh_num!I19)</f>
        <v>2210.434377676017</v>
      </c>
      <c r="J19" s="131">
        <f>IF(SER_hh_emi!J19=0,0,1000000*SER_hh_emi!J19/SER_hh_num!J19)</f>
        <v>1957.1057473456081</v>
      </c>
      <c r="K19" s="131">
        <f>IF(SER_hh_emi!K19=0,0,1000000*SER_hh_emi!K19/SER_hh_num!K19)</f>
        <v>1801.6920588735966</v>
      </c>
      <c r="L19" s="131">
        <f>IF(SER_hh_emi!L19=0,0,1000000*SER_hh_emi!L19/SER_hh_num!L19)</f>
        <v>867.41343289762926</v>
      </c>
      <c r="M19" s="131">
        <f>IF(SER_hh_emi!M19=0,0,1000000*SER_hh_emi!M19/SER_hh_num!M19)</f>
        <v>786.39645408241813</v>
      </c>
      <c r="N19" s="131">
        <f>IF(SER_hh_emi!N19=0,0,1000000*SER_hh_emi!N19/SER_hh_num!N19)</f>
        <v>549.37091745922589</v>
      </c>
      <c r="O19" s="131">
        <f>IF(SER_hh_emi!O19=0,0,1000000*SER_hh_emi!O19/SER_hh_num!O19)</f>
        <v>299.01822455006413</v>
      </c>
      <c r="P19" s="131">
        <f>IF(SER_hh_emi!P19=0,0,1000000*SER_hh_emi!P19/SER_hh_num!P19)</f>
        <v>229.32772918745988</v>
      </c>
      <c r="Q19" s="131">
        <f>IF(SER_hh_emi!Q19=0,0,1000000*SER_hh_emi!Q19/SER_hh_num!Q19)</f>
        <v>191.557075532228</v>
      </c>
      <c r="R19" s="131">
        <f>IF(SER_hh_emi!R19=0,0,1000000*SER_hh_emi!R19/SER_hh_num!R19)</f>
        <v>157.19149557531233</v>
      </c>
      <c r="S19" s="131">
        <f>IF(SER_hh_emi!S19=0,0,1000000*SER_hh_emi!S19/SER_hh_num!S19)</f>
        <v>185.6333425975605</v>
      </c>
      <c r="T19" s="131">
        <f>IF(SER_hh_emi!T19=0,0,1000000*SER_hh_emi!T19/SER_hh_num!T19)</f>
        <v>240.75040698755018</v>
      </c>
      <c r="U19" s="131">
        <f>IF(SER_hh_emi!U19=0,0,1000000*SER_hh_emi!U19/SER_hh_num!U19)</f>
        <v>235.6242646814045</v>
      </c>
      <c r="V19" s="131">
        <f>IF(SER_hh_emi!V19=0,0,1000000*SER_hh_emi!V19/SER_hh_num!V19)</f>
        <v>175.88512045030086</v>
      </c>
      <c r="W19" s="131">
        <f>IF(SER_hh_emi!W19=0,0,1000000*SER_hh_emi!W19/SER_hh_num!W19)</f>
        <v>187.15006521073244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14156.916902447056</v>
      </c>
      <c r="C21" s="133">
        <f>IF(SER_hh_emi!C21=0,0,1000000*SER_hh_emi!C21/SER_hh_num!C21)</f>
        <v>14041.317157634578</v>
      </c>
      <c r="D21" s="133">
        <f>IF(SER_hh_emi!D21=0,0,1000000*SER_hh_emi!D21/SER_hh_num!D21)</f>
        <v>14297.33679759378</v>
      </c>
      <c r="E21" s="133">
        <f>IF(SER_hh_emi!E21=0,0,1000000*SER_hh_emi!E21/SER_hh_num!E21)</f>
        <v>12302.183247992956</v>
      </c>
      <c r="F21" s="133">
        <f>IF(SER_hh_emi!F21=0,0,1000000*SER_hh_emi!F21/SER_hh_num!F21)</f>
        <v>10718.085260791604</v>
      </c>
      <c r="G21" s="133">
        <f>IF(SER_hh_emi!G21=0,0,1000000*SER_hh_emi!G21/SER_hh_num!G21)</f>
        <v>9086.9165974014504</v>
      </c>
      <c r="H21" s="133">
        <f>IF(SER_hh_emi!H21=0,0,1000000*SER_hh_emi!H21/SER_hh_num!H21)</f>
        <v>20195.659906259312</v>
      </c>
      <c r="I21" s="133">
        <f>IF(SER_hh_emi!I21=0,0,1000000*SER_hh_emi!I21/SER_hh_num!I21)</f>
        <v>24556.431439885022</v>
      </c>
      <c r="J21" s="133">
        <f>IF(SER_hh_emi!J21=0,0,1000000*SER_hh_emi!J21/SER_hh_num!J21)</f>
        <v>22450.942700102918</v>
      </c>
      <c r="K21" s="133">
        <f>IF(SER_hh_emi!K21=0,0,1000000*SER_hh_emi!K21/SER_hh_num!K21)</f>
        <v>20919.50968231904</v>
      </c>
      <c r="L21" s="133">
        <f>IF(SER_hh_emi!L21=0,0,1000000*SER_hh_emi!L21/SER_hh_num!L21)</f>
        <v>11107.631397180938</v>
      </c>
      <c r="M21" s="133">
        <f>IF(SER_hh_emi!M21=0,0,1000000*SER_hh_emi!M21/SER_hh_num!M21)</f>
        <v>12942.181504403718</v>
      </c>
      <c r="N21" s="133">
        <f>IF(SER_hh_emi!N21=0,0,1000000*SER_hh_emi!N21/SER_hh_num!N21)</f>
        <v>13494.079950126268</v>
      </c>
      <c r="O21" s="133">
        <f>IF(SER_hh_emi!O21=0,0,1000000*SER_hh_emi!O21/SER_hh_num!O21)</f>
        <v>10673.377695584117</v>
      </c>
      <c r="P21" s="133">
        <f>IF(SER_hh_emi!P21=0,0,1000000*SER_hh_emi!P21/SER_hh_num!P21)</f>
        <v>11596.581927949996</v>
      </c>
      <c r="Q21" s="133">
        <f>IF(SER_hh_emi!Q21=0,0,1000000*SER_hh_emi!Q21/SER_hh_num!Q21)</f>
        <v>12286.898761207678</v>
      </c>
      <c r="R21" s="133">
        <f>IF(SER_hh_emi!R21=0,0,1000000*SER_hh_emi!R21/SER_hh_num!R21)</f>
        <v>10708.240979448947</v>
      </c>
      <c r="S21" s="133">
        <f>IF(SER_hh_emi!S21=0,0,1000000*SER_hh_emi!S21/SER_hh_num!S21)</f>
        <v>11513.285301737593</v>
      </c>
      <c r="T21" s="133">
        <f>IF(SER_hh_emi!T21=0,0,1000000*SER_hh_emi!T21/SER_hh_num!T21)</f>
        <v>13333.555695043777</v>
      </c>
      <c r="U21" s="133">
        <f>IF(SER_hh_emi!U21=0,0,1000000*SER_hh_emi!U21/SER_hh_num!U21)</f>
        <v>12705.793801657017</v>
      </c>
      <c r="V21" s="133">
        <f>IF(SER_hh_emi!V21=0,0,1000000*SER_hh_emi!V21/SER_hh_num!V21)</f>
        <v>10183.469620229071</v>
      </c>
      <c r="W21" s="133">
        <f>IF(SER_hh_emi!W21=0,0,1000000*SER_hh_emi!W21/SER_hh_num!W21)</f>
        <v>11260.099613956054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0</v>
      </c>
      <c r="C22" s="133">
        <f>IF(SER_hh_emi!C22=0,0,1000000*SER_hh_emi!C22/SER_hh_num!C22)</f>
        <v>0</v>
      </c>
      <c r="D22" s="133">
        <f>IF(SER_hh_emi!D22=0,0,1000000*SER_hh_emi!D22/SER_hh_num!D22)</f>
        <v>0</v>
      </c>
      <c r="E22" s="133">
        <f>IF(SER_hh_emi!E22=0,0,1000000*SER_hh_emi!E22/SER_hh_num!E22)</f>
        <v>0</v>
      </c>
      <c r="F22" s="133">
        <f>IF(SER_hh_emi!F22=0,0,1000000*SER_hh_emi!F22/SER_hh_num!F22)</f>
        <v>0</v>
      </c>
      <c r="G22" s="133">
        <f>IF(SER_hh_emi!G22=0,0,1000000*SER_hh_emi!G22/SER_hh_num!G22)</f>
        <v>0</v>
      </c>
      <c r="H22" s="133">
        <f>IF(SER_hh_emi!H22=0,0,1000000*SER_hh_emi!H22/SER_hh_num!H22)</f>
        <v>0</v>
      </c>
      <c r="I22" s="133">
        <f>IF(SER_hh_emi!I22=0,0,1000000*SER_hh_emi!I22/SER_hh_num!I22)</f>
        <v>0</v>
      </c>
      <c r="J22" s="133">
        <f>IF(SER_hh_emi!J22=0,0,1000000*SER_hh_emi!J22/SER_hh_num!J22)</f>
        <v>0</v>
      </c>
      <c r="K22" s="133">
        <f>IF(SER_hh_emi!K22=0,0,1000000*SER_hh_emi!K22/SER_hh_num!K22)</f>
        <v>0</v>
      </c>
      <c r="L22" s="133">
        <f>IF(SER_hh_emi!L22=0,0,1000000*SER_hh_emi!L22/SER_hh_num!L22)</f>
        <v>0</v>
      </c>
      <c r="M22" s="133">
        <f>IF(SER_hh_emi!M22=0,0,1000000*SER_hh_emi!M22/SER_hh_num!M22)</f>
        <v>0</v>
      </c>
      <c r="N22" s="133">
        <f>IF(SER_hh_emi!N22=0,0,1000000*SER_hh_emi!N22/SER_hh_num!N22)</f>
        <v>0</v>
      </c>
      <c r="O22" s="133">
        <f>IF(SER_hh_emi!O22=0,0,1000000*SER_hh_emi!O22/SER_hh_num!O22)</f>
        <v>0</v>
      </c>
      <c r="P22" s="133">
        <f>IF(SER_hh_emi!P22=0,0,1000000*SER_hh_emi!P22/SER_hh_num!P22)</f>
        <v>0</v>
      </c>
      <c r="Q22" s="133">
        <f>IF(SER_hh_emi!Q22=0,0,1000000*SER_hh_emi!Q22/SER_hh_num!Q22)</f>
        <v>0</v>
      </c>
      <c r="R22" s="133">
        <f>IF(SER_hh_emi!R22=0,0,1000000*SER_hh_emi!R22/SER_hh_num!R22)</f>
        <v>0</v>
      </c>
      <c r="S22" s="133">
        <f>IF(SER_hh_emi!S22=0,0,1000000*SER_hh_emi!S22/SER_hh_num!S22)</f>
        <v>0</v>
      </c>
      <c r="T22" s="133">
        <f>IF(SER_hh_emi!T22=0,0,1000000*SER_hh_emi!T22/SER_hh_num!T22)</f>
        <v>0</v>
      </c>
      <c r="U22" s="133">
        <f>IF(SER_hh_emi!U22=0,0,1000000*SER_hh_emi!U22/SER_hh_num!U22)</f>
        <v>0</v>
      </c>
      <c r="V22" s="133">
        <f>IF(SER_hh_emi!V22=0,0,1000000*SER_hh_emi!V22/SER_hh_num!V22)</f>
        <v>0</v>
      </c>
      <c r="W22" s="133">
        <f>IF(SER_hh_emi!W22=0,0,1000000*SER_hh_emi!W22/SER_hh_num!W22)</f>
        <v>0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0</v>
      </c>
      <c r="C23" s="133">
        <f>IF(SER_hh_emi!C23=0,0,1000000*SER_hh_emi!C23/SER_hh_num!C23)</f>
        <v>0</v>
      </c>
      <c r="D23" s="133">
        <f>IF(SER_hh_emi!D23=0,0,1000000*SER_hh_emi!D23/SER_hh_num!D23)</f>
        <v>0</v>
      </c>
      <c r="E23" s="133">
        <f>IF(SER_hh_emi!E23=0,0,1000000*SER_hh_emi!E23/SER_hh_num!E23)</f>
        <v>0</v>
      </c>
      <c r="F23" s="133">
        <f>IF(SER_hh_emi!F23=0,0,1000000*SER_hh_emi!F23/SER_hh_num!F23)</f>
        <v>0</v>
      </c>
      <c r="G23" s="133">
        <f>IF(SER_hh_emi!G23=0,0,1000000*SER_hh_emi!G23/SER_hh_num!G23)</f>
        <v>0</v>
      </c>
      <c r="H23" s="133">
        <f>IF(SER_hh_emi!H23=0,0,1000000*SER_hh_emi!H23/SER_hh_num!H23)</f>
        <v>0</v>
      </c>
      <c r="I23" s="133">
        <f>IF(SER_hh_emi!I23=0,0,1000000*SER_hh_emi!I23/SER_hh_num!I23)</f>
        <v>0</v>
      </c>
      <c r="J23" s="133">
        <f>IF(SER_hh_emi!J23=0,0,1000000*SER_hh_emi!J23/SER_hh_num!J23)</f>
        <v>0</v>
      </c>
      <c r="K23" s="133">
        <f>IF(SER_hh_emi!K23=0,0,1000000*SER_hh_emi!K23/SER_hh_num!K23)</f>
        <v>0</v>
      </c>
      <c r="L23" s="133">
        <f>IF(SER_hh_emi!L23=0,0,1000000*SER_hh_emi!L23/SER_hh_num!L23)</f>
        <v>0</v>
      </c>
      <c r="M23" s="133">
        <f>IF(SER_hh_emi!M23=0,0,1000000*SER_hh_emi!M23/SER_hh_num!M23)</f>
        <v>0</v>
      </c>
      <c r="N23" s="133">
        <f>IF(SER_hh_emi!N23=0,0,1000000*SER_hh_emi!N23/SER_hh_num!N23)</f>
        <v>0</v>
      </c>
      <c r="O23" s="133">
        <f>IF(SER_hh_emi!O23=0,0,1000000*SER_hh_emi!O23/SER_hh_num!O23)</f>
        <v>0</v>
      </c>
      <c r="P23" s="133">
        <f>IF(SER_hh_emi!P23=0,0,1000000*SER_hh_emi!P23/SER_hh_num!P23)</f>
        <v>0</v>
      </c>
      <c r="Q23" s="133">
        <f>IF(SER_hh_emi!Q23=0,0,1000000*SER_hh_emi!Q23/SER_hh_num!Q23)</f>
        <v>0</v>
      </c>
      <c r="R23" s="133">
        <f>IF(SER_hh_emi!R23=0,0,1000000*SER_hh_emi!R23/SER_hh_num!R23)</f>
        <v>0</v>
      </c>
      <c r="S23" s="133">
        <f>IF(SER_hh_emi!S23=0,0,1000000*SER_hh_emi!S23/SER_hh_num!S23)</f>
        <v>0</v>
      </c>
      <c r="T23" s="133">
        <f>IF(SER_hh_emi!T23=0,0,1000000*SER_hh_emi!T23/SER_hh_num!T23)</f>
        <v>0</v>
      </c>
      <c r="U23" s="133">
        <f>IF(SER_hh_emi!U23=0,0,1000000*SER_hh_emi!U23/SER_hh_num!U23)</f>
        <v>0</v>
      </c>
      <c r="V23" s="133">
        <f>IF(SER_hh_emi!V23=0,0,1000000*SER_hh_emi!V23/SER_hh_num!V23)</f>
        <v>0</v>
      </c>
      <c r="W23" s="133">
        <f>IF(SER_hh_emi!W23=0,0,1000000*SER_hh_emi!W23/SER_hh_num!W23)</f>
        <v>0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977.19997606065272</v>
      </c>
      <c r="C29" s="131">
        <f>IF(SER_hh_emi!C29=0,0,1000000*SER_hh_emi!C29/SER_hh_num!C29)</f>
        <v>908.94569092260929</v>
      </c>
      <c r="D29" s="131">
        <f>IF(SER_hh_emi!D29=0,0,1000000*SER_hh_emi!D29/SER_hh_num!D29)</f>
        <v>1116.5523492658569</v>
      </c>
      <c r="E29" s="131">
        <f>IF(SER_hh_emi!E29=0,0,1000000*SER_hh_emi!E29/SER_hh_num!E29)</f>
        <v>1067.6626947444024</v>
      </c>
      <c r="F29" s="131">
        <f>IF(SER_hh_emi!F29=0,0,1000000*SER_hh_emi!F29/SER_hh_num!F29)</f>
        <v>1007.7027305588213</v>
      </c>
      <c r="G29" s="131">
        <f>IF(SER_hh_emi!G29=0,0,1000000*SER_hh_emi!G29/SER_hh_num!G29)</f>
        <v>1042.8362335664779</v>
      </c>
      <c r="H29" s="131">
        <f>IF(SER_hh_emi!H29=0,0,1000000*SER_hh_emi!H29/SER_hh_num!H29)</f>
        <v>1872.5919053861317</v>
      </c>
      <c r="I29" s="131">
        <f>IF(SER_hh_emi!I29=0,0,1000000*SER_hh_emi!I29/SER_hh_num!I29)</f>
        <v>2239.3858980315704</v>
      </c>
      <c r="J29" s="131">
        <f>IF(SER_hh_emi!J29=0,0,1000000*SER_hh_emi!J29/SER_hh_num!J29)</f>
        <v>3117.654113136763</v>
      </c>
      <c r="K29" s="131">
        <f>IF(SER_hh_emi!K29=0,0,1000000*SER_hh_emi!K29/SER_hh_num!K29)</f>
        <v>4708.7950624086261</v>
      </c>
      <c r="L29" s="131">
        <f>IF(SER_hh_emi!L29=0,0,1000000*SER_hh_emi!L29/SER_hh_num!L29)</f>
        <v>3593.4467305405365</v>
      </c>
      <c r="M29" s="131">
        <f>IF(SER_hh_emi!M29=0,0,1000000*SER_hh_emi!M29/SER_hh_num!M29)</f>
        <v>4080.9590478330065</v>
      </c>
      <c r="N29" s="131">
        <f>IF(SER_hh_emi!N29=0,0,1000000*SER_hh_emi!N29/SER_hh_num!N29)</f>
        <v>3742.1986713552155</v>
      </c>
      <c r="O29" s="131">
        <f>IF(SER_hh_emi!O29=0,0,1000000*SER_hh_emi!O29/SER_hh_num!O29)</f>
        <v>3623.6965983080067</v>
      </c>
      <c r="P29" s="131">
        <f>IF(SER_hh_emi!P29=0,0,1000000*SER_hh_emi!P29/SER_hh_num!P29)</f>
        <v>3504.84559402687</v>
      </c>
      <c r="Q29" s="131">
        <f>IF(SER_hh_emi!Q29=0,0,1000000*SER_hh_emi!Q29/SER_hh_num!Q29)</f>
        <v>3963.9194795962553</v>
      </c>
      <c r="R29" s="131">
        <f>IF(SER_hh_emi!R29=0,0,1000000*SER_hh_emi!R29/SER_hh_num!R29)</f>
        <v>3297.1699707405646</v>
      </c>
      <c r="S29" s="131">
        <f>IF(SER_hh_emi!S29=0,0,1000000*SER_hh_emi!S29/SER_hh_num!S29)</f>
        <v>3950.9047284232938</v>
      </c>
      <c r="T29" s="131">
        <f>IF(SER_hh_emi!T29=0,0,1000000*SER_hh_emi!T29/SER_hh_num!T29)</f>
        <v>5006.0317708615285</v>
      </c>
      <c r="U29" s="131">
        <f>IF(SER_hh_emi!U29=0,0,1000000*SER_hh_emi!U29/SER_hh_num!U29)</f>
        <v>5142.7037135941864</v>
      </c>
      <c r="V29" s="131">
        <f>IF(SER_hh_emi!V29=0,0,1000000*SER_hh_emi!V29/SER_hh_num!V29)</f>
        <v>3350.8745487404944</v>
      </c>
      <c r="W29" s="131">
        <f>IF(SER_hh_emi!W29=0,0,1000000*SER_hh_emi!W29/SER_hh_num!W29)</f>
        <v>3594.4749697671609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17129.697917748581</v>
      </c>
      <c r="C30" s="133">
        <f>IF(SER_hh_emi!C30=0,0,1000000*SER_hh_emi!C30/SER_hh_num!C30)</f>
        <v>15943.40379618075</v>
      </c>
      <c r="D30" s="133">
        <f>IF(SER_hh_emi!D30=0,0,1000000*SER_hh_emi!D30/SER_hh_num!D30)</f>
        <v>18786.677421169974</v>
      </c>
      <c r="E30" s="133">
        <f>IF(SER_hh_emi!E30=0,0,1000000*SER_hh_emi!E30/SER_hh_num!E30)</f>
        <v>18011.540381594561</v>
      </c>
      <c r="F30" s="133">
        <f>IF(SER_hh_emi!F30=0,0,1000000*SER_hh_emi!F30/SER_hh_num!F30)</f>
        <v>15689.480659800942</v>
      </c>
      <c r="G30" s="133">
        <f>IF(SER_hh_emi!G30=0,0,1000000*SER_hh_emi!G30/SER_hh_num!G30)</f>
        <v>13727.733198349022</v>
      </c>
      <c r="H30" s="133">
        <f>IF(SER_hh_emi!H30=0,0,1000000*SER_hh_emi!H30/SER_hh_num!H30)</f>
        <v>17503.866292962462</v>
      </c>
      <c r="I30" s="133">
        <f>IF(SER_hh_emi!I30=0,0,1000000*SER_hh_emi!I30/SER_hh_num!I30)</f>
        <v>15126.856875655025</v>
      </c>
      <c r="J30" s="133">
        <f>IF(SER_hh_emi!J30=0,0,1000000*SER_hh_emi!J30/SER_hh_num!J30)</f>
        <v>16688.861808977384</v>
      </c>
      <c r="K30" s="133">
        <f>IF(SER_hh_emi!K30=0,0,1000000*SER_hh_emi!K30/SER_hh_num!K30)</f>
        <v>20609.876204894943</v>
      </c>
      <c r="L30" s="133">
        <f>IF(SER_hh_emi!L30=0,0,1000000*SER_hh_emi!L30/SER_hh_num!L30)</f>
        <v>15574.292329095519</v>
      </c>
      <c r="M30" s="133">
        <f>IF(SER_hh_emi!M30=0,0,1000000*SER_hh_emi!M30/SER_hh_num!M30)</f>
        <v>17428.229744596301</v>
      </c>
      <c r="N30" s="133">
        <f>IF(SER_hh_emi!N30=0,0,1000000*SER_hh_emi!N30/SER_hh_num!N30)</f>
        <v>16793.83855033906</v>
      </c>
      <c r="O30" s="133">
        <f>IF(SER_hh_emi!O30=0,0,1000000*SER_hh_emi!O30/SER_hh_num!O30)</f>
        <v>16230.221531082145</v>
      </c>
      <c r="P30" s="133">
        <f>IF(SER_hh_emi!P30=0,0,1000000*SER_hh_emi!P30/SER_hh_num!P30)</f>
        <v>16014.155066358682</v>
      </c>
      <c r="Q30" s="133">
        <f>IF(SER_hh_emi!Q30=0,0,1000000*SER_hh_emi!Q30/SER_hh_num!Q30)</f>
        <v>17663.525822727537</v>
      </c>
      <c r="R30" s="133">
        <f>IF(SER_hh_emi!R30=0,0,1000000*SER_hh_emi!R30/SER_hh_num!R30)</f>
        <v>14380.326226201347</v>
      </c>
      <c r="S30" s="133">
        <f>IF(SER_hh_emi!S30=0,0,1000000*SER_hh_emi!S30/SER_hh_num!S30)</f>
        <v>15425.258695151837</v>
      </c>
      <c r="T30" s="133">
        <f>IF(SER_hh_emi!T30=0,0,1000000*SER_hh_emi!T30/SER_hh_num!T30)</f>
        <v>17938.835577653641</v>
      </c>
      <c r="U30" s="133">
        <f>IF(SER_hh_emi!U30=0,0,1000000*SER_hh_emi!U30/SER_hh_num!U30)</f>
        <v>18303.563572324001</v>
      </c>
      <c r="V30" s="133">
        <f>IF(SER_hh_emi!V30=0,0,1000000*SER_hh_emi!V30/SER_hh_num!V30)</f>
        <v>12228.717870277093</v>
      </c>
      <c r="W30" s="133">
        <f>IF(SER_hh_emi!W30=0,0,1000000*SER_hh_emi!W30/SER_hh_num!W30)</f>
        <v>13380.958603688334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0</v>
      </c>
      <c r="C31" s="133">
        <f>IF(SER_hh_emi!C31=0,0,1000000*SER_hh_emi!C31/SER_hh_num!C31)</f>
        <v>0</v>
      </c>
      <c r="D31" s="133">
        <f>IF(SER_hh_emi!D31=0,0,1000000*SER_hh_emi!D31/SER_hh_num!D31)</f>
        <v>0</v>
      </c>
      <c r="E31" s="133">
        <f>IF(SER_hh_emi!E31=0,0,1000000*SER_hh_emi!E31/SER_hh_num!E31)</f>
        <v>0</v>
      </c>
      <c r="F31" s="133">
        <f>IF(SER_hh_emi!F31=0,0,1000000*SER_hh_emi!F31/SER_hh_num!F31)</f>
        <v>0</v>
      </c>
      <c r="G31" s="133">
        <f>IF(SER_hh_emi!G31=0,0,1000000*SER_hh_emi!G31/SER_hh_num!G31)</f>
        <v>0</v>
      </c>
      <c r="H31" s="133">
        <f>IF(SER_hh_emi!H31=0,0,1000000*SER_hh_emi!H31/SER_hh_num!H31)</f>
        <v>0</v>
      </c>
      <c r="I31" s="133">
        <f>IF(SER_hh_emi!I31=0,0,1000000*SER_hh_emi!I31/SER_hh_num!I31)</f>
        <v>0</v>
      </c>
      <c r="J31" s="133">
        <f>IF(SER_hh_emi!J31=0,0,1000000*SER_hh_emi!J31/SER_hh_num!J31)</f>
        <v>0</v>
      </c>
      <c r="K31" s="133">
        <f>IF(SER_hh_emi!K31=0,0,1000000*SER_hh_emi!K31/SER_hh_num!K31)</f>
        <v>0</v>
      </c>
      <c r="L31" s="133">
        <f>IF(SER_hh_emi!L31=0,0,1000000*SER_hh_emi!L31/SER_hh_num!L31)</f>
        <v>0</v>
      </c>
      <c r="M31" s="133">
        <f>IF(SER_hh_emi!M31=0,0,1000000*SER_hh_emi!M31/SER_hh_num!M31)</f>
        <v>0</v>
      </c>
      <c r="N31" s="133">
        <f>IF(SER_hh_emi!N31=0,0,1000000*SER_hh_emi!N31/SER_hh_num!N31)</f>
        <v>0</v>
      </c>
      <c r="O31" s="133">
        <f>IF(SER_hh_emi!O31=0,0,1000000*SER_hh_emi!O31/SER_hh_num!O31)</f>
        <v>0</v>
      </c>
      <c r="P31" s="133">
        <f>IF(SER_hh_emi!P31=0,0,1000000*SER_hh_emi!P31/SER_hh_num!P31)</f>
        <v>0</v>
      </c>
      <c r="Q31" s="133">
        <f>IF(SER_hh_emi!Q31=0,0,1000000*SER_hh_emi!Q31/SER_hh_num!Q31)</f>
        <v>0</v>
      </c>
      <c r="R31" s="133">
        <f>IF(SER_hh_emi!R31=0,0,1000000*SER_hh_emi!R31/SER_hh_num!R31)</f>
        <v>0</v>
      </c>
      <c r="S31" s="133">
        <f>IF(SER_hh_emi!S31=0,0,1000000*SER_hh_emi!S31/SER_hh_num!S31)</f>
        <v>0</v>
      </c>
      <c r="T31" s="133">
        <f>IF(SER_hh_emi!T31=0,0,1000000*SER_hh_emi!T31/SER_hh_num!T31)</f>
        <v>0</v>
      </c>
      <c r="U31" s="133">
        <f>IF(SER_hh_emi!U31=0,0,1000000*SER_hh_emi!U31/SER_hh_num!U31)</f>
        <v>0</v>
      </c>
      <c r="V31" s="133">
        <f>IF(SER_hh_emi!V31=0,0,1000000*SER_hh_emi!V31/SER_hh_num!V31)</f>
        <v>0</v>
      </c>
      <c r="W31" s="133">
        <f>IF(SER_hh_emi!W31=0,0,1000000*SER_hh_emi!W31/SER_hh_num!W31)</f>
        <v>0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266.73999026666235</v>
      </c>
      <c r="C3" s="126">
        <f>IF(SER_hh_fech!C3=0,0,SER_hh_fech!C3/SER_summary!C$26)</f>
        <v>269.21316767041503</v>
      </c>
      <c r="D3" s="126">
        <f>IF(SER_hh_fech!D3=0,0,SER_hh_fech!D3/SER_summary!D$26)</f>
        <v>285.6592837613162</v>
      </c>
      <c r="E3" s="126">
        <f>IF(SER_hh_fech!E3=0,0,SER_hh_fech!E3/SER_summary!E$26)</f>
        <v>315.16856975369541</v>
      </c>
      <c r="F3" s="126">
        <f>IF(SER_hh_fech!F3=0,0,SER_hh_fech!F3/SER_summary!F$26)</f>
        <v>316.70308346649887</v>
      </c>
      <c r="G3" s="126">
        <f>IF(SER_hh_fech!G3=0,0,SER_hh_fech!G3/SER_summary!G$26)</f>
        <v>337.96873449009195</v>
      </c>
      <c r="H3" s="126">
        <f>IF(SER_hh_fech!H3=0,0,SER_hh_fech!H3/SER_summary!H$26)</f>
        <v>282.20129404523851</v>
      </c>
      <c r="I3" s="126">
        <f>IF(SER_hh_fech!I3=0,0,SER_hh_fech!I3/SER_summary!I$26)</f>
        <v>284.12604279115743</v>
      </c>
      <c r="J3" s="126">
        <f>IF(SER_hh_fech!J3=0,0,SER_hh_fech!J3/SER_summary!J$26)</f>
        <v>258.71846000153454</v>
      </c>
      <c r="K3" s="126">
        <f>IF(SER_hh_fech!K3=0,0,SER_hh_fech!K3/SER_summary!K$26)</f>
        <v>229.71631078326286</v>
      </c>
      <c r="L3" s="126">
        <f>IF(SER_hh_fech!L3=0,0,SER_hh_fech!L3/SER_summary!L$26)</f>
        <v>324.17551488971992</v>
      </c>
      <c r="M3" s="126">
        <f>IF(SER_hh_fech!M3=0,0,SER_hh_fech!M3/SER_summary!M$26)</f>
        <v>301.26435101063271</v>
      </c>
      <c r="N3" s="126">
        <f>IF(SER_hh_fech!N3=0,0,SER_hh_fech!N3/SER_summary!N$26)</f>
        <v>336.65174919268981</v>
      </c>
      <c r="O3" s="126">
        <f>IF(SER_hh_fech!O3=0,0,SER_hh_fech!O3/SER_summary!O$26)</f>
        <v>341.66977538860118</v>
      </c>
      <c r="P3" s="126">
        <f>IF(SER_hh_fech!P3=0,0,SER_hh_fech!P3/SER_summary!P$26)</f>
        <v>349.96170739676649</v>
      </c>
      <c r="Q3" s="126">
        <f>IF(SER_hh_fech!Q3=0,0,SER_hh_fech!Q3/SER_summary!Q$26)</f>
        <v>377.42108253430979</v>
      </c>
      <c r="R3" s="126">
        <f>IF(SER_hh_fech!R3=0,0,SER_hh_fech!R3/SER_summary!R$26)</f>
        <v>352.91294827319467</v>
      </c>
      <c r="S3" s="126">
        <f>IF(SER_hh_fech!S3=0,0,SER_hh_fech!S3/SER_summary!S$26)</f>
        <v>358.06225860049278</v>
      </c>
      <c r="T3" s="126">
        <f>IF(SER_hh_fech!T3=0,0,SER_hh_fech!T3/SER_summary!T$26)</f>
        <v>313.74600938556529</v>
      </c>
      <c r="U3" s="126">
        <f>IF(SER_hh_fech!U3=0,0,SER_hh_fech!U3/SER_summary!U$26)</f>
        <v>311.92952888881501</v>
      </c>
      <c r="V3" s="126">
        <f>IF(SER_hh_fech!V3=0,0,SER_hh_fech!V3/SER_summary!V$26)</f>
        <v>253.61889575714909</v>
      </c>
      <c r="W3" s="126">
        <f>IF(SER_hh_fech!W3=0,0,SER_hh_fech!W3/SER_summary!W$26)</f>
        <v>264.03452441859991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120.70454336253084</v>
      </c>
      <c r="C4" s="131">
        <f>IF(SER_hh_fech!C4=0,0,SER_hh_fech!C4/SER_summary!C$26)</f>
        <v>123.43398315355917</v>
      </c>
      <c r="D4" s="131">
        <f>IF(SER_hh_fech!D4=0,0,SER_hh_fech!D4/SER_summary!D$26)</f>
        <v>142.83781822070443</v>
      </c>
      <c r="E4" s="131">
        <f>IF(SER_hh_fech!E4=0,0,SER_hh_fech!E4/SER_summary!E$26)</f>
        <v>160.81420633343569</v>
      </c>
      <c r="F4" s="131">
        <f>IF(SER_hh_fech!F4=0,0,SER_hh_fech!F4/SER_summary!F$26)</f>
        <v>174.38382538243309</v>
      </c>
      <c r="G4" s="131">
        <f>IF(SER_hh_fech!G4=0,0,SER_hh_fech!G4/SER_summary!G$26)</f>
        <v>198.69216170963426</v>
      </c>
      <c r="H4" s="131">
        <f>IF(SER_hh_fech!H4=0,0,SER_hh_fech!H4/SER_summary!H$26)</f>
        <v>137.14765250458584</v>
      </c>
      <c r="I4" s="131">
        <f>IF(SER_hh_fech!I4=0,0,SER_hh_fech!I4/SER_summary!I$26)</f>
        <v>140.0909161085078</v>
      </c>
      <c r="J4" s="131">
        <f>IF(SER_hh_fech!J4=0,0,SER_hh_fech!J4/SER_summary!J$26)</f>
        <v>121.28371009563861</v>
      </c>
      <c r="K4" s="131">
        <f>IF(SER_hh_fech!K4=0,0,SER_hh_fech!K4/SER_summary!K$26)</f>
        <v>88.163868757359396</v>
      </c>
      <c r="L4" s="131">
        <f>IF(SER_hh_fech!L4=0,0,SER_hh_fech!L4/SER_summary!L$26)</f>
        <v>186.41925794373174</v>
      </c>
      <c r="M4" s="131">
        <f>IF(SER_hh_fech!M4=0,0,SER_hh_fech!M4/SER_summary!M$26)</f>
        <v>161.97691665872526</v>
      </c>
      <c r="N4" s="131">
        <f>IF(SER_hh_fech!N4=0,0,SER_hh_fech!N4/SER_summary!N$26)</f>
        <v>190.28616700657415</v>
      </c>
      <c r="O4" s="131">
        <f>IF(SER_hh_fech!O4=0,0,SER_hh_fech!O4/SER_summary!O$26)</f>
        <v>204.64585815141859</v>
      </c>
      <c r="P4" s="131">
        <f>IF(SER_hh_fech!P4=0,0,SER_hh_fech!P4/SER_summary!P$26)</f>
        <v>213.92885323960047</v>
      </c>
      <c r="Q4" s="131">
        <f>IF(SER_hh_fech!Q4=0,0,SER_hh_fech!Q4/SER_summary!Q$26)</f>
        <v>240.95000623242089</v>
      </c>
      <c r="R4" s="131">
        <f>IF(SER_hh_fech!R4=0,0,SER_hh_fech!R4/SER_summary!R$26)</f>
        <v>222.23920052783561</v>
      </c>
      <c r="S4" s="131">
        <f>IF(SER_hh_fech!S4=0,0,SER_hh_fech!S4/SER_summary!S$26)</f>
        <v>226.35563325830182</v>
      </c>
      <c r="T4" s="131">
        <f>IF(SER_hh_fech!T4=0,0,SER_hh_fech!T4/SER_summary!T$26)</f>
        <v>184.20834021453857</v>
      </c>
      <c r="U4" s="131">
        <f>IF(SER_hh_fech!U4=0,0,SER_hh_fech!U4/SER_summary!U$26)</f>
        <v>177.12313575634258</v>
      </c>
      <c r="V4" s="131">
        <f>IF(SER_hh_fech!V4=0,0,SER_hh_fech!V4/SER_summary!V$26)</f>
        <v>134.49868883175512</v>
      </c>
      <c r="W4" s="131">
        <f>IF(SER_hh_fech!W4=0,0,SER_hh_fech!W4/SER_summary!W$26)</f>
        <v>137.99701203782112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126.07146113472834</v>
      </c>
      <c r="C6" s="133">
        <f>IF(SER_hh_fech!C6=0,0,SER_hh_fech!C6/SER_summary!C$26)</f>
        <v>133.59018693163955</v>
      </c>
      <c r="D6" s="133">
        <f>IF(SER_hh_fech!D6=0,0,SER_hh_fech!D6/SER_summary!D$26)</f>
        <v>136.73247270857016</v>
      </c>
      <c r="E6" s="133">
        <f>IF(SER_hh_fech!E6=0,0,SER_hh_fech!E6/SER_summary!E$26)</f>
        <v>155.27951900637274</v>
      </c>
      <c r="F6" s="133">
        <f>IF(SER_hh_fech!F6=0,0,SER_hh_fech!F6/SER_summary!F$26)</f>
        <v>162.5228796455157</v>
      </c>
      <c r="G6" s="133">
        <f>IF(SER_hh_fech!G6=0,0,SER_hh_fech!G6/SER_summary!G$26)</f>
        <v>139.94639136917428</v>
      </c>
      <c r="H6" s="133">
        <f>IF(SER_hh_fech!H6=0,0,SER_hh_fech!H6/SER_summary!H$26)</f>
        <v>160.21535560266221</v>
      </c>
      <c r="I6" s="133">
        <f>IF(SER_hh_fech!I6=0,0,SER_hh_fech!I6/SER_summary!I$26)</f>
        <v>180.0485456584351</v>
      </c>
      <c r="J6" s="133">
        <f>IF(SER_hh_fech!J6=0,0,SER_hh_fech!J6/SER_summary!J$26)</f>
        <v>96.641209370899944</v>
      </c>
      <c r="K6" s="133">
        <f>IF(SER_hh_fech!K6=0,0,SER_hh_fech!K6/SER_summary!K$26)</f>
        <v>50.322476379942714</v>
      </c>
      <c r="L6" s="133">
        <f>IF(SER_hh_fech!L6=0,0,SER_hh_fech!L6/SER_summary!L$26)</f>
        <v>225.34170143567758</v>
      </c>
      <c r="M6" s="133">
        <f>IF(SER_hh_fech!M6=0,0,SER_hh_fech!M6/SER_summary!M$26)</f>
        <v>171.32244562422406</v>
      </c>
      <c r="N6" s="133">
        <f>IF(SER_hh_fech!N6=0,0,SER_hh_fech!N6/SER_summary!N$26)</f>
        <v>211.09902360139202</v>
      </c>
      <c r="O6" s="133">
        <f>IF(SER_hh_fech!O6=0,0,SER_hh_fech!O6/SER_summary!O$26)</f>
        <v>164.82137268747718</v>
      </c>
      <c r="P6" s="133">
        <f>IF(SER_hh_fech!P6=0,0,SER_hh_fech!P6/SER_summary!P$26)</f>
        <v>175.19133484221314</v>
      </c>
      <c r="Q6" s="133">
        <f>IF(SER_hh_fech!Q6=0,0,SER_hh_fech!Q6/SER_summary!Q$26)</f>
        <v>211.45621845377292</v>
      </c>
      <c r="R6" s="133">
        <f>IF(SER_hh_fech!R6=0,0,SER_hh_fech!R6/SER_summary!R$26)</f>
        <v>176.54804707282958</v>
      </c>
      <c r="S6" s="133">
        <f>IF(SER_hh_fech!S6=0,0,SER_hh_fech!S6/SER_summary!S$26)</f>
        <v>190.07680590868307</v>
      </c>
      <c r="T6" s="133">
        <f>IF(SER_hh_fech!T6=0,0,SER_hh_fech!T6/SER_summary!T$26)</f>
        <v>216.85352504883986</v>
      </c>
      <c r="U6" s="133">
        <f>IF(SER_hh_fech!U6=0,0,SER_hh_fech!U6/SER_summary!U$26)</f>
        <v>195.53640692898506</v>
      </c>
      <c r="V6" s="133">
        <f>IF(SER_hh_fech!V6=0,0,SER_hh_fech!V6/SER_summary!V$26)</f>
        <v>143.69829671230048</v>
      </c>
      <c r="W6" s="133">
        <f>IF(SER_hh_fech!W6=0,0,SER_hh_fech!W6/SER_summary!W$26)</f>
        <v>160.85677057560753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123.33640618694616</v>
      </c>
      <c r="C7" s="133">
        <f>IF(SER_hh_fech!C7=0,0,SER_hh_fech!C7/SER_summary!C$26)</f>
        <v>120.16231986942628</v>
      </c>
      <c r="D7" s="133">
        <f>IF(SER_hh_fech!D7=0,0,SER_hh_fech!D7/SER_summary!D$26)</f>
        <v>137.7578824272131</v>
      </c>
      <c r="E7" s="133">
        <f>IF(SER_hh_fech!E7=0,0,SER_hh_fech!E7/SER_summary!E$26)</f>
        <v>170.29392522445283</v>
      </c>
      <c r="F7" s="133">
        <f>IF(SER_hh_fech!F7=0,0,SER_hh_fech!F7/SER_summary!F$26)</f>
        <v>193.79756885015618</v>
      </c>
      <c r="G7" s="133">
        <f>IF(SER_hh_fech!G7=0,0,SER_hh_fech!G7/SER_summary!G$26)</f>
        <v>169.05078739792339</v>
      </c>
      <c r="H7" s="133">
        <f>IF(SER_hh_fech!H7=0,0,SER_hh_fech!H7/SER_summary!H$26)</f>
        <v>133.46706427116104</v>
      </c>
      <c r="I7" s="133">
        <f>IF(SER_hh_fech!I7=0,0,SER_hh_fech!I7/SER_summary!I$26)</f>
        <v>146.62011229333189</v>
      </c>
      <c r="J7" s="133">
        <f>IF(SER_hh_fech!J7=0,0,SER_hh_fech!J7/SER_summary!J$26)</f>
        <v>135.05207693210269</v>
      </c>
      <c r="K7" s="133">
        <f>IF(SER_hh_fech!K7=0,0,SER_hh_fech!K7/SER_summary!K$26)</f>
        <v>100.71478603202164</v>
      </c>
      <c r="L7" s="133">
        <f>IF(SER_hh_fech!L7=0,0,SER_hh_fech!L7/SER_summary!L$26)</f>
        <v>186.88112304322124</v>
      </c>
      <c r="M7" s="133">
        <f>IF(SER_hh_fech!M7=0,0,SER_hh_fech!M7/SER_summary!M$26)</f>
        <v>109.32842249602379</v>
      </c>
      <c r="N7" s="133">
        <f>IF(SER_hh_fech!N7=0,0,SER_hh_fech!N7/SER_summary!N$26)</f>
        <v>176.81004513232472</v>
      </c>
      <c r="O7" s="133">
        <f>IF(SER_hh_fech!O7=0,0,SER_hh_fech!O7/SER_summary!O$26)</f>
        <v>223.12809691430351</v>
      </c>
      <c r="P7" s="133">
        <f>IF(SER_hh_fech!P7=0,0,SER_hh_fech!P7/SER_summary!P$26)</f>
        <v>222.78610115971571</v>
      </c>
      <c r="Q7" s="133">
        <f>IF(SER_hh_fech!Q7=0,0,SER_hh_fech!Q7/SER_summary!Q$26)</f>
        <v>262.087801896624</v>
      </c>
      <c r="R7" s="133">
        <f>IF(SER_hh_fech!R7=0,0,SER_hh_fech!R7/SER_summary!R$26)</f>
        <v>256.59528465671082</v>
      </c>
      <c r="S7" s="133">
        <f>IF(SER_hh_fech!S7=0,0,SER_hh_fech!S7/SER_summary!S$26)</f>
        <v>250.93961385009104</v>
      </c>
      <c r="T7" s="133">
        <f>IF(SER_hh_fech!T7=0,0,SER_hh_fech!T7/SER_summary!T$26)</f>
        <v>166.1364045555101</v>
      </c>
      <c r="U7" s="133">
        <f>IF(SER_hh_fech!U7=0,0,SER_hh_fech!U7/SER_summary!U$26)</f>
        <v>180.83141400919442</v>
      </c>
      <c r="V7" s="133">
        <f>IF(SER_hh_fech!V7=0,0,SER_hh_fech!V7/SER_summary!V$26)</f>
        <v>159.44006457788595</v>
      </c>
      <c r="W7" s="133">
        <f>IF(SER_hh_fech!W7=0,0,SER_hh_fech!W7/SER_summary!W$26)</f>
        <v>168.99159608831141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0</v>
      </c>
      <c r="C9" s="133">
        <f>IF(SER_hh_fech!C9=0,0,SER_hh_fech!C9/SER_summary!C$26)</f>
        <v>0</v>
      </c>
      <c r="D9" s="133">
        <f>IF(SER_hh_fech!D9=0,0,SER_hh_fech!D9/SER_summary!D$26)</f>
        <v>0</v>
      </c>
      <c r="E9" s="133">
        <f>IF(SER_hh_fech!E9=0,0,SER_hh_fech!E9/SER_summary!E$26)</f>
        <v>0</v>
      </c>
      <c r="F9" s="133">
        <f>IF(SER_hh_fech!F9=0,0,SER_hh_fech!F9/SER_summary!F$26)</f>
        <v>0</v>
      </c>
      <c r="G9" s="133">
        <f>IF(SER_hh_fech!G9=0,0,SER_hh_fech!G9/SER_summary!G$26)</f>
        <v>0</v>
      </c>
      <c r="H9" s="133">
        <f>IF(SER_hh_fech!H9=0,0,SER_hh_fech!H9/SER_summary!H$26)</f>
        <v>0</v>
      </c>
      <c r="I9" s="133">
        <f>IF(SER_hh_fech!I9=0,0,SER_hh_fech!I9/SER_summary!I$26)</f>
        <v>0</v>
      </c>
      <c r="J9" s="133">
        <f>IF(SER_hh_fech!J9=0,0,SER_hh_fech!J9/SER_summary!J$26)</f>
        <v>0</v>
      </c>
      <c r="K9" s="133">
        <f>IF(SER_hh_fech!K9=0,0,SER_hh_fech!K9/SER_summary!K$26)</f>
        <v>0</v>
      </c>
      <c r="L9" s="133">
        <f>IF(SER_hh_fech!L9=0,0,SER_hh_fech!L9/SER_summary!L$26)</f>
        <v>0</v>
      </c>
      <c r="M9" s="133">
        <f>IF(SER_hh_fech!M9=0,0,SER_hh_fech!M9/SER_summary!M$26)</f>
        <v>175.29299910915111</v>
      </c>
      <c r="N9" s="133">
        <f>IF(SER_hh_fech!N9=0,0,SER_hh_fech!N9/SER_summary!N$26)</f>
        <v>199.73086562713917</v>
      </c>
      <c r="O9" s="133">
        <f>IF(SER_hh_fech!O9=0,0,SER_hh_fech!O9/SER_summary!O$26)</f>
        <v>145.61552295013246</v>
      </c>
      <c r="P9" s="133">
        <f>IF(SER_hh_fech!P9=0,0,SER_hh_fech!P9/SER_summary!P$26)</f>
        <v>174.2965026672195</v>
      </c>
      <c r="Q9" s="133">
        <f>IF(SER_hh_fech!Q9=0,0,SER_hh_fech!Q9/SER_summary!Q$26)</f>
        <v>173.77273430036249</v>
      </c>
      <c r="R9" s="133">
        <f>IF(SER_hh_fech!R9=0,0,SER_hh_fech!R9/SER_summary!R$26)</f>
        <v>210.97634073382557</v>
      </c>
      <c r="S9" s="133">
        <f>IF(SER_hh_fech!S9=0,0,SER_hh_fech!S9/SER_summary!S$26)</f>
        <v>173.07658036273506</v>
      </c>
      <c r="T9" s="133">
        <f>IF(SER_hh_fech!T9=0,0,SER_hh_fech!T9/SER_summary!T$26)</f>
        <v>136.13634523392179</v>
      </c>
      <c r="U9" s="133">
        <f>IF(SER_hh_fech!U9=0,0,SER_hh_fech!U9/SER_summary!U$26)</f>
        <v>191.34606826915328</v>
      </c>
      <c r="V9" s="133">
        <f>IF(SER_hh_fech!V9=0,0,SER_hh_fech!V9/SER_summary!V$26)</f>
        <v>141.92642879053261</v>
      </c>
      <c r="W9" s="133">
        <f>IF(SER_hh_fech!W9=0,0,SER_hh_fech!W9/SER_summary!W$26)</f>
        <v>105.44952932591782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0</v>
      </c>
      <c r="J10" s="133">
        <f>IF(SER_hh_fech!J10=0,0,SER_hh_fech!J10/SER_summary!J$26)</f>
        <v>0</v>
      </c>
      <c r="K10" s="133">
        <f>IF(SER_hh_fech!K10=0,0,SER_hh_fech!K10/SER_summary!K$26)</f>
        <v>0</v>
      </c>
      <c r="L10" s="133">
        <f>IF(SER_hh_fech!L10=0,0,SER_hh_fech!L10/SER_summary!L$26)</f>
        <v>0</v>
      </c>
      <c r="M10" s="133">
        <f>IF(SER_hh_fech!M10=0,0,SER_hh_fech!M10/SER_summary!M$26)</f>
        <v>0</v>
      </c>
      <c r="N10" s="133">
        <f>IF(SER_hh_fech!N10=0,0,SER_hh_fech!N10/SER_summary!N$26)</f>
        <v>0</v>
      </c>
      <c r="O10" s="133">
        <f>IF(SER_hh_fech!O10=0,0,SER_hh_fech!O10/SER_summary!O$26)</f>
        <v>0</v>
      </c>
      <c r="P10" s="133">
        <f>IF(SER_hh_fech!P10=0,0,SER_hh_fech!P10/SER_summary!P$26)</f>
        <v>0</v>
      </c>
      <c r="Q10" s="133">
        <f>IF(SER_hh_fech!Q10=0,0,SER_hh_fech!Q10/SER_summary!Q$26)</f>
        <v>0</v>
      </c>
      <c r="R10" s="133">
        <f>IF(SER_hh_fech!R10=0,0,SER_hh_fech!R10/SER_summary!R$26)</f>
        <v>0</v>
      </c>
      <c r="S10" s="133">
        <f>IF(SER_hh_fech!S10=0,0,SER_hh_fech!S10/SER_summary!S$26)</f>
        <v>0</v>
      </c>
      <c r="T10" s="133">
        <f>IF(SER_hh_fech!T10=0,0,SER_hh_fech!T10/SER_summary!T$26)</f>
        <v>0</v>
      </c>
      <c r="U10" s="133">
        <f>IF(SER_hh_fech!U10=0,0,SER_hh_fech!U10/SER_summary!U$26)</f>
        <v>0</v>
      </c>
      <c r="V10" s="133">
        <f>IF(SER_hh_fech!V10=0,0,SER_hh_fech!V10/SER_summary!V$26)</f>
        <v>0</v>
      </c>
      <c r="W10" s="133">
        <f>IF(SER_hh_fech!W10=0,0,SER_hh_fech!W10/SER_summary!W$26)</f>
        <v>0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202.15742408520688</v>
      </c>
      <c r="N12" s="133">
        <f>IF(SER_hh_fech!N12=0,0,SER_hh_fech!N12/SER_summary!N$26)</f>
        <v>326.10309719096261</v>
      </c>
      <c r="O12" s="133">
        <f>IF(SER_hh_fech!O12=0,0,SER_hh_fech!O12/SER_summary!O$26)</f>
        <v>45.658981329679989</v>
      </c>
      <c r="P12" s="133">
        <f>IF(SER_hh_fech!P12=0,0,SER_hh_fech!P12/SER_summary!P$26)</f>
        <v>54.712044152838992</v>
      </c>
      <c r="Q12" s="133">
        <f>IF(SER_hh_fech!Q12=0,0,SER_hh_fech!Q12/SER_summary!Q$26)</f>
        <v>396.34851099598694</v>
      </c>
      <c r="R12" s="133">
        <f>IF(SER_hh_fech!R12=0,0,SER_hh_fech!R12/SER_summary!R$26)</f>
        <v>245.30624967238424</v>
      </c>
      <c r="S12" s="133">
        <f>IF(SER_hh_fech!S12=0,0,SER_hh_fech!S12/SER_summary!S$26)</f>
        <v>55.360203868715502</v>
      </c>
      <c r="T12" s="133">
        <f>IF(SER_hh_fech!T12=0,0,SER_hh_fech!T12/SER_summary!T$26)</f>
        <v>105.20689866159927</v>
      </c>
      <c r="U12" s="133">
        <f>IF(SER_hh_fech!U12=0,0,SER_hh_fech!U12/SER_summary!U$26)</f>
        <v>343.09636884116782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42.70772126506543</v>
      </c>
      <c r="C13" s="133">
        <f>IF(SER_hh_fech!C13=0,0,SER_hh_fech!C13/SER_summary!C$26)</f>
        <v>55.488085392696547</v>
      </c>
      <c r="D13" s="133">
        <f>IF(SER_hh_fech!D13=0,0,SER_hh_fech!D13/SER_summary!D$26)</f>
        <v>57.639602692377281</v>
      </c>
      <c r="E13" s="133">
        <f>IF(SER_hh_fech!E13=0,0,SER_hh_fech!E13/SER_summary!E$26)</f>
        <v>64.758788215090107</v>
      </c>
      <c r="F13" s="133">
        <f>IF(SER_hh_fech!F13=0,0,SER_hh_fech!F13/SER_summary!F$26)</f>
        <v>54.946930666160796</v>
      </c>
      <c r="G13" s="133">
        <f>IF(SER_hh_fech!G13=0,0,SER_hh_fech!G13/SER_summary!G$26)</f>
        <v>53.607583158466184</v>
      </c>
      <c r="H13" s="133">
        <f>IF(SER_hh_fech!H13=0,0,SER_hh_fech!H13/SER_summary!H$26)</f>
        <v>39.773201056146604</v>
      </c>
      <c r="I13" s="133">
        <f>IF(SER_hh_fech!I13=0,0,SER_hh_fech!I13/SER_summary!I$26)</f>
        <v>36.37363691595359</v>
      </c>
      <c r="J13" s="133">
        <f>IF(SER_hh_fech!J13=0,0,SER_hh_fech!J13/SER_summary!J$26)</f>
        <v>38.526152294542499</v>
      </c>
      <c r="K13" s="133">
        <f>IF(SER_hh_fech!K13=0,0,SER_hh_fech!K13/SER_summary!K$26)</f>
        <v>40.657172210393377</v>
      </c>
      <c r="L13" s="133">
        <f>IF(SER_hh_fech!L13=0,0,SER_hh_fech!L13/SER_summary!L$26)</f>
        <v>42.196741407505655</v>
      </c>
      <c r="M13" s="133">
        <f>IF(SER_hh_fech!M13=0,0,SER_hh_fech!M13/SER_summary!M$26)</f>
        <v>49.65156575923065</v>
      </c>
      <c r="N13" s="133">
        <f>IF(SER_hh_fech!N13=0,0,SER_hh_fech!N13/SER_summary!N$26)</f>
        <v>57.170208364549417</v>
      </c>
      <c r="O13" s="133">
        <f>IF(SER_hh_fech!O13=0,0,SER_hh_fech!O13/SER_summary!O$26)</f>
        <v>56.931526136747827</v>
      </c>
      <c r="P13" s="133">
        <f>IF(SER_hh_fech!P13=0,0,SER_hh_fech!P13/SER_summary!P$26)</f>
        <v>62.916021946458628</v>
      </c>
      <c r="Q13" s="133">
        <f>IF(SER_hh_fech!Q13=0,0,SER_hh_fech!Q13/SER_summary!Q$26)</f>
        <v>67.422372780705317</v>
      </c>
      <c r="R13" s="133">
        <f>IF(SER_hh_fech!R13=0,0,SER_hh_fech!R13/SER_summary!R$26)</f>
        <v>61.572141638008276</v>
      </c>
      <c r="S13" s="133">
        <f>IF(SER_hh_fech!S13=0,0,SER_hh_fech!S13/SER_summary!S$26)</f>
        <v>57.211574836702589</v>
      </c>
      <c r="T13" s="133">
        <f>IF(SER_hh_fech!T13=0,0,SER_hh_fech!T13/SER_summary!T$26)</f>
        <v>48.878927999926837</v>
      </c>
      <c r="U13" s="133">
        <f>IF(SER_hh_fech!U13=0,0,SER_hh_fech!U13/SER_summary!U$26)</f>
        <v>40.702326903685041</v>
      </c>
      <c r="V13" s="133">
        <f>IF(SER_hh_fech!V13=0,0,SER_hh_fech!V13/SER_summary!V$26)</f>
        <v>37.840294184319077</v>
      </c>
      <c r="W13" s="133">
        <f>IF(SER_hh_fech!W13=0,0,SER_hh_fech!W13/SER_summary!W$26)</f>
        <v>37.947962776058439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111.78371327064548</v>
      </c>
      <c r="C14" s="65">
        <f>IF(SER_hh_fech!C14=0,0,SER_hh_fech!C14/SER_summary!C$26)</f>
        <v>125.88502614032377</v>
      </c>
      <c r="D14" s="65">
        <f>IF(SER_hh_fech!D14=0,0,SER_hh_fech!D14/SER_summary!D$26)</f>
        <v>152.39728813950069</v>
      </c>
      <c r="E14" s="65">
        <f>IF(SER_hh_fech!E14=0,0,SER_hh_fech!E14/SER_summary!E$26)</f>
        <v>145.70113916377628</v>
      </c>
      <c r="F14" s="65">
        <f>IF(SER_hh_fech!F14=0,0,SER_hh_fech!F14/SER_summary!F$26)</f>
        <v>151.04831106237287</v>
      </c>
      <c r="G14" s="65">
        <f>IF(SER_hh_fech!G14=0,0,SER_hh_fech!G14/SER_summary!G$26)</f>
        <v>242.70490691209409</v>
      </c>
      <c r="H14" s="65">
        <f>IF(SER_hh_fech!H14=0,0,SER_hh_fech!H14/SER_summary!H$26)</f>
        <v>143.70341539322251</v>
      </c>
      <c r="I14" s="65">
        <f>IF(SER_hh_fech!I14=0,0,SER_hh_fech!I14/SER_summary!I$26)</f>
        <v>138.43770151421441</v>
      </c>
      <c r="J14" s="65">
        <f>IF(SER_hh_fech!J14=0,0,SER_hh_fech!J14/SER_summary!J$26)</f>
        <v>120.25352777049275</v>
      </c>
      <c r="K14" s="65">
        <f>IF(SER_hh_fech!K14=0,0,SER_hh_fech!K14/SER_summary!K$26)</f>
        <v>87.640061461307226</v>
      </c>
      <c r="L14" s="65">
        <f>IF(SER_hh_fech!L14=0,0,SER_hh_fech!L14/SER_summary!L$26)</f>
        <v>203.19394475728791</v>
      </c>
      <c r="M14" s="65">
        <f>IF(SER_hh_fech!M14=0,0,SER_hh_fech!M14/SER_summary!M$26)</f>
        <v>215.46779250425894</v>
      </c>
      <c r="N14" s="65">
        <f>IF(SER_hh_fech!N14=0,0,SER_hh_fech!N14/SER_summary!N$26)</f>
        <v>217.83753621996348</v>
      </c>
      <c r="O14" s="65">
        <f>IF(SER_hh_fech!O14=0,0,SER_hh_fech!O14/SER_summary!O$26)</f>
        <v>221.5476854496257</v>
      </c>
      <c r="P14" s="65">
        <f>IF(SER_hh_fech!P14=0,0,SER_hh_fech!P14/SER_summary!P$26)</f>
        <v>241.84514857674594</v>
      </c>
      <c r="Q14" s="65">
        <f>IF(SER_hh_fech!Q14=0,0,SER_hh_fech!Q14/SER_summary!Q$26)</f>
        <v>264.97292475704762</v>
      </c>
      <c r="R14" s="65">
        <f>IF(SER_hh_fech!R14=0,0,SER_hh_fech!R14/SER_summary!R$26)</f>
        <v>237.35629147632201</v>
      </c>
      <c r="S14" s="65">
        <f>IF(SER_hh_fech!S14=0,0,SER_hh_fech!S14/SER_summary!S$26)</f>
        <v>257.43001315796579</v>
      </c>
      <c r="T14" s="65">
        <f>IF(SER_hh_fech!T14=0,0,SER_hh_fech!T14/SER_summary!T$26)</f>
        <v>227.87553365835629</v>
      </c>
      <c r="U14" s="65">
        <f>IF(SER_hh_fech!U14=0,0,SER_hh_fech!U14/SER_summary!U$26)</f>
        <v>215.73564599267252</v>
      </c>
      <c r="V14" s="65">
        <f>IF(SER_hh_fech!V14=0,0,SER_hh_fech!V14/SER_summary!V$26)</f>
        <v>161.767929343589</v>
      </c>
      <c r="W14" s="65">
        <f>IF(SER_hh_fech!W14=0,0,SER_hh_fech!W14/SER_summary!W$26)</f>
        <v>169.69920386016287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1.3605221167261699</v>
      </c>
      <c r="C15" s="135">
        <f>IF(SER_hh_fech!C15=0,0,SER_hh_fech!C15/SER_summary!C$26)</f>
        <v>1.3265285304464203</v>
      </c>
      <c r="D15" s="135">
        <f>IF(SER_hh_fech!D15=0,0,SER_hh_fech!D15/SER_summary!D$26)</f>
        <v>1.4916001220735389</v>
      </c>
      <c r="E15" s="135">
        <f>IF(SER_hh_fech!E15=0,0,SER_hh_fech!E15/SER_summary!E$26)</f>
        <v>1.8113411321488078</v>
      </c>
      <c r="F15" s="135">
        <f>IF(SER_hh_fech!F15=0,0,SER_hh_fech!F15/SER_summary!F$26)</f>
        <v>2.022456604664387</v>
      </c>
      <c r="G15" s="135">
        <f>IF(SER_hh_fech!G15=0,0,SER_hh_fech!G15/SER_summary!G$26)</f>
        <v>1.7380790005416626</v>
      </c>
      <c r="H15" s="135">
        <f>IF(SER_hh_fech!H15=0,0,SER_hh_fech!H15/SER_summary!H$26)</f>
        <v>1.4270250500679094</v>
      </c>
      <c r="I15" s="135">
        <f>IF(SER_hh_fech!I15=0,0,SER_hh_fech!I15/SER_summary!I$26)</f>
        <v>1.5743597126283226</v>
      </c>
      <c r="J15" s="135">
        <f>IF(SER_hh_fech!J15=0,0,SER_hh_fech!J15/SER_summary!J$26)</f>
        <v>1.3808947198833506</v>
      </c>
      <c r="K15" s="135">
        <f>IF(SER_hh_fech!K15=0,0,SER_hh_fech!K15/SER_summary!K$26)</f>
        <v>0.99772134092329967</v>
      </c>
      <c r="L15" s="135">
        <f>IF(SER_hh_fech!L15=0,0,SER_hh_fech!L15/SER_summary!L$26)</f>
        <v>2.0145391657017293</v>
      </c>
      <c r="M15" s="135">
        <f>IF(SER_hh_fech!M15=0,0,SER_hh_fech!M15/SER_summary!M$26)</f>
        <v>1.297131896786474</v>
      </c>
      <c r="N15" s="135">
        <f>IF(SER_hh_fech!N15=0,0,SER_hh_fech!N15/SER_summary!N$26)</f>
        <v>1.9994411537066124</v>
      </c>
      <c r="O15" s="135">
        <f>IF(SER_hh_fech!O15=0,0,SER_hh_fech!O15/SER_summary!O$26)</f>
        <v>2.3870600918070966</v>
      </c>
      <c r="P15" s="135">
        <f>IF(SER_hh_fech!P15=0,0,SER_hh_fech!P15/SER_summary!P$26)</f>
        <v>2.4367372817777149</v>
      </c>
      <c r="Q15" s="135">
        <f>IF(SER_hh_fech!Q15=0,0,SER_hh_fech!Q15/SER_summary!Q$26)</f>
        <v>2.8764013468717615</v>
      </c>
      <c r="R15" s="135">
        <f>IF(SER_hh_fech!R15=0,0,SER_hh_fech!R15/SER_summary!R$26)</f>
        <v>2.8025707475264063</v>
      </c>
      <c r="S15" s="135">
        <f>IF(SER_hh_fech!S15=0,0,SER_hh_fech!S15/SER_summary!S$26)</f>
        <v>2.7372980150237076</v>
      </c>
      <c r="T15" s="135">
        <f>IF(SER_hh_fech!T15=0,0,SER_hh_fech!T15/SER_summary!T$26)</f>
        <v>1.9732641081425111</v>
      </c>
      <c r="U15" s="135">
        <f>IF(SER_hh_fech!U15=0,0,SER_hh_fech!U15/SER_summary!U$26)</f>
        <v>2.1265058203610514</v>
      </c>
      <c r="V15" s="135">
        <f>IF(SER_hh_fech!V15=0,0,SER_hh_fech!V15/SER_summary!V$26)</f>
        <v>1.7908618597307913</v>
      </c>
      <c r="W15" s="135">
        <f>IF(SER_hh_fech!W15=0,0,SER_hh_fech!W15/SER_summary!W$26)</f>
        <v>1.8983386423303299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44.354405926641071</v>
      </c>
      <c r="C16" s="131">
        <f>IF(SER_hh_fech!C16=0,0,SER_hh_fech!C16/SER_summary!C$26)</f>
        <v>47.081519765395726</v>
      </c>
      <c r="D16" s="131">
        <f>IF(SER_hh_fech!D16=0,0,SER_hh_fech!D16/SER_summary!D$26)</f>
        <v>34.99920130070219</v>
      </c>
      <c r="E16" s="131">
        <f>IF(SER_hh_fech!E16=0,0,SER_hh_fech!E16/SER_summary!E$26)</f>
        <v>51.232068163002715</v>
      </c>
      <c r="F16" s="131">
        <f>IF(SER_hh_fech!F16=0,0,SER_hh_fech!F16/SER_summary!F$26)</f>
        <v>25.747194600237091</v>
      </c>
      <c r="G16" s="131">
        <f>IF(SER_hh_fech!G16=0,0,SER_hh_fech!G16/SER_summary!G$26)</f>
        <v>24.194336331198226</v>
      </c>
      <c r="H16" s="131">
        <f>IF(SER_hh_fech!H16=0,0,SER_hh_fech!H16/SER_summary!H$26)</f>
        <v>31.32993762329156</v>
      </c>
      <c r="I16" s="131">
        <f>IF(SER_hh_fech!I16=0,0,SER_hh_fech!I16/SER_summary!I$26)</f>
        <v>30.865097462207792</v>
      </c>
      <c r="J16" s="131">
        <f>IF(SER_hh_fech!J16=0,0,SER_hh_fech!J16/SER_summary!J$26)</f>
        <v>25.0604592842244</v>
      </c>
      <c r="K16" s="131">
        <f>IF(SER_hh_fech!K16=0,0,SER_hh_fech!K16/SER_summary!K$26)</f>
        <v>25.648486073428138</v>
      </c>
      <c r="L16" s="131">
        <f>IF(SER_hh_fech!L16=0,0,SER_hh_fech!L16/SER_summary!L$26)</f>
        <v>20.727268609119538</v>
      </c>
      <c r="M16" s="131">
        <f>IF(SER_hh_fech!M16=0,0,SER_hh_fech!M16/SER_summary!M$26)</f>
        <v>22.013123753733279</v>
      </c>
      <c r="N16" s="131">
        <f>IF(SER_hh_fech!N16=0,0,SER_hh_fech!N16/SER_summary!N$26)</f>
        <v>37.687100041544433</v>
      </c>
      <c r="O16" s="131">
        <f>IF(SER_hh_fech!O16=0,0,SER_hh_fech!O16/SER_summary!O$26)</f>
        <v>26.133631386060753</v>
      </c>
      <c r="P16" s="131">
        <f>IF(SER_hh_fech!P16=0,0,SER_hh_fech!P16/SER_summary!P$26)</f>
        <v>26.398566078117653</v>
      </c>
      <c r="Q16" s="131">
        <f>IF(SER_hh_fech!Q16=0,0,SER_hh_fech!Q16/SER_summary!Q$26)</f>
        <v>27.667573327719328</v>
      </c>
      <c r="R16" s="131">
        <f>IF(SER_hh_fech!R16=0,0,SER_hh_fech!R16/SER_summary!R$26)</f>
        <v>22.50880358044067</v>
      </c>
      <c r="S16" s="131">
        <f>IF(SER_hh_fech!S16=0,0,SER_hh_fech!S16/SER_summary!S$26)</f>
        <v>26.075626078839413</v>
      </c>
      <c r="T16" s="131">
        <f>IF(SER_hh_fech!T16=0,0,SER_hh_fech!T16/SER_summary!T$26)</f>
        <v>22.739054104389044</v>
      </c>
      <c r="U16" s="131">
        <f>IF(SER_hh_fech!U16=0,0,SER_hh_fech!U16/SER_summary!U$26)</f>
        <v>30.679261628098654</v>
      </c>
      <c r="V16" s="131">
        <f>IF(SER_hh_fech!V16=0,0,SER_hh_fech!V16/SER_summary!V$26)</f>
        <v>24.059940220466775</v>
      </c>
      <c r="W16" s="131">
        <f>IF(SER_hh_fech!W16=0,0,SER_hh_fech!W16/SER_summary!W$26)</f>
        <v>30.239539172082242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44.354405926641071</v>
      </c>
      <c r="C18" s="133">
        <f>IF(SER_hh_fech!C18=0,0,SER_hh_fech!C18/SER_summary!C$26)</f>
        <v>47.081519765395726</v>
      </c>
      <c r="D18" s="133">
        <f>IF(SER_hh_fech!D18=0,0,SER_hh_fech!D18/SER_summary!D$26)</f>
        <v>34.99920130070219</v>
      </c>
      <c r="E18" s="133">
        <f>IF(SER_hh_fech!E18=0,0,SER_hh_fech!E18/SER_summary!E$26)</f>
        <v>51.232068163002715</v>
      </c>
      <c r="F18" s="133">
        <f>IF(SER_hh_fech!F18=0,0,SER_hh_fech!F18/SER_summary!F$26)</f>
        <v>25.747194600237091</v>
      </c>
      <c r="G18" s="133">
        <f>IF(SER_hh_fech!G18=0,0,SER_hh_fech!G18/SER_summary!G$26)</f>
        <v>24.194336331198226</v>
      </c>
      <c r="H18" s="133">
        <f>IF(SER_hh_fech!H18=0,0,SER_hh_fech!H18/SER_summary!H$26)</f>
        <v>31.32993762329156</v>
      </c>
      <c r="I18" s="133">
        <f>IF(SER_hh_fech!I18=0,0,SER_hh_fech!I18/SER_summary!I$26)</f>
        <v>30.865097462207792</v>
      </c>
      <c r="J18" s="133">
        <f>IF(SER_hh_fech!J18=0,0,SER_hh_fech!J18/SER_summary!J$26)</f>
        <v>25.0604592842244</v>
      </c>
      <c r="K18" s="133">
        <f>IF(SER_hh_fech!K18=0,0,SER_hh_fech!K18/SER_summary!K$26)</f>
        <v>25.648486073428138</v>
      </c>
      <c r="L18" s="133">
        <f>IF(SER_hh_fech!L18=0,0,SER_hh_fech!L18/SER_summary!L$26)</f>
        <v>20.727268609119538</v>
      </c>
      <c r="M18" s="133">
        <f>IF(SER_hh_fech!M18=0,0,SER_hh_fech!M18/SER_summary!M$26)</f>
        <v>22.013123753733279</v>
      </c>
      <c r="N18" s="133">
        <f>IF(SER_hh_fech!N18=0,0,SER_hh_fech!N18/SER_summary!N$26)</f>
        <v>37.687100041544433</v>
      </c>
      <c r="O18" s="133">
        <f>IF(SER_hh_fech!O18=0,0,SER_hh_fech!O18/SER_summary!O$26)</f>
        <v>26.133631386060753</v>
      </c>
      <c r="P18" s="133">
        <f>IF(SER_hh_fech!P18=0,0,SER_hh_fech!P18/SER_summary!P$26)</f>
        <v>26.398566078117653</v>
      </c>
      <c r="Q18" s="133">
        <f>IF(SER_hh_fech!Q18=0,0,SER_hh_fech!Q18/SER_summary!Q$26)</f>
        <v>27.667573327719328</v>
      </c>
      <c r="R18" s="133">
        <f>IF(SER_hh_fech!R18=0,0,SER_hh_fech!R18/SER_summary!R$26)</f>
        <v>22.50880358044067</v>
      </c>
      <c r="S18" s="133">
        <f>IF(SER_hh_fech!S18=0,0,SER_hh_fech!S18/SER_summary!S$26)</f>
        <v>26.075626078839413</v>
      </c>
      <c r="T18" s="133">
        <f>IF(SER_hh_fech!T18=0,0,SER_hh_fech!T18/SER_summary!T$26)</f>
        <v>22.739054104389044</v>
      </c>
      <c r="U18" s="133">
        <f>IF(SER_hh_fech!U18=0,0,SER_hh_fech!U18/SER_summary!U$26)</f>
        <v>30.679261628098654</v>
      </c>
      <c r="V18" s="133">
        <f>IF(SER_hh_fech!V18=0,0,SER_hh_fech!V18/SER_summary!V$26)</f>
        <v>24.059940220466775</v>
      </c>
      <c r="W18" s="133">
        <f>IF(SER_hh_fech!W18=0,0,SER_hh_fech!W18/SER_summary!W$26)</f>
        <v>30.239539172082242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58.192304086848957</v>
      </c>
      <c r="C19" s="131">
        <f>IF(SER_hh_fech!C19=0,0,SER_hh_fech!C19/SER_summary!C$26)</f>
        <v>55.472966138062752</v>
      </c>
      <c r="D19" s="131">
        <f>IF(SER_hh_fech!D19=0,0,SER_hh_fech!D19/SER_summary!D$26)</f>
        <v>56.645726664306622</v>
      </c>
      <c r="E19" s="131">
        <f>IF(SER_hh_fech!E19=0,0,SER_hh_fech!E19/SER_summary!E$26)</f>
        <v>56.64520873893737</v>
      </c>
      <c r="F19" s="131">
        <f>IF(SER_hh_fech!F19=0,0,SER_hh_fech!F19/SER_summary!F$26)</f>
        <v>57.891578951876021</v>
      </c>
      <c r="G19" s="131">
        <f>IF(SER_hh_fech!G19=0,0,SER_hh_fech!G19/SER_summary!G$26)</f>
        <v>57.014936609142516</v>
      </c>
      <c r="H19" s="131">
        <f>IF(SER_hh_fech!H19=0,0,SER_hh_fech!H19/SER_summary!H$26)</f>
        <v>57.385656006204258</v>
      </c>
      <c r="I19" s="131">
        <f>IF(SER_hh_fech!I19=0,0,SER_hh_fech!I19/SER_summary!I$26)</f>
        <v>56.737699258694093</v>
      </c>
      <c r="J19" s="131">
        <f>IF(SER_hh_fech!J19=0,0,SER_hh_fech!J19/SER_summary!J$26)</f>
        <v>54.836425698221404</v>
      </c>
      <c r="K19" s="131">
        <f>IF(SER_hh_fech!K19=0,0,SER_hh_fech!K19/SER_summary!K$26)</f>
        <v>55.105771480429048</v>
      </c>
      <c r="L19" s="131">
        <f>IF(SER_hh_fech!L19=0,0,SER_hh_fech!L19/SER_summary!L$26)</f>
        <v>55.419740097833333</v>
      </c>
      <c r="M19" s="131">
        <f>IF(SER_hh_fech!M19=0,0,SER_hh_fech!M19/SER_summary!M$26)</f>
        <v>55.454612195631562</v>
      </c>
      <c r="N19" s="131">
        <f>IF(SER_hh_fech!N19=0,0,SER_hh_fech!N19/SER_summary!N$26)</f>
        <v>53.202271109757106</v>
      </c>
      <c r="O19" s="131">
        <f>IF(SER_hh_fech!O19=0,0,SER_hh_fech!O19/SER_summary!O$26)</f>
        <v>52.970146530453604</v>
      </c>
      <c r="P19" s="131">
        <f>IF(SER_hh_fech!P19=0,0,SER_hh_fech!P19/SER_summary!P$26)</f>
        <v>51.864866464859716</v>
      </c>
      <c r="Q19" s="131">
        <f>IF(SER_hh_fech!Q19=0,0,SER_hh_fech!Q19/SER_summary!Q$26)</f>
        <v>50.963243491698591</v>
      </c>
      <c r="R19" s="131">
        <f>IF(SER_hh_fech!R19=0,0,SER_hh_fech!R19/SER_summary!R$26)</f>
        <v>50.093709524113855</v>
      </c>
      <c r="S19" s="131">
        <f>IF(SER_hh_fech!S19=0,0,SER_hh_fech!S19/SER_summary!S$26)</f>
        <v>48.825509596634738</v>
      </c>
      <c r="T19" s="131">
        <f>IF(SER_hh_fech!T19=0,0,SER_hh_fech!T19/SER_summary!T$26)</f>
        <v>47.707055608788643</v>
      </c>
      <c r="U19" s="131">
        <f>IF(SER_hh_fech!U19=0,0,SER_hh_fech!U19/SER_summary!U$26)</f>
        <v>46.858991144297192</v>
      </c>
      <c r="V19" s="131">
        <f>IF(SER_hh_fech!V19=0,0,SER_hh_fech!V19/SER_summary!V$26)</f>
        <v>44.00343342500863</v>
      </c>
      <c r="W19" s="131">
        <f>IF(SER_hh_fech!W19=0,0,SER_hh_fech!W19/SER_summary!W$26)</f>
        <v>44.458957886194938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69.245939731403482</v>
      </c>
      <c r="C21" s="133">
        <f>IF(SER_hh_fech!C21=0,0,SER_hh_fech!C21/SER_summary!C$26)</f>
        <v>68.680504967788622</v>
      </c>
      <c r="D21" s="133">
        <f>IF(SER_hh_fech!D21=0,0,SER_hh_fech!D21/SER_summary!D$26)</f>
        <v>69.932777668181885</v>
      </c>
      <c r="E21" s="133">
        <f>IF(SER_hh_fech!E21=0,0,SER_hh_fech!E21/SER_summary!E$26)</f>
        <v>60.173853221385606</v>
      </c>
      <c r="F21" s="133">
        <f>IF(SER_hh_fech!F21=0,0,SER_hh_fech!F21/SER_summary!F$26)</f>
        <v>52.425531005026329</v>
      </c>
      <c r="G21" s="133">
        <f>IF(SER_hh_fech!G21=0,0,SER_hh_fech!G21/SER_summary!G$26)</f>
        <v>44.446971285053358</v>
      </c>
      <c r="H21" s="133">
        <f>IF(SER_hh_fech!H21=0,0,SER_hh_fech!H21/SER_summary!H$26)</f>
        <v>98.783333853081118</v>
      </c>
      <c r="I21" s="133">
        <f>IF(SER_hh_fech!I21=0,0,SER_hh_fech!I21/SER_summary!I$26)</f>
        <v>120.11324098474407</v>
      </c>
      <c r="J21" s="133">
        <f>IF(SER_hh_fech!J21=0,0,SER_hh_fech!J21/SER_summary!J$26)</f>
        <v>109.8146323692694</v>
      </c>
      <c r="K21" s="133">
        <f>IF(SER_hh_fech!K21=0,0,SER_hh_fech!K21/SER_summary!K$26)</f>
        <v>102.32391110680206</v>
      </c>
      <c r="L21" s="133">
        <f>IF(SER_hh_fech!L21=0,0,SER_hh_fech!L21/SER_summary!L$26)</f>
        <v>54.330923857784711</v>
      </c>
      <c r="M21" s="133">
        <f>IF(SER_hh_fech!M21=0,0,SER_hh_fech!M21/SER_summary!M$26)</f>
        <v>63.304286280857916</v>
      </c>
      <c r="N21" s="133">
        <f>IF(SER_hh_fech!N21=0,0,SER_hh_fech!N21/SER_summary!N$26)</f>
        <v>66.003795416477217</v>
      </c>
      <c r="O21" s="133">
        <f>IF(SER_hh_fech!O21=0,0,SER_hh_fech!O21/SER_summary!O$26)</f>
        <v>52.206852221557554</v>
      </c>
      <c r="P21" s="133">
        <f>IF(SER_hh_fech!P21=0,0,SER_hh_fech!P21/SER_summary!P$26)</f>
        <v>56.722534913961752</v>
      </c>
      <c r="Q21" s="133">
        <f>IF(SER_hh_fech!Q21=0,0,SER_hh_fech!Q21/SER_summary!Q$26)</f>
        <v>60.099091982194039</v>
      </c>
      <c r="R21" s="133">
        <f>IF(SER_hh_fech!R21=0,0,SER_hh_fech!R21/SER_summary!R$26)</f>
        <v>52.377379524216636</v>
      </c>
      <c r="S21" s="133">
        <f>IF(SER_hh_fech!S21=0,0,SER_hh_fech!S21/SER_summary!S$26)</f>
        <v>56.315104878292303</v>
      </c>
      <c r="T21" s="133">
        <f>IF(SER_hh_fech!T21=0,0,SER_hh_fech!T21/SER_summary!T$26)</f>
        <v>65.218620722759169</v>
      </c>
      <c r="U21" s="133">
        <f>IF(SER_hh_fech!U21=0,0,SER_hh_fech!U21/SER_summary!U$26)</f>
        <v>62.148039569060543</v>
      </c>
      <c r="V21" s="133">
        <f>IF(SER_hh_fech!V21=0,0,SER_hh_fech!V21/SER_summary!V$26)</f>
        <v>49.810557513201992</v>
      </c>
      <c r="W21" s="133">
        <f>IF(SER_hh_fech!W21=0,0,SER_hh_fech!W21/SER_summary!W$26)</f>
        <v>55.076693930641405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0</v>
      </c>
      <c r="C22" s="133">
        <f>IF(SER_hh_fech!C22=0,0,SER_hh_fech!C22/SER_summary!C$26)</f>
        <v>0</v>
      </c>
      <c r="D22" s="133">
        <f>IF(SER_hh_fech!D22=0,0,SER_hh_fech!D22/SER_summary!D$26)</f>
        <v>0</v>
      </c>
      <c r="E22" s="133">
        <f>IF(SER_hh_fech!E22=0,0,SER_hh_fech!E22/SER_summary!E$26)</f>
        <v>0</v>
      </c>
      <c r="F22" s="133">
        <f>IF(SER_hh_fech!F22=0,0,SER_hh_fech!F22/SER_summary!F$26)</f>
        <v>0</v>
      </c>
      <c r="G22" s="133">
        <f>IF(SER_hh_fech!G22=0,0,SER_hh_fech!G22/SER_summary!G$26)</f>
        <v>0</v>
      </c>
      <c r="H22" s="133">
        <f>IF(SER_hh_fech!H22=0,0,SER_hh_fech!H22/SER_summary!H$26)</f>
        <v>0</v>
      </c>
      <c r="I22" s="133">
        <f>IF(SER_hh_fech!I22=0,0,SER_hh_fech!I22/SER_summary!I$26)</f>
        <v>0</v>
      </c>
      <c r="J22" s="133">
        <f>IF(SER_hh_fech!J22=0,0,SER_hh_fech!J22/SER_summary!J$26)</f>
        <v>0</v>
      </c>
      <c r="K22" s="133">
        <f>IF(SER_hh_fech!K22=0,0,SER_hh_fech!K22/SER_summary!K$26)</f>
        <v>0</v>
      </c>
      <c r="L22" s="133">
        <f>IF(SER_hh_fech!L22=0,0,SER_hh_fech!L22/SER_summary!L$26)</f>
        <v>0</v>
      </c>
      <c r="M22" s="133">
        <f>IF(SER_hh_fech!M22=0,0,SER_hh_fech!M22/SER_summary!M$26)</f>
        <v>0</v>
      </c>
      <c r="N22" s="133">
        <f>IF(SER_hh_fech!N22=0,0,SER_hh_fech!N22/SER_summary!N$26)</f>
        <v>0</v>
      </c>
      <c r="O22" s="133">
        <f>IF(SER_hh_fech!O22=0,0,SER_hh_fech!O22/SER_summary!O$26)</f>
        <v>0</v>
      </c>
      <c r="P22" s="133">
        <f>IF(SER_hh_fech!P22=0,0,SER_hh_fech!P22/SER_summary!P$26)</f>
        <v>0</v>
      </c>
      <c r="Q22" s="133">
        <f>IF(SER_hh_fech!Q22=0,0,SER_hh_fech!Q22/SER_summary!Q$26)</f>
        <v>0</v>
      </c>
      <c r="R22" s="133">
        <f>IF(SER_hh_fech!R22=0,0,SER_hh_fech!R22/SER_summary!R$26)</f>
        <v>0</v>
      </c>
      <c r="S22" s="133">
        <f>IF(SER_hh_fech!S22=0,0,SER_hh_fech!S22/SER_summary!S$26)</f>
        <v>0</v>
      </c>
      <c r="T22" s="133">
        <f>IF(SER_hh_fech!T22=0,0,SER_hh_fech!T22/SER_summary!T$26)</f>
        <v>0</v>
      </c>
      <c r="U22" s="133">
        <f>IF(SER_hh_fech!U22=0,0,SER_hh_fech!U22/SER_summary!U$26)</f>
        <v>0</v>
      </c>
      <c r="V22" s="133">
        <f>IF(SER_hh_fech!V22=0,0,SER_hh_fech!V22/SER_summary!V$26)</f>
        <v>0</v>
      </c>
      <c r="W22" s="133">
        <f>IF(SER_hh_fech!W22=0,0,SER_hh_fech!W22/SER_summary!W$26)</f>
        <v>0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0</v>
      </c>
      <c r="C23" s="133">
        <f>IF(SER_hh_fech!C23=0,0,SER_hh_fech!C23/SER_summary!C$26)</f>
        <v>0</v>
      </c>
      <c r="D23" s="133">
        <f>IF(SER_hh_fech!D23=0,0,SER_hh_fech!D23/SER_summary!D$26)</f>
        <v>0</v>
      </c>
      <c r="E23" s="133">
        <f>IF(SER_hh_fech!E23=0,0,SER_hh_fech!E23/SER_summary!E$26)</f>
        <v>0</v>
      </c>
      <c r="F23" s="133">
        <f>IF(SER_hh_fech!F23=0,0,SER_hh_fech!F23/SER_summary!F$26)</f>
        <v>0</v>
      </c>
      <c r="G23" s="133">
        <f>IF(SER_hh_fech!G23=0,0,SER_hh_fech!G23/SER_summary!G$26)</f>
        <v>0</v>
      </c>
      <c r="H23" s="133">
        <f>IF(SER_hh_fech!H23=0,0,SER_hh_fech!H23/SER_summary!H$26)</f>
        <v>0</v>
      </c>
      <c r="I23" s="133">
        <f>IF(SER_hh_fech!I23=0,0,SER_hh_fech!I23/SER_summary!I$26)</f>
        <v>0</v>
      </c>
      <c r="J23" s="133">
        <f>IF(SER_hh_fech!J23=0,0,SER_hh_fech!J23/SER_summary!J$26)</f>
        <v>0</v>
      </c>
      <c r="K23" s="133">
        <f>IF(SER_hh_fech!K23=0,0,SER_hh_fech!K23/SER_summary!K$26)</f>
        <v>0</v>
      </c>
      <c r="L23" s="133">
        <f>IF(SER_hh_fech!L23=0,0,SER_hh_fech!L23/SER_summary!L$26)</f>
        <v>0</v>
      </c>
      <c r="M23" s="133">
        <f>IF(SER_hh_fech!M23=0,0,SER_hh_fech!M23/SER_summary!M$26)</f>
        <v>0</v>
      </c>
      <c r="N23" s="133">
        <f>IF(SER_hh_fech!N23=0,0,SER_hh_fech!N23/SER_summary!N$26)</f>
        <v>0</v>
      </c>
      <c r="O23" s="133">
        <f>IF(SER_hh_fech!O23=0,0,SER_hh_fech!O23/SER_summary!O$26)</f>
        <v>0</v>
      </c>
      <c r="P23" s="133">
        <f>IF(SER_hh_fech!P23=0,0,SER_hh_fech!P23/SER_summary!P$26)</f>
        <v>0</v>
      </c>
      <c r="Q23" s="133">
        <f>IF(SER_hh_fech!Q23=0,0,SER_hh_fech!Q23/SER_summary!Q$26)</f>
        <v>0</v>
      </c>
      <c r="R23" s="133">
        <f>IF(SER_hh_fech!R23=0,0,SER_hh_fech!R23/SER_summary!R$26)</f>
        <v>0</v>
      </c>
      <c r="S23" s="133">
        <f>IF(SER_hh_fech!S23=0,0,SER_hh_fech!S23/SER_summary!S$26)</f>
        <v>0</v>
      </c>
      <c r="T23" s="133">
        <f>IF(SER_hh_fech!T23=0,0,SER_hh_fech!T23/SER_summary!T$26)</f>
        <v>0</v>
      </c>
      <c r="U23" s="133">
        <f>IF(SER_hh_fech!U23=0,0,SER_hh_fech!U23/SER_summary!U$26)</f>
        <v>0</v>
      </c>
      <c r="V23" s="133">
        <f>IF(SER_hh_fech!V23=0,0,SER_hh_fech!V23/SER_summary!V$26)</f>
        <v>0</v>
      </c>
      <c r="W23" s="133">
        <f>IF(SER_hh_fech!W23=0,0,SER_hh_fech!W23/SER_summary!W$26)</f>
        <v>0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68.726066704453302</v>
      </c>
      <c r="N25" s="133">
        <f>IF(SER_hh_fech!N25=0,0,SER_hh_fech!N25/SER_summary!N$26)</f>
        <v>49.42254835200125</v>
      </c>
      <c r="O25" s="133">
        <f>IF(SER_hh_fech!O25=0,0,SER_hh_fech!O25/SER_summary!O$26)</f>
        <v>49.453397462211321</v>
      </c>
      <c r="P25" s="133">
        <f>IF(SER_hh_fech!P25=0,0,SER_hh_fech!P25/SER_summary!P$26)</f>
        <v>45.182228355819348</v>
      </c>
      <c r="Q25" s="133">
        <f>IF(SER_hh_fech!Q25=0,0,SER_hh_fech!Q25/SER_summary!Q$26)</f>
        <v>50.329049707695674</v>
      </c>
      <c r="R25" s="133">
        <f>IF(SER_hh_fech!R25=0,0,SER_hh_fech!R25/SER_summary!R$26)</f>
        <v>51.046406221811914</v>
      </c>
      <c r="S25" s="133">
        <f>IF(SER_hh_fech!S25=0,0,SER_hh_fech!S25/SER_summary!S$26)</f>
        <v>34.448487856108272</v>
      </c>
      <c r="T25" s="133">
        <f>IF(SER_hh_fech!T25=0,0,SER_hh_fech!T25/SER_summary!T$26)</f>
        <v>43.766488095571624</v>
      </c>
      <c r="U25" s="133">
        <f>IF(SER_hh_fech!U25=0,0,SER_hh_fech!U25/SER_summary!U$26)</f>
        <v>65.051668966310231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57.405609442889464</v>
      </c>
      <c r="C26" s="65">
        <f>IF(SER_hh_fech!C26=0,0,SER_hh_fech!C26/SER_summary!C$26)</f>
        <v>54.562319978675099</v>
      </c>
      <c r="D26" s="65">
        <f>IF(SER_hh_fech!D26=0,0,SER_hh_fech!D26/SER_summary!D$26)</f>
        <v>55.771730578810676</v>
      </c>
      <c r="E26" s="65">
        <f>IF(SER_hh_fech!E26=0,0,SER_hh_fech!E26/SER_summary!E$26)</f>
        <v>56.414950117255259</v>
      </c>
      <c r="F26" s="65">
        <f>IF(SER_hh_fech!F26=0,0,SER_hh_fech!F26/SER_summary!F$26)</f>
        <v>58.27285682296575</v>
      </c>
      <c r="G26" s="65">
        <f>IF(SER_hh_fech!G26=0,0,SER_hh_fech!G26/SER_summary!G$26)</f>
        <v>58.127740528794874</v>
      </c>
      <c r="H26" s="65">
        <f>IF(SER_hh_fech!H26=0,0,SER_hh_fech!H26/SER_summary!H$26)</f>
        <v>53.282104362047818</v>
      </c>
      <c r="I26" s="65">
        <f>IF(SER_hh_fech!I26=0,0,SER_hh_fech!I26/SER_summary!I$26)</f>
        <v>50.468680438674006</v>
      </c>
      <c r="J26" s="65">
        <f>IF(SER_hh_fech!J26=0,0,SER_hh_fech!J26/SER_summary!J$26)</f>
        <v>49.586156336622615</v>
      </c>
      <c r="K26" s="65">
        <f>IF(SER_hh_fech!K26=0,0,SER_hh_fech!K26/SER_summary!K$26)</f>
        <v>50.655862559062889</v>
      </c>
      <c r="L26" s="65">
        <f>IF(SER_hh_fech!L26=0,0,SER_hh_fech!L26/SER_summary!L$26)</f>
        <v>55.511969954255271</v>
      </c>
      <c r="M26" s="65">
        <f>IF(SER_hh_fech!M26=0,0,SER_hh_fech!M26/SER_summary!M$26)</f>
        <v>54.943283873994872</v>
      </c>
      <c r="N26" s="65">
        <f>IF(SER_hh_fech!N26=0,0,SER_hh_fech!N26/SER_summary!N$26)</f>
        <v>52.659956592673865</v>
      </c>
      <c r="O26" s="65">
        <f>IF(SER_hh_fech!O26=0,0,SER_hh_fech!O26/SER_summary!O$26)</f>
        <v>52.993308404200043</v>
      </c>
      <c r="P26" s="65">
        <f>IF(SER_hh_fech!P26=0,0,SER_hh_fech!P26/SER_summary!P$26)</f>
        <v>51.768855024389666</v>
      </c>
      <c r="Q26" s="65">
        <f>IF(SER_hh_fech!Q26=0,0,SER_hh_fech!Q26/SER_summary!Q$26)</f>
        <v>50.818688989271465</v>
      </c>
      <c r="R26" s="65">
        <f>IF(SER_hh_fech!R26=0,0,SER_hh_fech!R26/SER_summary!R$26)</f>
        <v>50.059472284970212</v>
      </c>
      <c r="S26" s="65">
        <f>IF(SER_hh_fech!S26=0,0,SER_hh_fech!S26/SER_summary!S$26)</f>
        <v>48.704989610308999</v>
      </c>
      <c r="T26" s="65">
        <f>IF(SER_hh_fech!T26=0,0,SER_hh_fech!T26/SER_summary!T$26)</f>
        <v>47.385454842624725</v>
      </c>
      <c r="U26" s="65">
        <f>IF(SER_hh_fech!U26=0,0,SER_hh_fech!U26/SER_summary!U$26)</f>
        <v>46.568709958296779</v>
      </c>
      <c r="V26" s="65">
        <f>IF(SER_hh_fech!V26=0,0,SER_hh_fech!V26/SER_summary!V$26)</f>
        <v>43.901372161399593</v>
      </c>
      <c r="W26" s="65">
        <f>IF(SER_hh_fech!W26=0,0,SER_hh_fech!W26/SER_summary!W$26)</f>
        <v>44.279501637039203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64.557109097301222</v>
      </c>
      <c r="C29" s="131">
        <f>IF(SER_hh_fech!C29=0,0,SER_hh_fech!C29/SER_summary!C$26)</f>
        <v>64.174373736798188</v>
      </c>
      <c r="D29" s="131">
        <f>IF(SER_hh_fech!D29=0,0,SER_hh_fech!D29/SER_summary!D$26)</f>
        <v>65.928988800745188</v>
      </c>
      <c r="E29" s="131">
        <f>IF(SER_hh_fech!E29=0,0,SER_hh_fech!E29/SER_summary!E$26)</f>
        <v>67.360520530393345</v>
      </c>
      <c r="F29" s="131">
        <f>IF(SER_hh_fech!F29=0,0,SER_hh_fech!F29/SER_summary!F$26)</f>
        <v>68.748527315708358</v>
      </c>
      <c r="G29" s="131">
        <f>IF(SER_hh_fech!G29=0,0,SER_hh_fech!G29/SER_summary!G$26)</f>
        <v>67.113979981915051</v>
      </c>
      <c r="H29" s="131">
        <f>IF(SER_hh_fech!H29=0,0,SER_hh_fech!H29/SER_summary!H$26)</f>
        <v>67.391231146519914</v>
      </c>
      <c r="I29" s="131">
        <f>IF(SER_hh_fech!I29=0,0,SER_hh_fech!I29/SER_summary!I$26)</f>
        <v>66.9087272046566</v>
      </c>
      <c r="J29" s="131">
        <f>IF(SER_hh_fech!J29=0,0,SER_hh_fech!J29/SER_summary!J$26)</f>
        <v>65.945998544897208</v>
      </c>
      <c r="K29" s="131">
        <f>IF(SER_hh_fech!K29=0,0,SER_hh_fech!K29/SER_summary!K$26)</f>
        <v>68.411824943982722</v>
      </c>
      <c r="L29" s="131">
        <f>IF(SER_hh_fech!L29=0,0,SER_hh_fech!L29/SER_summary!L$26)</f>
        <v>67.569696303152696</v>
      </c>
      <c r="M29" s="131">
        <f>IF(SER_hh_fech!M29=0,0,SER_hh_fech!M29/SER_summary!M$26)</f>
        <v>68.058840750623361</v>
      </c>
      <c r="N29" s="131">
        <f>IF(SER_hh_fech!N29=0,0,SER_hh_fech!N29/SER_summary!N$26)</f>
        <v>66.188026646206893</v>
      </c>
      <c r="O29" s="131">
        <f>IF(SER_hh_fech!O29=0,0,SER_hh_fech!O29/SER_summary!O$26)</f>
        <v>65.240824792325597</v>
      </c>
      <c r="P29" s="131">
        <f>IF(SER_hh_fech!P29=0,0,SER_hh_fech!P29/SER_summary!P$26)</f>
        <v>65.105840527452543</v>
      </c>
      <c r="Q29" s="131">
        <f>IF(SER_hh_fech!Q29=0,0,SER_hh_fech!Q29/SER_summary!Q$26)</f>
        <v>65.451699710767244</v>
      </c>
      <c r="R29" s="131">
        <f>IF(SER_hh_fech!R29=0,0,SER_hh_fech!R29/SER_summary!R$26)</f>
        <v>64.318542560080459</v>
      </c>
      <c r="S29" s="131">
        <f>IF(SER_hh_fech!S29=0,0,SER_hh_fech!S29/SER_summary!S$26)</f>
        <v>63.974451549290308</v>
      </c>
      <c r="T29" s="131">
        <f>IF(SER_hh_fech!T29=0,0,SER_hh_fech!T29/SER_summary!T$26)</f>
        <v>65.114204743611936</v>
      </c>
      <c r="U29" s="131">
        <f>IF(SER_hh_fech!U29=0,0,SER_hh_fech!U29/SER_summary!U$26)</f>
        <v>64.990679562294929</v>
      </c>
      <c r="V29" s="131">
        <f>IF(SER_hh_fech!V29=0,0,SER_hh_fech!V29/SER_summary!V$26)</f>
        <v>57.569042738927962</v>
      </c>
      <c r="W29" s="131">
        <f>IF(SER_hh_fech!W29=0,0,SER_hh_fech!W29/SER_summary!W$26)</f>
        <v>59.416320639977165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83.786748047135532</v>
      </c>
      <c r="C30" s="133">
        <f>IF(SER_hh_fech!C30=0,0,SER_hh_fech!C30/SER_summary!C$26)</f>
        <v>77.984209838296792</v>
      </c>
      <c r="D30" s="133">
        <f>IF(SER_hh_fech!D30=0,0,SER_hh_fech!D30/SER_summary!D$26)</f>
        <v>91.891556715628568</v>
      </c>
      <c r="E30" s="133">
        <f>IF(SER_hh_fech!E30=0,0,SER_hh_fech!E30/SER_summary!E$26)</f>
        <v>88.100117301532748</v>
      </c>
      <c r="F30" s="133">
        <f>IF(SER_hh_fech!F30=0,0,SER_hh_fech!F30/SER_summary!F$26)</f>
        <v>76.742191797269371</v>
      </c>
      <c r="G30" s="133">
        <f>IF(SER_hh_fech!G30=0,0,SER_hh_fech!G30/SER_summary!G$26)</f>
        <v>67.146667049896394</v>
      </c>
      <c r="H30" s="133">
        <f>IF(SER_hh_fech!H30=0,0,SER_hh_fech!H30/SER_summary!H$26)</f>
        <v>85.616923426280351</v>
      </c>
      <c r="I30" s="133">
        <f>IF(SER_hh_fech!I30=0,0,SER_hh_fech!I30/SER_summary!I$26)</f>
        <v>73.990221653142285</v>
      </c>
      <c r="J30" s="133">
        <f>IF(SER_hh_fech!J30=0,0,SER_hh_fech!J30/SER_summary!J$26)</f>
        <v>81.630479784084542</v>
      </c>
      <c r="K30" s="133">
        <f>IF(SER_hh_fech!K30=0,0,SER_hh_fech!K30/SER_summary!K$26)</f>
        <v>100.8093962400214</v>
      </c>
      <c r="L30" s="133">
        <f>IF(SER_hh_fech!L30=0,0,SER_hh_fech!L30/SER_summary!L$26)</f>
        <v>76.178769389639783</v>
      </c>
      <c r="M30" s="133">
        <f>IF(SER_hh_fech!M30=0,0,SER_hh_fech!M30/SER_summary!M$26)</f>
        <v>85.246961244136784</v>
      </c>
      <c r="N30" s="133">
        <f>IF(SER_hh_fech!N30=0,0,SER_hh_fech!N30/SER_summary!N$26)</f>
        <v>82.143954091776024</v>
      </c>
      <c r="O30" s="133">
        <f>IF(SER_hh_fech!O30=0,0,SER_hh_fech!O30/SER_summary!O$26)</f>
        <v>79.38712572187076</v>
      </c>
      <c r="P30" s="133">
        <f>IF(SER_hh_fech!P30=0,0,SER_hh_fech!P30/SER_summary!P$26)</f>
        <v>78.330276586051355</v>
      </c>
      <c r="Q30" s="133">
        <f>IF(SER_hh_fech!Q30=0,0,SER_hh_fech!Q30/SER_summary!Q$26)</f>
        <v>86.397868476098751</v>
      </c>
      <c r="R30" s="133">
        <f>IF(SER_hh_fech!R30=0,0,SER_hh_fech!R30/SER_summary!R$26)</f>
        <v>70.338705103604624</v>
      </c>
      <c r="S30" s="133">
        <f>IF(SER_hh_fech!S30=0,0,SER_hh_fech!S30/SER_summary!S$26)</f>
        <v>75.449798943240367</v>
      </c>
      <c r="T30" s="133">
        <f>IF(SER_hh_fech!T30=0,0,SER_hh_fech!T30/SER_summary!T$26)</f>
        <v>87.744495204817142</v>
      </c>
      <c r="U30" s="133">
        <f>IF(SER_hh_fech!U30=0,0,SER_hh_fech!U30/SER_summary!U$26)</f>
        <v>89.52849470918197</v>
      </c>
      <c r="V30" s="133">
        <f>IF(SER_hh_fech!V30=0,0,SER_hh_fech!V30/SER_summary!V$26)</f>
        <v>59.814510918770374</v>
      </c>
      <c r="W30" s="133">
        <f>IF(SER_hh_fech!W30=0,0,SER_hh_fech!W30/SER_summary!W$26)</f>
        <v>65.45048327996092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0</v>
      </c>
      <c r="C31" s="133">
        <f>IF(SER_hh_fech!C31=0,0,SER_hh_fech!C31/SER_summary!C$26)</f>
        <v>0</v>
      </c>
      <c r="D31" s="133">
        <f>IF(SER_hh_fech!D31=0,0,SER_hh_fech!D31/SER_summary!D$26)</f>
        <v>0</v>
      </c>
      <c r="E31" s="133">
        <f>IF(SER_hh_fech!E31=0,0,SER_hh_fech!E31/SER_summary!E$26)</f>
        <v>0</v>
      </c>
      <c r="F31" s="133">
        <f>IF(SER_hh_fech!F31=0,0,SER_hh_fech!F31/SER_summary!F$26)</f>
        <v>0</v>
      </c>
      <c r="G31" s="133">
        <f>IF(SER_hh_fech!G31=0,0,SER_hh_fech!G31/SER_summary!G$26)</f>
        <v>0</v>
      </c>
      <c r="H31" s="133">
        <f>IF(SER_hh_fech!H31=0,0,SER_hh_fech!H31/SER_summary!H$26)</f>
        <v>0</v>
      </c>
      <c r="I31" s="133">
        <f>IF(SER_hh_fech!I31=0,0,SER_hh_fech!I31/SER_summary!I$26)</f>
        <v>0</v>
      </c>
      <c r="J31" s="133">
        <f>IF(SER_hh_fech!J31=0,0,SER_hh_fech!J31/SER_summary!J$26)</f>
        <v>0</v>
      </c>
      <c r="K31" s="133">
        <f>IF(SER_hh_fech!K31=0,0,SER_hh_fech!K31/SER_summary!K$26)</f>
        <v>0</v>
      </c>
      <c r="L31" s="133">
        <f>IF(SER_hh_fech!L31=0,0,SER_hh_fech!L31/SER_summary!L$26)</f>
        <v>0</v>
      </c>
      <c r="M31" s="133">
        <f>IF(SER_hh_fech!M31=0,0,SER_hh_fech!M31/SER_summary!M$26)</f>
        <v>0</v>
      </c>
      <c r="N31" s="133">
        <f>IF(SER_hh_fech!N31=0,0,SER_hh_fech!N31/SER_summary!N$26)</f>
        <v>0</v>
      </c>
      <c r="O31" s="133">
        <f>IF(SER_hh_fech!O31=0,0,SER_hh_fech!O31/SER_summary!O$26)</f>
        <v>0</v>
      </c>
      <c r="P31" s="133">
        <f>IF(SER_hh_fech!P31=0,0,SER_hh_fech!P31/SER_summary!P$26)</f>
        <v>0</v>
      </c>
      <c r="Q31" s="133">
        <f>IF(SER_hh_fech!Q31=0,0,SER_hh_fech!Q31/SER_summary!Q$26)</f>
        <v>0</v>
      </c>
      <c r="R31" s="133">
        <f>IF(SER_hh_fech!R31=0,0,SER_hh_fech!R31/SER_summary!R$26)</f>
        <v>0</v>
      </c>
      <c r="S31" s="133">
        <f>IF(SER_hh_fech!S31=0,0,SER_hh_fech!S31/SER_summary!S$26)</f>
        <v>0</v>
      </c>
      <c r="T31" s="133">
        <f>IF(SER_hh_fech!T31=0,0,SER_hh_fech!T31/SER_summary!T$26)</f>
        <v>0</v>
      </c>
      <c r="U31" s="133">
        <f>IF(SER_hh_fech!U31=0,0,SER_hh_fech!U31/SER_summary!U$26)</f>
        <v>0</v>
      </c>
      <c r="V31" s="133">
        <f>IF(SER_hh_fech!V31=0,0,SER_hh_fech!V31/SER_summary!V$26)</f>
        <v>0</v>
      </c>
      <c r="W31" s="133">
        <f>IF(SER_hh_fech!W31=0,0,SER_hh_fech!W31/SER_summary!W$26)</f>
        <v>0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63.393747071856538</v>
      </c>
      <c r="C33" s="68">
        <f>IF(SER_hh_fech!C33=0,0,SER_hh_fech!C33/SER_summary!C$26)</f>
        <v>63.339465625782566</v>
      </c>
      <c r="D33" s="68">
        <f>IF(SER_hh_fech!D33=0,0,SER_hh_fech!D33/SER_summary!D$26)</f>
        <v>64.288447713436781</v>
      </c>
      <c r="E33" s="68">
        <f>IF(SER_hh_fech!E33=0,0,SER_hh_fech!E33/SER_summary!E$26)</f>
        <v>66.053683088231466</v>
      </c>
      <c r="F33" s="68">
        <f>IF(SER_hh_fech!F33=0,0,SER_hh_fech!F33/SER_summary!F$26)</f>
        <v>68.199871862393252</v>
      </c>
      <c r="G33" s="68">
        <f>IF(SER_hh_fech!G33=0,0,SER_hh_fech!G33/SER_summary!G$26)</f>
        <v>67.111292750086946</v>
      </c>
      <c r="H33" s="68">
        <f>IF(SER_hh_fech!H33=0,0,SER_hh_fech!H33/SER_summary!H$26)</f>
        <v>65.207833748015787</v>
      </c>
      <c r="I33" s="68">
        <f>IF(SER_hh_fech!I33=0,0,SER_hh_fech!I33/SER_summary!I$26)</f>
        <v>65.678214342011756</v>
      </c>
      <c r="J33" s="68">
        <f>IF(SER_hh_fech!J33=0,0,SER_hh_fech!J33/SER_summary!J$26)</f>
        <v>62.342871355063139</v>
      </c>
      <c r="K33" s="68">
        <f>IF(SER_hh_fech!K33=0,0,SER_hh_fech!K33/SER_summary!K$26)</f>
        <v>58.817916052768496</v>
      </c>
      <c r="L33" s="68">
        <f>IF(SER_hh_fech!L33=0,0,SER_hh_fech!L33/SER_summary!L$26)</f>
        <v>64.987554226356977</v>
      </c>
      <c r="M33" s="68">
        <f>IF(SER_hh_fech!M33=0,0,SER_hh_fech!M33/SER_summary!M$26)</f>
        <v>62.803532947488939</v>
      </c>
      <c r="N33" s="68">
        <f>IF(SER_hh_fech!N33=0,0,SER_hh_fech!N33/SER_summary!N$26)</f>
        <v>61.613103415050595</v>
      </c>
      <c r="O33" s="68">
        <f>IF(SER_hh_fech!O33=0,0,SER_hh_fech!O33/SER_summary!O$26)</f>
        <v>61.174525567884707</v>
      </c>
      <c r="P33" s="68">
        <f>IF(SER_hh_fech!P33=0,0,SER_hh_fech!P33/SER_summary!P$26)</f>
        <v>61.400631494453037</v>
      </c>
      <c r="Q33" s="68">
        <f>IF(SER_hh_fech!Q33=0,0,SER_hh_fech!Q33/SER_summary!Q$26)</f>
        <v>59.391019986678877</v>
      </c>
      <c r="R33" s="68">
        <f>IF(SER_hh_fech!R33=0,0,SER_hh_fech!R33/SER_summary!R$26)</f>
        <v>62.527581691175897</v>
      </c>
      <c r="S33" s="68">
        <f>IF(SER_hh_fech!S33=0,0,SER_hh_fech!S33/SER_summary!S$26)</f>
        <v>60.023204759229543</v>
      </c>
      <c r="T33" s="68">
        <f>IF(SER_hh_fech!T33=0,0,SER_hh_fech!T33/SER_summary!T$26)</f>
        <v>56.354468283903131</v>
      </c>
      <c r="U33" s="68">
        <f>IF(SER_hh_fech!U33=0,0,SER_hh_fech!U33/SER_summary!U$26)</f>
        <v>55.402346092147134</v>
      </c>
      <c r="V33" s="68">
        <f>IF(SER_hh_fech!V33=0,0,SER_hh_fech!V33/SER_summary!V$26)</f>
        <v>56.721507825173902</v>
      </c>
      <c r="W33" s="68">
        <f>IF(SER_hh_fech!W33=0,0,SER_hh_fech!W33/SER_summary!W$26)</f>
        <v>57.200034649598884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183.64509774194923</v>
      </c>
      <c r="C3" s="126">
        <f>IF(SER_hh_tesh!C3=0,0,SER_hh_tesh!C3/SER_summary!C$26)</f>
        <v>192.64333714364531</v>
      </c>
      <c r="D3" s="126">
        <f>IF(SER_hh_tesh!D3=0,0,SER_hh_tesh!D3/SER_summary!D$26)</f>
        <v>197.56977625313266</v>
      </c>
      <c r="E3" s="126">
        <f>IF(SER_hh_tesh!E3=0,0,SER_hh_tesh!E3/SER_summary!E$26)</f>
        <v>232.97267584558747</v>
      </c>
      <c r="F3" s="126">
        <f>IF(SER_hh_tesh!F3=0,0,SER_hh_tesh!F3/SER_summary!F$26)</f>
        <v>214.96853103531791</v>
      </c>
      <c r="G3" s="126">
        <f>IF(SER_hh_tesh!G3=0,0,SER_hh_tesh!G3/SER_summary!G$26)</f>
        <v>230.27422529865441</v>
      </c>
      <c r="H3" s="126">
        <f>IF(SER_hh_tesh!H3=0,0,SER_hh_tesh!H3/SER_summary!H$26)</f>
        <v>210.03560308279148</v>
      </c>
      <c r="I3" s="126">
        <f>IF(SER_hh_tesh!I3=0,0,SER_hh_tesh!I3/SER_summary!I$26)</f>
        <v>216.5275959933534</v>
      </c>
      <c r="J3" s="126">
        <f>IF(SER_hh_tesh!J3=0,0,SER_hh_tesh!J3/SER_summary!J$26)</f>
        <v>199.05560478705522</v>
      </c>
      <c r="K3" s="126">
        <f>IF(SER_hh_tesh!K3=0,0,SER_hh_tesh!K3/SER_summary!K$26)</f>
        <v>186.33071497795962</v>
      </c>
      <c r="L3" s="126">
        <f>IF(SER_hh_tesh!L3=0,0,SER_hh_tesh!L3/SER_summary!L$26)</f>
        <v>240.63438211952854</v>
      </c>
      <c r="M3" s="126">
        <f>IF(SER_hh_tesh!M3=0,0,SER_hh_tesh!M3/SER_summary!M$26)</f>
        <v>233.14331810415359</v>
      </c>
      <c r="N3" s="126">
        <f>IF(SER_hh_tesh!N3=0,0,SER_hh_tesh!N3/SER_summary!N$26)</f>
        <v>289.43897754559987</v>
      </c>
      <c r="O3" s="126">
        <f>IF(SER_hh_tesh!O3=0,0,SER_hh_tesh!O3/SER_summary!O$26)</f>
        <v>277.94294400258849</v>
      </c>
      <c r="P3" s="126">
        <f>IF(SER_hh_tesh!P3=0,0,SER_hh_tesh!P3/SER_summary!P$26)</f>
        <v>290.58628368143201</v>
      </c>
      <c r="Q3" s="126">
        <f>IF(SER_hh_tesh!Q3=0,0,SER_hh_tesh!Q3/SER_summary!Q$26)</f>
        <v>318.7184395164299</v>
      </c>
      <c r="R3" s="126">
        <f>IF(SER_hh_tesh!R3=0,0,SER_hh_tesh!R3/SER_summary!R$26)</f>
        <v>298.06028329581022</v>
      </c>
      <c r="S3" s="126">
        <f>IF(SER_hh_tesh!S3=0,0,SER_hh_tesh!S3/SER_summary!S$26)</f>
        <v>314.89917297066518</v>
      </c>
      <c r="T3" s="126">
        <f>IF(SER_hh_tesh!T3=0,0,SER_hh_tesh!T3/SER_summary!T$26)</f>
        <v>283.04007444685004</v>
      </c>
      <c r="U3" s="126">
        <f>IF(SER_hh_tesh!U3=0,0,SER_hh_tesh!U3/SER_summary!U$26)</f>
        <v>307.53087591811106</v>
      </c>
      <c r="V3" s="126">
        <f>IF(SER_hh_tesh!V3=0,0,SER_hh_tesh!V3/SER_summary!V$26)</f>
        <v>257.04927995836096</v>
      </c>
      <c r="W3" s="126">
        <f>IF(SER_hh_tesh!W3=0,0,SER_hh_tesh!W3/SER_summary!W$26)</f>
        <v>287.45879051344269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67.347301218124414</v>
      </c>
      <c r="C4" s="131">
        <f>IF(SER_hh_tesh!C4=0,0,SER_hh_tesh!C4/SER_summary!C$26)</f>
        <v>69.746448610481664</v>
      </c>
      <c r="D4" s="131">
        <f>IF(SER_hh_tesh!D4=0,0,SER_hh_tesh!D4/SER_summary!D$26)</f>
        <v>81.587205325156361</v>
      </c>
      <c r="E4" s="131">
        <f>IF(SER_hh_tesh!E4=0,0,SER_hh_tesh!E4/SER_summary!E$26)</f>
        <v>92.74756687609667</v>
      </c>
      <c r="F4" s="131">
        <f>IF(SER_hh_tesh!F4=0,0,SER_hh_tesh!F4/SER_summary!F$26)</f>
        <v>101.31787146129363</v>
      </c>
      <c r="G4" s="131">
        <f>IF(SER_hh_tesh!G4=0,0,SER_hh_tesh!G4/SER_summary!G$26)</f>
        <v>117.10455913768381</v>
      </c>
      <c r="H4" s="131">
        <f>IF(SER_hh_tesh!H4=0,0,SER_hh_tesh!H4/SER_summary!H$26)</f>
        <v>82.429352587891898</v>
      </c>
      <c r="I4" s="131">
        <f>IF(SER_hh_tesh!I4=0,0,SER_hh_tesh!I4/SER_summary!I$26)</f>
        <v>86.18125327095018</v>
      </c>
      <c r="J4" s="131">
        <f>IF(SER_hh_tesh!J4=0,0,SER_hh_tesh!J4/SER_summary!J$26)</f>
        <v>77.351802939028076</v>
      </c>
      <c r="K4" s="131">
        <f>IF(SER_hh_tesh!K4=0,0,SER_hh_tesh!K4/SER_summary!K$26)</f>
        <v>58.724911256640432</v>
      </c>
      <c r="L4" s="131">
        <f>IF(SER_hh_tesh!L4=0,0,SER_hh_tesh!L4/SER_summary!L$26)</f>
        <v>120.21417735067912</v>
      </c>
      <c r="M4" s="131">
        <f>IF(SER_hh_tesh!M4=0,0,SER_hh_tesh!M4/SER_summary!M$26)</f>
        <v>107.8980445063024</v>
      </c>
      <c r="N4" s="131">
        <f>IF(SER_hh_tesh!N4=0,0,SER_hh_tesh!N4/SER_summary!N$26)</f>
        <v>129.27721370667265</v>
      </c>
      <c r="O4" s="131">
        <f>IF(SER_hh_tesh!O4=0,0,SER_hh_tesh!O4/SER_summary!O$26)</f>
        <v>141.5494983414674</v>
      </c>
      <c r="P4" s="131">
        <f>IF(SER_hh_tesh!P4=0,0,SER_hh_tesh!P4/SER_summary!P$26)</f>
        <v>151.24281539598158</v>
      </c>
      <c r="Q4" s="131">
        <f>IF(SER_hh_tesh!Q4=0,0,SER_hh_tesh!Q4/SER_summary!Q$26)</f>
        <v>173.45344389400779</v>
      </c>
      <c r="R4" s="131">
        <f>IF(SER_hh_tesh!R4=0,0,SER_hh_tesh!R4/SER_summary!R$26)</f>
        <v>163.92232365004142</v>
      </c>
      <c r="S4" s="131">
        <f>IF(SER_hh_tesh!S4=0,0,SER_hh_tesh!S4/SER_summary!S$26)</f>
        <v>169.44518752024257</v>
      </c>
      <c r="T4" s="131">
        <f>IF(SER_hh_tesh!T4=0,0,SER_hh_tesh!T4/SER_summary!T$26)</f>
        <v>143.55178712242471</v>
      </c>
      <c r="U4" s="131">
        <f>IF(SER_hh_tesh!U4=0,0,SER_hh_tesh!U4/SER_summary!U$26)</f>
        <v>140.90448078338332</v>
      </c>
      <c r="V4" s="131">
        <f>IF(SER_hh_tesh!V4=0,0,SER_hh_tesh!V4/SER_summary!V$26)</f>
        <v>115.1987258321406</v>
      </c>
      <c r="W4" s="131">
        <f>IF(SER_hh_tesh!W4=0,0,SER_hh_tesh!W4/SER_summary!W$26)</f>
        <v>121.86660814804237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70.605079366528557</v>
      </c>
      <c r="C6" s="133">
        <f>IF(SER_hh_tesh!C6=0,0,SER_hh_tesh!C6/SER_summary!C$26)</f>
        <v>75.103484794610424</v>
      </c>
      <c r="D6" s="133">
        <f>IF(SER_hh_tesh!D6=0,0,SER_hh_tesh!D6/SER_summary!D$26)</f>
        <v>77.457135844046903</v>
      </c>
      <c r="E6" s="133">
        <f>IF(SER_hh_tesh!E6=0,0,SER_hh_tesh!E6/SER_summary!E$26)</f>
        <v>88.524319033809959</v>
      </c>
      <c r="F6" s="133">
        <f>IF(SER_hh_tesh!F6=0,0,SER_hh_tesh!F6/SER_summary!F$26)</f>
        <v>93.931149446104811</v>
      </c>
      <c r="G6" s="133">
        <f>IF(SER_hh_tesh!G6=0,0,SER_hh_tesh!G6/SER_summary!G$26)</f>
        <v>82.121527192365534</v>
      </c>
      <c r="H6" s="133">
        <f>IF(SER_hh_tesh!H6=0,0,SER_hh_tesh!H6/SER_summary!H$26)</f>
        <v>95.547180595909708</v>
      </c>
      <c r="I6" s="133">
        <f>IF(SER_hh_tesh!I6=0,0,SER_hh_tesh!I6/SER_summary!I$26)</f>
        <v>108.87437332229079</v>
      </c>
      <c r="J6" s="133">
        <f>IF(SER_hh_tesh!J6=0,0,SER_hh_tesh!J6/SER_summary!J$26)</f>
        <v>59.346808336369449</v>
      </c>
      <c r="K6" s="133">
        <f>IF(SER_hh_tesh!K6=0,0,SER_hh_tesh!K6/SER_summary!K$26)</f>
        <v>31.517856495634614</v>
      </c>
      <c r="L6" s="133">
        <f>IF(SER_hh_tesh!L6=0,0,SER_hh_tesh!L6/SER_summary!L$26)</f>
        <v>144.33072947799448</v>
      </c>
      <c r="M6" s="133">
        <f>IF(SER_hh_tesh!M6=0,0,SER_hh_tesh!M6/SER_summary!M$26)</f>
        <v>112.2306910027343</v>
      </c>
      <c r="N6" s="133">
        <f>IF(SER_hh_tesh!N6=0,0,SER_hh_tesh!N6/SER_summary!N$26)</f>
        <v>141.18308467851358</v>
      </c>
      <c r="O6" s="133">
        <f>IF(SER_hh_tesh!O6=0,0,SER_hh_tesh!O6/SER_summary!O$26)</f>
        <v>111.8734570091278</v>
      </c>
      <c r="P6" s="133">
        <f>IF(SER_hh_tesh!P6=0,0,SER_hh_tesh!P6/SER_summary!P$26)</f>
        <v>119.13527119454461</v>
      </c>
      <c r="Q6" s="133">
        <f>IF(SER_hh_tesh!Q6=0,0,SER_hh_tesh!Q6/SER_summary!Q$26)</f>
        <v>144.97609763107639</v>
      </c>
      <c r="R6" s="133">
        <f>IF(SER_hh_tesh!R6=0,0,SER_hh_tesh!R6/SER_summary!R$26)</f>
        <v>122.68001572041473</v>
      </c>
      <c r="S6" s="133">
        <f>IF(SER_hh_tesh!S6=0,0,SER_hh_tesh!S6/SER_summary!S$26)</f>
        <v>135.1995621036308</v>
      </c>
      <c r="T6" s="133">
        <f>IF(SER_hh_tesh!T6=0,0,SER_hh_tesh!T6/SER_summary!T$26)</f>
        <v>158.89176911179422</v>
      </c>
      <c r="U6" s="133">
        <f>IF(SER_hh_tesh!U6=0,0,SER_hh_tesh!U6/SER_summary!U$26)</f>
        <v>146.64025534044902</v>
      </c>
      <c r="V6" s="133">
        <f>IF(SER_hh_tesh!V6=0,0,SER_hh_tesh!V6/SER_summary!V$26)</f>
        <v>109.64634552141281</v>
      </c>
      <c r="W6" s="133">
        <f>IF(SER_hh_tesh!W6=0,0,SER_hh_tesh!W6/SER_summary!W$26)</f>
        <v>124.62930050803861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67.721194009553798</v>
      </c>
      <c r="C7" s="133">
        <f>IF(SER_hh_tesh!C7=0,0,SER_hh_tesh!C7/SER_summary!C$26)</f>
        <v>66.796511445673559</v>
      </c>
      <c r="D7" s="133">
        <f>IF(SER_hh_tesh!D7=0,0,SER_hh_tesh!D7/SER_summary!D$26)</f>
        <v>77.429414685072331</v>
      </c>
      <c r="E7" s="133">
        <f>IF(SER_hh_tesh!E7=0,0,SER_hh_tesh!E7/SER_summary!E$26)</f>
        <v>96.471302201085663</v>
      </c>
      <c r="F7" s="133">
        <f>IF(SER_hh_tesh!F7=0,0,SER_hh_tesh!F7/SER_summary!F$26)</f>
        <v>110.15940396537357</v>
      </c>
      <c r="G7" s="133">
        <f>IF(SER_hh_tesh!G7=0,0,SER_hh_tesh!G7/SER_summary!G$26)</f>
        <v>96.530935454963952</v>
      </c>
      <c r="H7" s="133">
        <f>IF(SER_hh_tesh!H7=0,0,SER_hh_tesh!H7/SER_summary!H$26)</f>
        <v>77.5146161473631</v>
      </c>
      <c r="I7" s="133">
        <f>IF(SER_hh_tesh!I7=0,0,SER_hh_tesh!I7/SER_summary!I$26)</f>
        <v>86.850858528369784</v>
      </c>
      <c r="J7" s="133">
        <f>IF(SER_hh_tesh!J7=0,0,SER_hh_tesh!J7/SER_summary!J$26)</f>
        <v>81.831440912845338</v>
      </c>
      <c r="K7" s="133">
        <f>IF(SER_hh_tesh!K7=0,0,SER_hh_tesh!K7/SER_summary!K$26)</f>
        <v>61.551335954248202</v>
      </c>
      <c r="L7" s="133">
        <f>IF(SER_hh_tesh!L7=0,0,SER_hh_tesh!L7/SER_summary!L$26)</f>
        <v>115.38623970980414</v>
      </c>
      <c r="M7" s="133">
        <f>IF(SER_hh_tesh!M7=0,0,SER_hh_tesh!M7/SER_summary!M$26)</f>
        <v>68.714763212604083</v>
      </c>
      <c r="N7" s="133">
        <f>IF(SER_hh_tesh!N7=0,0,SER_hh_tesh!N7/SER_summary!N$26)</f>
        <v>115.15771208813143</v>
      </c>
      <c r="O7" s="133">
        <f>IF(SER_hh_tesh!O7=0,0,SER_hh_tesh!O7/SER_summary!O$26)</f>
        <v>149.64332408559878</v>
      </c>
      <c r="P7" s="133">
        <f>IF(SER_hh_tesh!P7=0,0,SER_hh_tesh!P7/SER_summary!P$26)</f>
        <v>151.61230759134131</v>
      </c>
      <c r="Q7" s="133">
        <f>IF(SER_hh_tesh!Q7=0,0,SER_hh_tesh!Q7/SER_summary!Q$26)</f>
        <v>180.57970865798939</v>
      </c>
      <c r="R7" s="133">
        <f>IF(SER_hh_tesh!R7=0,0,SER_hh_tesh!R7/SER_summary!R$26)</f>
        <v>177.92266972462139</v>
      </c>
      <c r="S7" s="133">
        <f>IF(SER_hh_tesh!S7=0,0,SER_hh_tesh!S7/SER_summary!S$26)</f>
        <v>175.16702046230827</v>
      </c>
      <c r="T7" s="133">
        <f>IF(SER_hh_tesh!T7=0,0,SER_hh_tesh!T7/SER_summary!T$26)</f>
        <v>116.49965306425197</v>
      </c>
      <c r="U7" s="133">
        <f>IF(SER_hh_tesh!U7=0,0,SER_hh_tesh!U7/SER_summary!U$26)</f>
        <v>127.04767817574294</v>
      </c>
      <c r="V7" s="133">
        <f>IF(SER_hh_tesh!V7=0,0,SER_hh_tesh!V7/SER_summary!V$26)</f>
        <v>112.29062176181534</v>
      </c>
      <c r="W7" s="133">
        <f>IF(SER_hh_tesh!W7=0,0,SER_hh_tesh!W7/SER_summary!W$26)</f>
        <v>120.91623370795006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0</v>
      </c>
      <c r="C9" s="133">
        <f>IF(SER_hh_tesh!C9=0,0,SER_hh_tesh!C9/SER_summary!C$26)</f>
        <v>0</v>
      </c>
      <c r="D9" s="133">
        <f>IF(SER_hh_tesh!D9=0,0,SER_hh_tesh!D9/SER_summary!D$26)</f>
        <v>0</v>
      </c>
      <c r="E9" s="133">
        <f>IF(SER_hh_tesh!E9=0,0,SER_hh_tesh!E9/SER_summary!E$26)</f>
        <v>0</v>
      </c>
      <c r="F9" s="133">
        <f>IF(SER_hh_tesh!F9=0,0,SER_hh_tesh!F9/SER_summary!F$26)</f>
        <v>0</v>
      </c>
      <c r="G9" s="133">
        <f>IF(SER_hh_tesh!G9=0,0,SER_hh_tesh!G9/SER_summary!G$26)</f>
        <v>0</v>
      </c>
      <c r="H9" s="133">
        <f>IF(SER_hh_tesh!H9=0,0,SER_hh_tesh!H9/SER_summary!H$26)</f>
        <v>0</v>
      </c>
      <c r="I9" s="133">
        <f>IF(SER_hh_tesh!I9=0,0,SER_hh_tesh!I9/SER_summary!I$26)</f>
        <v>0</v>
      </c>
      <c r="J9" s="133">
        <f>IF(SER_hh_tesh!J9=0,0,SER_hh_tesh!J9/SER_summary!J$26)</f>
        <v>0</v>
      </c>
      <c r="K9" s="133">
        <f>IF(SER_hh_tesh!K9=0,0,SER_hh_tesh!K9/SER_summary!K$26)</f>
        <v>0</v>
      </c>
      <c r="L9" s="133">
        <f>IF(SER_hh_tesh!L9=0,0,SER_hh_tesh!L9/SER_summary!L$26)</f>
        <v>0</v>
      </c>
      <c r="M9" s="133">
        <f>IF(SER_hh_tesh!M9=0,0,SER_hh_tesh!M9/SER_summary!M$26)</f>
        <v>150.24300661929078</v>
      </c>
      <c r="N9" s="133">
        <f>IF(SER_hh_tesh!N9=0,0,SER_hh_tesh!N9/SER_summary!N$26)</f>
        <v>171.4272740159679</v>
      </c>
      <c r="O9" s="133">
        <f>IF(SER_hh_tesh!O9=0,0,SER_hh_tesh!O9/SER_summary!O$26)</f>
        <v>124.98075643645636</v>
      </c>
      <c r="P9" s="133">
        <f>IF(SER_hh_tesh!P9=0,0,SER_hh_tesh!P9/SER_summary!P$26)</f>
        <v>149.59794795531161</v>
      </c>
      <c r="Q9" s="133">
        <f>IF(SER_hh_tesh!Q9=0,0,SER_hh_tesh!Q9/SER_summary!Q$26)</f>
        <v>149.14839979062285</v>
      </c>
      <c r="R9" s="133">
        <f>IF(SER_hh_tesh!R9=0,0,SER_hh_tesh!R9/SER_summary!R$26)</f>
        <v>181.14623992275918</v>
      </c>
      <c r="S9" s="133">
        <f>IF(SER_hh_tesh!S9=0,0,SER_hh_tesh!S9/SER_summary!S$26)</f>
        <v>148.6051415547692</v>
      </c>
      <c r="T9" s="133">
        <f>IF(SER_hh_tesh!T9=0,0,SER_hh_tesh!T9/SER_summary!T$26)</f>
        <v>117.33570499195966</v>
      </c>
      <c r="U9" s="133">
        <f>IF(SER_hh_tesh!U9=0,0,SER_hh_tesh!U9/SER_summary!U$26)</f>
        <v>165.79184011487368</v>
      </c>
      <c r="V9" s="133">
        <f>IF(SER_hh_tesh!V9=0,0,SER_hh_tesh!V9/SER_summary!V$26)</f>
        <v>123.11419968495417</v>
      </c>
      <c r="W9" s="133">
        <f>IF(SER_hh_tesh!W9=0,0,SER_hh_tesh!W9/SER_summary!W$26)</f>
        <v>91.71674899298803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0</v>
      </c>
      <c r="J10" s="133">
        <f>IF(SER_hh_tesh!J10=0,0,SER_hh_tesh!J10/SER_summary!J$26)</f>
        <v>0</v>
      </c>
      <c r="K10" s="133">
        <f>IF(SER_hh_tesh!K10=0,0,SER_hh_tesh!K10/SER_summary!K$26)</f>
        <v>0</v>
      </c>
      <c r="L10" s="133">
        <f>IF(SER_hh_tesh!L10=0,0,SER_hh_tesh!L10/SER_summary!L$26)</f>
        <v>0</v>
      </c>
      <c r="M10" s="133">
        <f>IF(SER_hh_tesh!M10=0,0,SER_hh_tesh!M10/SER_summary!M$26)</f>
        <v>0</v>
      </c>
      <c r="N10" s="133">
        <f>IF(SER_hh_tesh!N10=0,0,SER_hh_tesh!N10/SER_summary!N$26)</f>
        <v>0</v>
      </c>
      <c r="O10" s="133">
        <f>IF(SER_hh_tesh!O10=0,0,SER_hh_tesh!O10/SER_summary!O$26)</f>
        <v>0</v>
      </c>
      <c r="P10" s="133">
        <f>IF(SER_hh_tesh!P10=0,0,SER_hh_tesh!P10/SER_summary!P$26)</f>
        <v>0</v>
      </c>
      <c r="Q10" s="133">
        <f>IF(SER_hh_tesh!Q10=0,0,SER_hh_tesh!Q10/SER_summary!Q$26)</f>
        <v>0</v>
      </c>
      <c r="R10" s="133">
        <f>IF(SER_hh_tesh!R10=0,0,SER_hh_tesh!R10/SER_summary!R$26)</f>
        <v>0</v>
      </c>
      <c r="S10" s="133">
        <f>IF(SER_hh_tesh!S10=0,0,SER_hh_tesh!S10/SER_summary!S$26)</f>
        <v>0</v>
      </c>
      <c r="T10" s="133">
        <f>IF(SER_hh_tesh!T10=0,0,SER_hh_tesh!T10/SER_summary!T$26)</f>
        <v>0</v>
      </c>
      <c r="U10" s="133">
        <f>IF(SER_hh_tesh!U10=0,0,SER_hh_tesh!U10/SER_summary!U$26)</f>
        <v>0</v>
      </c>
      <c r="V10" s="133">
        <f>IF(SER_hh_tesh!V10=0,0,SER_hh_tesh!V10/SER_summary!V$26)</f>
        <v>0</v>
      </c>
      <c r="W10" s="133">
        <f>IF(SER_hh_tesh!W10=0,0,SER_hh_tesh!W10/SER_summary!W$26)</f>
        <v>0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156.97195058623558</v>
      </c>
      <c r="N12" s="133">
        <f>IF(SER_hh_tesh!N12=0,0,SER_hh_tesh!N12/SER_summary!N$26)</f>
        <v>253.22409358188753</v>
      </c>
      <c r="O12" s="133">
        <f>IF(SER_hh_tesh!O12=0,0,SER_hh_tesh!O12/SER_summary!O$26)</f>
        <v>35.4549065922293</v>
      </c>
      <c r="P12" s="133">
        <f>IF(SER_hh_tesh!P12=0,0,SER_hh_tesh!P12/SER_summary!P$26)</f>
        <v>42.484750172205125</v>
      </c>
      <c r="Q12" s="133">
        <f>IF(SER_hh_tesh!Q12=0,0,SER_hh_tesh!Q12/SER_summary!Q$26)</f>
        <v>307.77076110975895</v>
      </c>
      <c r="R12" s="133">
        <f>IF(SER_hh_tesh!R12=0,0,SER_hh_tesh!R12/SER_summary!R$26)</f>
        <v>190.48410444870999</v>
      </c>
      <c r="S12" s="133">
        <f>IF(SER_hh_tesh!S12=0,0,SER_hh_tesh!S12/SER_summary!S$26)</f>
        <v>42.988056236291747</v>
      </c>
      <c r="T12" s="133">
        <f>IF(SER_hh_tesh!T12=0,0,SER_hh_tesh!T12/SER_summary!T$26)</f>
        <v>81.694787230840717</v>
      </c>
      <c r="U12" s="133">
        <f>IF(SER_hh_tesh!U12=0,0,SER_hh_tesh!U12/SER_summary!U$26)</f>
        <v>266.41964746351726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49.375999345211</v>
      </c>
      <c r="C13" s="133">
        <f>IF(SER_hh_tesh!C13=0,0,SER_hh_tesh!C13/SER_summary!C$26)</f>
        <v>70.602109547951798</v>
      </c>
      <c r="D13" s="133">
        <f>IF(SER_hh_tesh!D13=0,0,SER_hh_tesh!D13/SER_summary!D$26)</f>
        <v>79.997626513392817</v>
      </c>
      <c r="E13" s="133">
        <f>IF(SER_hh_tesh!E13=0,0,SER_hh_tesh!E13/SER_summary!E$26)</f>
        <v>95.870683611480743</v>
      </c>
      <c r="F13" s="133">
        <f>IF(SER_hh_tesh!F13=0,0,SER_hh_tesh!F13/SER_summary!F$26)</f>
        <v>86.680449129769684</v>
      </c>
      <c r="G13" s="133">
        <f>IF(SER_hh_tesh!G13=0,0,SER_hh_tesh!G13/SER_summary!G$26)</f>
        <v>91.06800021334378</v>
      </c>
      <c r="H13" s="133">
        <f>IF(SER_hh_tesh!H13=0,0,SER_hh_tesh!H13/SER_summary!H$26)</f>
        <v>73.303508867512804</v>
      </c>
      <c r="I13" s="133">
        <f>IF(SER_hh_tesh!I13=0,0,SER_hh_tesh!I13/SER_summary!I$26)</f>
        <v>72.013822551712224</v>
      </c>
      <c r="J13" s="133">
        <f>IF(SER_hh_tesh!J13=0,0,SER_hh_tesh!J13/SER_summary!J$26)</f>
        <v>80.025957680928698</v>
      </c>
      <c r="K13" s="133">
        <f>IF(SER_hh_tesh!K13=0,0,SER_hh_tesh!K13/SER_summary!K$26)</f>
        <v>86.62421143530166</v>
      </c>
      <c r="L13" s="133">
        <f>IF(SER_hh_tesh!L13=0,0,SER_hh_tesh!L13/SER_summary!L$26)</f>
        <v>90.659632144281076</v>
      </c>
      <c r="M13" s="133">
        <f>IF(SER_hh_tesh!M13=0,0,SER_hh_tesh!M13/SER_summary!M$26)</f>
        <v>108.29692233063591</v>
      </c>
      <c r="N13" s="133">
        <f>IF(SER_hh_tesh!N13=0,0,SER_hh_tesh!N13/SER_summary!N$26)</f>
        <v>126.62622638067846</v>
      </c>
      <c r="O13" s="133">
        <f>IF(SER_hh_tesh!O13=0,0,SER_hh_tesh!O13/SER_summary!O$26)</f>
        <v>131.21807387121876</v>
      </c>
      <c r="P13" s="133">
        <f>IF(SER_hh_tesh!P13=0,0,SER_hh_tesh!P13/SER_summary!P$26)</f>
        <v>151.8956139906565</v>
      </c>
      <c r="Q13" s="133">
        <f>IF(SER_hh_tesh!Q13=0,0,SER_hh_tesh!Q13/SER_summary!Q$26)</f>
        <v>170.75018930587456</v>
      </c>
      <c r="R13" s="133">
        <f>IF(SER_hh_tesh!R13=0,0,SER_hh_tesh!R13/SER_summary!R$26)</f>
        <v>164.3208936434776</v>
      </c>
      <c r="S13" s="133">
        <f>IF(SER_hh_tesh!S13=0,0,SER_hh_tesh!S13/SER_summary!S$26)</f>
        <v>160.23092839638147</v>
      </c>
      <c r="T13" s="133">
        <f>IF(SER_hh_tesh!T13=0,0,SER_hh_tesh!T13/SER_summary!T$26)</f>
        <v>144.66546442569086</v>
      </c>
      <c r="U13" s="133">
        <f>IF(SER_hh_tesh!U13=0,0,SER_hh_tesh!U13/SER_summary!U$26)</f>
        <v>126.02145491889547</v>
      </c>
      <c r="V13" s="133">
        <f>IF(SER_hh_tesh!V13=0,0,SER_hh_tesh!V13/SER_summary!V$26)</f>
        <v>122.32625273538878</v>
      </c>
      <c r="W13" s="133">
        <f>IF(SER_hh_tesh!W13=0,0,SER_hh_tesh!W13/SER_summary!W$26)</f>
        <v>126.42611313400846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62.862180140706904</v>
      </c>
      <c r="C14" s="65">
        <f>IF(SER_hh_tesh!C14=0,0,SER_hh_tesh!C14/SER_summary!C$26)</f>
        <v>71.432700406989213</v>
      </c>
      <c r="D14" s="65">
        <f>IF(SER_hh_tesh!D14=0,0,SER_hh_tesh!D14/SER_summary!D$26)</f>
        <v>87.042565680219639</v>
      </c>
      <c r="E14" s="65">
        <f>IF(SER_hh_tesh!E14=0,0,SER_hh_tesh!E14/SER_summary!E$26)</f>
        <v>83.916816810825452</v>
      </c>
      <c r="F14" s="65">
        <f>IF(SER_hh_tesh!F14=0,0,SER_hh_tesh!F14/SER_summary!F$26)</f>
        <v>87.867501478607252</v>
      </c>
      <c r="G14" s="65">
        <f>IF(SER_hh_tesh!G14=0,0,SER_hh_tesh!G14/SER_summary!G$26)</f>
        <v>142.8044651787836</v>
      </c>
      <c r="H14" s="65">
        <f>IF(SER_hh_tesh!H14=0,0,SER_hh_tesh!H14/SER_summary!H$26)</f>
        <v>84.961878533608299</v>
      </c>
      <c r="I14" s="65">
        <f>IF(SER_hh_tesh!I14=0,0,SER_hh_tesh!I14/SER_summary!I$26)</f>
        <v>82.163452551217887</v>
      </c>
      <c r="J14" s="65">
        <f>IF(SER_hh_tesh!J14=0,0,SER_hh_tesh!J14/SER_summary!J$26)</f>
        <v>71.766692775271991</v>
      </c>
      <c r="K14" s="65">
        <f>IF(SER_hh_tesh!K14=0,0,SER_hh_tesh!K14/SER_summary!K$26)</f>
        <v>52.878265286638786</v>
      </c>
      <c r="L14" s="65">
        <f>IF(SER_hh_tesh!L14=0,0,SER_hh_tesh!L14/SER_summary!L$26)</f>
        <v>124.19452540944094</v>
      </c>
      <c r="M14" s="65">
        <f>IF(SER_hh_tesh!M14=0,0,SER_hh_tesh!M14/SER_summary!M$26)</f>
        <v>132.586659019721</v>
      </c>
      <c r="N14" s="65">
        <f>IF(SER_hh_tesh!N14=0,0,SER_hh_tesh!N14/SER_summary!N$26)</f>
        <v>135.09238716288365</v>
      </c>
      <c r="O14" s="65">
        <f>IF(SER_hh_tesh!O14=0,0,SER_hh_tesh!O14/SER_summary!O$26)</f>
        <v>138.62544427991591</v>
      </c>
      <c r="P14" s="65">
        <f>IF(SER_hh_tesh!P14=0,0,SER_hh_tesh!P14/SER_summary!P$26)</f>
        <v>151.72140888128408</v>
      </c>
      <c r="Q14" s="65">
        <f>IF(SER_hh_tesh!Q14=0,0,SER_hh_tesh!Q14/SER_summary!Q$26)</f>
        <v>167.57470552861383</v>
      </c>
      <c r="R14" s="65">
        <f>IF(SER_hh_tesh!R14=0,0,SER_hh_tesh!R14/SER_summary!R$26)</f>
        <v>152.62207205382387</v>
      </c>
      <c r="S14" s="65">
        <f>IF(SER_hh_tesh!S14=0,0,SER_hh_tesh!S14/SER_summary!S$26)</f>
        <v>169.88922161878938</v>
      </c>
      <c r="T14" s="65">
        <f>IF(SER_hh_tesh!T14=0,0,SER_hh_tesh!T14/SER_summary!T$26)</f>
        <v>154.06693318405411</v>
      </c>
      <c r="U14" s="65">
        <f>IF(SER_hh_tesh!U14=0,0,SER_hh_tesh!U14/SER_summary!U$26)</f>
        <v>148.53592781498017</v>
      </c>
      <c r="V14" s="65">
        <f>IF(SER_hh_tesh!V14=0,0,SER_hh_tesh!V14/SER_summary!V$26)</f>
        <v>112.80872119094441</v>
      </c>
      <c r="W14" s="65">
        <f>IF(SER_hh_tesh!W14=0,0,SER_hh_tesh!W14/SER_summary!W$26)</f>
        <v>119.91878010829588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1.3605221167261699</v>
      </c>
      <c r="C15" s="135">
        <f>IF(SER_hh_tesh!C15=0,0,SER_hh_tesh!C15/SER_summary!C$26)</f>
        <v>1.3265285304464203</v>
      </c>
      <c r="D15" s="135">
        <f>IF(SER_hh_tesh!D15=0,0,SER_hh_tesh!D15/SER_summary!D$26)</f>
        <v>1.4916001220735389</v>
      </c>
      <c r="E15" s="135">
        <f>IF(SER_hh_tesh!E15=0,0,SER_hh_tesh!E15/SER_summary!E$26)</f>
        <v>1.8113411321488078</v>
      </c>
      <c r="F15" s="135">
        <f>IF(SER_hh_tesh!F15=0,0,SER_hh_tesh!F15/SER_summary!F$26)</f>
        <v>2.022456604664387</v>
      </c>
      <c r="G15" s="135">
        <f>IF(SER_hh_tesh!G15=0,0,SER_hh_tesh!G15/SER_summary!G$26)</f>
        <v>1.7380790005416626</v>
      </c>
      <c r="H15" s="135">
        <f>IF(SER_hh_tesh!H15=0,0,SER_hh_tesh!H15/SER_summary!H$26)</f>
        <v>1.4270250500679094</v>
      </c>
      <c r="I15" s="135">
        <f>IF(SER_hh_tesh!I15=0,0,SER_hh_tesh!I15/SER_summary!I$26)</f>
        <v>1.5743597126283226</v>
      </c>
      <c r="J15" s="135">
        <f>IF(SER_hh_tesh!J15=0,0,SER_hh_tesh!J15/SER_summary!J$26)</f>
        <v>1.3808947198833506</v>
      </c>
      <c r="K15" s="135">
        <f>IF(SER_hh_tesh!K15=0,0,SER_hh_tesh!K15/SER_summary!K$26)</f>
        <v>0.99772134092329967</v>
      </c>
      <c r="L15" s="135">
        <f>IF(SER_hh_tesh!L15=0,0,SER_hh_tesh!L15/SER_summary!L$26)</f>
        <v>2.0145391657017293</v>
      </c>
      <c r="M15" s="135">
        <f>IF(SER_hh_tesh!M15=0,0,SER_hh_tesh!M15/SER_summary!M$26)</f>
        <v>1.297131896786474</v>
      </c>
      <c r="N15" s="135">
        <f>IF(SER_hh_tesh!N15=0,0,SER_hh_tesh!N15/SER_summary!N$26)</f>
        <v>1.9994411537066124</v>
      </c>
      <c r="O15" s="135">
        <f>IF(SER_hh_tesh!O15=0,0,SER_hh_tesh!O15/SER_summary!O$26)</f>
        <v>2.3870600918070966</v>
      </c>
      <c r="P15" s="135">
        <f>IF(SER_hh_tesh!P15=0,0,SER_hh_tesh!P15/SER_summary!P$26)</f>
        <v>2.4367372817777149</v>
      </c>
      <c r="Q15" s="135">
        <f>IF(SER_hh_tesh!Q15=0,0,SER_hh_tesh!Q15/SER_summary!Q$26)</f>
        <v>2.8764013468717615</v>
      </c>
      <c r="R15" s="135">
        <f>IF(SER_hh_tesh!R15=0,0,SER_hh_tesh!R15/SER_summary!R$26)</f>
        <v>2.8025707475264063</v>
      </c>
      <c r="S15" s="135">
        <f>IF(SER_hh_tesh!S15=0,0,SER_hh_tesh!S15/SER_summary!S$26)</f>
        <v>2.7372980150237076</v>
      </c>
      <c r="T15" s="135">
        <f>IF(SER_hh_tesh!T15=0,0,SER_hh_tesh!T15/SER_summary!T$26)</f>
        <v>1.9732641081425111</v>
      </c>
      <c r="U15" s="135">
        <f>IF(SER_hh_tesh!U15=0,0,SER_hh_tesh!U15/SER_summary!U$26)</f>
        <v>2.1265058203610514</v>
      </c>
      <c r="V15" s="135">
        <f>IF(SER_hh_tesh!V15=0,0,SER_hh_tesh!V15/SER_summary!V$26)</f>
        <v>1.7908618597307913</v>
      </c>
      <c r="W15" s="135">
        <f>IF(SER_hh_tesh!W15=0,0,SER_hh_tesh!W15/SER_summary!W$26)</f>
        <v>1.8983386423303299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77.487574945760954</v>
      </c>
      <c r="C16" s="131">
        <f>IF(SER_hh_tesh!C16=0,0,SER_hh_tesh!C16/SER_summary!C$26)</f>
        <v>87.619512047204793</v>
      </c>
      <c r="D16" s="131">
        <f>IF(SER_hh_tesh!D16=0,0,SER_hh_tesh!D16/SER_summary!D$26)</f>
        <v>68.755485081302211</v>
      </c>
      <c r="E16" s="131">
        <f>IF(SER_hh_tesh!E16=0,0,SER_hh_tesh!E16/SER_summary!E$26)</f>
        <v>105.75618262279943</v>
      </c>
      <c r="F16" s="131">
        <f>IF(SER_hh_tesh!F16=0,0,SER_hh_tesh!F16/SER_summary!F$26)</f>
        <v>55.988534597802413</v>
      </c>
      <c r="G16" s="131">
        <f>IF(SER_hh_tesh!G16=0,0,SER_hh_tesh!G16/SER_summary!G$26)</f>
        <v>55.92651635327865</v>
      </c>
      <c r="H16" s="131">
        <f>IF(SER_hh_tesh!H16=0,0,SER_hh_tesh!H16/SER_summary!H$26)</f>
        <v>77.084903724352017</v>
      </c>
      <c r="I16" s="131">
        <f>IF(SER_hh_tesh!I16=0,0,SER_hh_tesh!I16/SER_summary!I$26)</f>
        <v>80.966588410216602</v>
      </c>
      <c r="J16" s="131">
        <f>IF(SER_hh_tesh!J16=0,0,SER_hh_tesh!J16/SER_summary!J$26)</f>
        <v>70.51312116113823</v>
      </c>
      <c r="K16" s="131">
        <f>IF(SER_hh_tesh!K16=0,0,SER_hh_tesh!K16/SER_summary!K$26)</f>
        <v>73.646855290063499</v>
      </c>
      <c r="L16" s="131">
        <f>IF(SER_hh_tesh!L16=0,0,SER_hh_tesh!L16/SER_summary!L$26)</f>
        <v>60.886072337715817</v>
      </c>
      <c r="M16" s="131">
        <f>IF(SER_hh_tesh!M16=0,0,SER_hh_tesh!M16/SER_summary!M$26)</f>
        <v>66.833874986872303</v>
      </c>
      <c r="N16" s="131">
        <f>IF(SER_hh_tesh!N16=0,0,SER_hh_tesh!N16/SER_summary!N$26)</f>
        <v>118.16610993268723</v>
      </c>
      <c r="O16" s="131">
        <f>IF(SER_hh_tesh!O16=0,0,SER_hh_tesh!O16/SER_summary!O$26)</f>
        <v>84.630415307227778</v>
      </c>
      <c r="P16" s="131">
        <f>IF(SER_hh_tesh!P16=0,0,SER_hh_tesh!P16/SER_summary!P$26)</f>
        <v>88.637495954883988</v>
      </c>
      <c r="Q16" s="131">
        <f>IF(SER_hh_tesh!Q16=0,0,SER_hh_tesh!Q16/SER_summary!Q$26)</f>
        <v>96.616887424285821</v>
      </c>
      <c r="R16" s="131">
        <f>IF(SER_hh_tesh!R16=0,0,SER_hh_tesh!R16/SER_summary!R$26)</f>
        <v>81.583660347112428</v>
      </c>
      <c r="S16" s="131">
        <f>IF(SER_hh_tesh!S16=0,0,SER_hh_tesh!S16/SER_summary!S$26)</f>
        <v>98.014615322867115</v>
      </c>
      <c r="T16" s="131">
        <f>IF(SER_hh_tesh!T16=0,0,SER_hh_tesh!T16/SER_summary!T$26)</f>
        <v>88.469677088642797</v>
      </c>
      <c r="U16" s="131">
        <f>IF(SER_hh_tesh!U16=0,0,SER_hh_tesh!U16/SER_summary!U$26)</f>
        <v>122.82067468764517</v>
      </c>
      <c r="V16" s="131">
        <f>IF(SER_hh_tesh!V16=0,0,SER_hh_tesh!V16/SER_summary!V$26)</f>
        <v>98.471146929317882</v>
      </c>
      <c r="W16" s="131">
        <f>IF(SER_hh_tesh!W16=0,0,SER_hh_tesh!W16/SER_summary!W$26)</f>
        <v>126.78959649973551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77.487574945760954</v>
      </c>
      <c r="C18" s="133">
        <f>IF(SER_hh_tesh!C18=0,0,SER_hh_tesh!C18/SER_summary!C$26)</f>
        <v>87.619512047204793</v>
      </c>
      <c r="D18" s="133">
        <f>IF(SER_hh_tesh!D18=0,0,SER_hh_tesh!D18/SER_summary!D$26)</f>
        <v>68.755485081302211</v>
      </c>
      <c r="E18" s="133">
        <f>IF(SER_hh_tesh!E18=0,0,SER_hh_tesh!E18/SER_summary!E$26)</f>
        <v>105.75618262279943</v>
      </c>
      <c r="F18" s="133">
        <f>IF(SER_hh_tesh!F18=0,0,SER_hh_tesh!F18/SER_summary!F$26)</f>
        <v>55.988534597802413</v>
      </c>
      <c r="G18" s="133">
        <f>IF(SER_hh_tesh!G18=0,0,SER_hh_tesh!G18/SER_summary!G$26)</f>
        <v>55.92651635327865</v>
      </c>
      <c r="H18" s="133">
        <f>IF(SER_hh_tesh!H18=0,0,SER_hh_tesh!H18/SER_summary!H$26)</f>
        <v>77.084903724352017</v>
      </c>
      <c r="I18" s="133">
        <f>IF(SER_hh_tesh!I18=0,0,SER_hh_tesh!I18/SER_summary!I$26)</f>
        <v>80.966588410216602</v>
      </c>
      <c r="J18" s="133">
        <f>IF(SER_hh_tesh!J18=0,0,SER_hh_tesh!J18/SER_summary!J$26)</f>
        <v>70.51312116113823</v>
      </c>
      <c r="K18" s="133">
        <f>IF(SER_hh_tesh!K18=0,0,SER_hh_tesh!K18/SER_summary!K$26)</f>
        <v>73.646855290063499</v>
      </c>
      <c r="L18" s="133">
        <f>IF(SER_hh_tesh!L18=0,0,SER_hh_tesh!L18/SER_summary!L$26)</f>
        <v>60.886072337715817</v>
      </c>
      <c r="M18" s="133">
        <f>IF(SER_hh_tesh!M18=0,0,SER_hh_tesh!M18/SER_summary!M$26)</f>
        <v>66.833874986872303</v>
      </c>
      <c r="N18" s="133">
        <f>IF(SER_hh_tesh!N18=0,0,SER_hh_tesh!N18/SER_summary!N$26)</f>
        <v>118.16610993268723</v>
      </c>
      <c r="O18" s="133">
        <f>IF(SER_hh_tesh!O18=0,0,SER_hh_tesh!O18/SER_summary!O$26)</f>
        <v>84.630415307227778</v>
      </c>
      <c r="P18" s="133">
        <f>IF(SER_hh_tesh!P18=0,0,SER_hh_tesh!P18/SER_summary!P$26)</f>
        <v>88.637495954883988</v>
      </c>
      <c r="Q18" s="133">
        <f>IF(SER_hh_tesh!Q18=0,0,SER_hh_tesh!Q18/SER_summary!Q$26)</f>
        <v>96.616887424285821</v>
      </c>
      <c r="R18" s="133">
        <f>IF(SER_hh_tesh!R18=0,0,SER_hh_tesh!R18/SER_summary!R$26)</f>
        <v>81.583660347112428</v>
      </c>
      <c r="S18" s="133">
        <f>IF(SER_hh_tesh!S18=0,0,SER_hh_tesh!S18/SER_summary!S$26)</f>
        <v>98.014615322867115</v>
      </c>
      <c r="T18" s="133">
        <f>IF(SER_hh_tesh!T18=0,0,SER_hh_tesh!T18/SER_summary!T$26)</f>
        <v>88.469677088642797</v>
      </c>
      <c r="U18" s="133">
        <f>IF(SER_hh_tesh!U18=0,0,SER_hh_tesh!U18/SER_summary!U$26)</f>
        <v>122.82067468764517</v>
      </c>
      <c r="V18" s="133">
        <f>IF(SER_hh_tesh!V18=0,0,SER_hh_tesh!V18/SER_summary!V$26)</f>
        <v>98.471146929317882</v>
      </c>
      <c r="W18" s="133">
        <f>IF(SER_hh_tesh!W18=0,0,SER_hh_tesh!W18/SER_summary!W$26)</f>
        <v>126.78959649973551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29.464630789443653</v>
      </c>
      <c r="C19" s="131">
        <f>IF(SER_hh_tesh!C19=0,0,SER_hh_tesh!C19/SER_summary!C$26)</f>
        <v>28.208392972844656</v>
      </c>
      <c r="D19" s="131">
        <f>IF(SER_hh_tesh!D19=0,0,SER_hh_tesh!D19/SER_summary!D$26)</f>
        <v>28.932406081680512</v>
      </c>
      <c r="E19" s="131">
        <f>IF(SER_hh_tesh!E19=0,0,SER_hh_tesh!E19/SER_summary!E$26)</f>
        <v>29.093953247673348</v>
      </c>
      <c r="F19" s="131">
        <f>IF(SER_hh_tesh!F19=0,0,SER_hh_tesh!F19/SER_summary!F$26)</f>
        <v>29.87703460177017</v>
      </c>
      <c r="G19" s="131">
        <f>IF(SER_hh_tesh!G19=0,0,SER_hh_tesh!G19/SER_summary!G$26)</f>
        <v>29.554119022693008</v>
      </c>
      <c r="H19" s="131">
        <f>IF(SER_hh_tesh!H19=0,0,SER_hh_tesh!H19/SER_summary!H$26)</f>
        <v>29.476861352065228</v>
      </c>
      <c r="I19" s="131">
        <f>IF(SER_hh_tesh!I19=0,0,SER_hh_tesh!I19/SER_summary!I$26)</f>
        <v>29.143364016390635</v>
      </c>
      <c r="J19" s="131">
        <f>IF(SER_hh_tesh!J19=0,0,SER_hh_tesh!J19/SER_summary!J$26)</f>
        <v>28.428308422985985</v>
      </c>
      <c r="K19" s="131">
        <f>IF(SER_hh_tesh!K19=0,0,SER_hh_tesh!K19/SER_summary!K$26)</f>
        <v>28.788438185881702</v>
      </c>
      <c r="L19" s="131">
        <f>IF(SER_hh_tesh!L19=0,0,SER_hh_tesh!L19/SER_summary!L$26)</f>
        <v>29.530007096606635</v>
      </c>
      <c r="M19" s="131">
        <f>IF(SER_hh_tesh!M19=0,0,SER_hh_tesh!M19/SER_summary!M$26)</f>
        <v>29.834076547938675</v>
      </c>
      <c r="N19" s="131">
        <f>IF(SER_hh_tesh!N19=0,0,SER_hh_tesh!N19/SER_summary!N$26)</f>
        <v>29.046718258321025</v>
      </c>
      <c r="O19" s="131">
        <f>IF(SER_hh_tesh!O19=0,0,SER_hh_tesh!O19/SER_summary!O$26)</f>
        <v>29.390630849055395</v>
      </c>
      <c r="P19" s="131">
        <f>IF(SER_hh_tesh!P19=0,0,SER_hh_tesh!P19/SER_summary!P$26)</f>
        <v>29.071404966879676</v>
      </c>
      <c r="Q19" s="131">
        <f>IF(SER_hh_tesh!Q19=0,0,SER_hh_tesh!Q19/SER_summary!Q$26)</f>
        <v>28.926203653019343</v>
      </c>
      <c r="R19" s="131">
        <f>IF(SER_hh_tesh!R19=0,0,SER_hh_tesh!R19/SER_summary!R$26)</f>
        <v>28.871649577225018</v>
      </c>
      <c r="S19" s="131">
        <f>IF(SER_hh_tesh!S19=0,0,SER_hh_tesh!S19/SER_summary!S$26)</f>
        <v>28.655355832840698</v>
      </c>
      <c r="T19" s="131">
        <f>IF(SER_hh_tesh!T19=0,0,SER_hh_tesh!T19/SER_summary!T$26)</f>
        <v>28.506414273374638</v>
      </c>
      <c r="U19" s="131">
        <f>IF(SER_hh_tesh!U19=0,0,SER_hh_tesh!U19/SER_summary!U$26)</f>
        <v>28.554455583953068</v>
      </c>
      <c r="V19" s="131">
        <f>IF(SER_hh_tesh!V19=0,0,SER_hh_tesh!V19/SER_summary!V$26)</f>
        <v>27.400145439397832</v>
      </c>
      <c r="W19" s="131">
        <f>IF(SER_hh_tesh!W19=0,0,SER_hh_tesh!W19/SER_summary!W$26)</f>
        <v>28.306558739025451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29.898652895679188</v>
      </c>
      <c r="C21" s="133">
        <f>IF(SER_hh_tesh!C21=0,0,SER_hh_tesh!C21/SER_summary!C$26)</f>
        <v>29.749225471743049</v>
      </c>
      <c r="D21" s="133">
        <f>IF(SER_hh_tesh!D21=0,0,SER_hh_tesh!D21/SER_summary!D$26)</f>
        <v>30.359803831131408</v>
      </c>
      <c r="E21" s="133">
        <f>IF(SER_hh_tesh!E21=0,0,SER_hh_tesh!E21/SER_summary!E$26)</f>
        <v>26.215191194279832</v>
      </c>
      <c r="F21" s="133">
        <f>IF(SER_hh_tesh!F21=0,0,SER_hh_tesh!F21/SER_summary!F$26)</f>
        <v>22.975906253129494</v>
      </c>
      <c r="G21" s="133">
        <f>IF(SER_hh_tesh!G21=0,0,SER_hh_tesh!G21/SER_summary!G$26)</f>
        <v>19.702807811876166</v>
      </c>
      <c r="H21" s="133">
        <f>IF(SER_hh_tesh!H21=0,0,SER_hh_tesh!H21/SER_summary!H$26)</f>
        <v>44.086584385017339</v>
      </c>
      <c r="I21" s="133">
        <f>IF(SER_hh_tesh!I21=0,0,SER_hh_tesh!I21/SER_summary!I$26)</f>
        <v>53.824433547027091</v>
      </c>
      <c r="J21" s="133">
        <f>IF(SER_hh_tesh!J21=0,0,SER_hh_tesh!J21/SER_summary!J$26)</f>
        <v>49.427550818499562</v>
      </c>
      <c r="K21" s="133">
        <f>IF(SER_hh_tesh!K21=0,0,SER_hh_tesh!K21/SER_summary!K$26)</f>
        <v>46.23557846385502</v>
      </c>
      <c r="L21" s="133">
        <f>IF(SER_hh_tesh!L21=0,0,SER_hh_tesh!L21/SER_summary!L$26)</f>
        <v>24.605925082171904</v>
      </c>
      <c r="M21" s="133">
        <f>IF(SER_hh_tesh!M21=0,0,SER_hh_tesh!M21/SER_summary!M$26)</f>
        <v>28.741970750075978</v>
      </c>
      <c r="N21" s="133">
        <f>IF(SER_hh_tesh!N21=0,0,SER_hh_tesh!N21/SER_summary!N$26)</f>
        <v>30.041249847886</v>
      </c>
      <c r="O21" s="133">
        <f>IF(SER_hh_tesh!O21=0,0,SER_hh_tesh!O21/SER_summary!O$26)</f>
        <v>23.833970900329504</v>
      </c>
      <c r="P21" s="133">
        <f>IF(SER_hh_tesh!P21=0,0,SER_hh_tesh!P21/SER_summary!P$26)</f>
        <v>25.895513500697984</v>
      </c>
      <c r="Q21" s="133">
        <f>IF(SER_hh_tesh!Q21=0,0,SER_hh_tesh!Q21/SER_summary!Q$26)</f>
        <v>27.43701158922515</v>
      </c>
      <c r="R21" s="133">
        <f>IF(SER_hh_tesh!R21=0,0,SER_hh_tesh!R21/SER_summary!R$26)</f>
        <v>23.915910275092525</v>
      </c>
      <c r="S21" s="133">
        <f>IF(SER_hh_tesh!S21=0,0,SER_hh_tesh!S21/SER_summary!S$26)</f>
        <v>26.871015011254489</v>
      </c>
      <c r="T21" s="133">
        <f>IF(SER_hh_tesh!T21=0,0,SER_hh_tesh!T21/SER_summary!T$26)</f>
        <v>32.485282394955384</v>
      </c>
      <c r="U21" s="133">
        <f>IF(SER_hh_tesh!U21=0,0,SER_hh_tesh!U21/SER_summary!U$26)</f>
        <v>31.88094403765022</v>
      </c>
      <c r="V21" s="133">
        <f>IF(SER_hh_tesh!V21=0,0,SER_hh_tesh!V21/SER_summary!V$26)</f>
        <v>26.424047117468003</v>
      </c>
      <c r="W21" s="133">
        <f>IF(SER_hh_tesh!W21=0,0,SER_hh_tesh!W21/SER_summary!W$26)</f>
        <v>31.448788031995829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0</v>
      </c>
      <c r="C22" s="133">
        <f>IF(SER_hh_tesh!C22=0,0,SER_hh_tesh!C22/SER_summary!C$26)</f>
        <v>0</v>
      </c>
      <c r="D22" s="133">
        <f>IF(SER_hh_tesh!D22=0,0,SER_hh_tesh!D22/SER_summary!D$26)</f>
        <v>0</v>
      </c>
      <c r="E22" s="133">
        <f>IF(SER_hh_tesh!E22=0,0,SER_hh_tesh!E22/SER_summary!E$26)</f>
        <v>0</v>
      </c>
      <c r="F22" s="133">
        <f>IF(SER_hh_tesh!F22=0,0,SER_hh_tesh!F22/SER_summary!F$26)</f>
        <v>0</v>
      </c>
      <c r="G22" s="133">
        <f>IF(SER_hh_tesh!G22=0,0,SER_hh_tesh!G22/SER_summary!G$26)</f>
        <v>0</v>
      </c>
      <c r="H22" s="133">
        <f>IF(SER_hh_tesh!H22=0,0,SER_hh_tesh!H22/SER_summary!H$26)</f>
        <v>0</v>
      </c>
      <c r="I22" s="133">
        <f>IF(SER_hh_tesh!I22=0,0,SER_hh_tesh!I22/SER_summary!I$26)</f>
        <v>0</v>
      </c>
      <c r="J22" s="133">
        <f>IF(SER_hh_tesh!J22=0,0,SER_hh_tesh!J22/SER_summary!J$26)</f>
        <v>0</v>
      </c>
      <c r="K22" s="133">
        <f>IF(SER_hh_tesh!K22=0,0,SER_hh_tesh!K22/SER_summary!K$26)</f>
        <v>0</v>
      </c>
      <c r="L22" s="133">
        <f>IF(SER_hh_tesh!L22=0,0,SER_hh_tesh!L22/SER_summary!L$26)</f>
        <v>0</v>
      </c>
      <c r="M22" s="133">
        <f>IF(SER_hh_tesh!M22=0,0,SER_hh_tesh!M22/SER_summary!M$26)</f>
        <v>0</v>
      </c>
      <c r="N22" s="133">
        <f>IF(SER_hh_tesh!N22=0,0,SER_hh_tesh!N22/SER_summary!N$26)</f>
        <v>0</v>
      </c>
      <c r="O22" s="133">
        <f>IF(SER_hh_tesh!O22=0,0,SER_hh_tesh!O22/SER_summary!O$26)</f>
        <v>0</v>
      </c>
      <c r="P22" s="133">
        <f>IF(SER_hh_tesh!P22=0,0,SER_hh_tesh!P22/SER_summary!P$26)</f>
        <v>0</v>
      </c>
      <c r="Q22" s="133">
        <f>IF(SER_hh_tesh!Q22=0,0,SER_hh_tesh!Q22/SER_summary!Q$26)</f>
        <v>0</v>
      </c>
      <c r="R22" s="133">
        <f>IF(SER_hh_tesh!R22=0,0,SER_hh_tesh!R22/SER_summary!R$26)</f>
        <v>0</v>
      </c>
      <c r="S22" s="133">
        <f>IF(SER_hh_tesh!S22=0,0,SER_hh_tesh!S22/SER_summary!S$26)</f>
        <v>0</v>
      </c>
      <c r="T22" s="133">
        <f>IF(SER_hh_tesh!T22=0,0,SER_hh_tesh!T22/SER_summary!T$26)</f>
        <v>0</v>
      </c>
      <c r="U22" s="133">
        <f>IF(SER_hh_tesh!U22=0,0,SER_hh_tesh!U22/SER_summary!U$26)</f>
        <v>0</v>
      </c>
      <c r="V22" s="133">
        <f>IF(SER_hh_tesh!V22=0,0,SER_hh_tesh!V22/SER_summary!V$26)</f>
        <v>0</v>
      </c>
      <c r="W22" s="133">
        <f>IF(SER_hh_tesh!W22=0,0,SER_hh_tesh!W22/SER_summary!W$26)</f>
        <v>0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0</v>
      </c>
      <c r="C23" s="133">
        <f>IF(SER_hh_tesh!C23=0,0,SER_hh_tesh!C23/SER_summary!C$26)</f>
        <v>0</v>
      </c>
      <c r="D23" s="133">
        <f>IF(SER_hh_tesh!D23=0,0,SER_hh_tesh!D23/SER_summary!D$26)</f>
        <v>0</v>
      </c>
      <c r="E23" s="133">
        <f>IF(SER_hh_tesh!E23=0,0,SER_hh_tesh!E23/SER_summary!E$26)</f>
        <v>0</v>
      </c>
      <c r="F23" s="133">
        <f>IF(SER_hh_tesh!F23=0,0,SER_hh_tesh!F23/SER_summary!F$26)</f>
        <v>0</v>
      </c>
      <c r="G23" s="133">
        <f>IF(SER_hh_tesh!G23=0,0,SER_hh_tesh!G23/SER_summary!G$26)</f>
        <v>0</v>
      </c>
      <c r="H23" s="133">
        <f>IF(SER_hh_tesh!H23=0,0,SER_hh_tesh!H23/SER_summary!H$26)</f>
        <v>0</v>
      </c>
      <c r="I23" s="133">
        <f>IF(SER_hh_tesh!I23=0,0,SER_hh_tesh!I23/SER_summary!I$26)</f>
        <v>0</v>
      </c>
      <c r="J23" s="133">
        <f>IF(SER_hh_tesh!J23=0,0,SER_hh_tesh!J23/SER_summary!J$26)</f>
        <v>0</v>
      </c>
      <c r="K23" s="133">
        <f>IF(SER_hh_tesh!K23=0,0,SER_hh_tesh!K23/SER_summary!K$26)</f>
        <v>0</v>
      </c>
      <c r="L23" s="133">
        <f>IF(SER_hh_tesh!L23=0,0,SER_hh_tesh!L23/SER_summary!L$26)</f>
        <v>0</v>
      </c>
      <c r="M23" s="133">
        <f>IF(SER_hh_tesh!M23=0,0,SER_hh_tesh!M23/SER_summary!M$26)</f>
        <v>0</v>
      </c>
      <c r="N23" s="133">
        <f>IF(SER_hh_tesh!N23=0,0,SER_hh_tesh!N23/SER_summary!N$26)</f>
        <v>0</v>
      </c>
      <c r="O23" s="133">
        <f>IF(SER_hh_tesh!O23=0,0,SER_hh_tesh!O23/SER_summary!O$26)</f>
        <v>0</v>
      </c>
      <c r="P23" s="133">
        <f>IF(SER_hh_tesh!P23=0,0,SER_hh_tesh!P23/SER_summary!P$26)</f>
        <v>0</v>
      </c>
      <c r="Q23" s="133">
        <f>IF(SER_hh_tesh!Q23=0,0,SER_hh_tesh!Q23/SER_summary!Q$26)</f>
        <v>0</v>
      </c>
      <c r="R23" s="133">
        <f>IF(SER_hh_tesh!R23=0,0,SER_hh_tesh!R23/SER_summary!R$26)</f>
        <v>0</v>
      </c>
      <c r="S23" s="133">
        <f>IF(SER_hh_tesh!S23=0,0,SER_hh_tesh!S23/SER_summary!S$26)</f>
        <v>0</v>
      </c>
      <c r="T23" s="133">
        <f>IF(SER_hh_tesh!T23=0,0,SER_hh_tesh!T23/SER_summary!T$26)</f>
        <v>0</v>
      </c>
      <c r="U23" s="133">
        <f>IF(SER_hh_tesh!U23=0,0,SER_hh_tesh!U23/SER_summary!U$26)</f>
        <v>0</v>
      </c>
      <c r="V23" s="133">
        <f>IF(SER_hh_tesh!V23=0,0,SER_hh_tesh!V23/SER_summary!V$26)</f>
        <v>0</v>
      </c>
      <c r="W23" s="133">
        <f>IF(SER_hh_tesh!W23=0,0,SER_hh_tesh!W23/SER_summary!W$26)</f>
        <v>0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43.155310922135072</v>
      </c>
      <c r="N25" s="133">
        <f>IF(SER_hh_tesh!N25=0,0,SER_hh_tesh!N25/SER_summary!N$26)</f>
        <v>31.080015003706279</v>
      </c>
      <c r="O25" s="133">
        <f>IF(SER_hh_tesh!O25=0,0,SER_hh_tesh!O25/SER_summary!O$26)</f>
        <v>31.151129126291067</v>
      </c>
      <c r="P25" s="133">
        <f>IF(SER_hh_tesh!P25=0,0,SER_hh_tesh!P25/SER_summary!P$26)</f>
        <v>28.460928969957401</v>
      </c>
      <c r="Q25" s="133">
        <f>IF(SER_hh_tesh!Q25=0,0,SER_hh_tesh!Q25/SER_summary!Q$26)</f>
        <v>31.70298502268739</v>
      </c>
      <c r="R25" s="133">
        <f>IF(SER_hh_tesh!R25=0,0,SER_hh_tesh!R25/SER_summary!R$26)</f>
        <v>32.154858105033234</v>
      </c>
      <c r="S25" s="133">
        <f>IF(SER_hh_tesh!S25=0,0,SER_hh_tesh!S25/SER_summary!S$26)</f>
        <v>21.699592996476447</v>
      </c>
      <c r="T25" s="133">
        <f>IF(SER_hh_tesh!T25=0,0,SER_hh_tesh!T25/SER_summary!T$26)</f>
        <v>27.569134021963645</v>
      </c>
      <c r="U25" s="133">
        <f>IF(SER_hh_tesh!U25=0,0,SER_hh_tesh!U25/SER_summary!U$26)</f>
        <v>40.976972522181462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29.4337411457721</v>
      </c>
      <c r="C26" s="65">
        <f>IF(SER_hh_tesh!C26=0,0,SER_hh_tesh!C26/SER_summary!C$26)</f>
        <v>28.102154163671258</v>
      </c>
      <c r="D26" s="65">
        <f>IF(SER_hh_tesh!D26=0,0,SER_hh_tesh!D26/SER_summary!D$26)</f>
        <v>28.838514664758737</v>
      </c>
      <c r="E26" s="65">
        <f>IF(SER_hh_tesh!E26=0,0,SER_hh_tesh!E26/SER_summary!E$26)</f>
        <v>29.281804357600194</v>
      </c>
      <c r="F26" s="65">
        <f>IF(SER_hh_tesh!F26=0,0,SER_hh_tesh!F26/SER_summary!F$26)</f>
        <v>30.358414851353075</v>
      </c>
      <c r="G26" s="65">
        <f>IF(SER_hh_tesh!G26=0,0,SER_hh_tesh!G26/SER_summary!G$26)</f>
        <v>30.426382547171396</v>
      </c>
      <c r="H26" s="65">
        <f>IF(SER_hh_tesh!H26=0,0,SER_hh_tesh!H26/SER_summary!H$26)</f>
        <v>28.028670146889603</v>
      </c>
      <c r="I26" s="65">
        <f>IF(SER_hh_tesh!I26=0,0,SER_hh_tesh!I26/SER_summary!I$26)</f>
        <v>26.701947577622978</v>
      </c>
      <c r="J26" s="65">
        <f>IF(SER_hh_tesh!J26=0,0,SER_hh_tesh!J26/SER_summary!J$26)</f>
        <v>26.422937829040976</v>
      </c>
      <c r="K26" s="65">
        <f>IF(SER_hh_tesh!K26=0,0,SER_hh_tesh!K26/SER_summary!K$26)</f>
        <v>27.144193287848566</v>
      </c>
      <c r="L26" s="65">
        <f>IF(SER_hh_tesh!L26=0,0,SER_hh_tesh!L26/SER_summary!L$26)</f>
        <v>29.947109046868619</v>
      </c>
      <c r="M26" s="65">
        <f>IF(SER_hh_tesh!M26=0,0,SER_hh_tesh!M26/SER_summary!M$26)</f>
        <v>29.901355042222587</v>
      </c>
      <c r="N26" s="65">
        <f>IF(SER_hh_tesh!N26=0,0,SER_hh_tesh!N26/SER_summary!N$26)</f>
        <v>29.003882276038858</v>
      </c>
      <c r="O26" s="65">
        <f>IF(SER_hh_tesh!O26=0,0,SER_hh_tesh!O26/SER_summary!O$26)</f>
        <v>29.5502641134781</v>
      </c>
      <c r="P26" s="65">
        <f>IF(SER_hh_tesh!P26=0,0,SER_hh_tesh!P26/SER_summary!P$26)</f>
        <v>29.135680504333326</v>
      </c>
      <c r="Q26" s="65">
        <f>IF(SER_hh_tesh!Q26=0,0,SER_hh_tesh!Q26/SER_summary!Q$26)</f>
        <v>28.949044214108977</v>
      </c>
      <c r="R26" s="65">
        <f>IF(SER_hh_tesh!R26=0,0,SER_hh_tesh!R26/SER_summary!R$26)</f>
        <v>28.944782777215</v>
      </c>
      <c r="S26" s="65">
        <f>IF(SER_hh_tesh!S26=0,0,SER_hh_tesh!S26/SER_summary!S$26)</f>
        <v>28.685683197839971</v>
      </c>
      <c r="T26" s="65">
        <f>IF(SER_hh_tesh!T26=0,0,SER_hh_tesh!T26/SER_summary!T$26)</f>
        <v>28.433346817334492</v>
      </c>
      <c r="U26" s="65">
        <f>IF(SER_hh_tesh!U26=0,0,SER_hh_tesh!U26/SER_summary!U$26)</f>
        <v>28.490659671400692</v>
      </c>
      <c r="V26" s="65">
        <f>IF(SER_hh_tesh!V26=0,0,SER_hh_tesh!V26/SER_summary!V$26)</f>
        <v>27.417300545200618</v>
      </c>
      <c r="W26" s="65">
        <f>IF(SER_hh_tesh!W26=0,0,SER_hh_tesh!W26/SER_summary!W$26)</f>
        <v>28.253450177977854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46.152240235099669</v>
      </c>
      <c r="C29" s="131">
        <f>IF(SER_hh_tesh!C29=0,0,SER_hh_tesh!C29/SER_summary!C$26)</f>
        <v>46.056686565320838</v>
      </c>
      <c r="D29" s="131">
        <f>IF(SER_hh_tesh!D29=0,0,SER_hh_tesh!D29/SER_summary!D$26)</f>
        <v>47.275682257257706</v>
      </c>
      <c r="E29" s="131">
        <f>IF(SER_hh_tesh!E29=0,0,SER_hh_tesh!E29/SER_summary!E$26)</f>
        <v>48.483759067704639</v>
      </c>
      <c r="F29" s="131">
        <f>IF(SER_hh_tesh!F29=0,0,SER_hh_tesh!F29/SER_summary!F$26)</f>
        <v>49.678542087644239</v>
      </c>
      <c r="G29" s="131">
        <f>IF(SER_hh_tesh!G29=0,0,SER_hh_tesh!G29/SER_summary!G$26)</f>
        <v>48.600920988027276</v>
      </c>
      <c r="H29" s="131">
        <f>IF(SER_hh_tesh!H29=0,0,SER_hh_tesh!H29/SER_summary!H$26)</f>
        <v>48.239993299486237</v>
      </c>
      <c r="I29" s="131">
        <f>IF(SER_hh_tesh!I29=0,0,SER_hh_tesh!I29/SER_summary!I$26)</f>
        <v>47.718504830737551</v>
      </c>
      <c r="J29" s="131">
        <f>IF(SER_hh_tesh!J29=0,0,SER_hh_tesh!J29/SER_summary!J$26)</f>
        <v>46.420507897568655</v>
      </c>
      <c r="K29" s="131">
        <f>IF(SER_hh_tesh!K29=0,0,SER_hh_tesh!K29/SER_summary!K$26)</f>
        <v>47.032255865057202</v>
      </c>
      <c r="L29" s="131">
        <f>IF(SER_hh_tesh!L29=0,0,SER_hh_tesh!L29/SER_summary!L$26)</f>
        <v>47.512861234122425</v>
      </c>
      <c r="M29" s="131">
        <f>IF(SER_hh_tesh!M29=0,0,SER_hh_tesh!M29/SER_summary!M$26)</f>
        <v>47.519933951378704</v>
      </c>
      <c r="N29" s="131">
        <f>IF(SER_hh_tesh!N29=0,0,SER_hh_tesh!N29/SER_summary!N$26)</f>
        <v>46.535324086381578</v>
      </c>
      <c r="O29" s="131">
        <f>IF(SER_hh_tesh!O29=0,0,SER_hh_tesh!O29/SER_summary!O$26)</f>
        <v>46.079501003576219</v>
      </c>
      <c r="P29" s="131">
        <f>IF(SER_hh_tesh!P29=0,0,SER_hh_tesh!P29/SER_summary!P$26)</f>
        <v>46.267791752597724</v>
      </c>
      <c r="Q29" s="131">
        <f>IF(SER_hh_tesh!Q29=0,0,SER_hh_tesh!Q29/SER_summary!Q$26)</f>
        <v>46.301527375183518</v>
      </c>
      <c r="R29" s="131">
        <f>IF(SER_hh_tesh!R29=0,0,SER_hh_tesh!R29/SER_summary!R$26)</f>
        <v>46.326156540822062</v>
      </c>
      <c r="S29" s="131">
        <f>IF(SER_hh_tesh!S29=0,0,SER_hh_tesh!S29/SER_summary!S$26)</f>
        <v>45.73113491457061</v>
      </c>
      <c r="T29" s="131">
        <f>IF(SER_hh_tesh!T29=0,0,SER_hh_tesh!T29/SER_summary!T$26)</f>
        <v>45.944194549720777</v>
      </c>
      <c r="U29" s="131">
        <f>IF(SER_hh_tesh!U29=0,0,SER_hh_tesh!U29/SER_summary!U$26)</f>
        <v>46.167506805847729</v>
      </c>
      <c r="V29" s="131">
        <f>IF(SER_hh_tesh!V29=0,0,SER_hh_tesh!V29/SER_summary!V$26)</f>
        <v>42.632060085204543</v>
      </c>
      <c r="W29" s="131">
        <f>IF(SER_hh_tesh!W29=0,0,SER_hh_tesh!W29/SER_summary!W$26)</f>
        <v>44.362888528858747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46.489079675364046</v>
      </c>
      <c r="C30" s="133">
        <f>IF(SER_hh_tesh!C30=0,0,SER_hh_tesh!C30/SER_summary!C$26)</f>
        <v>43.346850693712547</v>
      </c>
      <c r="D30" s="133">
        <f>IF(SER_hh_tesh!D30=0,0,SER_hh_tesh!D30/SER_summary!D$26)</f>
        <v>51.189121971649101</v>
      </c>
      <c r="E30" s="133">
        <f>IF(SER_hh_tesh!E30=0,0,SER_hh_tesh!E30/SER_summary!E$26)</f>
        <v>49.161513255638667</v>
      </c>
      <c r="F30" s="133">
        <f>IF(SER_hh_tesh!F30=0,0,SER_hh_tesh!F30/SER_summary!F$26)</f>
        <v>42.943584086416706</v>
      </c>
      <c r="G30" s="133">
        <f>IF(SER_hh_tesh!G30=0,0,SER_hh_tesh!G30/SER_summary!G$26)</f>
        <v>37.724640600777896</v>
      </c>
      <c r="H30" s="133">
        <f>IF(SER_hh_tesh!H30=0,0,SER_hh_tesh!H30/SER_summary!H$26)</f>
        <v>48.330934269799172</v>
      </c>
      <c r="I30" s="133">
        <f>IF(SER_hh_tesh!I30=0,0,SER_hh_tesh!I30/SER_summary!I$26)</f>
        <v>41.919808125345284</v>
      </c>
      <c r="J30" s="133">
        <f>IF(SER_hh_tesh!J30=0,0,SER_hh_tesh!J30/SER_summary!J$26)</f>
        <v>46.374031556177258</v>
      </c>
      <c r="K30" s="133">
        <f>IF(SER_hh_tesh!K30=0,0,SER_hh_tesh!K30/SER_summary!K$26)</f>
        <v>57.387300318208567</v>
      </c>
      <c r="L30" s="133">
        <f>IF(SER_hh_tesh!L30=0,0,SER_hh_tesh!L30/SER_summary!L$26)</f>
        <v>43.400363426404972</v>
      </c>
      <c r="M30" s="133">
        <f>IF(SER_hh_tesh!M30=0,0,SER_hh_tesh!M30/SER_summary!M$26)</f>
        <v>48.597827209889303</v>
      </c>
      <c r="N30" s="133">
        <f>IF(SER_hh_tesh!N30=0,0,SER_hh_tesh!N30/SER_summary!N$26)</f>
        <v>46.850813683366574</v>
      </c>
      <c r="O30" s="133">
        <f>IF(SER_hh_tesh!O30=0,0,SER_hh_tesh!O30/SER_summary!O$26)</f>
        <v>45.315444836606126</v>
      </c>
      <c r="P30" s="133">
        <f>IF(SER_hh_tesh!P30=0,0,SER_hh_tesh!P30/SER_summary!P$26)</f>
        <v>44.745851010639221</v>
      </c>
      <c r="Q30" s="133">
        <f>IF(SER_hh_tesh!Q30=0,0,SER_hh_tesh!Q30/SER_summary!Q$26)</f>
        <v>49.399466768699099</v>
      </c>
      <c r="R30" s="133">
        <f>IF(SER_hh_tesh!R30=0,0,SER_hh_tesh!R30/SER_summary!R$26)</f>
        <v>40.293515392911083</v>
      </c>
      <c r="S30" s="133">
        <f>IF(SER_hh_tesh!S30=0,0,SER_hh_tesh!S30/SER_summary!S$26)</f>
        <v>43.435236901259657</v>
      </c>
      <c r="T30" s="133">
        <f>IF(SER_hh_tesh!T30=0,0,SER_hh_tesh!T30/SER_summary!T$26)</f>
        <v>50.839447717515462</v>
      </c>
      <c r="U30" s="133">
        <f>IF(SER_hh_tesh!U30=0,0,SER_hh_tesh!U30/SER_summary!U$26)</f>
        <v>52.164263986174639</v>
      </c>
      <c r="V30" s="133">
        <f>IF(SER_hh_tesh!V30=0,0,SER_hh_tesh!V30/SER_summary!V$26)</f>
        <v>35.024605934673403</v>
      </c>
      <c r="W30" s="133">
        <f>IF(SER_hh_tesh!W30=0,0,SER_hh_tesh!W30/SER_summary!W$26)</f>
        <v>38.510752963382359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0</v>
      </c>
      <c r="C31" s="133">
        <f>IF(SER_hh_tesh!C31=0,0,SER_hh_tesh!C31/SER_summary!C$26)</f>
        <v>0</v>
      </c>
      <c r="D31" s="133">
        <f>IF(SER_hh_tesh!D31=0,0,SER_hh_tesh!D31/SER_summary!D$26)</f>
        <v>0</v>
      </c>
      <c r="E31" s="133">
        <f>IF(SER_hh_tesh!E31=0,0,SER_hh_tesh!E31/SER_summary!E$26)</f>
        <v>0</v>
      </c>
      <c r="F31" s="133">
        <f>IF(SER_hh_tesh!F31=0,0,SER_hh_tesh!F31/SER_summary!F$26)</f>
        <v>0</v>
      </c>
      <c r="G31" s="133">
        <f>IF(SER_hh_tesh!G31=0,0,SER_hh_tesh!G31/SER_summary!G$26)</f>
        <v>0</v>
      </c>
      <c r="H31" s="133">
        <f>IF(SER_hh_tesh!H31=0,0,SER_hh_tesh!H31/SER_summary!H$26)</f>
        <v>0</v>
      </c>
      <c r="I31" s="133">
        <f>IF(SER_hh_tesh!I31=0,0,SER_hh_tesh!I31/SER_summary!I$26)</f>
        <v>0</v>
      </c>
      <c r="J31" s="133">
        <f>IF(SER_hh_tesh!J31=0,0,SER_hh_tesh!J31/SER_summary!J$26)</f>
        <v>0</v>
      </c>
      <c r="K31" s="133">
        <f>IF(SER_hh_tesh!K31=0,0,SER_hh_tesh!K31/SER_summary!K$26)</f>
        <v>0</v>
      </c>
      <c r="L31" s="133">
        <f>IF(SER_hh_tesh!L31=0,0,SER_hh_tesh!L31/SER_summary!L$26)</f>
        <v>0</v>
      </c>
      <c r="M31" s="133">
        <f>IF(SER_hh_tesh!M31=0,0,SER_hh_tesh!M31/SER_summary!M$26)</f>
        <v>0</v>
      </c>
      <c r="N31" s="133">
        <f>IF(SER_hh_tesh!N31=0,0,SER_hh_tesh!N31/SER_summary!N$26)</f>
        <v>0</v>
      </c>
      <c r="O31" s="133">
        <f>IF(SER_hh_tesh!O31=0,0,SER_hh_tesh!O31/SER_summary!O$26)</f>
        <v>0</v>
      </c>
      <c r="P31" s="133">
        <f>IF(SER_hh_tesh!P31=0,0,SER_hh_tesh!P31/SER_summary!P$26)</f>
        <v>0</v>
      </c>
      <c r="Q31" s="133">
        <f>IF(SER_hh_tesh!Q31=0,0,SER_hh_tesh!Q31/SER_summary!Q$26)</f>
        <v>0</v>
      </c>
      <c r="R31" s="133">
        <f>IF(SER_hh_tesh!R31=0,0,SER_hh_tesh!R31/SER_summary!R$26)</f>
        <v>0</v>
      </c>
      <c r="S31" s="133">
        <f>IF(SER_hh_tesh!S31=0,0,SER_hh_tesh!S31/SER_summary!S$26)</f>
        <v>0</v>
      </c>
      <c r="T31" s="133">
        <f>IF(SER_hh_tesh!T31=0,0,SER_hh_tesh!T31/SER_summary!T$26)</f>
        <v>0</v>
      </c>
      <c r="U31" s="133">
        <f>IF(SER_hh_tesh!U31=0,0,SER_hh_tesh!U31/SER_summary!U$26)</f>
        <v>0</v>
      </c>
      <c r="V31" s="133">
        <f>IF(SER_hh_tesh!V31=0,0,SER_hh_tesh!V31/SER_summary!V$26)</f>
        <v>0</v>
      </c>
      <c r="W31" s="133">
        <f>IF(SER_hh_tesh!W31=0,0,SER_hh_tesh!W31/SER_summary!W$26)</f>
        <v>0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46.131861994275816</v>
      </c>
      <c r="C33" s="68">
        <f>IF(SER_hh_tesh!C33=0,0,SER_hh_tesh!C33/SER_summary!C$26)</f>
        <v>46.220516456718421</v>
      </c>
      <c r="D33" s="68">
        <f>IF(SER_hh_tesh!D33=0,0,SER_hh_tesh!D33/SER_summary!D$26)</f>
        <v>47.028397063234848</v>
      </c>
      <c r="E33" s="68">
        <f>IF(SER_hh_tesh!E33=0,0,SER_hh_tesh!E33/SER_summary!E$26)</f>
        <v>48.441052617856656</v>
      </c>
      <c r="F33" s="68">
        <f>IF(SER_hh_tesh!F33=0,0,SER_hh_tesh!F33/SER_summary!F$26)</f>
        <v>50.140804601131684</v>
      </c>
      <c r="G33" s="68">
        <f>IF(SER_hh_tesh!G33=0,0,SER_hh_tesh!G33/SER_summary!G$26)</f>
        <v>49.495069305174958</v>
      </c>
      <c r="H33" s="68">
        <f>IF(SER_hh_tesh!H33=0,0,SER_hh_tesh!H33/SER_summary!H$26)</f>
        <v>48.229098773508802</v>
      </c>
      <c r="I33" s="68">
        <f>IF(SER_hh_tesh!I33=0,0,SER_hh_tesh!I33/SER_summary!I$26)</f>
        <v>48.726112890655934</v>
      </c>
      <c r="J33" s="68">
        <f>IF(SER_hh_tesh!J33=0,0,SER_hh_tesh!J33/SER_summary!J$26)</f>
        <v>46.431184703948013</v>
      </c>
      <c r="K33" s="68">
        <f>IF(SER_hh_tesh!K33=0,0,SER_hh_tesh!K33/SER_summary!K$26)</f>
        <v>43.965811404136929</v>
      </c>
      <c r="L33" s="68">
        <f>IF(SER_hh_tesh!L33=0,0,SER_hh_tesh!L33/SER_summary!L$26)</f>
        <v>48.746333586297624</v>
      </c>
      <c r="M33" s="68">
        <f>IF(SER_hh_tesh!M33=0,0,SER_hh_tesh!M33/SER_summary!M$26)</f>
        <v>47.190365581495904</v>
      </c>
      <c r="N33" s="68">
        <f>IF(SER_hh_tesh!N33=0,0,SER_hh_tesh!N33/SER_summary!N$26)</f>
        <v>46.444866123887174</v>
      </c>
      <c r="O33" s="68">
        <f>IF(SER_hh_tesh!O33=0,0,SER_hh_tesh!O33/SER_summary!O$26)</f>
        <v>46.299125979366949</v>
      </c>
      <c r="P33" s="68">
        <f>IF(SER_hh_tesh!P33=0,0,SER_hh_tesh!P33/SER_summary!P$26)</f>
        <v>46.694207560410412</v>
      </c>
      <c r="Q33" s="68">
        <f>IF(SER_hh_tesh!Q33=0,0,SER_hh_tesh!Q33/SER_summary!Q$26)</f>
        <v>45.405152545061348</v>
      </c>
      <c r="R33" s="68">
        <f>IF(SER_hh_tesh!R33=0,0,SER_hh_tesh!R33/SER_summary!R$26)</f>
        <v>48.120829716826918</v>
      </c>
      <c r="S33" s="68">
        <f>IF(SER_hh_tesh!S33=0,0,SER_hh_tesh!S33/SER_summary!S$26)</f>
        <v>46.52166955757275</v>
      </c>
      <c r="T33" s="68">
        <f>IF(SER_hh_tesh!T33=0,0,SER_hh_tesh!T33/SER_summary!T$26)</f>
        <v>44.049339168746023</v>
      </c>
      <c r="U33" s="68">
        <f>IF(SER_hh_tesh!U33=0,0,SER_hh_tesh!U33/SER_summary!U$26)</f>
        <v>43.824229409703037</v>
      </c>
      <c r="V33" s="68">
        <f>IF(SER_hh_tesh!V33=0,0,SER_hh_tesh!V33/SER_summary!V$26)</f>
        <v>45.503435887916154</v>
      </c>
      <c r="W33" s="68">
        <f>IF(SER_hh_tesh!W33=0,0,SER_hh_tesh!W33/SER_summary!W$26)</f>
        <v>46.512317843477724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24.164817267806047</v>
      </c>
      <c r="C3" s="126">
        <f>IF(SER_hh_emih!C3=0,0,SER_hh_emih!C3/SER_summary!C$26)</f>
        <v>23.064909164651905</v>
      </c>
      <c r="D3" s="126">
        <f>IF(SER_hh_emih!D3=0,0,SER_hh_emih!D3/SER_summary!D$26)</f>
        <v>25.722300709010032</v>
      </c>
      <c r="E3" s="126">
        <f>IF(SER_hh_emih!E3=0,0,SER_hh_emih!E3/SER_summary!E$26)</f>
        <v>29.741727881586044</v>
      </c>
      <c r="F3" s="126">
        <f>IF(SER_hh_emih!F3=0,0,SER_hh_emih!F3/SER_summary!F$26)</f>
        <v>30.97085124876639</v>
      </c>
      <c r="G3" s="126">
        <f>IF(SER_hh_emih!G3=0,0,SER_hh_emih!G3/SER_summary!G$26)</f>
        <v>25.600418577053158</v>
      </c>
      <c r="H3" s="126">
        <f>IF(SER_hh_emih!H3=0,0,SER_hh_emih!H3/SER_summary!H$26)</f>
        <v>23.292283084467879</v>
      </c>
      <c r="I3" s="126">
        <f>IF(SER_hh_emih!I3=0,0,SER_hh_emih!I3/SER_summary!I$26)</f>
        <v>26.309180090639863</v>
      </c>
      <c r="J3" s="126">
        <f>IF(SER_hh_emih!J3=0,0,SER_hh_emih!J3/SER_summary!J$26)</f>
        <v>24.72348591412878</v>
      </c>
      <c r="K3" s="126">
        <f>IF(SER_hh_emih!K3=0,0,SER_hh_emih!K3/SER_summary!K$26)</f>
        <v>19.699701019887399</v>
      </c>
      <c r="L3" s="126">
        <f>IF(SER_hh_emih!L3=0,0,SER_hh_emih!L3/SER_summary!L$26)</f>
        <v>26.555437873104477</v>
      </c>
      <c r="M3" s="126">
        <f>IF(SER_hh_emih!M3=0,0,SER_hh_emih!M3/SER_summary!M$26)</f>
        <v>17.84849910485525</v>
      </c>
      <c r="N3" s="126">
        <f>IF(SER_hh_emih!N3=0,0,SER_hh_emih!N3/SER_summary!N$26)</f>
        <v>24.934354533451923</v>
      </c>
      <c r="O3" s="126">
        <f>IF(SER_hh_emih!O3=0,0,SER_hh_emih!O3/SER_summary!O$26)</f>
        <v>28.820107869182923</v>
      </c>
      <c r="P3" s="126">
        <f>IF(SER_hh_emih!P3=0,0,SER_hh_emih!P3/SER_summary!P$26)</f>
        <v>30.04490444773106</v>
      </c>
      <c r="Q3" s="126">
        <f>IF(SER_hh_emih!Q3=0,0,SER_hh_emih!Q3/SER_summary!Q$26)</f>
        <v>35.132381279056503</v>
      </c>
      <c r="R3" s="126">
        <f>IF(SER_hh_emih!R3=0,0,SER_hh_emih!R3/SER_summary!R$26)</f>
        <v>31.213892474822089</v>
      </c>
      <c r="S3" s="126">
        <f>IF(SER_hh_emih!S3=0,0,SER_hh_emih!S3/SER_summary!S$26)</f>
        <v>27.737363317611834</v>
      </c>
      <c r="T3" s="126">
        <f>IF(SER_hh_emih!T3=0,0,SER_hh_emih!T3/SER_summary!T$26)</f>
        <v>19.298229360976435</v>
      </c>
      <c r="U3" s="126">
        <f>IF(SER_hh_emih!U3=0,0,SER_hh_emih!U3/SER_summary!U$26)</f>
        <v>18.63622449256486</v>
      </c>
      <c r="V3" s="126">
        <f>IF(SER_hh_emih!V3=0,0,SER_hh_emih!V3/SER_summary!V$26)</f>
        <v>14.193148325498159</v>
      </c>
      <c r="W3" s="126">
        <f>IF(SER_hh_emih!W3=0,0,SER_hh_emih!W3/SER_summary!W$26)</f>
        <v>14.980374244134214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22.033913763211078</v>
      </c>
      <c r="C4" s="131">
        <f>IF(SER_hh_emih!C4=0,0,SER_hh_emih!C4/SER_summary!C$26)</f>
        <v>21.04864944385746</v>
      </c>
      <c r="D4" s="131">
        <f>IF(SER_hh_emih!D4=0,0,SER_hh_emih!D4/SER_summary!D$26)</f>
        <v>23.501234034493457</v>
      </c>
      <c r="E4" s="131">
        <f>IF(SER_hh_emih!E4=0,0,SER_hh_emih!E4/SER_summary!E$26)</f>
        <v>27.718110238603362</v>
      </c>
      <c r="F4" s="131">
        <f>IF(SER_hh_emih!F4=0,0,SER_hh_emih!F4/SER_summary!F$26)</f>
        <v>29.074650179100157</v>
      </c>
      <c r="G4" s="131">
        <f>IF(SER_hh_emih!G4=0,0,SER_hh_emih!G4/SER_summary!G$26)</f>
        <v>23.62044883158724</v>
      </c>
      <c r="H4" s="131">
        <f>IF(SER_hh_emih!H4=0,0,SER_hh_emih!H4/SER_summary!H$26)</f>
        <v>19.187896618840057</v>
      </c>
      <c r="I4" s="131">
        <f>IF(SER_hh_emih!I4=0,0,SER_hh_emih!I4/SER_summary!I$26)</f>
        <v>21.364935339853652</v>
      </c>
      <c r="J4" s="131">
        <f>IF(SER_hh_emih!J4=0,0,SER_hh_emih!J4/SER_summary!J$26)</f>
        <v>19.084863846926144</v>
      </c>
      <c r="K4" s="131">
        <f>IF(SER_hh_emih!K4=0,0,SER_hh_emih!K4/SER_summary!K$26)</f>
        <v>12.465826440684928</v>
      </c>
      <c r="L4" s="131">
        <f>IF(SER_hh_emih!L4=0,0,SER_hh_emih!L4/SER_summary!L$26)</f>
        <v>21.598926580395403</v>
      </c>
      <c r="M4" s="131">
        <f>IF(SER_hh_emih!M4=0,0,SER_hh_emih!M4/SER_summary!M$26)</f>
        <v>12.440326324949222</v>
      </c>
      <c r="N4" s="131">
        <f>IF(SER_hh_emih!N4=0,0,SER_hh_emih!N4/SER_summary!N$26)</f>
        <v>20.165943879213657</v>
      </c>
      <c r="O4" s="131">
        <f>IF(SER_hh_emih!O4=0,0,SER_hh_emih!O4/SER_summary!O$26)</f>
        <v>24.461535843785057</v>
      </c>
      <c r="P4" s="131">
        <f>IF(SER_hh_emih!P4=0,0,SER_hh_emih!P4/SER_summary!P$26)</f>
        <v>25.895822977492919</v>
      </c>
      <c r="Q4" s="131">
        <f>IF(SER_hh_emih!Q4=0,0,SER_hh_emih!Q4/SER_summary!Q$26)</f>
        <v>30.515185106691522</v>
      </c>
      <c r="R4" s="131">
        <f>IF(SER_hh_emih!R4=0,0,SER_hh_emih!R4/SER_summary!R$26)</f>
        <v>27.375713067804451</v>
      </c>
      <c r="S4" s="131">
        <f>IF(SER_hh_emih!S4=0,0,SER_hh_emih!S4/SER_summary!S$26)</f>
        <v>23.141209905366438</v>
      </c>
      <c r="T4" s="131">
        <f>IF(SER_hh_emih!T4=0,0,SER_hh_emih!T4/SER_summary!T$26)</f>
        <v>13.468471385588574</v>
      </c>
      <c r="U4" s="131">
        <f>IF(SER_hh_emih!U4=0,0,SER_hh_emih!U4/SER_summary!U$26)</f>
        <v>12.660304516703091</v>
      </c>
      <c r="V4" s="131">
        <f>IF(SER_hh_emih!V4=0,0,SER_hh_emih!V4/SER_summary!V$26)</f>
        <v>10.274526470841719</v>
      </c>
      <c r="W4" s="131">
        <f>IF(SER_hh_emih!W4=0,0,SER_hh_emih!W4/SER_summary!W$26)</f>
        <v>10.778568649714337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28.638393111364898</v>
      </c>
      <c r="C6" s="133">
        <f>IF(SER_hh_emih!C6=0,0,SER_hh_emih!C6/SER_summary!C$26)</f>
        <v>30.346346863391243</v>
      </c>
      <c r="D6" s="133">
        <f>IF(SER_hh_emih!D6=0,0,SER_hh_emih!D6/SER_summary!D$26)</f>
        <v>31.0601485004788</v>
      </c>
      <c r="E6" s="133">
        <f>IF(SER_hh_emih!E6=0,0,SER_hh_emih!E6/SER_summary!E$26)</f>
        <v>35.273295537487634</v>
      </c>
      <c r="F6" s="133">
        <f>IF(SER_hh_emih!F6=0,0,SER_hh_emih!F6/SER_summary!F$26)</f>
        <v>36.918697340275351</v>
      </c>
      <c r="G6" s="133">
        <f>IF(SER_hh_emih!G6=0,0,SER_hh_emih!G6/SER_summary!G$26)</f>
        <v>31.790222263421633</v>
      </c>
      <c r="H6" s="133">
        <f>IF(SER_hh_emih!H6=0,0,SER_hh_emih!H6/SER_summary!H$26)</f>
        <v>36.394520178700752</v>
      </c>
      <c r="I6" s="133">
        <f>IF(SER_hh_emih!I6=0,0,SER_hh_emih!I6/SER_summary!I$26)</f>
        <v>40.89982763177013</v>
      </c>
      <c r="J6" s="133">
        <f>IF(SER_hh_emih!J6=0,0,SER_hh_emih!J6/SER_summary!J$26)</f>
        <v>21.953017120693634</v>
      </c>
      <c r="K6" s="133">
        <f>IF(SER_hh_emih!K6=0,0,SER_hh_emih!K6/SER_summary!K$26)</f>
        <v>11.43125373446779</v>
      </c>
      <c r="L6" s="133">
        <f>IF(SER_hh_emih!L6=0,0,SER_hh_emih!L6/SER_summary!L$26)</f>
        <v>51.188620898128526</v>
      </c>
      <c r="M6" s="133">
        <f>IF(SER_hh_emih!M6=0,0,SER_hh_emih!M6/SER_summary!M$26)</f>
        <v>38.91760674799874</v>
      </c>
      <c r="N6" s="133">
        <f>IF(SER_hh_emih!N6=0,0,SER_hh_emih!N6/SER_summary!N$26)</f>
        <v>47.953254201292218</v>
      </c>
      <c r="O6" s="133">
        <f>IF(SER_hh_emih!O6=0,0,SER_hh_emih!O6/SER_summary!O$26)</f>
        <v>37.440823019687315</v>
      </c>
      <c r="P6" s="133">
        <f>IF(SER_hh_emih!P6=0,0,SER_hh_emih!P6/SER_summary!P$26)</f>
        <v>39.796463622757145</v>
      </c>
      <c r="Q6" s="133">
        <f>IF(SER_hh_emih!Q6=0,0,SER_hh_emih!Q6/SER_summary!Q$26)</f>
        <v>48.034394583959063</v>
      </c>
      <c r="R6" s="133">
        <f>IF(SER_hh_emih!R6=0,0,SER_hh_emih!R6/SER_summary!R$26)</f>
        <v>40.104654373063966</v>
      </c>
      <c r="S6" s="133">
        <f>IF(SER_hh_emih!S6=0,0,SER_hh_emih!S6/SER_summary!S$26)</f>
        <v>43.177847230216457</v>
      </c>
      <c r="T6" s="133">
        <f>IF(SER_hh_emih!T6=0,0,SER_hh_emih!T6/SER_summary!T$26)</f>
        <v>49.260446750094481</v>
      </c>
      <c r="U6" s="133">
        <f>IF(SER_hh_emih!U6=0,0,SER_hh_emih!U6/SER_summary!U$26)</f>
        <v>44.418050197988258</v>
      </c>
      <c r="V6" s="133">
        <f>IF(SER_hh_emih!V6=0,0,SER_hh_emih!V6/SER_summary!V$26)</f>
        <v>32.642505081166178</v>
      </c>
      <c r="W6" s="133">
        <f>IF(SER_hh_emih!W6=0,0,SER_hh_emih!W6/SER_summary!W$26)</f>
        <v>36.540224003955018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32.060915734279732</v>
      </c>
      <c r="C7" s="133">
        <f>IF(SER_hh_emih!C7=0,0,SER_hh_emih!C7/SER_summary!C$26)</f>
        <v>31.23582185400981</v>
      </c>
      <c r="D7" s="133">
        <f>IF(SER_hh_emih!D7=0,0,SER_hh_emih!D7/SER_summary!D$26)</f>
        <v>35.788779322600206</v>
      </c>
      <c r="E7" s="133">
        <f>IF(SER_hh_emih!E7=0,0,SER_hh_emih!E7/SER_summary!E$26)</f>
        <v>44.213655051364874</v>
      </c>
      <c r="F7" s="133">
        <f>IF(SER_hh_emih!F7=0,0,SER_hh_emih!F7/SER_summary!F$26)</f>
        <v>50.307664169761082</v>
      </c>
      <c r="G7" s="133">
        <f>IF(SER_hh_emih!G7=0,0,SER_hh_emih!G7/SER_summary!G$26)</f>
        <v>45.738338438353622</v>
      </c>
      <c r="H7" s="133">
        <f>IF(SER_hh_emih!H7=0,0,SER_hh_emih!H7/SER_summary!H$26)</f>
        <v>36.199395124599526</v>
      </c>
      <c r="I7" s="133">
        <f>IF(SER_hh_emih!I7=0,0,SER_hh_emih!I7/SER_summary!I$26)</f>
        <v>39.993372039555894</v>
      </c>
      <c r="J7" s="133">
        <f>IF(SER_hh_emih!J7=0,0,SER_hh_emih!J7/SER_summary!J$26)</f>
        <v>36.838435186152381</v>
      </c>
      <c r="K7" s="133">
        <f>IF(SER_hh_emih!K7=0,0,SER_hh_emih!K7/SER_summary!K$26)</f>
        <v>27.132265356545837</v>
      </c>
      <c r="L7" s="133">
        <f>IF(SER_hh_emih!L7=0,0,SER_hh_emih!L7/SER_summary!L$26)</f>
        <v>50.937717428066748</v>
      </c>
      <c r="M7" s="133">
        <f>IF(SER_hh_emih!M7=0,0,SER_hh_emih!M7/SER_summary!M$26)</f>
        <v>29.18354666876867</v>
      </c>
      <c r="N7" s="133">
        <f>IF(SER_hh_emih!N7=0,0,SER_hh_emih!N7/SER_summary!N$26)</f>
        <v>47.553234930475277</v>
      </c>
      <c r="O7" s="133">
        <f>IF(SER_hh_emih!O7=0,0,SER_hh_emih!O7/SER_summary!O$26)</f>
        <v>60.25067161986253</v>
      </c>
      <c r="P7" s="133">
        <f>IF(SER_hh_emih!P7=0,0,SER_hh_emih!P7/SER_summary!P$26)</f>
        <v>60.169531175740019</v>
      </c>
      <c r="Q7" s="133">
        <f>IF(SER_hh_emih!Q7=0,0,SER_hh_emih!Q7/SER_summary!Q$26)</f>
        <v>70.553141559721823</v>
      </c>
      <c r="R7" s="133">
        <f>IF(SER_hh_emih!R7=0,0,SER_hh_emih!R7/SER_summary!R$26)</f>
        <v>68.814440481655183</v>
      </c>
      <c r="S7" s="133">
        <f>IF(SER_hh_emih!S7=0,0,SER_hh_emih!S7/SER_summary!S$26)</f>
        <v>67.357781172053805</v>
      </c>
      <c r="T7" s="133">
        <f>IF(SER_hh_emih!T7=0,0,SER_hh_emih!T7/SER_summary!T$26)</f>
        <v>44.553082265223189</v>
      </c>
      <c r="U7" s="133">
        <f>IF(SER_hh_emih!U7=0,0,SER_hh_emih!U7/SER_summary!U$26)</f>
        <v>48.583128255604024</v>
      </c>
      <c r="V7" s="133">
        <f>IF(SER_hh_emih!V7=0,0,SER_hh_emih!V7/SER_summary!V$26)</f>
        <v>42.994156411891176</v>
      </c>
      <c r="W7" s="133">
        <f>IF(SER_hh_emih!W7=0,0,SER_hh_emih!W7/SER_summary!W$26)</f>
        <v>45.659233093254208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0</v>
      </c>
      <c r="C9" s="133">
        <f>IF(SER_hh_emih!C9=0,0,SER_hh_emih!C9/SER_summary!C$26)</f>
        <v>0</v>
      </c>
      <c r="D9" s="133">
        <f>IF(SER_hh_emih!D9=0,0,SER_hh_emih!D9/SER_summary!D$26)</f>
        <v>0</v>
      </c>
      <c r="E9" s="133">
        <f>IF(SER_hh_emih!E9=0,0,SER_hh_emih!E9/SER_summary!E$26)</f>
        <v>0</v>
      </c>
      <c r="F9" s="133">
        <f>IF(SER_hh_emih!F9=0,0,SER_hh_emih!F9/SER_summary!F$26)</f>
        <v>0</v>
      </c>
      <c r="G9" s="133">
        <f>IF(SER_hh_emih!G9=0,0,SER_hh_emih!G9/SER_summary!G$26)</f>
        <v>0</v>
      </c>
      <c r="H9" s="133">
        <f>IF(SER_hh_emih!H9=0,0,SER_hh_emih!H9/SER_summary!H$26)</f>
        <v>0</v>
      </c>
      <c r="I9" s="133">
        <f>IF(SER_hh_emih!I9=0,0,SER_hh_emih!I9/SER_summary!I$26)</f>
        <v>0</v>
      </c>
      <c r="J9" s="133">
        <f>IF(SER_hh_emih!J9=0,0,SER_hh_emih!J9/SER_summary!J$26)</f>
        <v>0</v>
      </c>
      <c r="K9" s="133">
        <f>IF(SER_hh_emih!K9=0,0,SER_hh_emih!K9/SER_summary!K$26)</f>
        <v>0</v>
      </c>
      <c r="L9" s="133">
        <f>IF(SER_hh_emih!L9=0,0,SER_hh_emih!L9/SER_summary!L$26)</f>
        <v>0</v>
      </c>
      <c r="M9" s="133">
        <f>IF(SER_hh_emih!M9=0,0,SER_hh_emih!M9/SER_summary!M$26)</f>
        <v>0</v>
      </c>
      <c r="N9" s="133">
        <f>IF(SER_hh_emih!N9=0,0,SER_hh_emih!N9/SER_summary!N$26)</f>
        <v>0</v>
      </c>
      <c r="O9" s="133">
        <f>IF(SER_hh_emih!O9=0,0,SER_hh_emih!O9/SER_summary!O$26)</f>
        <v>0</v>
      </c>
      <c r="P9" s="133">
        <f>IF(SER_hh_emih!P9=0,0,SER_hh_emih!P9/SER_summary!P$26)</f>
        <v>0</v>
      </c>
      <c r="Q9" s="133">
        <f>IF(SER_hh_emih!Q9=0,0,SER_hh_emih!Q9/SER_summary!Q$26)</f>
        <v>0</v>
      </c>
      <c r="R9" s="133">
        <f>IF(SER_hh_emih!R9=0,0,SER_hh_emih!R9/SER_summary!R$26)</f>
        <v>0</v>
      </c>
      <c r="S9" s="133">
        <f>IF(SER_hh_emih!S9=0,0,SER_hh_emih!S9/SER_summary!S$26)</f>
        <v>0</v>
      </c>
      <c r="T9" s="133">
        <f>IF(SER_hh_emih!T9=0,0,SER_hh_emih!T9/SER_summary!T$26)</f>
        <v>0</v>
      </c>
      <c r="U9" s="133">
        <f>IF(SER_hh_emih!U9=0,0,SER_hh_emih!U9/SER_summary!U$26)</f>
        <v>0</v>
      </c>
      <c r="V9" s="133">
        <f>IF(SER_hh_emih!V9=0,0,SER_hh_emih!V9/SER_summary!V$26)</f>
        <v>0</v>
      </c>
      <c r="W9" s="133">
        <f>IF(SER_hh_emih!W9=0,0,SER_hh_emih!W9/SER_summary!W$26)</f>
        <v>0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1.0451257534164669</v>
      </c>
      <c r="C19" s="131">
        <f>IF(SER_hh_emih!C19=0,0,SER_hh_emih!C19/SER_summary!C$26)</f>
        <v>1.0063200642137657</v>
      </c>
      <c r="D19" s="131">
        <f>IF(SER_hh_emih!D19=0,0,SER_hh_emih!D19/SER_summary!D$26)</f>
        <v>0.98045295311006619</v>
      </c>
      <c r="E19" s="131">
        <f>IF(SER_hh_emih!E19=0,0,SER_hh_emih!E19/SER_summary!E$26)</f>
        <v>0.83732575993334535</v>
      </c>
      <c r="F19" s="131">
        <f>IF(SER_hh_emih!F19=0,0,SER_hh_emih!F19/SER_summary!F$26)</f>
        <v>0.77653136904532261</v>
      </c>
      <c r="G19" s="131">
        <f>IF(SER_hh_emih!G19=0,0,SER_hh_emih!G19/SER_summary!G$26)</f>
        <v>0.82126281928094103</v>
      </c>
      <c r="H19" s="131">
        <f>IF(SER_hh_emih!H19=0,0,SER_hh_emih!H19/SER_summary!H$26)</f>
        <v>2.0237287929765633</v>
      </c>
      <c r="I19" s="131">
        <f>IF(SER_hh_emih!I19=0,0,SER_hh_emih!I19/SER_summary!I$26)</f>
        <v>2.4560381974177963</v>
      </c>
      <c r="J19" s="131">
        <f>IF(SER_hh_emih!J19=0,0,SER_hh_emih!J19/SER_summary!J$26)</f>
        <v>2.1745619414951198</v>
      </c>
      <c r="K19" s="131">
        <f>IF(SER_hh_emih!K19=0,0,SER_hh_emih!K19/SER_summary!K$26)</f>
        <v>2.0018800654151074</v>
      </c>
      <c r="L19" s="131">
        <f>IF(SER_hh_emih!L19=0,0,SER_hh_emih!L19/SER_summary!L$26)</f>
        <v>0.9637927032195881</v>
      </c>
      <c r="M19" s="131">
        <f>IF(SER_hh_emih!M19=0,0,SER_hh_emih!M19/SER_summary!M$26)</f>
        <v>0.87377383786935348</v>
      </c>
      <c r="N19" s="131">
        <f>IF(SER_hh_emih!N19=0,0,SER_hh_emih!N19/SER_summary!N$26)</f>
        <v>0.61041213051025101</v>
      </c>
      <c r="O19" s="131">
        <f>IF(SER_hh_emih!O19=0,0,SER_hh_emih!O19/SER_summary!O$26)</f>
        <v>0.33224247172229349</v>
      </c>
      <c r="P19" s="131">
        <f>IF(SER_hh_emih!P19=0,0,SER_hh_emih!P19/SER_summary!P$26)</f>
        <v>0.25480858798606659</v>
      </c>
      <c r="Q19" s="131">
        <f>IF(SER_hh_emih!Q19=0,0,SER_hh_emih!Q19/SER_summary!Q$26)</f>
        <v>0.21284119503580889</v>
      </c>
      <c r="R19" s="131">
        <f>IF(SER_hh_emih!R19=0,0,SER_hh_emih!R19/SER_summary!R$26)</f>
        <v>0.17465721730590258</v>
      </c>
      <c r="S19" s="131">
        <f>IF(SER_hh_emih!S19=0,0,SER_hh_emih!S19/SER_summary!S$26)</f>
        <v>0.20625926955284499</v>
      </c>
      <c r="T19" s="131">
        <f>IF(SER_hh_emih!T19=0,0,SER_hh_emih!T19/SER_summary!T$26)</f>
        <v>0.26750045220838908</v>
      </c>
      <c r="U19" s="131">
        <f>IF(SER_hh_emih!U19=0,0,SER_hh_emih!U19/SER_summary!U$26)</f>
        <v>0.26180473853489383</v>
      </c>
      <c r="V19" s="131">
        <f>IF(SER_hh_emih!V19=0,0,SER_hh_emih!V19/SER_summary!V$26)</f>
        <v>0.1954279116114454</v>
      </c>
      <c r="W19" s="131">
        <f>IF(SER_hh_emih!W19=0,0,SER_hh_emih!W19/SER_summary!W$26)</f>
        <v>0.20794451690081381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15.729907669385618</v>
      </c>
      <c r="C21" s="133">
        <f>IF(SER_hh_emih!C21=0,0,SER_hh_emih!C21/SER_summary!C$26)</f>
        <v>15.601463508482865</v>
      </c>
      <c r="D21" s="133">
        <f>IF(SER_hh_emih!D21=0,0,SER_hh_emih!D21/SER_summary!D$26)</f>
        <v>15.8859297751042</v>
      </c>
      <c r="E21" s="133">
        <f>IF(SER_hh_emih!E21=0,0,SER_hh_emih!E21/SER_summary!E$26)</f>
        <v>13.669092497769954</v>
      </c>
      <c r="F21" s="133">
        <f>IF(SER_hh_emih!F21=0,0,SER_hh_emih!F21/SER_summary!F$26)</f>
        <v>11.908983623101783</v>
      </c>
      <c r="G21" s="133">
        <f>IF(SER_hh_emih!G21=0,0,SER_hh_emih!G21/SER_summary!G$26)</f>
        <v>10.096573997112722</v>
      </c>
      <c r="H21" s="133">
        <f>IF(SER_hh_emih!H21=0,0,SER_hh_emih!H21/SER_summary!H$26)</f>
        <v>22.439622118065905</v>
      </c>
      <c r="I21" s="133">
        <f>IF(SER_hh_emih!I21=0,0,SER_hh_emih!I21/SER_summary!I$26)</f>
        <v>27.284923822094466</v>
      </c>
      <c r="J21" s="133">
        <f>IF(SER_hh_emih!J21=0,0,SER_hh_emih!J21/SER_summary!J$26)</f>
        <v>24.94549188900324</v>
      </c>
      <c r="K21" s="133">
        <f>IF(SER_hh_emih!K21=0,0,SER_hh_emih!K21/SER_summary!K$26)</f>
        <v>23.243899647021156</v>
      </c>
      <c r="L21" s="133">
        <f>IF(SER_hh_emih!L21=0,0,SER_hh_emih!L21/SER_summary!L$26)</f>
        <v>12.341812663534375</v>
      </c>
      <c r="M21" s="133">
        <f>IF(SER_hh_emih!M21=0,0,SER_hh_emih!M21/SER_summary!M$26)</f>
        <v>14.380201671559686</v>
      </c>
      <c r="N21" s="133">
        <f>IF(SER_hh_emih!N21=0,0,SER_hh_emih!N21/SER_summary!N$26)</f>
        <v>14.993422166806965</v>
      </c>
      <c r="O21" s="133">
        <f>IF(SER_hh_emih!O21=0,0,SER_hh_emih!O21/SER_summary!O$26)</f>
        <v>11.859308550649018</v>
      </c>
      <c r="P21" s="133">
        <f>IF(SER_hh_emih!P21=0,0,SER_hh_emih!P21/SER_summary!P$26)</f>
        <v>12.885091031055552</v>
      </c>
      <c r="Q21" s="133">
        <f>IF(SER_hh_emih!Q21=0,0,SER_hh_emih!Q21/SER_summary!Q$26)</f>
        <v>13.652109734675198</v>
      </c>
      <c r="R21" s="133">
        <f>IF(SER_hh_emih!R21=0,0,SER_hh_emih!R21/SER_summary!R$26)</f>
        <v>11.898045532721053</v>
      </c>
      <c r="S21" s="133">
        <f>IF(SER_hh_emih!S21=0,0,SER_hh_emih!S21/SER_summary!S$26)</f>
        <v>12.792539224152881</v>
      </c>
      <c r="T21" s="133">
        <f>IF(SER_hh_emih!T21=0,0,SER_hh_emih!T21/SER_summary!T$26)</f>
        <v>14.815061883381974</v>
      </c>
      <c r="U21" s="133">
        <f>IF(SER_hh_emih!U21=0,0,SER_hh_emih!U21/SER_summary!U$26)</f>
        <v>14.117548668507794</v>
      </c>
      <c r="V21" s="133">
        <f>IF(SER_hh_emih!V21=0,0,SER_hh_emih!V21/SER_summary!V$26)</f>
        <v>11.314966244698967</v>
      </c>
      <c r="W21" s="133">
        <f>IF(SER_hh_emih!W21=0,0,SER_hh_emih!W21/SER_summary!W$26)</f>
        <v>12.511221793284504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0</v>
      </c>
      <c r="C22" s="133">
        <f>IF(SER_hh_emih!C22=0,0,SER_hh_emih!C22/SER_summary!C$26)</f>
        <v>0</v>
      </c>
      <c r="D22" s="133">
        <f>IF(SER_hh_emih!D22=0,0,SER_hh_emih!D22/SER_summary!D$26)</f>
        <v>0</v>
      </c>
      <c r="E22" s="133">
        <f>IF(SER_hh_emih!E22=0,0,SER_hh_emih!E22/SER_summary!E$26)</f>
        <v>0</v>
      </c>
      <c r="F22" s="133">
        <f>IF(SER_hh_emih!F22=0,0,SER_hh_emih!F22/SER_summary!F$26)</f>
        <v>0</v>
      </c>
      <c r="G22" s="133">
        <f>IF(SER_hh_emih!G22=0,0,SER_hh_emih!G22/SER_summary!G$26)</f>
        <v>0</v>
      </c>
      <c r="H22" s="133">
        <f>IF(SER_hh_emih!H22=0,0,SER_hh_emih!H22/SER_summary!H$26)</f>
        <v>0</v>
      </c>
      <c r="I22" s="133">
        <f>IF(SER_hh_emih!I22=0,0,SER_hh_emih!I22/SER_summary!I$26)</f>
        <v>0</v>
      </c>
      <c r="J22" s="133">
        <f>IF(SER_hh_emih!J22=0,0,SER_hh_emih!J22/SER_summary!J$26)</f>
        <v>0</v>
      </c>
      <c r="K22" s="133">
        <f>IF(SER_hh_emih!K22=0,0,SER_hh_emih!K22/SER_summary!K$26)</f>
        <v>0</v>
      </c>
      <c r="L22" s="133">
        <f>IF(SER_hh_emih!L22=0,0,SER_hh_emih!L22/SER_summary!L$26)</f>
        <v>0</v>
      </c>
      <c r="M22" s="133">
        <f>IF(SER_hh_emih!M22=0,0,SER_hh_emih!M22/SER_summary!M$26)</f>
        <v>0</v>
      </c>
      <c r="N22" s="133">
        <f>IF(SER_hh_emih!N22=0,0,SER_hh_emih!N22/SER_summary!N$26)</f>
        <v>0</v>
      </c>
      <c r="O22" s="133">
        <f>IF(SER_hh_emih!O22=0,0,SER_hh_emih!O22/SER_summary!O$26)</f>
        <v>0</v>
      </c>
      <c r="P22" s="133">
        <f>IF(SER_hh_emih!P22=0,0,SER_hh_emih!P22/SER_summary!P$26)</f>
        <v>0</v>
      </c>
      <c r="Q22" s="133">
        <f>IF(SER_hh_emih!Q22=0,0,SER_hh_emih!Q22/SER_summary!Q$26)</f>
        <v>0</v>
      </c>
      <c r="R22" s="133">
        <f>IF(SER_hh_emih!R22=0,0,SER_hh_emih!R22/SER_summary!R$26)</f>
        <v>0</v>
      </c>
      <c r="S22" s="133">
        <f>IF(SER_hh_emih!S22=0,0,SER_hh_emih!S22/SER_summary!S$26)</f>
        <v>0</v>
      </c>
      <c r="T22" s="133">
        <f>IF(SER_hh_emih!T22=0,0,SER_hh_emih!T22/SER_summary!T$26)</f>
        <v>0</v>
      </c>
      <c r="U22" s="133">
        <f>IF(SER_hh_emih!U22=0,0,SER_hh_emih!U22/SER_summary!U$26)</f>
        <v>0</v>
      </c>
      <c r="V22" s="133">
        <f>IF(SER_hh_emih!V22=0,0,SER_hh_emih!V22/SER_summary!V$26)</f>
        <v>0</v>
      </c>
      <c r="W22" s="133">
        <f>IF(SER_hh_emih!W22=0,0,SER_hh_emih!W22/SER_summary!W$26)</f>
        <v>0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0</v>
      </c>
      <c r="C23" s="133">
        <f>IF(SER_hh_emih!C23=0,0,SER_hh_emih!C23/SER_summary!C$26)</f>
        <v>0</v>
      </c>
      <c r="D23" s="133">
        <f>IF(SER_hh_emih!D23=0,0,SER_hh_emih!D23/SER_summary!D$26)</f>
        <v>0</v>
      </c>
      <c r="E23" s="133">
        <f>IF(SER_hh_emih!E23=0,0,SER_hh_emih!E23/SER_summary!E$26)</f>
        <v>0</v>
      </c>
      <c r="F23" s="133">
        <f>IF(SER_hh_emih!F23=0,0,SER_hh_emih!F23/SER_summary!F$26)</f>
        <v>0</v>
      </c>
      <c r="G23" s="133">
        <f>IF(SER_hh_emih!G23=0,0,SER_hh_emih!G23/SER_summary!G$26)</f>
        <v>0</v>
      </c>
      <c r="H23" s="133">
        <f>IF(SER_hh_emih!H23=0,0,SER_hh_emih!H23/SER_summary!H$26)</f>
        <v>0</v>
      </c>
      <c r="I23" s="133">
        <f>IF(SER_hh_emih!I23=0,0,SER_hh_emih!I23/SER_summary!I$26)</f>
        <v>0</v>
      </c>
      <c r="J23" s="133">
        <f>IF(SER_hh_emih!J23=0,0,SER_hh_emih!J23/SER_summary!J$26)</f>
        <v>0</v>
      </c>
      <c r="K23" s="133">
        <f>IF(SER_hh_emih!K23=0,0,SER_hh_emih!K23/SER_summary!K$26)</f>
        <v>0</v>
      </c>
      <c r="L23" s="133">
        <f>IF(SER_hh_emih!L23=0,0,SER_hh_emih!L23/SER_summary!L$26)</f>
        <v>0</v>
      </c>
      <c r="M23" s="133">
        <f>IF(SER_hh_emih!M23=0,0,SER_hh_emih!M23/SER_summary!M$26)</f>
        <v>0</v>
      </c>
      <c r="N23" s="133">
        <f>IF(SER_hh_emih!N23=0,0,SER_hh_emih!N23/SER_summary!N$26)</f>
        <v>0</v>
      </c>
      <c r="O23" s="133">
        <f>IF(SER_hh_emih!O23=0,0,SER_hh_emih!O23/SER_summary!O$26)</f>
        <v>0</v>
      </c>
      <c r="P23" s="133">
        <f>IF(SER_hh_emih!P23=0,0,SER_hh_emih!P23/SER_summary!P$26)</f>
        <v>0</v>
      </c>
      <c r="Q23" s="133">
        <f>IF(SER_hh_emih!Q23=0,0,SER_hh_emih!Q23/SER_summary!Q$26)</f>
        <v>0</v>
      </c>
      <c r="R23" s="133">
        <f>IF(SER_hh_emih!R23=0,0,SER_hh_emih!R23/SER_summary!R$26)</f>
        <v>0</v>
      </c>
      <c r="S23" s="133">
        <f>IF(SER_hh_emih!S23=0,0,SER_hh_emih!S23/SER_summary!S$26)</f>
        <v>0</v>
      </c>
      <c r="T23" s="133">
        <f>IF(SER_hh_emih!T23=0,0,SER_hh_emih!T23/SER_summary!T$26)</f>
        <v>0</v>
      </c>
      <c r="U23" s="133">
        <f>IF(SER_hh_emih!U23=0,0,SER_hh_emih!U23/SER_summary!U$26)</f>
        <v>0</v>
      </c>
      <c r="V23" s="133">
        <f>IF(SER_hh_emih!V23=0,0,SER_hh_emih!V23/SER_summary!V$26)</f>
        <v>0</v>
      </c>
      <c r="W23" s="133">
        <f>IF(SER_hh_emih!W23=0,0,SER_hh_emih!W23/SER_summary!W$26)</f>
        <v>0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1.0857777511785029</v>
      </c>
      <c r="C29" s="131">
        <f>IF(SER_hh_emih!C29=0,0,SER_hh_emih!C29/SER_summary!C$26)</f>
        <v>1.0099396565806771</v>
      </c>
      <c r="D29" s="131">
        <f>IF(SER_hh_emih!D29=0,0,SER_hh_emih!D29/SER_summary!D$26)</f>
        <v>1.2406137214065076</v>
      </c>
      <c r="E29" s="131">
        <f>IF(SER_hh_emih!E29=0,0,SER_hh_emih!E29/SER_summary!E$26)</f>
        <v>1.1862918830493363</v>
      </c>
      <c r="F29" s="131">
        <f>IF(SER_hh_emih!F29=0,0,SER_hh_emih!F29/SER_summary!F$26)</f>
        <v>1.1196697006209124</v>
      </c>
      <c r="G29" s="131">
        <f>IF(SER_hh_emih!G29=0,0,SER_hh_emih!G29/SER_summary!G$26)</f>
        <v>1.1587069261849754</v>
      </c>
      <c r="H29" s="131">
        <f>IF(SER_hh_emih!H29=0,0,SER_hh_emih!H29/SER_summary!H$26)</f>
        <v>2.0806576726512578</v>
      </c>
      <c r="I29" s="131">
        <f>IF(SER_hh_emih!I29=0,0,SER_hh_emih!I29/SER_summary!I$26)</f>
        <v>2.488206553368411</v>
      </c>
      <c r="J29" s="131">
        <f>IF(SER_hh_emih!J29=0,0,SER_hh_emih!J29/SER_summary!J$26)</f>
        <v>3.4640601257075141</v>
      </c>
      <c r="K29" s="131">
        <f>IF(SER_hh_emih!K29=0,0,SER_hh_emih!K29/SER_summary!K$26)</f>
        <v>5.2319945137873622</v>
      </c>
      <c r="L29" s="131">
        <f>IF(SER_hh_emih!L29=0,0,SER_hh_emih!L29/SER_summary!L$26)</f>
        <v>3.9927185894894848</v>
      </c>
      <c r="M29" s="131">
        <f>IF(SER_hh_emih!M29=0,0,SER_hh_emih!M29/SER_summary!M$26)</f>
        <v>4.5343989420366739</v>
      </c>
      <c r="N29" s="131">
        <f>IF(SER_hh_emih!N29=0,0,SER_hh_emih!N29/SER_summary!N$26)</f>
        <v>4.1579985237280175</v>
      </c>
      <c r="O29" s="131">
        <f>IF(SER_hh_emih!O29=0,0,SER_hh_emih!O29/SER_summary!O$26)</f>
        <v>4.0263295536755628</v>
      </c>
      <c r="P29" s="131">
        <f>IF(SER_hh_emih!P29=0,0,SER_hh_emih!P29/SER_summary!P$26)</f>
        <v>3.8942728822520785</v>
      </c>
      <c r="Q29" s="131">
        <f>IF(SER_hh_emih!Q29=0,0,SER_hh_emih!Q29/SER_summary!Q$26)</f>
        <v>4.4043549773291728</v>
      </c>
      <c r="R29" s="131">
        <f>IF(SER_hh_emih!R29=0,0,SER_hh_emih!R29/SER_summary!R$26)</f>
        <v>3.6635221897117383</v>
      </c>
      <c r="S29" s="131">
        <f>IF(SER_hh_emih!S29=0,0,SER_hh_emih!S29/SER_summary!S$26)</f>
        <v>4.3898941426925484</v>
      </c>
      <c r="T29" s="131">
        <f>IF(SER_hh_emih!T29=0,0,SER_hh_emih!T29/SER_summary!T$26)</f>
        <v>5.5622575231794764</v>
      </c>
      <c r="U29" s="131">
        <f>IF(SER_hh_emih!U29=0,0,SER_hh_emih!U29/SER_summary!U$26)</f>
        <v>5.7141152373268733</v>
      </c>
      <c r="V29" s="131">
        <f>IF(SER_hh_emih!V29=0,0,SER_hh_emih!V29/SER_summary!V$26)</f>
        <v>3.7231939430449938</v>
      </c>
      <c r="W29" s="131">
        <f>IF(SER_hh_emih!W29=0,0,SER_hh_emih!W29/SER_summary!W$26)</f>
        <v>3.9938610775190675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19.032997686387311</v>
      </c>
      <c r="C30" s="133">
        <f>IF(SER_hh_emih!C30=0,0,SER_hh_emih!C30/SER_summary!C$26)</f>
        <v>17.714893106867503</v>
      </c>
      <c r="D30" s="133">
        <f>IF(SER_hh_emih!D30=0,0,SER_hh_emih!D30/SER_summary!D$26)</f>
        <v>20.874086023522192</v>
      </c>
      <c r="E30" s="133">
        <f>IF(SER_hh_emih!E30=0,0,SER_hh_emih!E30/SER_summary!E$26)</f>
        <v>20.012822646216183</v>
      </c>
      <c r="F30" s="133">
        <f>IF(SER_hh_emih!F30=0,0,SER_hh_emih!F30/SER_summary!F$26)</f>
        <v>17.432756288667711</v>
      </c>
      <c r="G30" s="133">
        <f>IF(SER_hh_emih!G30=0,0,SER_hh_emih!G30/SER_summary!G$26)</f>
        <v>15.253036887054469</v>
      </c>
      <c r="H30" s="133">
        <f>IF(SER_hh_emih!H30=0,0,SER_hh_emih!H30/SER_summary!H$26)</f>
        <v>19.44874032551385</v>
      </c>
      <c r="I30" s="133">
        <f>IF(SER_hh_emih!I30=0,0,SER_hh_emih!I30/SER_summary!I$26)</f>
        <v>16.807618750727805</v>
      </c>
      <c r="J30" s="133">
        <f>IF(SER_hh_emih!J30=0,0,SER_hh_emih!J30/SER_summary!J$26)</f>
        <v>18.543179787752646</v>
      </c>
      <c r="K30" s="133">
        <f>IF(SER_hh_emih!K30=0,0,SER_hh_emih!K30/SER_summary!K$26)</f>
        <v>22.899862449883269</v>
      </c>
      <c r="L30" s="133">
        <f>IF(SER_hh_emih!L30=0,0,SER_hh_emih!L30/SER_summary!L$26)</f>
        <v>17.304769254550575</v>
      </c>
      <c r="M30" s="133">
        <f>IF(SER_hh_emih!M30=0,0,SER_hh_emih!M30/SER_summary!M$26)</f>
        <v>19.364699716218112</v>
      </c>
      <c r="N30" s="133">
        <f>IF(SER_hh_emih!N30=0,0,SER_hh_emih!N30/SER_summary!N$26)</f>
        <v>18.659820611487845</v>
      </c>
      <c r="O30" s="133">
        <f>IF(SER_hh_emih!O30=0,0,SER_hh_emih!O30/SER_summary!O$26)</f>
        <v>18.033579478980162</v>
      </c>
      <c r="P30" s="133">
        <f>IF(SER_hh_emih!P30=0,0,SER_hh_emih!P30/SER_summary!P$26)</f>
        <v>17.793505629287427</v>
      </c>
      <c r="Q30" s="133">
        <f>IF(SER_hh_emih!Q30=0,0,SER_hh_emih!Q30/SER_summary!Q$26)</f>
        <v>19.626139803030597</v>
      </c>
      <c r="R30" s="133">
        <f>IF(SER_hh_emih!R30=0,0,SER_hh_emih!R30/SER_summary!R$26)</f>
        <v>15.97814025133483</v>
      </c>
      <c r="S30" s="133">
        <f>IF(SER_hh_emih!S30=0,0,SER_hh_emih!S30/SER_summary!S$26)</f>
        <v>17.139176327946487</v>
      </c>
      <c r="T30" s="133">
        <f>IF(SER_hh_emih!T30=0,0,SER_hh_emih!T30/SER_summary!T$26)</f>
        <v>19.932039530726268</v>
      </c>
      <c r="U30" s="133">
        <f>IF(SER_hh_emih!U30=0,0,SER_hh_emih!U30/SER_summary!U$26)</f>
        <v>20.337292858137776</v>
      </c>
      <c r="V30" s="133">
        <f>IF(SER_hh_emih!V30=0,0,SER_hh_emih!V30/SER_summary!V$26)</f>
        <v>13.587464300307881</v>
      </c>
      <c r="W30" s="133">
        <f>IF(SER_hh_emih!W30=0,0,SER_hh_emih!W30/SER_summary!W$26)</f>
        <v>14.867731781875927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0</v>
      </c>
      <c r="C31" s="133">
        <f>IF(SER_hh_emih!C31=0,0,SER_hh_emih!C31/SER_summary!C$26)</f>
        <v>0</v>
      </c>
      <c r="D31" s="133">
        <f>IF(SER_hh_emih!D31=0,0,SER_hh_emih!D31/SER_summary!D$26)</f>
        <v>0</v>
      </c>
      <c r="E31" s="133">
        <f>IF(SER_hh_emih!E31=0,0,SER_hh_emih!E31/SER_summary!E$26)</f>
        <v>0</v>
      </c>
      <c r="F31" s="133">
        <f>IF(SER_hh_emih!F31=0,0,SER_hh_emih!F31/SER_summary!F$26)</f>
        <v>0</v>
      </c>
      <c r="G31" s="133">
        <f>IF(SER_hh_emih!G31=0,0,SER_hh_emih!G31/SER_summary!G$26)</f>
        <v>0</v>
      </c>
      <c r="H31" s="133">
        <f>IF(SER_hh_emih!H31=0,0,SER_hh_emih!H31/SER_summary!H$26)</f>
        <v>0</v>
      </c>
      <c r="I31" s="133">
        <f>IF(SER_hh_emih!I31=0,0,SER_hh_emih!I31/SER_summary!I$26)</f>
        <v>0</v>
      </c>
      <c r="J31" s="133">
        <f>IF(SER_hh_emih!J31=0,0,SER_hh_emih!J31/SER_summary!J$26)</f>
        <v>0</v>
      </c>
      <c r="K31" s="133">
        <f>IF(SER_hh_emih!K31=0,0,SER_hh_emih!K31/SER_summary!K$26)</f>
        <v>0</v>
      </c>
      <c r="L31" s="133">
        <f>IF(SER_hh_emih!L31=0,0,SER_hh_emih!L31/SER_summary!L$26)</f>
        <v>0</v>
      </c>
      <c r="M31" s="133">
        <f>IF(SER_hh_emih!M31=0,0,SER_hh_emih!M31/SER_summary!M$26)</f>
        <v>0</v>
      </c>
      <c r="N31" s="133">
        <f>IF(SER_hh_emih!N31=0,0,SER_hh_emih!N31/SER_summary!N$26)</f>
        <v>0</v>
      </c>
      <c r="O31" s="133">
        <f>IF(SER_hh_emih!O31=0,0,SER_hh_emih!O31/SER_summary!O$26)</f>
        <v>0</v>
      </c>
      <c r="P31" s="133">
        <f>IF(SER_hh_emih!P31=0,0,SER_hh_emih!P31/SER_summary!P$26)</f>
        <v>0</v>
      </c>
      <c r="Q31" s="133">
        <f>IF(SER_hh_emih!Q31=0,0,SER_hh_emih!Q31/SER_summary!Q$26)</f>
        <v>0</v>
      </c>
      <c r="R31" s="133">
        <f>IF(SER_hh_emih!R31=0,0,SER_hh_emih!R31/SER_summary!R$26)</f>
        <v>0</v>
      </c>
      <c r="S31" s="133">
        <f>IF(SER_hh_emih!S31=0,0,SER_hh_emih!S31/SER_summary!S$26)</f>
        <v>0</v>
      </c>
      <c r="T31" s="133">
        <f>IF(SER_hh_emih!T31=0,0,SER_hh_emih!T31/SER_summary!T$26)</f>
        <v>0</v>
      </c>
      <c r="U31" s="133">
        <f>IF(SER_hh_emih!U31=0,0,SER_hh_emih!U31/SER_summary!U$26)</f>
        <v>0</v>
      </c>
      <c r="V31" s="133">
        <f>IF(SER_hh_emih!V31=0,0,SER_hh_emih!V31/SER_summary!V$26)</f>
        <v>0</v>
      </c>
      <c r="W31" s="133">
        <f>IF(SER_hh_emih!W31=0,0,SER_hh_emih!W31/SER_summary!W$26)</f>
        <v>0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114.23356153047268</v>
      </c>
      <c r="D3" s="125">
        <f t="shared" si="0"/>
        <v>64.322351020494281</v>
      </c>
      <c r="E3" s="125">
        <f t="shared" si="0"/>
        <v>41.955178133661725</v>
      </c>
      <c r="F3" s="125">
        <f t="shared" si="0"/>
        <v>27.053984729741199</v>
      </c>
      <c r="G3" s="125">
        <f t="shared" si="0"/>
        <v>109.00735131581456</v>
      </c>
      <c r="H3" s="125">
        <f t="shared" si="0"/>
        <v>87.381403219216566</v>
      </c>
      <c r="I3" s="125">
        <f t="shared" si="0"/>
        <v>98.67398252437205</v>
      </c>
      <c r="J3" s="125">
        <f t="shared" si="0"/>
        <v>182.56432924090259</v>
      </c>
      <c r="K3" s="125">
        <f t="shared" si="0"/>
        <v>36.242744814363952</v>
      </c>
      <c r="L3" s="125">
        <f t="shared" si="0"/>
        <v>52.642068093864118</v>
      </c>
      <c r="M3" s="125">
        <f t="shared" si="0"/>
        <v>83.734834735830987</v>
      </c>
      <c r="N3" s="125">
        <f t="shared" si="0"/>
        <v>142.04959099020132</v>
      </c>
      <c r="O3" s="125">
        <f t="shared" si="0"/>
        <v>90.779126338228778</v>
      </c>
      <c r="P3" s="125">
        <f t="shared" si="0"/>
        <v>121.67179143805814</v>
      </c>
      <c r="Q3" s="125">
        <f t="shared" si="0"/>
        <v>118.76129209388023</v>
      </c>
      <c r="R3" s="125">
        <f t="shared" si="0"/>
        <v>126.88305951925648</v>
      </c>
      <c r="S3" s="125">
        <f t="shared" si="0"/>
        <v>133.77404123337175</v>
      </c>
      <c r="T3" s="125">
        <f t="shared" si="0"/>
        <v>131.72607465854603</v>
      </c>
      <c r="U3" s="125">
        <f t="shared" si="0"/>
        <v>126.4845322113313</v>
      </c>
      <c r="V3" s="125">
        <f t="shared" si="0"/>
        <v>125.03179942443522</v>
      </c>
      <c r="W3" s="125">
        <f t="shared" si="0"/>
        <v>122.21196388773834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114.23356153047268</v>
      </c>
      <c r="D4" s="140">
        <f t="shared" si="1"/>
        <v>64.322351020494281</v>
      </c>
      <c r="E4" s="140">
        <f t="shared" si="1"/>
        <v>41.955178133661725</v>
      </c>
      <c r="F4" s="140">
        <f t="shared" si="1"/>
        <v>27.053984729741199</v>
      </c>
      <c r="G4" s="140">
        <f t="shared" si="1"/>
        <v>109.00735131581456</v>
      </c>
      <c r="H4" s="140">
        <f t="shared" si="1"/>
        <v>87.381403219216566</v>
      </c>
      <c r="I4" s="140">
        <f t="shared" si="1"/>
        <v>98.67398252437205</v>
      </c>
      <c r="J4" s="140">
        <f t="shared" si="1"/>
        <v>182.56432924090259</v>
      </c>
      <c r="K4" s="140">
        <f t="shared" si="1"/>
        <v>36.242744814363952</v>
      </c>
      <c r="L4" s="140">
        <f t="shared" si="1"/>
        <v>52.642068093864118</v>
      </c>
      <c r="M4" s="140">
        <f t="shared" si="1"/>
        <v>83.734834735830987</v>
      </c>
      <c r="N4" s="140">
        <f t="shared" si="1"/>
        <v>142.04959099020132</v>
      </c>
      <c r="O4" s="140">
        <f t="shared" si="1"/>
        <v>90.779126338228778</v>
      </c>
      <c r="P4" s="140">
        <f t="shared" si="1"/>
        <v>121.67179143805814</v>
      </c>
      <c r="Q4" s="140">
        <f t="shared" si="1"/>
        <v>118.76129209388023</v>
      </c>
      <c r="R4" s="140">
        <f t="shared" ref="R4:W4" si="2">SUM(R5:R14)</f>
        <v>126.88305951925648</v>
      </c>
      <c r="S4" s="140">
        <f t="shared" si="2"/>
        <v>133.77404123337175</v>
      </c>
      <c r="T4" s="140">
        <f t="shared" si="2"/>
        <v>131.72607465854603</v>
      </c>
      <c r="U4" s="140">
        <f t="shared" si="2"/>
        <v>126.4845322113313</v>
      </c>
      <c r="V4" s="140">
        <f t="shared" si="2"/>
        <v>125.03179942443522</v>
      </c>
      <c r="W4" s="140">
        <f t="shared" si="2"/>
        <v>122.21196388773834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2.0108739000438045</v>
      </c>
      <c r="D6" s="141">
        <v>2.4726106153256038</v>
      </c>
      <c r="E6" s="141">
        <v>1.2456753862205543</v>
      </c>
      <c r="F6" s="141">
        <v>1.9301918377278624</v>
      </c>
      <c r="G6" s="141">
        <v>5.9425208535939644</v>
      </c>
      <c r="H6" s="141">
        <v>5.3097577504534259</v>
      </c>
      <c r="I6" s="141">
        <v>4.104768416118973</v>
      </c>
      <c r="J6" s="141">
        <v>6.1872386132273647</v>
      </c>
      <c r="K6" s="141">
        <v>2.576363372821791</v>
      </c>
      <c r="L6" s="141">
        <v>3.6219169176665851</v>
      </c>
      <c r="M6" s="141">
        <v>6.5263149596188095</v>
      </c>
      <c r="N6" s="141">
        <v>4.5497946925110826</v>
      </c>
      <c r="O6" s="141">
        <v>0</v>
      </c>
      <c r="P6" s="141">
        <v>0.4964223593050997</v>
      </c>
      <c r="Q6" s="141">
        <v>3.1106130545251744</v>
      </c>
      <c r="R6" s="141">
        <v>4.8607814723325093</v>
      </c>
      <c r="S6" s="141">
        <v>7.0682119551822495</v>
      </c>
      <c r="T6" s="141">
        <v>9.8888740870607954</v>
      </c>
      <c r="U6" s="141">
        <v>11.058138757343153</v>
      </c>
      <c r="V6" s="141">
        <v>9.3024383465203275</v>
      </c>
      <c r="W6" s="141">
        <v>7.3075739577197547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59.001978167472949</v>
      </c>
      <c r="D7" s="141">
        <v>34.774141579075611</v>
      </c>
      <c r="E7" s="141">
        <v>14.943407452808552</v>
      </c>
      <c r="F7" s="141">
        <v>1.295353588477056</v>
      </c>
      <c r="G7" s="141">
        <v>6.2110040610568937</v>
      </c>
      <c r="H7" s="141">
        <v>46.756393140182908</v>
      </c>
      <c r="I7" s="141">
        <v>61.338898358466601</v>
      </c>
      <c r="J7" s="141">
        <v>112.92946519558889</v>
      </c>
      <c r="K7" s="141">
        <v>0</v>
      </c>
      <c r="L7" s="141">
        <v>0</v>
      </c>
      <c r="M7" s="141">
        <v>22.483656948064549</v>
      </c>
      <c r="N7" s="141">
        <v>89.812843642051263</v>
      </c>
      <c r="O7" s="141">
        <v>47.573985336085926</v>
      </c>
      <c r="P7" s="141">
        <v>84.393490668808354</v>
      </c>
      <c r="Q7" s="141">
        <v>48.20390517764168</v>
      </c>
      <c r="R7" s="141">
        <v>7.0372445738548235</v>
      </c>
      <c r="S7" s="141">
        <v>0</v>
      </c>
      <c r="T7" s="141">
        <v>0</v>
      </c>
      <c r="U7" s="141">
        <v>0</v>
      </c>
      <c r="V7" s="141">
        <v>0</v>
      </c>
      <c r="W7" s="141">
        <v>22.927172887122261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17.700299783838545</v>
      </c>
      <c r="N9" s="141">
        <v>4.4366411866399886</v>
      </c>
      <c r="O9" s="141">
        <v>0</v>
      </c>
      <c r="P9" s="141">
        <v>0</v>
      </c>
      <c r="Q9" s="141">
        <v>0</v>
      </c>
      <c r="R9" s="141">
        <v>0.21374003019535526</v>
      </c>
      <c r="S9" s="141">
        <v>0</v>
      </c>
      <c r="T9" s="141">
        <v>1.4029234482783175</v>
      </c>
      <c r="U9" s="141">
        <v>2.7911480704309537</v>
      </c>
      <c r="V9" s="141">
        <v>0.8697057928592008</v>
      </c>
      <c r="W9" s="141">
        <v>1.5084792358289143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2.3218227467780217</v>
      </c>
      <c r="N12" s="141">
        <v>1.6861954001690431E-2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1.9907423440716177</v>
      </c>
      <c r="D13" s="141">
        <v>1.9782036360509672</v>
      </c>
      <c r="E13" s="141">
        <v>1.5116931718666797</v>
      </c>
      <c r="F13" s="141">
        <v>1.394752470689065</v>
      </c>
      <c r="G13" s="141">
        <v>7.0416326809047591</v>
      </c>
      <c r="H13" s="141">
        <v>11.81993314306084</v>
      </c>
      <c r="I13" s="141">
        <v>20.580241673379206</v>
      </c>
      <c r="J13" s="141">
        <v>29.496497614216587</v>
      </c>
      <c r="K13" s="141">
        <v>4.7279746328470882</v>
      </c>
      <c r="L13" s="141">
        <v>0.99533371509860891</v>
      </c>
      <c r="M13" s="141">
        <v>3.8847424821113781</v>
      </c>
      <c r="N13" s="141">
        <v>4.1630795459723746</v>
      </c>
      <c r="O13" s="141">
        <v>9.9592930610736072</v>
      </c>
      <c r="P13" s="141">
        <v>24.909287617518963</v>
      </c>
      <c r="Q13" s="141">
        <v>23.190872570794284</v>
      </c>
      <c r="R13" s="141">
        <v>28.083243249553234</v>
      </c>
      <c r="S13" s="141">
        <v>22.155727986817308</v>
      </c>
      <c r="T13" s="141">
        <v>31.544002055887916</v>
      </c>
      <c r="U13" s="141">
        <v>42.045907125025828</v>
      </c>
      <c r="V13" s="141">
        <v>74.852749759441309</v>
      </c>
      <c r="W13" s="141">
        <v>49.483799435577048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51.229967118884304</v>
      </c>
      <c r="D14" s="142">
        <v>25.097395190042096</v>
      </c>
      <c r="E14" s="142">
        <v>24.254402122765942</v>
      </c>
      <c r="F14" s="142">
        <v>22.433686832847215</v>
      </c>
      <c r="G14" s="142">
        <v>89.812193720258946</v>
      </c>
      <c r="H14" s="142">
        <v>23.495319185519385</v>
      </c>
      <c r="I14" s="142">
        <v>12.650074076407265</v>
      </c>
      <c r="J14" s="142">
        <v>33.95112781786974</v>
      </c>
      <c r="K14" s="142">
        <v>28.938406808695074</v>
      </c>
      <c r="L14" s="142">
        <v>48.024817461098927</v>
      </c>
      <c r="M14" s="142">
        <v>30.817997815419695</v>
      </c>
      <c r="N14" s="142">
        <v>39.070369969024917</v>
      </c>
      <c r="O14" s="142">
        <v>33.245847941069243</v>
      </c>
      <c r="P14" s="142">
        <v>11.872590792425711</v>
      </c>
      <c r="Q14" s="142">
        <v>44.255901290919098</v>
      </c>
      <c r="R14" s="142">
        <v>86.688050193320564</v>
      </c>
      <c r="S14" s="142">
        <v>104.55010129137219</v>
      </c>
      <c r="T14" s="142">
        <v>88.890275067318996</v>
      </c>
      <c r="U14" s="142">
        <v>70.58933825853137</v>
      </c>
      <c r="V14" s="142">
        <v>40.006905525614386</v>
      </c>
      <c r="W14" s="142">
        <v>40.984938371490365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61.012852067516754</v>
      </c>
      <c r="D15" s="144">
        <f t="shared" si="3"/>
        <v>37.246752194401218</v>
      </c>
      <c r="E15" s="144">
        <f t="shared" si="3"/>
        <v>16.189082839029105</v>
      </c>
      <c r="F15" s="144">
        <f t="shared" si="3"/>
        <v>3.2255454262049184</v>
      </c>
      <c r="G15" s="144">
        <f t="shared" si="3"/>
        <v>12.153524914650859</v>
      </c>
      <c r="H15" s="144">
        <f t="shared" si="3"/>
        <v>52.066150890636337</v>
      </c>
      <c r="I15" s="144">
        <f t="shared" si="3"/>
        <v>65.44366677458558</v>
      </c>
      <c r="J15" s="144">
        <f t="shared" si="3"/>
        <v>119.11670380881625</v>
      </c>
      <c r="K15" s="144">
        <f t="shared" si="3"/>
        <v>2.576363372821791</v>
      </c>
      <c r="L15" s="144">
        <f t="shared" si="3"/>
        <v>3.6219169176665851</v>
      </c>
      <c r="M15" s="144">
        <f t="shared" si="3"/>
        <v>49.032094438299922</v>
      </c>
      <c r="N15" s="144">
        <f t="shared" si="3"/>
        <v>98.81614147520402</v>
      </c>
      <c r="O15" s="144">
        <f t="shared" si="3"/>
        <v>47.573985336085926</v>
      </c>
      <c r="P15" s="144">
        <f t="shared" si="3"/>
        <v>84.889913028113455</v>
      </c>
      <c r="Q15" s="144">
        <f t="shared" si="3"/>
        <v>51.314518232166854</v>
      </c>
      <c r="R15" s="144">
        <f t="shared" ref="R15:W15" si="4">SUM(R5:R12)</f>
        <v>12.111766076382688</v>
      </c>
      <c r="S15" s="144">
        <f t="shared" si="4"/>
        <v>7.0682119551822495</v>
      </c>
      <c r="T15" s="144">
        <f t="shared" si="4"/>
        <v>11.291797535339112</v>
      </c>
      <c r="U15" s="144">
        <f t="shared" si="4"/>
        <v>13.849286827774106</v>
      </c>
      <c r="V15" s="144">
        <f t="shared" si="4"/>
        <v>10.172144139379528</v>
      </c>
      <c r="W15" s="144">
        <f t="shared" si="4"/>
        <v>31.743226080670929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114.23356153047267</v>
      </c>
      <c r="D16" s="140">
        <f t="shared" si="5"/>
        <v>64.322351020494267</v>
      </c>
      <c r="E16" s="140">
        <f t="shared" si="5"/>
        <v>41.955178133661725</v>
      </c>
      <c r="F16" s="140">
        <f t="shared" si="5"/>
        <v>27.053984729741202</v>
      </c>
      <c r="G16" s="140">
        <f t="shared" si="5"/>
        <v>109.00735131581456</v>
      </c>
      <c r="H16" s="140">
        <f t="shared" si="5"/>
        <v>87.381403219216566</v>
      </c>
      <c r="I16" s="140">
        <f t="shared" si="5"/>
        <v>98.67398252437205</v>
      </c>
      <c r="J16" s="140">
        <f t="shared" si="5"/>
        <v>182.56432924090257</v>
      </c>
      <c r="K16" s="140">
        <f t="shared" si="5"/>
        <v>36.242744814363952</v>
      </c>
      <c r="L16" s="140">
        <f t="shared" si="5"/>
        <v>52.642068093864118</v>
      </c>
      <c r="M16" s="140">
        <f t="shared" si="5"/>
        <v>83.734834735830987</v>
      </c>
      <c r="N16" s="140">
        <f t="shared" si="5"/>
        <v>142.04959099020132</v>
      </c>
      <c r="O16" s="140">
        <f t="shared" si="5"/>
        <v>90.779126338228778</v>
      </c>
      <c r="P16" s="140">
        <f t="shared" si="5"/>
        <v>121.67179143805814</v>
      </c>
      <c r="Q16" s="140">
        <f t="shared" si="5"/>
        <v>118.76129209388023</v>
      </c>
      <c r="R16" s="140">
        <f t="shared" ref="R16:W16" si="6">SUM(R17:R18)</f>
        <v>126.88305951925649</v>
      </c>
      <c r="S16" s="140">
        <f t="shared" si="6"/>
        <v>133.77404123337172</v>
      </c>
      <c r="T16" s="140">
        <f t="shared" si="6"/>
        <v>131.72607465854603</v>
      </c>
      <c r="U16" s="140">
        <f t="shared" si="6"/>
        <v>126.4845322113313</v>
      </c>
      <c r="V16" s="140">
        <f t="shared" si="6"/>
        <v>125.03179942443523</v>
      </c>
      <c r="W16" s="140">
        <f t="shared" si="6"/>
        <v>122.21196388773834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114.23356153047267</v>
      </c>
      <c r="D18" s="141">
        <v>64.322351020494267</v>
      </c>
      <c r="E18" s="141">
        <v>41.955178133661725</v>
      </c>
      <c r="F18" s="141">
        <v>27.053984729741202</v>
      </c>
      <c r="G18" s="141">
        <v>109.00735131581456</v>
      </c>
      <c r="H18" s="141">
        <v>87.381403219216566</v>
      </c>
      <c r="I18" s="141">
        <v>98.67398252437205</v>
      </c>
      <c r="J18" s="141">
        <v>182.56432924090257</v>
      </c>
      <c r="K18" s="141">
        <v>36.242744814363952</v>
      </c>
      <c r="L18" s="141">
        <v>52.642068093864118</v>
      </c>
      <c r="M18" s="141">
        <v>83.734834735830987</v>
      </c>
      <c r="N18" s="141">
        <v>142.04959099020132</v>
      </c>
      <c r="O18" s="141">
        <v>90.779126338228778</v>
      </c>
      <c r="P18" s="141">
        <v>121.67179143805814</v>
      </c>
      <c r="Q18" s="141">
        <v>118.76129209388023</v>
      </c>
      <c r="R18" s="141">
        <v>126.88305951925649</v>
      </c>
      <c r="S18" s="141">
        <v>133.77404123337172</v>
      </c>
      <c r="T18" s="141">
        <v>131.72607465854603</v>
      </c>
      <c r="U18" s="141">
        <v>126.4845322113313</v>
      </c>
      <c r="V18" s="141">
        <v>125.03179942443523</v>
      </c>
      <c r="W18" s="141">
        <v>122.21196388773834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114.23356153047266</v>
      </c>
      <c r="D19" s="140">
        <f t="shared" si="7"/>
        <v>64.322351020494281</v>
      </c>
      <c r="E19" s="140">
        <f t="shared" si="7"/>
        <v>41.955178133661725</v>
      </c>
      <c r="F19" s="140">
        <f t="shared" si="7"/>
        <v>27.053984729741199</v>
      </c>
      <c r="G19" s="140">
        <f t="shared" si="7"/>
        <v>109.00735131581456</v>
      </c>
      <c r="H19" s="140">
        <f t="shared" si="7"/>
        <v>87.381403219216566</v>
      </c>
      <c r="I19" s="140">
        <f t="shared" si="7"/>
        <v>98.67398252437205</v>
      </c>
      <c r="J19" s="140">
        <f t="shared" si="7"/>
        <v>182.56432924090259</v>
      </c>
      <c r="K19" s="140">
        <f t="shared" si="7"/>
        <v>36.242744814363952</v>
      </c>
      <c r="L19" s="140">
        <f t="shared" si="7"/>
        <v>52.642068093864118</v>
      </c>
      <c r="M19" s="140">
        <f t="shared" si="7"/>
        <v>83.734834735830987</v>
      </c>
      <c r="N19" s="140">
        <f t="shared" si="7"/>
        <v>142.0495909902013</v>
      </c>
      <c r="O19" s="140">
        <f t="shared" si="7"/>
        <v>90.779126338228792</v>
      </c>
      <c r="P19" s="140">
        <f t="shared" si="7"/>
        <v>121.67179143805814</v>
      </c>
      <c r="Q19" s="140">
        <f t="shared" si="7"/>
        <v>118.76129209388023</v>
      </c>
      <c r="R19" s="140">
        <f t="shared" ref="R19:W19" si="8">SUM(R20:R26)</f>
        <v>126.88305951925649</v>
      </c>
      <c r="S19" s="140">
        <f t="shared" si="8"/>
        <v>133.77404123337172</v>
      </c>
      <c r="T19" s="140">
        <f t="shared" si="8"/>
        <v>131.72607465854603</v>
      </c>
      <c r="U19" s="140">
        <f t="shared" si="8"/>
        <v>126.4845322113313</v>
      </c>
      <c r="V19" s="140">
        <f t="shared" si="8"/>
        <v>125.03179942443523</v>
      </c>
      <c r="W19" s="140">
        <f t="shared" si="8"/>
        <v>122.21196388773834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5.7441552063018175</v>
      </c>
      <c r="D21" s="141">
        <v>2.3808847288406705</v>
      </c>
      <c r="E21" s="141">
        <v>2.5281751311414644</v>
      </c>
      <c r="F21" s="141">
        <v>3.1270991911695747</v>
      </c>
      <c r="G21" s="141">
        <v>23.234920403437869</v>
      </c>
      <c r="H21" s="141">
        <v>13.95645282197362</v>
      </c>
      <c r="I21" s="141">
        <v>7.1122000303423834</v>
      </c>
      <c r="J21" s="141">
        <v>10.095410593840512</v>
      </c>
      <c r="K21" s="141">
        <v>2.0407905771376056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3.6874998151301597</v>
      </c>
      <c r="T21" s="141">
        <v>4.2874134306691509</v>
      </c>
      <c r="U21" s="141">
        <v>2.7426878879753538</v>
      </c>
      <c r="V21" s="141">
        <v>1.8572704705062741</v>
      </c>
      <c r="W21" s="141">
        <v>4.1147640668802596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0</v>
      </c>
      <c r="D23" s="141">
        <v>0</v>
      </c>
      <c r="E23" s="141">
        <v>0</v>
      </c>
      <c r="F23" s="141">
        <v>0</v>
      </c>
      <c r="G23" s="141">
        <v>0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0.17941845750630916</v>
      </c>
      <c r="N25" s="141">
        <v>6.4883689790917409E-2</v>
      </c>
      <c r="O25" s="141">
        <v>3.0907340925347124E-2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108.48940632417084</v>
      </c>
      <c r="D26" s="142">
        <v>61.941466291653605</v>
      </c>
      <c r="E26" s="142">
        <v>39.427003002520259</v>
      </c>
      <c r="F26" s="142">
        <v>23.926885538571625</v>
      </c>
      <c r="G26" s="142">
        <v>85.772430912376691</v>
      </c>
      <c r="H26" s="142">
        <v>73.424950397242938</v>
      </c>
      <c r="I26" s="142">
        <v>91.561782494029671</v>
      </c>
      <c r="J26" s="142">
        <v>172.46891864706208</v>
      </c>
      <c r="K26" s="142">
        <v>34.201954237226346</v>
      </c>
      <c r="L26" s="142">
        <v>52.642068093864118</v>
      </c>
      <c r="M26" s="142">
        <v>83.555416278324671</v>
      </c>
      <c r="N26" s="142">
        <v>141.98470730041038</v>
      </c>
      <c r="O26" s="142">
        <v>90.748218997303439</v>
      </c>
      <c r="P26" s="142">
        <v>121.67179143805814</v>
      </c>
      <c r="Q26" s="142">
        <v>118.76129209388023</v>
      </c>
      <c r="R26" s="142">
        <v>126.88305951925649</v>
      </c>
      <c r="S26" s="142">
        <v>130.08654141824155</v>
      </c>
      <c r="T26" s="142">
        <v>127.43866122787686</v>
      </c>
      <c r="U26" s="142">
        <v>123.74184432335595</v>
      </c>
      <c r="V26" s="142">
        <v>123.17452895392896</v>
      </c>
      <c r="W26" s="142">
        <v>118.09719982085808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114.23356153047264</v>
      </c>
      <c r="D29" s="140">
        <f t="shared" si="9"/>
        <v>64.322351020494267</v>
      </c>
      <c r="E29" s="140">
        <f t="shared" si="9"/>
        <v>41.955178133661718</v>
      </c>
      <c r="F29" s="140">
        <f t="shared" si="9"/>
        <v>27.053984729741202</v>
      </c>
      <c r="G29" s="140">
        <f t="shared" si="9"/>
        <v>109.00735131581456</v>
      </c>
      <c r="H29" s="140">
        <f t="shared" si="9"/>
        <v>87.381403219216566</v>
      </c>
      <c r="I29" s="140">
        <f t="shared" si="9"/>
        <v>98.673982524372065</v>
      </c>
      <c r="J29" s="140">
        <f t="shared" si="9"/>
        <v>182.56432924090257</v>
      </c>
      <c r="K29" s="140">
        <f t="shared" si="9"/>
        <v>36.242744814363952</v>
      </c>
      <c r="L29" s="140">
        <f t="shared" si="9"/>
        <v>52.642068093864111</v>
      </c>
      <c r="M29" s="140">
        <f t="shared" si="9"/>
        <v>83.734834735830987</v>
      </c>
      <c r="N29" s="140">
        <f t="shared" si="9"/>
        <v>142.04959099020132</v>
      </c>
      <c r="O29" s="140">
        <f t="shared" si="9"/>
        <v>90.779126338228778</v>
      </c>
      <c r="P29" s="140">
        <f t="shared" si="9"/>
        <v>121.67179143805814</v>
      </c>
      <c r="Q29" s="140">
        <f t="shared" si="9"/>
        <v>118.76129209388021</v>
      </c>
      <c r="R29" s="140">
        <f t="shared" ref="R29:W29" si="10">SUM(R30:R33)</f>
        <v>126.88305951925648</v>
      </c>
      <c r="S29" s="140">
        <f t="shared" si="10"/>
        <v>133.77404123337172</v>
      </c>
      <c r="T29" s="140">
        <f t="shared" si="10"/>
        <v>131.72607465854603</v>
      </c>
      <c r="U29" s="140">
        <f t="shared" si="10"/>
        <v>126.4845322113313</v>
      </c>
      <c r="V29" s="140">
        <f t="shared" si="10"/>
        <v>125.03179942443525</v>
      </c>
      <c r="W29" s="140">
        <f t="shared" si="10"/>
        <v>122.21196388773835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6.4880436267167658</v>
      </c>
      <c r="D30" s="141">
        <v>4.962400209097531</v>
      </c>
      <c r="E30" s="141">
        <v>2.3464419881509362</v>
      </c>
      <c r="F30" s="141">
        <v>2.8325970616668856</v>
      </c>
      <c r="G30" s="141">
        <v>15.924292295602719</v>
      </c>
      <c r="H30" s="141">
        <v>26.779851445425017</v>
      </c>
      <c r="I30" s="141">
        <v>37.530688923060964</v>
      </c>
      <c r="J30" s="141">
        <v>60.89958046934612</v>
      </c>
      <c r="K30" s="141">
        <v>15.35190330618031</v>
      </c>
      <c r="L30" s="141">
        <v>6.3464182383640484</v>
      </c>
      <c r="M30" s="141">
        <v>15.961147703216049</v>
      </c>
      <c r="N30" s="141">
        <v>9.8409702818335916</v>
      </c>
      <c r="O30" s="141">
        <v>14.438591776620452</v>
      </c>
      <c r="P30" s="141">
        <v>18.407378148487801</v>
      </c>
      <c r="Q30" s="141">
        <v>30.13646108671961</v>
      </c>
      <c r="R30" s="141">
        <v>35.0429705996739</v>
      </c>
      <c r="S30" s="141">
        <v>62.472416912978282</v>
      </c>
      <c r="T30" s="141">
        <v>61.852190592943721</v>
      </c>
      <c r="U30" s="141">
        <v>38.029446127895888</v>
      </c>
      <c r="V30" s="141">
        <v>25.595672534896519</v>
      </c>
      <c r="W30" s="141">
        <v>23.299602572947492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0</v>
      </c>
      <c r="D31" s="141">
        <v>0</v>
      </c>
      <c r="E31" s="141">
        <v>0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107.74551790375588</v>
      </c>
      <c r="D33" s="153">
        <v>59.359950811396736</v>
      </c>
      <c r="E33" s="153">
        <v>39.608736145510782</v>
      </c>
      <c r="F33" s="153">
        <v>24.221387668074318</v>
      </c>
      <c r="G33" s="153">
        <v>93.083059020211849</v>
      </c>
      <c r="H33" s="153">
        <v>60.601551773791549</v>
      </c>
      <c r="I33" s="153">
        <v>61.143293601311093</v>
      </c>
      <c r="J33" s="153">
        <v>121.66474877155646</v>
      </c>
      <c r="K33" s="153">
        <v>20.890841508183641</v>
      </c>
      <c r="L33" s="153">
        <v>46.295649855500066</v>
      </c>
      <c r="M33" s="153">
        <v>67.773687032614944</v>
      </c>
      <c r="N33" s="153">
        <v>132.20862070836773</v>
      </c>
      <c r="O33" s="153">
        <v>76.340534561608322</v>
      </c>
      <c r="P33" s="153">
        <v>103.26441328957034</v>
      </c>
      <c r="Q33" s="153">
        <v>88.624831007160608</v>
      </c>
      <c r="R33" s="153">
        <v>91.840088919582584</v>
      </c>
      <c r="S33" s="153">
        <v>71.301624320393444</v>
      </c>
      <c r="T33" s="153">
        <v>69.873884065602297</v>
      </c>
      <c r="U33" s="153">
        <v>88.455086083435418</v>
      </c>
      <c r="V33" s="153">
        <v>99.436126889538727</v>
      </c>
      <c r="W33" s="153">
        <v>98.912361314790857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2.3289662191291551</v>
      </c>
      <c r="D3" s="126">
        <f t="shared" si="0"/>
        <v>1.3622118070036224</v>
      </c>
      <c r="E3" s="126">
        <f t="shared" si="0"/>
        <v>0.96180163821084652</v>
      </c>
      <c r="F3" s="126">
        <f t="shared" si="0"/>
        <v>0.58067805860736499</v>
      </c>
      <c r="G3" s="126">
        <f t="shared" si="0"/>
        <v>2.8349412585906371</v>
      </c>
      <c r="H3" s="126">
        <f t="shared" si="0"/>
        <v>1.7530571880429675</v>
      </c>
      <c r="I3" s="126">
        <f t="shared" si="0"/>
        <v>1.8979151474755986</v>
      </c>
      <c r="J3" s="126">
        <f t="shared" si="0"/>
        <v>3.3088561143869488</v>
      </c>
      <c r="K3" s="126">
        <f t="shared" si="0"/>
        <v>0.59337148903378834</v>
      </c>
      <c r="L3" s="126">
        <f t="shared" si="0"/>
        <v>1.2039257840097244</v>
      </c>
      <c r="M3" s="126">
        <f t="shared" si="0"/>
        <v>1.7226927558201548</v>
      </c>
      <c r="N3" s="126">
        <f t="shared" si="0"/>
        <v>3.0420608401633062</v>
      </c>
      <c r="O3" s="126">
        <f t="shared" si="0"/>
        <v>1.9176839910013297</v>
      </c>
      <c r="P3" s="126">
        <f t="shared" si="0"/>
        <v>2.3750087379210023</v>
      </c>
      <c r="Q3" s="126">
        <f t="shared" si="0"/>
        <v>2.4214130846621944</v>
      </c>
      <c r="R3" s="126">
        <f t="shared" ref="R3:W3" si="1">SUM(R4,R16,R19,R29)</f>
        <v>2.276595350540247</v>
      </c>
      <c r="S3" s="126">
        <f t="shared" si="1"/>
        <v>2.494715407948529</v>
      </c>
      <c r="T3" s="126">
        <f t="shared" si="1"/>
        <v>2.1675475265788506</v>
      </c>
      <c r="U3" s="126">
        <f t="shared" si="1"/>
        <v>1.8414410689512071</v>
      </c>
      <c r="V3" s="126">
        <f t="shared" si="1"/>
        <v>1.3218075996658429</v>
      </c>
      <c r="W3" s="126">
        <f t="shared" si="1"/>
        <v>1.2753120960616247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0.98749163234710546</v>
      </c>
      <c r="D4" s="131">
        <f t="shared" si="2"/>
        <v>0.63509095689811323</v>
      </c>
      <c r="E4" s="131">
        <f t="shared" si="2"/>
        <v>0.44372432005082307</v>
      </c>
      <c r="F4" s="131">
        <f t="shared" si="2"/>
        <v>0.28154712686141725</v>
      </c>
      <c r="G4" s="131">
        <f t="shared" si="2"/>
        <v>1.6725815094987246</v>
      </c>
      <c r="H4" s="131">
        <f t="shared" si="2"/>
        <v>0.71683122512305908</v>
      </c>
      <c r="I4" s="131">
        <f t="shared" si="2"/>
        <v>0.78475396649714291</v>
      </c>
      <c r="J4" s="131">
        <f t="shared" si="2"/>
        <v>1.3437690747421582</v>
      </c>
      <c r="K4" s="131">
        <f t="shared" si="2"/>
        <v>0.18083367927945698</v>
      </c>
      <c r="L4" s="131">
        <f t="shared" si="2"/>
        <v>0.65881137585597382</v>
      </c>
      <c r="M4" s="131">
        <f t="shared" si="2"/>
        <v>0.85396278136717885</v>
      </c>
      <c r="N4" s="131">
        <f t="shared" si="2"/>
        <v>1.5223535052854285</v>
      </c>
      <c r="O4" s="131">
        <f t="shared" si="2"/>
        <v>1.0121675468058307</v>
      </c>
      <c r="P4" s="131">
        <f t="shared" si="2"/>
        <v>1.1953516494957974</v>
      </c>
      <c r="Q4" s="131">
        <f t="shared" si="2"/>
        <v>1.2678561381298168</v>
      </c>
      <c r="R4" s="131">
        <f t="shared" ref="R4:W4" si="3">SUM(R5:R15)</f>
        <v>1.1147902742136591</v>
      </c>
      <c r="S4" s="131">
        <f t="shared" si="3"/>
        <v>1.242810961302516</v>
      </c>
      <c r="T4" s="131">
        <f t="shared" si="3"/>
        <v>0.94029003321567595</v>
      </c>
      <c r="U4" s="131">
        <f t="shared" si="3"/>
        <v>0.69507348873065966</v>
      </c>
      <c r="V4" s="131">
        <f t="shared" si="3"/>
        <v>0.34035596790468092</v>
      </c>
      <c r="W4" s="131">
        <f t="shared" si="3"/>
        <v>0.2991571489444006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1.8152603171174255E-2</v>
      </c>
      <c r="D6" s="133">
        <v>2.2566350026436317E-2</v>
      </c>
      <c r="E6" s="133">
        <v>1.2709897130084646E-2</v>
      </c>
      <c r="F6" s="133">
        <v>2.0409987351107634E-2</v>
      </c>
      <c r="G6" s="133">
        <v>5.3638802954236973E-2</v>
      </c>
      <c r="H6" s="133">
        <v>5.4326118304845766E-2</v>
      </c>
      <c r="I6" s="133">
        <v>4.6496460620946069E-2</v>
      </c>
      <c r="J6" s="133">
        <v>3.7087607146404682E-2</v>
      </c>
      <c r="K6" s="133">
        <v>7.9073648084063575E-3</v>
      </c>
      <c r="L6" s="133">
        <v>4.8946834114469005E-2</v>
      </c>
      <c r="M6" s="133">
        <v>6.5507546476739648E-2</v>
      </c>
      <c r="N6" s="133">
        <v>5.420099053935324E-2</v>
      </c>
      <c r="O6" s="133">
        <v>0</v>
      </c>
      <c r="P6" s="133">
        <v>4.2372682015014108E-3</v>
      </c>
      <c r="Q6" s="133">
        <v>2.9759863782939749E-2</v>
      </c>
      <c r="R6" s="133">
        <v>3.6628313196035885E-2</v>
      </c>
      <c r="S6" s="133">
        <v>5.4555462232401493E-2</v>
      </c>
      <c r="T6" s="133">
        <v>8.287841299865846E-2</v>
      </c>
      <c r="U6" s="133">
        <v>7.7715094773729843E-2</v>
      </c>
      <c r="V6" s="133">
        <v>4.3200962127795443E-2</v>
      </c>
      <c r="W6" s="133">
        <v>2.6392586435110967E-2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0.48372928484983002</v>
      </c>
      <c r="D7" s="133">
        <v>0.32407829177371356</v>
      </c>
      <c r="E7" s="133">
        <v>0.16977741188271783</v>
      </c>
      <c r="F7" s="133">
        <v>1.6408062391705402E-2</v>
      </c>
      <c r="G7" s="133">
        <v>6.7174840198919422E-2</v>
      </c>
      <c r="H7" s="133">
        <v>0.39578192801411149</v>
      </c>
      <c r="I7" s="133">
        <v>0.56637978316876847</v>
      </c>
      <c r="J7" s="133">
        <v>0.9580531487205366</v>
      </c>
      <c r="K7" s="133">
        <v>0</v>
      </c>
      <c r="L7" s="133">
        <v>0</v>
      </c>
      <c r="M7" s="133">
        <v>0.14116766846509216</v>
      </c>
      <c r="N7" s="133">
        <v>0.90020638153254617</v>
      </c>
      <c r="O7" s="133">
        <v>0.5783822768900273</v>
      </c>
      <c r="P7" s="133">
        <v>0.96720516414256685</v>
      </c>
      <c r="Q7" s="133">
        <v>0.60813531440824353</v>
      </c>
      <c r="R7" s="133">
        <v>8.0812901363317508E-2</v>
      </c>
      <c r="S7" s="133">
        <v>0</v>
      </c>
      <c r="T7" s="133">
        <v>0</v>
      </c>
      <c r="U7" s="133">
        <v>0</v>
      </c>
      <c r="V7" s="133">
        <v>0</v>
      </c>
      <c r="W7" s="133">
        <v>7.7625116263118119E-2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0.20343789954192643</v>
      </c>
      <c r="N9" s="133">
        <v>5.5627697522943345E-2</v>
      </c>
      <c r="O9" s="133">
        <v>0</v>
      </c>
      <c r="P9" s="133">
        <v>0</v>
      </c>
      <c r="Q9" s="133">
        <v>0</v>
      </c>
      <c r="R9" s="133">
        <v>2.1658578816567838E-3</v>
      </c>
      <c r="S9" s="133">
        <v>0</v>
      </c>
      <c r="T9" s="133">
        <v>7.7083659544473736E-3</v>
      </c>
      <c r="U9" s="133">
        <v>1.9581767821090192E-2</v>
      </c>
      <c r="V9" s="133">
        <v>3.9371622128630971E-3</v>
      </c>
      <c r="W9" s="133">
        <v>3.4515410125225271E-3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3.0775521898034952E-2</v>
      </c>
      <c r="N12" s="133">
        <v>3.4353290790482371E-4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7.14226578306912E-3</v>
      </c>
      <c r="D13" s="133">
        <v>7.4239610150530497E-3</v>
      </c>
      <c r="E13" s="133">
        <v>6.2786925464707877E-3</v>
      </c>
      <c r="F13" s="133">
        <v>4.8388789415428346E-3</v>
      </c>
      <c r="G13" s="133">
        <v>2.3872533895415132E-2</v>
      </c>
      <c r="H13" s="133">
        <v>2.9981221778842698E-2</v>
      </c>
      <c r="I13" s="133">
        <v>4.7689666072365959E-2</v>
      </c>
      <c r="J13" s="133">
        <v>7.0808471313577759E-2</v>
      </c>
      <c r="K13" s="133">
        <v>1.1283105460516274E-2</v>
      </c>
      <c r="L13" s="133">
        <v>2.2823171559457878E-3</v>
      </c>
      <c r="M13" s="133">
        <v>9.7234819742724066E-3</v>
      </c>
      <c r="N13" s="133">
        <v>1.1063199432891184E-2</v>
      </c>
      <c r="O13" s="133">
        <v>2.4807752311416704E-2</v>
      </c>
      <c r="P13" s="133">
        <v>6.570191299278165E-2</v>
      </c>
      <c r="Q13" s="133">
        <v>6.2975780924410488E-2</v>
      </c>
      <c r="R13" s="133">
        <v>6.8489736608281657E-2</v>
      </c>
      <c r="S13" s="133">
        <v>4.8667271318301057E-2</v>
      </c>
      <c r="T13" s="133">
        <v>5.7397163628292586E-2</v>
      </c>
      <c r="U13" s="133">
        <v>6.0364992196757686E-2</v>
      </c>
      <c r="V13" s="133">
        <v>9.3120385353375371E-2</v>
      </c>
      <c r="W13" s="133">
        <v>4.3447607763635911E-2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0.47231451183105483</v>
      </c>
      <c r="D14" s="65">
        <v>0.27681213673673521</v>
      </c>
      <c r="E14" s="65">
        <v>0.2527623133003653</v>
      </c>
      <c r="F14" s="65">
        <v>0.23944558506465899</v>
      </c>
      <c r="G14" s="65">
        <v>1.5264533200963564</v>
      </c>
      <c r="H14" s="65">
        <v>0.23146301620831869</v>
      </c>
      <c r="I14" s="65">
        <v>0.1170606342376381</v>
      </c>
      <c r="J14" s="65">
        <v>0.26636789907392433</v>
      </c>
      <c r="K14" s="65">
        <v>0.16155057636470946</v>
      </c>
      <c r="L14" s="65">
        <v>0.60700879178600475</v>
      </c>
      <c r="M14" s="65">
        <v>0.39794383110806314</v>
      </c>
      <c r="N14" s="65">
        <v>0.48893363206148127</v>
      </c>
      <c r="O14" s="65">
        <v>0.4019985918190746</v>
      </c>
      <c r="P14" s="65">
        <v>0.14614438338853053</v>
      </c>
      <c r="Q14" s="65">
        <v>0.55888171106374773</v>
      </c>
      <c r="R14" s="65">
        <v>0.9251486882386355</v>
      </c>
      <c r="S14" s="65">
        <v>1.1388701652435056</v>
      </c>
      <c r="T14" s="65">
        <v>0.79110495592787522</v>
      </c>
      <c r="U14" s="65">
        <v>0.53610533376983727</v>
      </c>
      <c r="V14" s="65">
        <v>0.19947120336556656</v>
      </c>
      <c r="W14" s="65">
        <v>0.14684477362653997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6.1529667119773089E-3</v>
      </c>
      <c r="D15" s="135">
        <v>4.2102173461751385E-3</v>
      </c>
      <c r="E15" s="135">
        <v>2.1960051911845357E-3</v>
      </c>
      <c r="F15" s="135">
        <v>4.4461311240239182E-4</v>
      </c>
      <c r="G15" s="135">
        <v>1.4420123537967136E-3</v>
      </c>
      <c r="H15" s="135">
        <v>5.2789408169404131E-3</v>
      </c>
      <c r="I15" s="135">
        <v>7.1274223974243881E-3</v>
      </c>
      <c r="J15" s="135">
        <v>1.1451948487714764E-2</v>
      </c>
      <c r="K15" s="135">
        <v>9.2632645824914574E-5</v>
      </c>
      <c r="L15" s="135">
        <v>5.7343279955421658E-4</v>
      </c>
      <c r="M15" s="135">
        <v>5.4068319030501572E-3</v>
      </c>
      <c r="N15" s="135">
        <v>1.1978071288308386E-2</v>
      </c>
      <c r="O15" s="135">
        <v>6.9789257853121855E-3</v>
      </c>
      <c r="P15" s="135">
        <v>1.2062920770417037E-2</v>
      </c>
      <c r="Q15" s="135">
        <v>8.10346795047533E-3</v>
      </c>
      <c r="R15" s="135">
        <v>1.5447769257318118E-3</v>
      </c>
      <c r="S15" s="135">
        <v>7.1806250830791876E-4</v>
      </c>
      <c r="T15" s="135">
        <v>1.2011347064024014E-3</v>
      </c>
      <c r="U15" s="135">
        <v>1.3063001692446678E-3</v>
      </c>
      <c r="V15" s="135">
        <v>6.2625484508042352E-4</v>
      </c>
      <c r="W15" s="135">
        <v>1.3955238434730846E-3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0.31140571005866047</v>
      </c>
      <c r="D16" s="131">
        <f t="shared" si="4"/>
        <v>0.13171843681750087</v>
      </c>
      <c r="E16" s="131">
        <f t="shared" si="4"/>
        <v>0.12642790922834782</v>
      </c>
      <c r="F16" s="131">
        <f t="shared" si="4"/>
        <v>4.1267368768000676E-2</v>
      </c>
      <c r="G16" s="131">
        <f t="shared" si="4"/>
        <v>0.15911797132646074</v>
      </c>
      <c r="H16" s="131">
        <f t="shared" si="4"/>
        <v>0.168191453554589</v>
      </c>
      <c r="I16" s="131">
        <f t="shared" si="4"/>
        <v>0.19080783128467965</v>
      </c>
      <c r="J16" s="131">
        <f t="shared" si="4"/>
        <v>0.29498787949245026</v>
      </c>
      <c r="K16" s="131">
        <f t="shared" si="4"/>
        <v>5.8067302332559065E-2</v>
      </c>
      <c r="L16" s="131">
        <f t="shared" si="4"/>
        <v>6.6186467006077193E-2</v>
      </c>
      <c r="M16" s="131">
        <f t="shared" si="4"/>
        <v>0.10916655795221984</v>
      </c>
      <c r="N16" s="131">
        <f t="shared" si="4"/>
        <v>0.30819726072241804</v>
      </c>
      <c r="O16" s="131">
        <f t="shared" si="4"/>
        <v>0.1310266854876054</v>
      </c>
      <c r="P16" s="131">
        <f t="shared" si="4"/>
        <v>0.17048633721610798</v>
      </c>
      <c r="Q16" s="131">
        <f t="shared" si="4"/>
        <v>0.16882888304423849</v>
      </c>
      <c r="R16" s="131">
        <f t="shared" ref="R16:W16" si="5">SUM(R17:R18)</f>
        <v>0.14352100818569244</v>
      </c>
      <c r="S16" s="131">
        <f t="shared" si="5"/>
        <v>0.17125961200557147</v>
      </c>
      <c r="T16" s="131">
        <f t="shared" si="5"/>
        <v>0.14262086681185238</v>
      </c>
      <c r="U16" s="131">
        <f t="shared" si="5"/>
        <v>0.17651090328083824</v>
      </c>
      <c r="V16" s="131">
        <f t="shared" si="5"/>
        <v>0.12923831574398309</v>
      </c>
      <c r="W16" s="131">
        <f t="shared" si="5"/>
        <v>0.13139984303614138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0.31140571005866047</v>
      </c>
      <c r="D18" s="133">
        <v>0.13171843681750087</v>
      </c>
      <c r="E18" s="133">
        <v>0.12642790922834782</v>
      </c>
      <c r="F18" s="133">
        <v>4.1267368768000676E-2</v>
      </c>
      <c r="G18" s="133">
        <v>0.15911797132646074</v>
      </c>
      <c r="H18" s="133">
        <v>0.168191453554589</v>
      </c>
      <c r="I18" s="133">
        <v>0.19080783128467965</v>
      </c>
      <c r="J18" s="133">
        <v>0.29498787949245026</v>
      </c>
      <c r="K18" s="133">
        <v>5.8067302332559065E-2</v>
      </c>
      <c r="L18" s="133">
        <v>6.6186467006077193E-2</v>
      </c>
      <c r="M18" s="133">
        <v>0.10916655795221984</v>
      </c>
      <c r="N18" s="133">
        <v>0.30819726072241804</v>
      </c>
      <c r="O18" s="133">
        <v>0.1310266854876054</v>
      </c>
      <c r="P18" s="133">
        <v>0.17048633721610798</v>
      </c>
      <c r="Q18" s="133">
        <v>0.16882888304423849</v>
      </c>
      <c r="R18" s="133">
        <v>0.14352100818569244</v>
      </c>
      <c r="S18" s="133">
        <v>0.17125961200557147</v>
      </c>
      <c r="T18" s="133">
        <v>0.14262086681185238</v>
      </c>
      <c r="U18" s="133">
        <v>0.17651090328083824</v>
      </c>
      <c r="V18" s="133">
        <v>0.12923831574398309</v>
      </c>
      <c r="W18" s="133">
        <v>0.13139984303614138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0.47186437204945586</v>
      </c>
      <c r="D19" s="131">
        <f t="shared" si="6"/>
        <v>0.26992075454747094</v>
      </c>
      <c r="E19" s="131">
        <f t="shared" si="6"/>
        <v>0.17655798793986191</v>
      </c>
      <c r="F19" s="131">
        <f t="shared" si="6"/>
        <v>0.11536518061571119</v>
      </c>
      <c r="G19" s="131">
        <f t="shared" si="6"/>
        <v>0.44488649363217997</v>
      </c>
      <c r="H19" s="131">
        <f t="shared" si="6"/>
        <v>0.39029047942726347</v>
      </c>
      <c r="I19" s="131">
        <f t="shared" si="6"/>
        <v>0.40200116345795178</v>
      </c>
      <c r="J19" s="131">
        <f t="shared" si="6"/>
        <v>0.70734293662531966</v>
      </c>
      <c r="K19" s="131">
        <f t="shared" si="6"/>
        <v>0.14125024282666107</v>
      </c>
      <c r="L19" s="131">
        <f t="shared" si="6"/>
        <v>0.211379005311606</v>
      </c>
      <c r="M19" s="131">
        <f t="shared" si="6"/>
        <v>0.32976072683518942</v>
      </c>
      <c r="N19" s="131">
        <f t="shared" si="6"/>
        <v>0.52824958146395662</v>
      </c>
      <c r="O19" s="131">
        <f t="shared" si="6"/>
        <v>0.33124262857618103</v>
      </c>
      <c r="P19" s="131">
        <f t="shared" si="6"/>
        <v>0.41816750412069997</v>
      </c>
      <c r="Q19" s="131">
        <f t="shared" si="6"/>
        <v>0.38804530939554999</v>
      </c>
      <c r="R19" s="131">
        <f t="shared" ref="R19:W19" si="7">SUM(R20:R27)</f>
        <v>0.40103545353153808</v>
      </c>
      <c r="S19" s="131">
        <f t="shared" si="7"/>
        <v>0.40577935227770523</v>
      </c>
      <c r="T19" s="131">
        <f t="shared" si="7"/>
        <v>0.3863676715666931</v>
      </c>
      <c r="U19" s="131">
        <f t="shared" si="7"/>
        <v>0.35919339304669401</v>
      </c>
      <c r="V19" s="131">
        <f t="shared" si="7"/>
        <v>0.33051536412680138</v>
      </c>
      <c r="W19" s="131">
        <f t="shared" si="7"/>
        <v>0.32203100217759606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2.9527957906568217E-2</v>
      </c>
      <c r="D21" s="133">
        <v>1.2414528188436722E-2</v>
      </c>
      <c r="E21" s="133">
        <v>1.1303690423260003E-2</v>
      </c>
      <c r="F21" s="133">
        <v>1.2164248187441159E-2</v>
      </c>
      <c r="G21" s="133">
        <v>7.6963510875268315E-2</v>
      </c>
      <c r="H21" s="133">
        <v>0.10256284972912166</v>
      </c>
      <c r="I21" s="133">
        <v>6.3188647153560498E-2</v>
      </c>
      <c r="J21" s="133">
        <v>8.1473614627379259E-2</v>
      </c>
      <c r="K21" s="133">
        <v>1.5199644013922303E-2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1.1430962744964641E-2</v>
      </c>
      <c r="T21" s="133">
        <v>1.5569747057044428E-2</v>
      </c>
      <c r="U21" s="133">
        <v>9.4916742732404809E-3</v>
      </c>
      <c r="V21" s="133">
        <v>5.2007902437535662E-3</v>
      </c>
      <c r="W21" s="133">
        <v>1.3356327418935398E-2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9.246924741547483E-4</v>
      </c>
      <c r="N25" s="133">
        <v>2.3783877131562856E-4</v>
      </c>
      <c r="O25" s="133">
        <v>1.1173656966586993E-4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0.44233641414288766</v>
      </c>
      <c r="D26" s="65">
        <v>0.2575062263590342</v>
      </c>
      <c r="E26" s="65">
        <v>0.16525429751660189</v>
      </c>
      <c r="F26" s="65">
        <v>0.10320093242827003</v>
      </c>
      <c r="G26" s="65">
        <v>0.36792298275691165</v>
      </c>
      <c r="H26" s="65">
        <v>0.28772762969814181</v>
      </c>
      <c r="I26" s="65">
        <v>0.3388125163043913</v>
      </c>
      <c r="J26" s="65">
        <v>0.62586932199794043</v>
      </c>
      <c r="K26" s="65">
        <v>0.12605059881273878</v>
      </c>
      <c r="L26" s="65">
        <v>0.211379005311606</v>
      </c>
      <c r="M26" s="65">
        <v>0.32883603436103465</v>
      </c>
      <c r="N26" s="65">
        <v>0.52801174269264095</v>
      </c>
      <c r="O26" s="65">
        <v>0.33113089200651519</v>
      </c>
      <c r="P26" s="65">
        <v>0.41816750412069997</v>
      </c>
      <c r="Q26" s="65">
        <v>0.38804530939554999</v>
      </c>
      <c r="R26" s="65">
        <v>0.40103545353153808</v>
      </c>
      <c r="S26" s="65">
        <v>0.3943483895327406</v>
      </c>
      <c r="T26" s="65">
        <v>0.37079792450964866</v>
      </c>
      <c r="U26" s="65">
        <v>0.34970171877345352</v>
      </c>
      <c r="V26" s="65">
        <v>0.3253145738830478</v>
      </c>
      <c r="W26" s="65">
        <v>0.30867467475866067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0.55820450467393301</v>
      </c>
      <c r="D29" s="131">
        <f t="shared" si="8"/>
        <v>0.32548165874053747</v>
      </c>
      <c r="E29" s="131">
        <f t="shared" si="8"/>
        <v>0.21509142099181372</v>
      </c>
      <c r="F29" s="131">
        <f t="shared" si="8"/>
        <v>0.14249838236223586</v>
      </c>
      <c r="G29" s="131">
        <f t="shared" si="8"/>
        <v>0.55835528413327185</v>
      </c>
      <c r="H29" s="131">
        <f t="shared" si="8"/>
        <v>0.47774402993805587</v>
      </c>
      <c r="I29" s="131">
        <f t="shared" si="8"/>
        <v>0.52035218623582447</v>
      </c>
      <c r="J29" s="131">
        <f t="shared" si="8"/>
        <v>0.96275622352702062</v>
      </c>
      <c r="K29" s="131">
        <f t="shared" si="8"/>
        <v>0.21322026459511123</v>
      </c>
      <c r="L29" s="131">
        <f t="shared" si="8"/>
        <v>0.26754893583606731</v>
      </c>
      <c r="M29" s="131">
        <f t="shared" si="8"/>
        <v>0.42980268966556678</v>
      </c>
      <c r="N29" s="131">
        <f t="shared" si="8"/>
        <v>0.68326049269150269</v>
      </c>
      <c r="O29" s="131">
        <f t="shared" si="8"/>
        <v>0.44324713013171241</v>
      </c>
      <c r="P29" s="131">
        <f t="shared" si="8"/>
        <v>0.59100324708839691</v>
      </c>
      <c r="Q29" s="131">
        <f t="shared" si="8"/>
        <v>0.5966827540925892</v>
      </c>
      <c r="R29" s="131">
        <f t="shared" ref="R29:W29" si="9">SUM(R30:R33)</f>
        <v>0.61724861460935765</v>
      </c>
      <c r="S29" s="131">
        <f t="shared" si="9"/>
        <v>0.67486548236273658</v>
      </c>
      <c r="T29" s="131">
        <f t="shared" si="9"/>
        <v>0.69826895498462949</v>
      </c>
      <c r="U29" s="131">
        <f t="shared" si="9"/>
        <v>0.61066328389301527</v>
      </c>
      <c r="V29" s="131">
        <f t="shared" si="9"/>
        <v>0.52169795189037738</v>
      </c>
      <c r="W29" s="131">
        <f t="shared" si="9"/>
        <v>0.52272410190348662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3.8740117255308924E-2</v>
      </c>
      <c r="D30" s="133">
        <v>3.4908306499510794E-2</v>
      </c>
      <c r="E30" s="133">
        <v>1.5815429464606397E-2</v>
      </c>
      <c r="F30" s="133">
        <v>1.6638721581856246E-2</v>
      </c>
      <c r="G30" s="133">
        <v>8.1983918319675456E-2</v>
      </c>
      <c r="H30" s="133">
        <v>0.17623714804924254</v>
      </c>
      <c r="I30" s="133">
        <v>0.21375063867181149</v>
      </c>
      <c r="J30" s="133">
        <v>0.38287436900244309</v>
      </c>
      <c r="K30" s="133">
        <v>0.11919229806250947</v>
      </c>
      <c r="L30" s="133">
        <v>3.719076329128463E-2</v>
      </c>
      <c r="M30" s="133">
        <v>0.10462451355398389</v>
      </c>
      <c r="N30" s="133">
        <v>6.2188136178528461E-2</v>
      </c>
      <c r="O30" s="133">
        <v>8.8251799163971301E-2</v>
      </c>
      <c r="P30" s="133">
        <v>0.11109568450662981</v>
      </c>
      <c r="Q30" s="133">
        <v>0.20080151987078845</v>
      </c>
      <c r="R30" s="133">
        <v>0.18918650455140332</v>
      </c>
      <c r="S30" s="133">
        <v>0.35965518269492575</v>
      </c>
      <c r="T30" s="133">
        <v>0.41161756919159376</v>
      </c>
      <c r="U30" s="133">
        <v>0.25638352369893069</v>
      </c>
      <c r="V30" s="133">
        <v>0.11450930693581009</v>
      </c>
      <c r="W30" s="133">
        <v>0.11338762955898471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0.51946438741862411</v>
      </c>
      <c r="D33" s="68">
        <v>0.29057335224102665</v>
      </c>
      <c r="E33" s="68">
        <v>0.19927599152720732</v>
      </c>
      <c r="F33" s="68">
        <v>0.12585966078037961</v>
      </c>
      <c r="G33" s="68">
        <v>0.47637136581359635</v>
      </c>
      <c r="H33" s="68">
        <v>0.30150688188881336</v>
      </c>
      <c r="I33" s="68">
        <v>0.30660154756401292</v>
      </c>
      <c r="J33" s="68">
        <v>0.57988185452457752</v>
      </c>
      <c r="K33" s="68">
        <v>9.4027966532601745E-2</v>
      </c>
      <c r="L33" s="68">
        <v>0.23035817254478266</v>
      </c>
      <c r="M33" s="68">
        <v>0.3251781761115829</v>
      </c>
      <c r="N33" s="68">
        <v>0.62107235651297421</v>
      </c>
      <c r="O33" s="68">
        <v>0.35499533096774111</v>
      </c>
      <c r="P33" s="68">
        <v>0.47990756258176714</v>
      </c>
      <c r="Q33" s="68">
        <v>0.39588123422180077</v>
      </c>
      <c r="R33" s="68">
        <v>0.42806211005795436</v>
      </c>
      <c r="S33" s="68">
        <v>0.31521029966781083</v>
      </c>
      <c r="T33" s="68">
        <v>0.28665138579303573</v>
      </c>
      <c r="U33" s="68">
        <v>0.35427976019408458</v>
      </c>
      <c r="V33" s="68">
        <v>0.40718864495456725</v>
      </c>
      <c r="W33" s="68">
        <v>0.40933647234450188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2.0358799024945657</v>
      </c>
      <c r="D3" s="126">
        <f t="shared" si="0"/>
        <v>1.1161644124548413</v>
      </c>
      <c r="E3" s="126">
        <f t="shared" si="0"/>
        <v>0.86725716979527168</v>
      </c>
      <c r="F3" s="126">
        <f t="shared" si="0"/>
        <v>0.45607776350544693</v>
      </c>
      <c r="G3" s="126">
        <f t="shared" si="0"/>
        <v>2.1479212800127661</v>
      </c>
      <c r="H3" s="126">
        <f t="shared" si="0"/>
        <v>1.5248959222971936</v>
      </c>
      <c r="I3" s="126">
        <f t="shared" si="0"/>
        <v>1.7294955409535233</v>
      </c>
      <c r="J3" s="126">
        <f t="shared" si="0"/>
        <v>2.9573916761837475</v>
      </c>
      <c r="K3" s="126">
        <f t="shared" si="0"/>
        <v>0.53720787997091091</v>
      </c>
      <c r="L3" s="126">
        <f t="shared" si="0"/>
        <v>0.95908816021696652</v>
      </c>
      <c r="M3" s="126">
        <f t="shared" si="0"/>
        <v>1.4968763210067582</v>
      </c>
      <c r="N3" s="126">
        <f t="shared" si="0"/>
        <v>2.9978964375138997</v>
      </c>
      <c r="O3" s="126">
        <f t="shared" si="0"/>
        <v>1.7825534701792149</v>
      </c>
      <c r="P3" s="126">
        <f t="shared" si="0"/>
        <v>2.4224280417392086</v>
      </c>
      <c r="Q3" s="126">
        <f t="shared" si="0"/>
        <v>2.4717889995985423</v>
      </c>
      <c r="R3" s="126">
        <f t="shared" ref="R3:W3" si="1">SUM(R4,R16,R19,R29)</f>
        <v>2.3097787901983389</v>
      </c>
      <c r="S3" s="126">
        <f t="shared" si="1"/>
        <v>2.5199708678346378</v>
      </c>
      <c r="T3" s="126">
        <f t="shared" si="1"/>
        <v>2.2393318253868508</v>
      </c>
      <c r="U3" s="126">
        <f t="shared" si="1"/>
        <v>2.1905769949295477</v>
      </c>
      <c r="V3" s="126">
        <f t="shared" si="1"/>
        <v>1.7609001783002765</v>
      </c>
      <c r="W3" s="126">
        <f t="shared" si="1"/>
        <v>1.6131320744984263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0.61113128439825437</v>
      </c>
      <c r="D4" s="131">
        <f t="shared" si="2"/>
        <v>0.4004175467593955</v>
      </c>
      <c r="E4" s="131">
        <f t="shared" si="2"/>
        <v>0.28147891938557962</v>
      </c>
      <c r="F4" s="131">
        <f t="shared" si="2"/>
        <v>0.17863254642647111</v>
      </c>
      <c r="G4" s="131">
        <f t="shared" si="2"/>
        <v>1.0609579954818034</v>
      </c>
      <c r="H4" s="131">
        <f t="shared" si="2"/>
        <v>0.50451985117384679</v>
      </c>
      <c r="I4" s="131">
        <f t="shared" si="2"/>
        <v>0.58877239046418017</v>
      </c>
      <c r="J4" s="131">
        <f t="shared" si="2"/>
        <v>1.0045519758296813</v>
      </c>
      <c r="K4" s="131">
        <f t="shared" si="2"/>
        <v>0.13536162404930135</v>
      </c>
      <c r="L4" s="131">
        <f t="shared" si="2"/>
        <v>0.42699876380048352</v>
      </c>
      <c r="M4" s="131">
        <f t="shared" si="2"/>
        <v>0.63015284821409778</v>
      </c>
      <c r="N4" s="131">
        <f t="shared" si="2"/>
        <v>1.0865460633702482</v>
      </c>
      <c r="O4" s="131">
        <f t="shared" si="2"/>
        <v>0.7729482202886595</v>
      </c>
      <c r="P4" s="131">
        <f t="shared" si="2"/>
        <v>1.0599691393578139</v>
      </c>
      <c r="Q4" s="131">
        <f t="shared" si="2"/>
        <v>1.1089934325882935</v>
      </c>
      <c r="R4" s="131">
        <f t="shared" ref="R4:W4" si="3">SUM(R5:R15)</f>
        <v>0.99570917288269289</v>
      </c>
      <c r="S4" s="131">
        <f t="shared" si="3"/>
        <v>1.052342105348159</v>
      </c>
      <c r="T4" s="131">
        <f t="shared" si="3"/>
        <v>0.87601094400035684</v>
      </c>
      <c r="U4" s="131">
        <f t="shared" si="3"/>
        <v>0.71187835383514442</v>
      </c>
      <c r="V4" s="131">
        <f t="shared" si="3"/>
        <v>0.53023961539983178</v>
      </c>
      <c r="W4" s="131">
        <f t="shared" si="3"/>
        <v>0.36244857974639288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1.1571759048933081E-2</v>
      </c>
      <c r="D6" s="133">
        <v>1.4507805689525583E-2</v>
      </c>
      <c r="E6" s="133">
        <v>8.2424666102340772E-3</v>
      </c>
      <c r="F6" s="133">
        <v>1.3350007147820322E-2</v>
      </c>
      <c r="G6" s="133">
        <v>3.5392809467190971E-2</v>
      </c>
      <c r="H6" s="133">
        <v>3.6165510761621784E-2</v>
      </c>
      <c r="I6" s="133">
        <v>3.1234401001768913E-2</v>
      </c>
      <c r="J6" s="133">
        <v>2.5151244312530727E-2</v>
      </c>
      <c r="K6" s="133">
        <v>5.4169713531165486E-3</v>
      </c>
      <c r="L6" s="133">
        <v>3.3894429590477941E-2</v>
      </c>
      <c r="M6" s="133">
        <v>4.613894922846256E-2</v>
      </c>
      <c r="N6" s="133">
        <v>3.912032896596461E-2</v>
      </c>
      <c r="O6" s="133">
        <v>0</v>
      </c>
      <c r="P6" s="133">
        <v>3.2734196232534186E-3</v>
      </c>
      <c r="Q6" s="133">
        <v>2.3657997661689537E-2</v>
      </c>
      <c r="R6" s="133">
        <v>2.9519449330352242E-2</v>
      </c>
      <c r="S6" s="133">
        <v>4.4393315013009568E-2</v>
      </c>
      <c r="T6" s="133">
        <v>6.7913397814491391E-2</v>
      </c>
      <c r="U6" s="133">
        <v>6.402851646191407E-2</v>
      </c>
      <c r="V6" s="133">
        <v>3.5761385309259125E-2</v>
      </c>
      <c r="W6" s="133">
        <v>2.1915821857394276E-2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0.30206475531171473</v>
      </c>
      <c r="D7" s="133">
        <v>0.20405333258213137</v>
      </c>
      <c r="E7" s="133">
        <v>0.10781179378763853</v>
      </c>
      <c r="F7" s="133">
        <v>1.0507218521018184E-2</v>
      </c>
      <c r="G7" s="133">
        <v>4.3386692144178819E-2</v>
      </c>
      <c r="H7" s="133">
        <v>0.25785755754739281</v>
      </c>
      <c r="I7" s="133">
        <v>0.37229278512581787</v>
      </c>
      <c r="J7" s="133">
        <v>0.6356385574947272</v>
      </c>
      <c r="K7" s="133">
        <v>0</v>
      </c>
      <c r="L7" s="133">
        <v>0</v>
      </c>
      <c r="M7" s="133">
        <v>9.7221921450982199E-2</v>
      </c>
      <c r="N7" s="133">
        <v>0.63515422188185522</v>
      </c>
      <c r="O7" s="133">
        <v>0.42133631528752635</v>
      </c>
      <c r="P7" s="133">
        <v>0.72998395561383678</v>
      </c>
      <c r="Q7" s="133">
        <v>0.47219857711174201</v>
      </c>
      <c r="R7" s="133">
        <v>6.3607868060884712E-2</v>
      </c>
      <c r="S7" s="133">
        <v>0</v>
      </c>
      <c r="T7" s="133">
        <v>0</v>
      </c>
      <c r="U7" s="133">
        <v>0</v>
      </c>
      <c r="V7" s="133">
        <v>0</v>
      </c>
      <c r="W7" s="133">
        <v>6.2939919944866932E-2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0.17436590076515288</v>
      </c>
      <c r="N9" s="133">
        <v>4.8078025535664919E-2</v>
      </c>
      <c r="O9" s="133">
        <v>0</v>
      </c>
      <c r="P9" s="133">
        <v>0</v>
      </c>
      <c r="Q9" s="133">
        <v>0</v>
      </c>
      <c r="R9" s="133">
        <v>1.9417185017447567E-3</v>
      </c>
      <c r="S9" s="133">
        <v>0</v>
      </c>
      <c r="T9" s="133">
        <v>6.9620607403146559E-3</v>
      </c>
      <c r="U9" s="133">
        <v>1.7734138145115211E-2</v>
      </c>
      <c r="V9" s="133">
        <v>3.5740912673989681E-3</v>
      </c>
      <c r="W9" s="133">
        <v>3.1383580612593426E-3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2.3896692018630948E-2</v>
      </c>
      <c r="N12" s="133">
        <v>2.6864189884499102E-4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1.0785203582400987E-2</v>
      </c>
      <c r="D13" s="133">
        <v>1.2021896197919619E-2</v>
      </c>
      <c r="E13" s="133">
        <v>1.0873130658690484E-2</v>
      </c>
      <c r="F13" s="133">
        <v>8.9365721087181667E-3</v>
      </c>
      <c r="G13" s="133">
        <v>4.6908430758662134E-2</v>
      </c>
      <c r="H13" s="133">
        <v>6.2542585466641654E-2</v>
      </c>
      <c r="I13" s="133">
        <v>0.10540415924802179</v>
      </c>
      <c r="J13" s="133">
        <v>0.16553242174248489</v>
      </c>
      <c r="K13" s="133">
        <v>2.7857187969498143E-2</v>
      </c>
      <c r="L13" s="133">
        <v>5.9425833334458824E-3</v>
      </c>
      <c r="M13" s="133">
        <v>2.6758985276742076E-2</v>
      </c>
      <c r="N13" s="133">
        <v>3.2261985317040415E-2</v>
      </c>
      <c r="O13" s="133">
        <v>7.6769141620900802E-2</v>
      </c>
      <c r="P13" s="133">
        <v>0.21508446869384673</v>
      </c>
      <c r="Q13" s="133">
        <v>0.21540475854808569</v>
      </c>
      <c r="R13" s="133">
        <v>0.23832817278993362</v>
      </c>
      <c r="S13" s="133">
        <v>0.17117818416898661</v>
      </c>
      <c r="T13" s="133">
        <v>0.20326634318248563</v>
      </c>
      <c r="U13" s="133">
        <v>0.21493367380302927</v>
      </c>
      <c r="V13" s="133">
        <v>0.33371609523286133</v>
      </c>
      <c r="W13" s="133">
        <v>0.15685270533208481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0.28055659974322822</v>
      </c>
      <c r="D14" s="65">
        <v>0.16562429494364378</v>
      </c>
      <c r="E14" s="65">
        <v>0.15235552313783202</v>
      </c>
      <c r="F14" s="65">
        <v>0.14539413553651204</v>
      </c>
      <c r="G14" s="65">
        <v>0.93382805075797459</v>
      </c>
      <c r="H14" s="65">
        <v>0.14267525658125016</v>
      </c>
      <c r="I14" s="65">
        <v>7.2713622691147228E-2</v>
      </c>
      <c r="J14" s="65">
        <v>0.16677780379222376</v>
      </c>
      <c r="K14" s="65">
        <v>0.10199483208086176</v>
      </c>
      <c r="L14" s="65">
        <v>0.38658831807700544</v>
      </c>
      <c r="M14" s="65">
        <v>0.25636356757107698</v>
      </c>
      <c r="N14" s="65">
        <v>0.3196847884825697</v>
      </c>
      <c r="O14" s="65">
        <v>0.26786383759492011</v>
      </c>
      <c r="P14" s="65">
        <v>9.95643746564598E-2</v>
      </c>
      <c r="Q14" s="65">
        <v>0.38962863131630115</v>
      </c>
      <c r="R14" s="65">
        <v>0.66076718727404571</v>
      </c>
      <c r="S14" s="65">
        <v>0.83605254365785497</v>
      </c>
      <c r="T14" s="65">
        <v>0.59666800755666283</v>
      </c>
      <c r="U14" s="65">
        <v>0.41387572525584115</v>
      </c>
      <c r="V14" s="65">
        <v>0.15656178874523194</v>
      </c>
      <c r="W14" s="65">
        <v>0.11620625070731447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6.1529667119773089E-3</v>
      </c>
      <c r="D15" s="135">
        <v>4.2102173461751385E-3</v>
      </c>
      <c r="E15" s="135">
        <v>2.1960051911845357E-3</v>
      </c>
      <c r="F15" s="135">
        <v>4.4461311240239182E-4</v>
      </c>
      <c r="G15" s="135">
        <v>1.4420123537967136E-3</v>
      </c>
      <c r="H15" s="135">
        <v>5.2789408169404131E-3</v>
      </c>
      <c r="I15" s="135">
        <v>7.1274223974243881E-3</v>
      </c>
      <c r="J15" s="135">
        <v>1.1451948487714764E-2</v>
      </c>
      <c r="K15" s="135">
        <v>9.2632645824914574E-5</v>
      </c>
      <c r="L15" s="135">
        <v>5.7343279955421658E-4</v>
      </c>
      <c r="M15" s="135">
        <v>5.4068319030501572E-3</v>
      </c>
      <c r="N15" s="135">
        <v>1.1978071288308386E-2</v>
      </c>
      <c r="O15" s="135">
        <v>6.9789257853121855E-3</v>
      </c>
      <c r="P15" s="135">
        <v>1.2062920770417037E-2</v>
      </c>
      <c r="Q15" s="135">
        <v>8.10346795047533E-3</v>
      </c>
      <c r="R15" s="135">
        <v>1.5447769257318118E-3</v>
      </c>
      <c r="S15" s="135">
        <v>7.1806250830791876E-4</v>
      </c>
      <c r="T15" s="135">
        <v>1.2011347064024014E-3</v>
      </c>
      <c r="U15" s="135">
        <v>1.3063001692446678E-3</v>
      </c>
      <c r="V15" s="135">
        <v>6.2625484508042352E-4</v>
      </c>
      <c r="W15" s="135">
        <v>1.3955238434730846E-3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0.76891417286003128</v>
      </c>
      <c r="D16" s="131">
        <f t="shared" si="4"/>
        <v>0.33682047910308949</v>
      </c>
      <c r="E16" s="131">
        <f t="shared" si="4"/>
        <v>0.33452907059280623</v>
      </c>
      <c r="F16" s="131">
        <f t="shared" si="4"/>
        <v>0.11286558049295942</v>
      </c>
      <c r="G16" s="131">
        <f t="shared" si="4"/>
        <v>0.44947745974057546</v>
      </c>
      <c r="H16" s="131">
        <f t="shared" si="4"/>
        <v>0.49034164544159764</v>
      </c>
      <c r="I16" s="131">
        <f t="shared" si="4"/>
        <v>0.57373586796217491</v>
      </c>
      <c r="J16" s="131">
        <f t="shared" si="4"/>
        <v>0.91447845048415144</v>
      </c>
      <c r="K16" s="131">
        <f t="shared" si="4"/>
        <v>0.18555612814320216</v>
      </c>
      <c r="L16" s="131">
        <f t="shared" si="4"/>
        <v>0.21798361115865075</v>
      </c>
      <c r="M16" s="131">
        <f t="shared" si="4"/>
        <v>0.37230806933132371</v>
      </c>
      <c r="N16" s="131">
        <f t="shared" si="4"/>
        <v>1.0946881059173266</v>
      </c>
      <c r="O16" s="131">
        <f t="shared" si="4"/>
        <v>0.48752694692348431</v>
      </c>
      <c r="P16" s="131">
        <f t="shared" si="4"/>
        <v>0.66557966718395067</v>
      </c>
      <c r="Q16" s="131">
        <f t="shared" si="4"/>
        <v>0.68568691384703129</v>
      </c>
      <c r="R16" s="131">
        <f t="shared" ref="R16:W16" si="5">SUM(R17:R18)</f>
        <v>0.59707515859414662</v>
      </c>
      <c r="S16" s="131">
        <f t="shared" si="5"/>
        <v>0.72593580147953762</v>
      </c>
      <c r="T16" s="131">
        <f t="shared" si="5"/>
        <v>0.61390934540497011</v>
      </c>
      <c r="U16" s="131">
        <f t="shared" si="5"/>
        <v>0.77034288324149203</v>
      </c>
      <c r="V16" s="131">
        <f t="shared" si="5"/>
        <v>0.57191139298441984</v>
      </c>
      <c r="W16" s="131">
        <f t="shared" si="5"/>
        <v>0.5893196308929467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0.76891417286003128</v>
      </c>
      <c r="D18" s="133">
        <v>0.33682047910308949</v>
      </c>
      <c r="E18" s="133">
        <v>0.33452907059280623</v>
      </c>
      <c r="F18" s="133">
        <v>0.11286558049295942</v>
      </c>
      <c r="G18" s="133">
        <v>0.44947745974057546</v>
      </c>
      <c r="H18" s="133">
        <v>0.49034164544159764</v>
      </c>
      <c r="I18" s="133">
        <v>0.57373586796217491</v>
      </c>
      <c r="J18" s="133">
        <v>0.91447845048415144</v>
      </c>
      <c r="K18" s="133">
        <v>0.18555612814320216</v>
      </c>
      <c r="L18" s="133">
        <v>0.21798361115865075</v>
      </c>
      <c r="M18" s="133">
        <v>0.37230806933132371</v>
      </c>
      <c r="N18" s="133">
        <v>1.0946881059173266</v>
      </c>
      <c r="O18" s="133">
        <v>0.48752694692348431</v>
      </c>
      <c r="P18" s="133">
        <v>0.66557966718395067</v>
      </c>
      <c r="Q18" s="133">
        <v>0.68568691384703129</v>
      </c>
      <c r="R18" s="133">
        <v>0.59707515859414662</v>
      </c>
      <c r="S18" s="133">
        <v>0.72593580147953762</v>
      </c>
      <c r="T18" s="133">
        <v>0.61390934540497011</v>
      </c>
      <c r="U18" s="133">
        <v>0.77034288324149203</v>
      </c>
      <c r="V18" s="133">
        <v>0.57191139298441984</v>
      </c>
      <c r="W18" s="133">
        <v>0.5893196308929467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0.24868390631875611</v>
      </c>
      <c r="D19" s="131">
        <f t="shared" si="6"/>
        <v>0.14323749395355331</v>
      </c>
      <c r="E19" s="131">
        <f t="shared" si="6"/>
        <v>9.3842545286361129E-2</v>
      </c>
      <c r="F19" s="131">
        <f t="shared" si="6"/>
        <v>6.1182425691740878E-2</v>
      </c>
      <c r="G19" s="131">
        <f t="shared" si="6"/>
        <v>0.23446763090261541</v>
      </c>
      <c r="H19" s="131">
        <f t="shared" si="6"/>
        <v>0.20369322880634683</v>
      </c>
      <c r="I19" s="131">
        <f t="shared" si="6"/>
        <v>0.21468299409280278</v>
      </c>
      <c r="J19" s="131">
        <f t="shared" si="6"/>
        <v>0.38265379159360446</v>
      </c>
      <c r="K19" s="131">
        <f t="shared" si="6"/>
        <v>7.7034893472358576E-2</v>
      </c>
      <c r="L19" s="131">
        <f t="shared" si="6"/>
        <v>0.11815032141377024</v>
      </c>
      <c r="M19" s="131">
        <f t="shared" si="6"/>
        <v>0.18688763480917298</v>
      </c>
      <c r="N19" s="131">
        <f t="shared" si="6"/>
        <v>0.30580051079507059</v>
      </c>
      <c r="O19" s="131">
        <f t="shared" si="6"/>
        <v>0.19792420902428046</v>
      </c>
      <c r="P19" s="131">
        <f t="shared" si="6"/>
        <v>0.25999588411504176</v>
      </c>
      <c r="Q19" s="131">
        <f t="shared" si="6"/>
        <v>0.2504986642357877</v>
      </c>
      <c r="R19" s="131">
        <f t="shared" ref="R19:W19" si="7">SUM(R20:R27)</f>
        <v>0.26572333405994358</v>
      </c>
      <c r="S19" s="131">
        <f t="shared" si="7"/>
        <v>0.27501047170643306</v>
      </c>
      <c r="T19" s="131">
        <f t="shared" si="7"/>
        <v>0.26788215805406013</v>
      </c>
      <c r="U19" s="131">
        <f t="shared" si="7"/>
        <v>0.25485372459107375</v>
      </c>
      <c r="V19" s="131">
        <f t="shared" si="7"/>
        <v>0.23922660825431719</v>
      </c>
      <c r="W19" s="131">
        <f t="shared" si="7"/>
        <v>0.23590078696667011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1.3198621182174023E-2</v>
      </c>
      <c r="D21" s="133">
        <v>5.570359668276903E-3</v>
      </c>
      <c r="E21" s="133">
        <v>5.0944539155329096E-3</v>
      </c>
      <c r="F21" s="133">
        <v>5.5070060528162159E-3</v>
      </c>
      <c r="G21" s="133">
        <v>3.5019355442244063E-2</v>
      </c>
      <c r="H21" s="133">
        <v>4.6926373437480018E-2</v>
      </c>
      <c r="I21" s="133">
        <v>2.9088968602125342E-2</v>
      </c>
      <c r="J21" s="133">
        <v>3.7777436914037822E-2</v>
      </c>
      <c r="K21" s="133">
        <v>7.1089584643245348E-3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7.0592598007107139E-3</v>
      </c>
      <c r="T21" s="133">
        <v>9.8655747746843481E-3</v>
      </c>
      <c r="U21" s="133">
        <v>6.1414800149331697E-3</v>
      </c>
      <c r="V21" s="133">
        <v>3.4156424237428598E-3</v>
      </c>
      <c r="W21" s="133">
        <v>8.8328696624972586E-3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5.806441884869389E-4</v>
      </c>
      <c r="N25" s="133">
        <v>1.5040714108100652E-4</v>
      </c>
      <c r="O25" s="133">
        <v>7.1313669939943717E-5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0.2354852851365821</v>
      </c>
      <c r="D26" s="65">
        <v>0.13766713428527641</v>
      </c>
      <c r="E26" s="65">
        <v>8.8748091370828217E-2</v>
      </c>
      <c r="F26" s="65">
        <v>5.567541963892466E-2</v>
      </c>
      <c r="G26" s="65">
        <v>0.19944827546037136</v>
      </c>
      <c r="H26" s="65">
        <v>0.15676685536886681</v>
      </c>
      <c r="I26" s="65">
        <v>0.18559402549067744</v>
      </c>
      <c r="J26" s="65">
        <v>0.34487635467956662</v>
      </c>
      <c r="K26" s="65">
        <v>6.992593500803404E-2</v>
      </c>
      <c r="L26" s="65">
        <v>0.11815032141377024</v>
      </c>
      <c r="M26" s="65">
        <v>0.18630699062068604</v>
      </c>
      <c r="N26" s="65">
        <v>0.30565010365398959</v>
      </c>
      <c r="O26" s="65">
        <v>0.1978528953543405</v>
      </c>
      <c r="P26" s="65">
        <v>0.25999588411504176</v>
      </c>
      <c r="Q26" s="65">
        <v>0.2504986642357877</v>
      </c>
      <c r="R26" s="65">
        <v>0.26572333405994358</v>
      </c>
      <c r="S26" s="65">
        <v>0.26795121190572235</v>
      </c>
      <c r="T26" s="65">
        <v>0.25801658327937577</v>
      </c>
      <c r="U26" s="65">
        <v>0.24871224457614061</v>
      </c>
      <c r="V26" s="65">
        <v>0.23581096583057432</v>
      </c>
      <c r="W26" s="65">
        <v>0.22706791730417286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0.40715053891752412</v>
      </c>
      <c r="D29" s="131">
        <f t="shared" si="8"/>
        <v>0.23568889263880288</v>
      </c>
      <c r="E29" s="131">
        <f t="shared" si="8"/>
        <v>0.15740663453052461</v>
      </c>
      <c r="F29" s="131">
        <f t="shared" si="8"/>
        <v>0.10339721089427548</v>
      </c>
      <c r="G29" s="131">
        <f t="shared" si="8"/>
        <v>0.40301819388777149</v>
      </c>
      <c r="H29" s="131">
        <f t="shared" si="8"/>
        <v>0.32634119687540247</v>
      </c>
      <c r="I29" s="131">
        <f t="shared" si="8"/>
        <v>0.3523042884343654</v>
      </c>
      <c r="J29" s="131">
        <f t="shared" si="8"/>
        <v>0.65570745827631027</v>
      </c>
      <c r="K29" s="131">
        <f t="shared" si="8"/>
        <v>0.1392552343060488</v>
      </c>
      <c r="L29" s="131">
        <f t="shared" si="8"/>
        <v>0.19595546384406209</v>
      </c>
      <c r="M29" s="131">
        <f t="shared" si="8"/>
        <v>0.30752776865216358</v>
      </c>
      <c r="N29" s="131">
        <f t="shared" si="8"/>
        <v>0.51086175743125384</v>
      </c>
      <c r="O29" s="131">
        <f t="shared" si="8"/>
        <v>0.32415409394279071</v>
      </c>
      <c r="P29" s="131">
        <f t="shared" si="8"/>
        <v>0.43688335108240217</v>
      </c>
      <c r="Q29" s="131">
        <f t="shared" si="8"/>
        <v>0.42660998892742968</v>
      </c>
      <c r="R29" s="131">
        <f t="shared" ref="R29:W29" si="9">SUM(R30:R33)</f>
        <v>0.45127112466155556</v>
      </c>
      <c r="S29" s="131">
        <f t="shared" si="9"/>
        <v>0.46668248930050804</v>
      </c>
      <c r="T29" s="131">
        <f t="shared" si="9"/>
        <v>0.48152937792746381</v>
      </c>
      <c r="U29" s="131">
        <f t="shared" si="9"/>
        <v>0.45350203326183747</v>
      </c>
      <c r="V29" s="131">
        <f t="shared" si="9"/>
        <v>0.4195225616617077</v>
      </c>
      <c r="W29" s="131">
        <f t="shared" si="9"/>
        <v>0.42546307689241669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2.1763768920329003E-2</v>
      </c>
      <c r="D30" s="133">
        <v>1.9657680018750425E-2</v>
      </c>
      <c r="E30" s="133">
        <v>8.9268422195754454E-3</v>
      </c>
      <c r="F30" s="133">
        <v>9.4133863362481449E-3</v>
      </c>
      <c r="G30" s="133">
        <v>4.6488768985899778E-2</v>
      </c>
      <c r="H30" s="133">
        <v>0.10016042269711441</v>
      </c>
      <c r="I30" s="133">
        <v>0.12174990117111475</v>
      </c>
      <c r="J30" s="133">
        <v>0.21855057263964506</v>
      </c>
      <c r="K30" s="133">
        <v>6.8177459754005326E-2</v>
      </c>
      <c r="L30" s="133">
        <v>2.1314976113574205E-2</v>
      </c>
      <c r="M30" s="133">
        <v>6.0026602608527387E-2</v>
      </c>
      <c r="N30" s="133">
        <v>3.5679425505069605E-2</v>
      </c>
      <c r="O30" s="133">
        <v>5.0633025645274873E-2</v>
      </c>
      <c r="P30" s="133">
        <v>6.373933105037477E-2</v>
      </c>
      <c r="Q30" s="133">
        <v>0.11520658617210999</v>
      </c>
      <c r="R30" s="133">
        <v>0.10926947787997944</v>
      </c>
      <c r="S30" s="133">
        <v>0.20998742954157557</v>
      </c>
      <c r="T30" s="133">
        <v>0.24334291391894983</v>
      </c>
      <c r="U30" s="133">
        <v>0.15351678936863386</v>
      </c>
      <c r="V30" s="133">
        <v>6.9374936350036498E-2</v>
      </c>
      <c r="W30" s="133">
        <v>6.9437378757402579E-2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0.38538676999719512</v>
      </c>
      <c r="D33" s="68">
        <v>0.21603121262005245</v>
      </c>
      <c r="E33" s="68">
        <v>0.14847979231094915</v>
      </c>
      <c r="F33" s="68">
        <v>9.3983824558027326E-2</v>
      </c>
      <c r="G33" s="68">
        <v>0.35652942490187173</v>
      </c>
      <c r="H33" s="68">
        <v>0.22618077417828805</v>
      </c>
      <c r="I33" s="68">
        <v>0.23055438726325064</v>
      </c>
      <c r="J33" s="68">
        <v>0.43715688563666516</v>
      </c>
      <c r="K33" s="68">
        <v>7.1077774552043477E-2</v>
      </c>
      <c r="L33" s="68">
        <v>0.17464048773048788</v>
      </c>
      <c r="M33" s="68">
        <v>0.24750116604363617</v>
      </c>
      <c r="N33" s="68">
        <v>0.4751823319261842</v>
      </c>
      <c r="O33" s="68">
        <v>0.27352106829751582</v>
      </c>
      <c r="P33" s="68">
        <v>0.3731440200320274</v>
      </c>
      <c r="Q33" s="68">
        <v>0.31140340275531969</v>
      </c>
      <c r="R33" s="68">
        <v>0.34200164678157613</v>
      </c>
      <c r="S33" s="68">
        <v>0.25669505975893248</v>
      </c>
      <c r="T33" s="68">
        <v>0.23818646400851398</v>
      </c>
      <c r="U33" s="68">
        <v>0.29998524389320358</v>
      </c>
      <c r="V33" s="68">
        <v>0.35014762531167121</v>
      </c>
      <c r="W33" s="68">
        <v>0.35602569813501411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0.87415604647791756</v>
      </c>
      <c r="D3" s="127">
        <f>IF(SER_hh_tes_in!D3=0,"",SER_hh_tes_in!D3/SER_hh_fec_in!D3)</f>
        <v>0.81937655122077002</v>
      </c>
      <c r="E3" s="127">
        <f>IF(SER_hh_tes_in!E3=0,"",SER_hh_tes_in!E3/SER_hh_fec_in!E3)</f>
        <v>0.90170065774534602</v>
      </c>
      <c r="F3" s="127">
        <f>IF(SER_hh_tes_in!F3=0,"",SER_hh_tes_in!F3/SER_hh_fec_in!F3)</f>
        <v>0.7854227600733773</v>
      </c>
      <c r="G3" s="127">
        <f>IF(SER_hh_tes_in!G3=0,"",SER_hh_tes_in!G3/SER_hh_fec_in!G3)</f>
        <v>0.75765988924955141</v>
      </c>
      <c r="H3" s="127">
        <f>IF(SER_hh_tes_in!H3=0,"",SER_hh_tes_in!H3/SER_hh_fec_in!H3)</f>
        <v>0.86984950217141366</v>
      </c>
      <c r="I3" s="127">
        <f>IF(SER_hh_tes_in!I3=0,"",SER_hh_tes_in!I3/SER_hh_fec_in!I3)</f>
        <v>0.91126072904466315</v>
      </c>
      <c r="J3" s="127">
        <f>IF(SER_hh_tes_in!J3=0,"",SER_hh_tes_in!J3/SER_hh_fec_in!J3)</f>
        <v>0.89378068249174403</v>
      </c>
      <c r="K3" s="127">
        <f>IF(SER_hh_tes_in!K3=0,"",SER_hh_tes_in!K3/SER_hh_fec_in!K3)</f>
        <v>0.90534831871627164</v>
      </c>
      <c r="L3" s="127">
        <f>IF(SER_hh_tes_in!L3=0,"",SER_hh_tes_in!L3/SER_hh_fec_in!L3)</f>
        <v>0.79663395614195076</v>
      </c>
      <c r="M3" s="127">
        <f>IF(SER_hh_tes_in!M3=0,"",SER_hh_tes_in!M3/SER_hh_fec_in!M3)</f>
        <v>0.8689165934839681</v>
      </c>
      <c r="N3" s="127">
        <f>IF(SER_hh_tes_in!N3=0,"",SER_hh_tes_in!N3/SER_hh_fec_in!N3)</f>
        <v>0.98548207778545427</v>
      </c>
      <c r="O3" s="127">
        <f>IF(SER_hh_tes_in!O3=0,"",SER_hh_tes_in!O3/SER_hh_fec_in!O3)</f>
        <v>0.92953452109095636</v>
      </c>
      <c r="P3" s="127">
        <f>IF(SER_hh_tes_in!P3=0,"",SER_hh_tes_in!P3/SER_hh_fec_in!P3)</f>
        <v>1.0199659492030819</v>
      </c>
      <c r="Q3" s="127">
        <f>IF(SER_hh_tes_in!Q3=0,"",SER_hh_tes_in!Q3/SER_hh_fec_in!Q3)</f>
        <v>1.0208043457167391</v>
      </c>
      <c r="R3" s="127">
        <f>IF(SER_hh_tes_in!R3=0,"",SER_hh_tes_in!R3/SER_hh_fec_in!R3)</f>
        <v>1.0145759059247035</v>
      </c>
      <c r="S3" s="127">
        <f>IF(SER_hh_tes_in!S3=0,"",SER_hh_tes_in!S3/SER_hh_fec_in!S3)</f>
        <v>1.010123583558125</v>
      </c>
      <c r="T3" s="127">
        <f>IF(SER_hh_tes_in!T3=0,"",SER_hh_tes_in!T3/SER_hh_fec_in!T3)</f>
        <v>1.0331177507887455</v>
      </c>
      <c r="U3" s="127">
        <f>IF(SER_hh_tes_in!U3=0,"",SER_hh_tes_in!U3/SER_hh_fec_in!U3)</f>
        <v>1.1895992936538506</v>
      </c>
      <c r="V3" s="127">
        <f>IF(SER_hh_tes_in!V3=0,"",SER_hh_tes_in!V3/SER_hh_fec_in!V3)</f>
        <v>1.3321909926569022</v>
      </c>
      <c r="W3" s="127">
        <f>IF(SER_hh_tes_in!W3=0,"",SER_hh_tes_in!W3/SER_hh_fec_in!W3)</f>
        <v>1.2648920052433015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0.61887236750117636</v>
      </c>
      <c r="D4" s="136">
        <f>IF(SER_hh_tes_in!D4=0,"",SER_hh_tes_in!D4/SER_hh_fec_in!D4)</f>
        <v>0.63048850311945781</v>
      </c>
      <c r="E4" s="136">
        <f>IF(SER_hh_tes_in!E4=0,"",SER_hh_tes_in!E4/SER_hh_fec_in!E4)</f>
        <v>0.63435540191563022</v>
      </c>
      <c r="F4" s="136">
        <f>IF(SER_hh_tes_in!F4=0,"",SER_hh_tes_in!F4/SER_hh_fec_in!F4)</f>
        <v>0.63446765881719469</v>
      </c>
      <c r="G4" s="136">
        <f>IF(SER_hh_tes_in!G4=0,"",SER_hh_tes_in!G4/SER_hh_fec_in!G4)</f>
        <v>0.6343236424990577</v>
      </c>
      <c r="H4" s="136">
        <f>IF(SER_hh_tes_in!H4=0,"",SER_hh_tes_in!H4/SER_hh_fec_in!H4)</f>
        <v>0.70381957913068782</v>
      </c>
      <c r="I4" s="136">
        <f>IF(SER_hh_tes_in!I4=0,"",SER_hh_tes_in!I4/SER_hh_fec_in!I4)</f>
        <v>0.75026366937939359</v>
      </c>
      <c r="J4" s="136">
        <f>IF(SER_hh_tes_in!J4=0,"",SER_hh_tes_in!J4/SER_hh_fec_in!J4)</f>
        <v>0.74756295163470277</v>
      </c>
      <c r="K4" s="136">
        <f>IF(SER_hh_tes_in!K4=0,"",SER_hh_tes_in!K4/SER_hh_fec_in!K4)</f>
        <v>0.74854211111922375</v>
      </c>
      <c r="L4" s="136">
        <f>IF(SER_hh_tes_in!L4=0,"",SER_hh_tes_in!L4/SER_hh_fec_in!L4)</f>
        <v>0.64813508000783515</v>
      </c>
      <c r="M4" s="136">
        <f>IF(SER_hh_tes_in!M4=0,"",SER_hh_tes_in!M4/SER_hh_fec_in!M4)</f>
        <v>0.7379160567223253</v>
      </c>
      <c r="N4" s="136">
        <f>IF(SER_hh_tes_in!N4=0,"",SER_hh_tes_in!N4/SER_hh_fec_in!N4)</f>
        <v>0.71372782970439574</v>
      </c>
      <c r="O4" s="136">
        <f>IF(SER_hh_tes_in!O4=0,"",SER_hh_tes_in!O4/SER_hh_fec_in!O4)</f>
        <v>0.76365639535461038</v>
      </c>
      <c r="P4" s="136">
        <f>IF(SER_hh_tes_in!P4=0,"",SER_hh_tes_in!P4/SER_hh_fec_in!P4)</f>
        <v>0.88674252451561997</v>
      </c>
      <c r="Q4" s="136">
        <f>IF(SER_hh_tes_in!Q4=0,"",SER_hh_tes_in!Q4/SER_hh_fec_in!Q4)</f>
        <v>0.87469973858717309</v>
      </c>
      <c r="R4" s="136">
        <f>IF(SER_hh_tes_in!R4=0,"",SER_hh_tes_in!R4/SER_hh_fec_in!R4)</f>
        <v>0.89318071382084618</v>
      </c>
      <c r="S4" s="136">
        <f>IF(SER_hh_tes_in!S4=0,"",SER_hh_tes_in!S4/SER_hh_fec_in!S4)</f>
        <v>0.84674350171908852</v>
      </c>
      <c r="T4" s="136">
        <f>IF(SER_hh_tes_in!T4=0,"",SER_hh_tes_in!T4/SER_hh_fec_in!T4)</f>
        <v>0.93163908268229478</v>
      </c>
      <c r="U4" s="136">
        <f>IF(SER_hh_tes_in!U4=0,"",SER_hh_tes_in!U4/SER_hh_fec_in!U4)</f>
        <v>1.0241771055535058</v>
      </c>
      <c r="V4" s="136">
        <f>IF(SER_hh_tes_in!V4=0,"",SER_hh_tes_in!V4/SER_hh_fec_in!V4)</f>
        <v>1.5578972176222545</v>
      </c>
      <c r="W4" s="136">
        <f>IF(SER_hh_tes_in!W4=0,"",SER_hh_tes_in!W4/SER_hh_fec_in!W4)</f>
        <v>1.211565830953133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>
        <f>IF(SER_hh_tes_in!C6=0,"",SER_hh_tes_in!C6/SER_hh_fec_in!C6)</f>
        <v>0.63747105248841984</v>
      </c>
      <c r="D6" s="137">
        <f>IF(SER_hh_tes_in!D6=0,"",SER_hh_tes_in!D6/SER_hh_fec_in!D6)</f>
        <v>0.64289553572154079</v>
      </c>
      <c r="E6" s="137">
        <f>IF(SER_hh_tes_in!E6=0,"",SER_hh_tes_in!E6/SER_hh_fec_in!E6)</f>
        <v>0.64850773581195642</v>
      </c>
      <c r="F6" s="137">
        <f>IF(SER_hh_tes_in!F6=0,"",SER_hh_tes_in!F6/SER_hh_fec_in!F6)</f>
        <v>0.65409188737668811</v>
      </c>
      <c r="G6" s="137">
        <f>IF(SER_hh_tes_in!G6=0,"",SER_hh_tes_in!G6/SER_hh_fec_in!G6)</f>
        <v>0.65983593066733914</v>
      </c>
      <c r="H6" s="137">
        <f>IF(SER_hh_tes_in!H6=0,"",SER_hh_tes_in!H6/SER_hh_fec_in!H6)</f>
        <v>0.66571129854488242</v>
      </c>
      <c r="I6" s="137">
        <f>IF(SER_hh_tes_in!I6=0,"",SER_hh_tes_in!I6/SER_hh_fec_in!I6)</f>
        <v>0.67175867979289183</v>
      </c>
      <c r="J6" s="137">
        <f>IF(SER_hh_tes_in!J6=0,"",SER_hh_tes_in!J6/SER_hh_fec_in!J6)</f>
        <v>0.67815764476918861</v>
      </c>
      <c r="K6" s="137">
        <f>IF(SER_hh_tes_in!K6=0,"",SER_hh_tes_in!K6/SER_hh_fec_in!K6)</f>
        <v>0.68505393191898023</v>
      </c>
      <c r="L6" s="137">
        <f>IF(SER_hh_tes_in!L6=0,"",SER_hh_tes_in!L6/SER_hh_fec_in!L6)</f>
        <v>0.6924744001054508</v>
      </c>
      <c r="M6" s="137">
        <f>IF(SER_hh_tes_in!M6=0,"",SER_hh_tes_in!M6/SER_hh_fec_in!M6)</f>
        <v>0.70433029032533723</v>
      </c>
      <c r="N6" s="137">
        <f>IF(SER_hh_tes_in!N6=0,"",SER_hh_tes_in!N6/SER_hh_fec_in!N6)</f>
        <v>0.72176409649858431</v>
      </c>
      <c r="O6" s="137" t="str">
        <f>IF(SER_hh_tes_in!O6=0,"",SER_hh_tes_in!O6/SER_hh_fec_in!O6)</f>
        <v/>
      </c>
      <c r="P6" s="137">
        <f>IF(SER_hh_tes_in!P6=0,"",SER_hh_tes_in!P6/SER_hh_fec_in!P6)</f>
        <v>0.77253066541634841</v>
      </c>
      <c r="Q6" s="137">
        <f>IF(SER_hh_tes_in!Q6=0,"",SER_hh_tes_in!Q6/SER_hh_fec_in!Q6)</f>
        <v>0.79496323754182674</v>
      </c>
      <c r="R6" s="137">
        <f>IF(SER_hh_tes_in!R6=0,"",SER_hh_tes_in!R6/SER_hh_fec_in!R6)</f>
        <v>0.80591888499924147</v>
      </c>
      <c r="S6" s="137">
        <f>IF(SER_hh_tes_in!S6=0,"",SER_hh_tes_in!S6/SER_hh_fec_in!S6)</f>
        <v>0.81372814373559765</v>
      </c>
      <c r="T6" s="137">
        <f>IF(SER_hh_tes_in!T6=0,"",SER_hh_tes_in!T6/SER_hh_fec_in!T6)</f>
        <v>0.81943410059734967</v>
      </c>
      <c r="U6" s="137">
        <f>IF(SER_hh_tes_in!U6=0,"",SER_hh_tes_in!U6/SER_hh_fec_in!U6)</f>
        <v>0.82388777429063542</v>
      </c>
      <c r="V6" s="137">
        <f>IF(SER_hh_tes_in!V6=0,"",SER_hh_tes_in!V6/SER_hh_fec_in!V6)</f>
        <v>0.827791408984623</v>
      </c>
      <c r="W6" s="137">
        <f>IF(SER_hh_tes_in!W6=0,"",SER_hh_tes_in!W6/SER_hh_fec_in!W6)</f>
        <v>0.83037795144771798</v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0.62445000700234299</v>
      </c>
      <c r="D7" s="137">
        <f>IF(SER_hh_tes_in!D7=0,"",SER_hh_tes_in!D7/SER_hh_fec_in!D7)</f>
        <v>0.62964208884626816</v>
      </c>
      <c r="E7" s="137">
        <f>IF(SER_hh_tes_in!E7=0,"",SER_hh_tes_in!E7/SER_hh_fec_in!E7)</f>
        <v>0.63501847856012128</v>
      </c>
      <c r="F7" s="137">
        <f>IF(SER_hh_tes_in!F7=0,"",SER_hh_tes_in!F7/SER_hh_fec_in!F7)</f>
        <v>0.64036924471531687</v>
      </c>
      <c r="G7" s="137">
        <f>IF(SER_hh_tes_in!G7=0,"",SER_hh_tes_in!G7/SER_hh_fec_in!G7)</f>
        <v>0.64587711732102848</v>
      </c>
      <c r="H7" s="137">
        <f>IF(SER_hh_tes_in!H7=0,"",SER_hh_tes_in!H7/SER_hh_fec_in!H7)</f>
        <v>0.65151422865927056</v>
      </c>
      <c r="I7" s="137">
        <f>IF(SER_hh_tes_in!I7=0,"",SER_hh_tes_in!I7/SER_hh_fec_in!I7)</f>
        <v>0.65732004599974037</v>
      </c>
      <c r="J7" s="137">
        <f>IF(SER_hh_tes_in!J7=0,"",SER_hh_tes_in!J7/SER_hh_fec_in!J7)</f>
        <v>0.66346899265830028</v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>
        <f>IF(SER_hh_tes_in!M7=0,"",SER_hh_tes_in!M7/SER_hh_fec_in!M7)</f>
        <v>0.68869821615721571</v>
      </c>
      <c r="N7" s="137">
        <f>IF(SER_hh_tes_in!N7=0,"",SER_hh_tes_in!N7/SER_hh_fec_in!N7)</f>
        <v>0.70556511807941646</v>
      </c>
      <c r="O7" s="137">
        <f>IF(SER_hh_tes_in!O7=0,"",SER_hh_tes_in!O7/SER_hh_fec_in!O7)</f>
        <v>0.72847376574721456</v>
      </c>
      <c r="P7" s="137">
        <f>IF(SER_hh_tes_in!P7=0,"",SER_hh_tes_in!P7/SER_hh_fec_in!P7)</f>
        <v>0.75473537846644145</v>
      </c>
      <c r="Q7" s="137">
        <f>IF(SER_hh_tes_in!Q7=0,"",SER_hh_tes_in!Q7/SER_hh_fec_in!Q7)</f>
        <v>0.7764695881396444</v>
      </c>
      <c r="R7" s="137">
        <f>IF(SER_hh_tes_in!R7=0,"",SER_hh_tes_in!R7/SER_hh_fec_in!R7)</f>
        <v>0.78710041327333802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>
        <f>IF(SER_hh_tes_in!W7=0,"",SER_hh_tes_in!W7/SER_hh_fec_in!W7)</f>
        <v>0.81081901032554671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 t="str">
        <f>IF(SER_hh_tes_in!C9=0,"",SER_hh_tes_in!C9/SER_hh_fec_in!C9)</f>
        <v/>
      </c>
      <c r="D9" s="137" t="str">
        <f>IF(SER_hh_tes_in!D9=0,"",SER_hh_tes_in!D9/SER_hh_fec_in!D9)</f>
        <v/>
      </c>
      <c r="E9" s="137" t="str">
        <f>IF(SER_hh_tes_in!E9=0,"",SER_hh_tes_in!E9/SER_hh_fec_in!E9)</f>
        <v/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 t="str">
        <f>IF(SER_hh_tes_in!K9=0,"",SER_hh_tes_in!K9/SER_hh_fec_in!K9)</f>
        <v/>
      </c>
      <c r="L9" s="137" t="str">
        <f>IF(SER_hh_tes_in!L9=0,"",SER_hh_tes_in!L9/SER_hh_fec_in!L9)</f>
        <v/>
      </c>
      <c r="M9" s="137">
        <f>IF(SER_hh_tes_in!M9=0,"",SER_hh_tes_in!M9/SER_hh_fec_in!M9)</f>
        <v>0.85709644642304161</v>
      </c>
      <c r="N9" s="137">
        <f>IF(SER_hh_tes_in!N9=0,"",SER_hh_tes_in!N9/SER_hh_fec_in!N9)</f>
        <v>0.86428214138892578</v>
      </c>
      <c r="O9" s="137" t="str">
        <f>IF(SER_hh_tes_in!O9=0,"",SER_hh_tes_in!O9/SER_hh_fec_in!O9)</f>
        <v/>
      </c>
      <c r="P9" s="137" t="str">
        <f>IF(SER_hh_tes_in!P9=0,"",SER_hh_tes_in!P9/SER_hh_fec_in!P9)</f>
        <v/>
      </c>
      <c r="Q9" s="137" t="str">
        <f>IF(SER_hh_tes_in!Q9=0,"",SER_hh_tes_in!Q9/SER_hh_fec_in!Q9)</f>
        <v/>
      </c>
      <c r="R9" s="137">
        <f>IF(SER_hh_tes_in!R9=0,"",SER_hh_tes_in!R9/SER_hh_fec_in!R9)</f>
        <v>0.89651242502551898</v>
      </c>
      <c r="S9" s="137" t="str">
        <f>IF(SER_hh_tes_in!S9=0,"",SER_hh_tes_in!S9/SER_hh_fec_in!S9)</f>
        <v/>
      </c>
      <c r="T9" s="137">
        <f>IF(SER_hh_tes_in!T9=0,"",SER_hh_tes_in!T9/SER_hh_fec_in!T9)</f>
        <v>0.9031824359996643</v>
      </c>
      <c r="U9" s="137">
        <f>IF(SER_hh_tes_in!U9=0,"",SER_hh_tes_in!U9/SER_hh_fec_in!U9)</f>
        <v>0.90564540991109987</v>
      </c>
      <c r="V9" s="137">
        <f>IF(SER_hh_tes_in!V9=0,"",SER_hh_tes_in!V9/SER_hh_fec_in!V9)</f>
        <v>0.90778359492582239</v>
      </c>
      <c r="W9" s="137">
        <f>IF(SER_hh_tes_in!W9=0,"",SER_hh_tes_in!W9/SER_hh_fec_in!W9)</f>
        <v>0.9092628625512702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 t="str">
        <f>IF(SER_hh_tes_in!M10=0,"",SER_hh_tes_in!M10/SER_hh_fec_in!M10)</f>
        <v/>
      </c>
      <c r="N10" s="137" t="str">
        <f>IF(SER_hh_tes_in!N10=0,"",SER_hh_tes_in!N10/SER_hh_fec_in!N10)</f>
        <v/>
      </c>
      <c r="O10" s="137" t="str">
        <f>IF(SER_hh_tes_in!O10=0,"",SER_hh_tes_in!O10/SER_hh_fec_in!O10)</f>
        <v/>
      </c>
      <c r="P10" s="137" t="str">
        <f>IF(SER_hh_tes_in!P10=0,"",SER_hh_tes_in!P10/SER_hh_fec_in!P10)</f>
        <v/>
      </c>
      <c r="Q10" s="137" t="str">
        <f>IF(SER_hh_tes_in!Q10=0,"",SER_hh_tes_in!Q10/SER_hh_fec_in!Q10)</f>
        <v/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>
        <f>IF(SER_hh_tes_in!M12=0,"",SER_hh_tes_in!M12/SER_hh_fec_in!M12)</f>
        <v>0.77648372943292887</v>
      </c>
      <c r="N12" s="137">
        <f>IF(SER_hh_tes_in!N12=0,"",SER_hh_tes_in!N12/SER_hh_fec_in!N12)</f>
        <v>0.78199756897647388</v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1.5100535194262192</v>
      </c>
      <c r="D13" s="137">
        <f>IF(SER_hh_tes_in!D13=0,"",SER_hh_tes_in!D13/SER_hh_fec_in!D13)</f>
        <v>1.6193371939243291</v>
      </c>
      <c r="E13" s="137">
        <f>IF(SER_hh_tes_in!E13=0,"",SER_hh_tes_in!E13/SER_hh_fec_in!E13)</f>
        <v>1.731750771074497</v>
      </c>
      <c r="F13" s="137">
        <f>IF(SER_hh_tes_in!F13=0,"",SER_hh_tes_in!F13/SER_hh_fec_in!F13)</f>
        <v>1.846826964815288</v>
      </c>
      <c r="G13" s="137">
        <f>IF(SER_hh_tes_in!G13=0,"",SER_hh_tes_in!G13/SER_hh_fec_in!G13)</f>
        <v>1.9649539912338836</v>
      </c>
      <c r="H13" s="137">
        <f>IF(SER_hh_tes_in!H13=0,"",SER_hh_tes_in!H13/SER_hh_fec_in!H13)</f>
        <v>2.0860585978779898</v>
      </c>
      <c r="I13" s="137">
        <f>IF(SER_hh_tes_in!I13=0,"",SER_hh_tes_in!I13/SER_hh_fec_in!I13)</f>
        <v>2.2102096309099304</v>
      </c>
      <c r="J13" s="137">
        <f>IF(SER_hh_tes_in!J13=0,"",SER_hh_tes_in!J13/SER_hh_fec_in!J13)</f>
        <v>2.3377488409461469</v>
      </c>
      <c r="K13" s="137">
        <f>IF(SER_hh_tes_in!K13=0,"",SER_hh_tes_in!K13/SER_hh_fec_in!K13)</f>
        <v>2.4689291496016468</v>
      </c>
      <c r="L13" s="137">
        <f>IF(SER_hh_tes_in!L13=0,"",SER_hh_tes_in!L13/SER_hh_fec_in!L13)</f>
        <v>2.6037500169354364</v>
      </c>
      <c r="M13" s="137">
        <f>IF(SER_hh_tes_in!M13=0,"",SER_hh_tes_in!M13/SER_hh_fec_in!M13)</f>
        <v>2.7519961828020367</v>
      </c>
      <c r="N13" s="137">
        <f>IF(SER_hh_tes_in!N13=0,"",SER_hh_tes_in!N13/SER_hh_fec_in!N13)</f>
        <v>2.9161532803182304</v>
      </c>
      <c r="O13" s="137">
        <f>IF(SER_hh_tes_in!O13=0,"",SER_hh_tes_in!O13/SER_hh_fec_in!O13)</f>
        <v>3.0945625648467594</v>
      </c>
      <c r="P13" s="137">
        <f>IF(SER_hh_tes_in!P13=0,"",SER_hh_tes_in!P13/SER_hh_fec_in!P13)</f>
        <v>3.2736408864910373</v>
      </c>
      <c r="Q13" s="137">
        <f>IF(SER_hh_tes_in!Q13=0,"",SER_hh_tes_in!Q13/SER_hh_fec_in!Q13)</f>
        <v>3.4204380697816981</v>
      </c>
      <c r="R13" s="137">
        <f>IF(SER_hh_tes_in!R13=0,"",SER_hh_tes_in!R13/SER_hh_fec_in!R13)</f>
        <v>3.4797647734144652</v>
      </c>
      <c r="S13" s="137">
        <f>IF(SER_hh_tes_in!S13=0,"",SER_hh_tes_in!S13/SER_hh_fec_in!S13)</f>
        <v>3.5173162483144194</v>
      </c>
      <c r="T13" s="137">
        <f>IF(SER_hh_tes_in!T13=0,"",SER_hh_tes_in!T13/SER_hh_fec_in!T13)</f>
        <v>3.5414004862478996</v>
      </c>
      <c r="U13" s="137">
        <f>IF(SER_hh_tes_in!U13=0,"",SER_hh_tes_in!U13/SER_hh_fec_in!U13)</f>
        <v>3.5605682363456639</v>
      </c>
      <c r="V13" s="137">
        <f>IF(SER_hh_tes_in!V13=0,"",SER_hh_tes_in!V13/SER_hh_fec_in!V13)</f>
        <v>3.5837061237071546</v>
      </c>
      <c r="W13" s="137">
        <f>IF(SER_hh_tes_in!W13=0,"",SER_hh_tes_in!W13/SER_hh_fec_in!W13)</f>
        <v>3.6101574610366671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0.59400376807304678</v>
      </c>
      <c r="D14" s="138">
        <f>IF(SER_hh_tes_in!D14=0,"",SER_hh_tes_in!D14/SER_hh_fec_in!D14)</f>
        <v>0.59832743208496786</v>
      </c>
      <c r="E14" s="138">
        <f>IF(SER_hh_tes_in!E14=0,"",SER_hh_tes_in!E14/SER_hh_fec_in!E14)</f>
        <v>0.60276202234620002</v>
      </c>
      <c r="F14" s="138">
        <f>IF(SER_hh_tes_in!F14=0,"",SER_hh_tes_in!F14/SER_hh_fec_in!F14)</f>
        <v>0.60721159463955177</v>
      </c>
      <c r="G14" s="138">
        <f>IF(SER_hh_tes_in!G14=0,"",SER_hh_tes_in!G14/SER_hh_fec_in!G14)</f>
        <v>0.61176325437781964</v>
      </c>
      <c r="H14" s="138">
        <f>IF(SER_hh_tes_in!H14=0,"",SER_hh_tes_in!H14/SER_hh_fec_in!H14)</f>
        <v>0.61640627914759916</v>
      </c>
      <c r="I14" s="138">
        <f>IF(SER_hh_tes_in!I14=0,"",SER_hh_tes_in!I14/SER_hh_fec_in!I14)</f>
        <v>0.62116204277123133</v>
      </c>
      <c r="J14" s="138">
        <f>IF(SER_hh_tes_in!J14=0,"",SER_hh_tes_in!J14/SER_hh_fec_in!J14)</f>
        <v>0.62611825363362716</v>
      </c>
      <c r="K14" s="138">
        <f>IF(SER_hh_tes_in!K14=0,"",SER_hh_tes_in!K14/SER_hh_fec_in!K14)</f>
        <v>0.63134923053819825</v>
      </c>
      <c r="L14" s="138">
        <f>IF(SER_hh_tes_in!L14=0,"",SER_hh_tes_in!L14/SER_hh_fec_in!L14)</f>
        <v>0.63687433083060441</v>
      </c>
      <c r="M14" s="138">
        <f>IF(SER_hh_tes_in!M14=0,"",SER_hh_tes_in!M14/SER_hh_fec_in!M14)</f>
        <v>0.64422048422572609</v>
      </c>
      <c r="N14" s="138">
        <f>IF(SER_hh_tes_in!N14=0,"",SER_hh_tes_in!N14/SER_hh_fec_in!N14)</f>
        <v>0.6538408641162381</v>
      </c>
      <c r="O14" s="138">
        <f>IF(SER_hh_tes_in!O14=0,"",SER_hh_tes_in!O14/SER_hh_fec_in!O14)</f>
        <v>0.66633028832965713</v>
      </c>
      <c r="P14" s="138">
        <f>IF(SER_hh_tes_in!P14=0,"",SER_hh_tes_in!P14/SER_hh_fec_in!P14)</f>
        <v>0.68127404110881251</v>
      </c>
      <c r="Q14" s="138">
        <f>IF(SER_hh_tes_in!Q14=0,"",SER_hh_tes_in!Q14/SER_hh_fec_in!Q14)</f>
        <v>0.69715759811624778</v>
      </c>
      <c r="R14" s="138">
        <f>IF(SER_hh_tes_in!R14=0,"",SER_hh_tes_in!R14/SER_hh_fec_in!R14)</f>
        <v>0.71422809725003422</v>
      </c>
      <c r="S14" s="138">
        <f>IF(SER_hh_tes_in!S14=0,"",SER_hh_tes_in!S14/SER_hh_fec_in!S14)</f>
        <v>0.73410698530248686</v>
      </c>
      <c r="T14" s="138">
        <f>IF(SER_hh_tes_in!T14=0,"",SER_hh_tes_in!T14/SER_hh_fec_in!T14)</f>
        <v>0.75422104625402053</v>
      </c>
      <c r="U14" s="138">
        <f>IF(SER_hh_tes_in!U14=0,"",SER_hh_tes_in!U14/SER_hh_fec_in!U14)</f>
        <v>0.77200449088150247</v>
      </c>
      <c r="V14" s="138">
        <f>IF(SER_hh_tes_in!V14=0,"",SER_hh_tes_in!V14/SER_hh_fec_in!V14)</f>
        <v>0.78488416424853336</v>
      </c>
      <c r="W14" s="138">
        <f>IF(SER_hh_tes_in!W14=0,"",SER_hh_tes_in!W14/SER_hh_fec_in!W14)</f>
        <v>0.79135435220087358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2.4691717204388723</v>
      </c>
      <c r="D16" s="136">
        <f>IF(SER_hh_tes_in!D16=0,"",SER_hh_tes_in!D16/SER_hh_fec_in!D16)</f>
        <v>2.5571247825371821</v>
      </c>
      <c r="E16" s="136">
        <f>IF(SER_hh_tes_in!E16=0,"",SER_hh_tes_in!E16/SER_hh_fec_in!E16)</f>
        <v>2.6460065078557649</v>
      </c>
      <c r="F16" s="136">
        <f>IF(SER_hh_tes_in!F16=0,"",SER_hh_tes_in!F16/SER_hh_fec_in!F16)</f>
        <v>2.7349836895944053</v>
      </c>
      <c r="G16" s="136">
        <f>IF(SER_hh_tes_in!G16=0,"",SER_hh_tes_in!G16/SER_hh_fec_in!G16)</f>
        <v>2.8248063747518946</v>
      </c>
      <c r="H16" s="136">
        <f>IF(SER_hh_tes_in!H16=0,"",SER_hh_tes_in!H16/SER_hh_fec_in!H16)</f>
        <v>2.9153778927444138</v>
      </c>
      <c r="I16" s="136">
        <f>IF(SER_hh_tes_in!I16=0,"",SER_hh_tes_in!I16/SER_hh_fec_in!I16)</f>
        <v>3.0068779887036081</v>
      </c>
      <c r="J16" s="136">
        <f>IF(SER_hh_tes_in!J16=0,"",SER_hh_tes_in!J16/SER_hh_fec_in!J16)</f>
        <v>3.1000543210710325</v>
      </c>
      <c r="K16" s="136">
        <f>IF(SER_hh_tes_in!K16=0,"",SER_hh_tes_in!K16/SER_hh_fec_in!K16)</f>
        <v>3.1955355370307692</v>
      </c>
      <c r="L16" s="136">
        <f>IF(SER_hh_tes_in!L16=0,"",SER_hh_tes_in!L16/SER_hh_fec_in!L16)</f>
        <v>3.2934770659179566</v>
      </c>
      <c r="M16" s="136">
        <f>IF(SER_hh_tes_in!M16=0,"",SER_hh_tes_in!M16/SER_hh_fec_in!M16)</f>
        <v>3.4104589932594189</v>
      </c>
      <c r="N16" s="136">
        <f>IF(SER_hh_tes_in!N16=0,"",SER_hh_tes_in!N16/SER_hh_fec_in!N16)</f>
        <v>3.5519073185509975</v>
      </c>
      <c r="O16" s="136">
        <f>IF(SER_hh_tes_in!O16=0,"",SER_hh_tes_in!O16/SER_hh_fec_in!O16)</f>
        <v>3.7208217937376</v>
      </c>
      <c r="P16" s="136">
        <f>IF(SER_hh_tes_in!P16=0,"",SER_hh_tes_in!P16/SER_hh_fec_in!P16)</f>
        <v>3.9040059048266365</v>
      </c>
      <c r="Q16" s="136">
        <f>IF(SER_hh_tes_in!Q16=0,"",SER_hh_tes_in!Q16/SER_hh_fec_in!Q16)</f>
        <v>4.0614313231424966</v>
      </c>
      <c r="R16" s="136">
        <f>IF(SER_hh_tes_in!R16=0,"",SER_hh_tes_in!R16/SER_hh_fec_in!R16)</f>
        <v>4.160193452805391</v>
      </c>
      <c r="S16" s="136">
        <f>IF(SER_hh_tes_in!S16=0,"",SER_hh_tes_in!S16/SER_hh_fec_in!S16)</f>
        <v>4.2388032588554578</v>
      </c>
      <c r="T16" s="136">
        <f>IF(SER_hh_tes_in!T16=0,"",SER_hh_tes_in!T16/SER_hh_fec_in!T16)</f>
        <v>4.3044847442615017</v>
      </c>
      <c r="U16" s="136">
        <f>IF(SER_hh_tes_in!U16=0,"",SER_hh_tes_in!U16/SER_hh_fec_in!U16)</f>
        <v>4.3642793103598567</v>
      </c>
      <c r="V16" s="136">
        <f>IF(SER_hh_tes_in!V16=0,"",SER_hh_tes_in!V16/SER_hh_fec_in!V16)</f>
        <v>4.4252464115777999</v>
      </c>
      <c r="W16" s="136">
        <f>IF(SER_hh_tes_in!W16=0,"",SER_hh_tes_in!W16/SER_hh_fec_in!W16)</f>
        <v>4.484934055293011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2.4691717204388723</v>
      </c>
      <c r="D18" s="137">
        <f>IF(SER_hh_tes_in!D18=0,"",SER_hh_tes_in!D18/SER_hh_fec_in!D18)</f>
        <v>2.5571247825371821</v>
      </c>
      <c r="E18" s="137">
        <f>IF(SER_hh_tes_in!E18=0,"",SER_hh_tes_in!E18/SER_hh_fec_in!E18)</f>
        <v>2.6460065078557649</v>
      </c>
      <c r="F18" s="137">
        <f>IF(SER_hh_tes_in!F18=0,"",SER_hh_tes_in!F18/SER_hh_fec_in!F18)</f>
        <v>2.7349836895944053</v>
      </c>
      <c r="G18" s="137">
        <f>IF(SER_hh_tes_in!G18=0,"",SER_hh_tes_in!G18/SER_hh_fec_in!G18)</f>
        <v>2.8248063747518946</v>
      </c>
      <c r="H18" s="137">
        <f>IF(SER_hh_tes_in!H18=0,"",SER_hh_tes_in!H18/SER_hh_fec_in!H18)</f>
        <v>2.9153778927444138</v>
      </c>
      <c r="I18" s="137">
        <f>IF(SER_hh_tes_in!I18=0,"",SER_hh_tes_in!I18/SER_hh_fec_in!I18)</f>
        <v>3.0068779887036081</v>
      </c>
      <c r="J18" s="137">
        <f>IF(SER_hh_tes_in!J18=0,"",SER_hh_tes_in!J18/SER_hh_fec_in!J18)</f>
        <v>3.1000543210710325</v>
      </c>
      <c r="K18" s="137">
        <f>IF(SER_hh_tes_in!K18=0,"",SER_hh_tes_in!K18/SER_hh_fec_in!K18)</f>
        <v>3.1955355370307692</v>
      </c>
      <c r="L18" s="137">
        <f>IF(SER_hh_tes_in!L18=0,"",SER_hh_tes_in!L18/SER_hh_fec_in!L18)</f>
        <v>3.2934770659179566</v>
      </c>
      <c r="M18" s="137">
        <f>IF(SER_hh_tes_in!M18=0,"",SER_hh_tes_in!M18/SER_hh_fec_in!M18)</f>
        <v>3.4104589932594189</v>
      </c>
      <c r="N18" s="137">
        <f>IF(SER_hh_tes_in!N18=0,"",SER_hh_tes_in!N18/SER_hh_fec_in!N18)</f>
        <v>3.5519073185509975</v>
      </c>
      <c r="O18" s="137">
        <f>IF(SER_hh_tes_in!O18=0,"",SER_hh_tes_in!O18/SER_hh_fec_in!O18)</f>
        <v>3.7208217937376</v>
      </c>
      <c r="P18" s="137">
        <f>IF(SER_hh_tes_in!P18=0,"",SER_hh_tes_in!P18/SER_hh_fec_in!P18)</f>
        <v>3.9040059048266365</v>
      </c>
      <c r="Q18" s="137">
        <f>IF(SER_hh_tes_in!Q18=0,"",SER_hh_tes_in!Q18/SER_hh_fec_in!Q18)</f>
        <v>4.0614313231424966</v>
      </c>
      <c r="R18" s="137">
        <f>IF(SER_hh_tes_in!R18=0,"",SER_hh_tes_in!R18/SER_hh_fec_in!R18)</f>
        <v>4.160193452805391</v>
      </c>
      <c r="S18" s="137">
        <f>IF(SER_hh_tes_in!S18=0,"",SER_hh_tes_in!S18/SER_hh_fec_in!S18)</f>
        <v>4.2388032588554578</v>
      </c>
      <c r="T18" s="137">
        <f>IF(SER_hh_tes_in!T18=0,"",SER_hh_tes_in!T18/SER_hh_fec_in!T18)</f>
        <v>4.3044847442615017</v>
      </c>
      <c r="U18" s="137">
        <f>IF(SER_hh_tes_in!U18=0,"",SER_hh_tes_in!U18/SER_hh_fec_in!U18)</f>
        <v>4.3642793103598567</v>
      </c>
      <c r="V18" s="137">
        <f>IF(SER_hh_tes_in!V18=0,"",SER_hh_tes_in!V18/SER_hh_fec_in!V18)</f>
        <v>4.4252464115777999</v>
      </c>
      <c r="W18" s="137">
        <f>IF(SER_hh_tes_in!W18=0,"",SER_hh_tes_in!W18/SER_hh_fec_in!W18)</f>
        <v>4.484934055293011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0.52702412186502545</v>
      </c>
      <c r="D19" s="136">
        <f>IF(SER_hh_tes_in!D19=0,"",SER_hh_tes_in!D19/SER_hh_fec_in!D19)</f>
        <v>0.53066498792838157</v>
      </c>
      <c r="E19" s="136">
        <f>IF(SER_hh_tes_in!E19=0,"",SER_hh_tes_in!E19/SER_hh_fec_in!E19)</f>
        <v>0.53151118440659395</v>
      </c>
      <c r="F19" s="136">
        <f>IF(SER_hh_tes_in!F19=0,"",SER_hh_tes_in!F19/SER_hh_fec_in!F19)</f>
        <v>0.53033701646550935</v>
      </c>
      <c r="G19" s="136">
        <f>IF(SER_hh_tes_in!G19=0,"",SER_hh_tes_in!G19/SER_hh_fec_in!G19)</f>
        <v>0.5270279818754553</v>
      </c>
      <c r="H19" s="136">
        <f>IF(SER_hh_tes_in!H19=0,"",SER_hh_tes_in!H19/SER_hh_fec_in!H19)</f>
        <v>0.52190160801580132</v>
      </c>
      <c r="I19" s="136">
        <f>IF(SER_hh_tes_in!I19=0,"",SER_hh_tes_in!I19/SER_hh_fec_in!I19)</f>
        <v>0.53403575314591856</v>
      </c>
      <c r="J19" s="136">
        <f>IF(SER_hh_tes_in!J19=0,"",SER_hh_tes_in!J19/SER_hh_fec_in!J19)</f>
        <v>0.54097351055658682</v>
      </c>
      <c r="K19" s="136">
        <f>IF(SER_hh_tes_in!K19=0,"",SER_hh_tes_in!K19/SER_hh_fec_in!K19)</f>
        <v>0.54537883922007813</v>
      </c>
      <c r="L19" s="136">
        <f>IF(SER_hh_tes_in!L19=0,"",SER_hh_tes_in!L19/SER_hh_fec_in!L19)</f>
        <v>0.55895012486977136</v>
      </c>
      <c r="M19" s="136">
        <f>IF(SER_hh_tes_in!M19=0,"",SER_hh_tes_in!M19/SER_hh_fec_in!M19)</f>
        <v>0.56673709026174379</v>
      </c>
      <c r="N19" s="136">
        <f>IF(SER_hh_tes_in!N19=0,"",SER_hh_tes_in!N19/SER_hh_fec_in!N19)</f>
        <v>0.57889399542465303</v>
      </c>
      <c r="O19" s="136">
        <f>IF(SER_hh_tes_in!O19=0,"",SER_hh_tes_in!O19/SER_hh_fec_in!O19)</f>
        <v>0.59752034294330192</v>
      </c>
      <c r="P19" s="136">
        <f>IF(SER_hh_tes_in!P19=0,"",SER_hh_tes_in!P19/SER_hh_fec_in!P19)</f>
        <v>0.62175057017342139</v>
      </c>
      <c r="Q19" s="136">
        <f>IF(SER_hh_tes_in!Q19=0,"",SER_hh_tes_in!Q19/SER_hh_fec_in!Q19)</f>
        <v>0.64553972995056741</v>
      </c>
      <c r="R19" s="136">
        <f>IF(SER_hh_tes_in!R19=0,"",SER_hh_tes_in!R19/SER_hh_fec_in!R19)</f>
        <v>0.66259312417386229</v>
      </c>
      <c r="S19" s="136">
        <f>IF(SER_hh_tes_in!S19=0,"",SER_hh_tes_in!S19/SER_hh_fec_in!S19)</f>
        <v>0.67773402013373707</v>
      </c>
      <c r="T19" s="136">
        <f>IF(SER_hh_tes_in!T19=0,"",SER_hh_tes_in!T19/SER_hh_fec_in!T19)</f>
        <v>0.69333481491300053</v>
      </c>
      <c r="U19" s="136">
        <f>IF(SER_hh_tes_in!U19=0,"",SER_hh_tes_in!U19/SER_hh_fec_in!U19)</f>
        <v>0.70951673812648208</v>
      </c>
      <c r="V19" s="136">
        <f>IF(SER_hh_tes_in!V19=0,"",SER_hh_tes_in!V19/SER_hh_fec_in!V19)</f>
        <v>0.7237987525522066</v>
      </c>
      <c r="W19" s="136">
        <f>IF(SER_hh_tes_in!W19=0,"",SER_hh_tes_in!W19/SER_hh_fec_in!W19)</f>
        <v>0.73254061059802489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0.44698726623550605</v>
      </c>
      <c r="D21" s="137">
        <f>IF(SER_hh_tes_in!D21=0,"",SER_hh_tes_in!D21/SER_hh_fec_in!D21)</f>
        <v>0.44869684805785121</v>
      </c>
      <c r="E21" s="137">
        <f>IF(SER_hh_tes_in!E21=0,"",SER_hh_tes_in!E21/SER_hh_fec_in!E21)</f>
        <v>0.45068944077324269</v>
      </c>
      <c r="F21" s="137">
        <f>IF(SER_hh_tes_in!F21=0,"",SER_hh_tes_in!F21/SER_hh_fec_in!F21)</f>
        <v>0.45272062588314027</v>
      </c>
      <c r="G21" s="137">
        <f>IF(SER_hh_tes_in!G21=0,"",SER_hh_tes_in!G21/SER_hh_fec_in!G21)</f>
        <v>0.45501244737910324</v>
      </c>
      <c r="H21" s="137">
        <f>IF(SER_hh_tes_in!H21=0,"",SER_hh_tes_in!H21/SER_hh_fec_in!H21)</f>
        <v>0.45753772990334296</v>
      </c>
      <c r="I21" s="137">
        <f>IF(SER_hh_tes_in!I21=0,"",SER_hh_tes_in!I21/SER_hh_fec_in!I21)</f>
        <v>0.46035118510186784</v>
      </c>
      <c r="J21" s="137">
        <f>IF(SER_hh_tes_in!J21=0,"",SER_hh_tes_in!J21/SER_hh_fec_in!J21)</f>
        <v>0.46367694727690023</v>
      </c>
      <c r="K21" s="137">
        <f>IF(SER_hh_tes_in!K21=0,"",SER_hh_tes_in!K21/SER_hh_fec_in!K21)</f>
        <v>0.46770558953966263</v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>
        <f>IF(SER_hh_tes_in!S21=0,"",SER_hh_tes_in!S21/SER_hh_fec_in!S21)</f>
        <v>0.61755601502772195</v>
      </c>
      <c r="T21" s="137">
        <f>IF(SER_hh_tes_in!T21=0,"",SER_hh_tes_in!T21/SER_hh_fec_in!T21)</f>
        <v>0.63363744693724711</v>
      </c>
      <c r="U21" s="137">
        <f>IF(SER_hh_tes_in!U21=0,"",SER_hh_tes_in!U21/SER_hh_fec_in!U21)</f>
        <v>0.64703864019518798</v>
      </c>
      <c r="V21" s="137">
        <f>IF(SER_hh_tes_in!V21=0,"",SER_hh_tes_in!V21/SER_hh_fec_in!V21)</f>
        <v>0.65675450530719504</v>
      </c>
      <c r="W21" s="137">
        <f>IF(SER_hh_tes_in!W21=0,"",SER_hh_tes_in!W21/SER_hh_fec_in!W21)</f>
        <v>0.66132473287341031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 t="str">
        <f>IF(SER_hh_tes_in!C23=0,"",SER_hh_tes_in!C23/SER_hh_fec_in!C23)</f>
        <v/>
      </c>
      <c r="D23" s="137" t="str">
        <f>IF(SER_hh_tes_in!D23=0,"",SER_hh_tes_in!D23/SER_hh_fec_in!D23)</f>
        <v/>
      </c>
      <c r="E23" s="137" t="str">
        <f>IF(SER_hh_tes_in!E23=0,"",SER_hh_tes_in!E23/SER_hh_fec_in!E23)</f>
        <v/>
      </c>
      <c r="F23" s="137" t="str">
        <f>IF(SER_hh_tes_in!F23=0,"",SER_hh_tes_in!F23/SER_hh_fec_in!F23)</f>
        <v/>
      </c>
      <c r="G23" s="137" t="str">
        <f>IF(SER_hh_tes_in!G23=0,"",SER_hh_tes_in!G23/SER_hh_fec_in!G23)</f>
        <v/>
      </c>
      <c r="H23" s="137" t="str">
        <f>IF(SER_hh_tes_in!H23=0,"",SER_hh_tes_in!H23/SER_hh_fec_in!H23)</f>
        <v/>
      </c>
      <c r="I23" s="137" t="str">
        <f>IF(SER_hh_tes_in!I23=0,"",SER_hh_tes_in!I23/SER_hh_fec_in!I23)</f>
        <v/>
      </c>
      <c r="J23" s="137" t="str">
        <f>IF(SER_hh_tes_in!J23=0,"",SER_hh_tes_in!J23/SER_hh_fec_in!J23)</f>
        <v/>
      </c>
      <c r="K23" s="137" t="str">
        <f>IF(SER_hh_tes_in!K23=0,"",SER_hh_tes_in!K23/SER_hh_fec_in!K23)</f>
        <v/>
      </c>
      <c r="L23" s="137" t="str">
        <f>IF(SER_hh_tes_in!L23=0,"",SER_hh_tes_in!L23/SER_hh_fec_in!L23)</f>
        <v/>
      </c>
      <c r="M23" s="137" t="str">
        <f>IF(SER_hh_tes_in!M23=0,"",SER_hh_tes_in!M23/SER_hh_fec_in!M23)</f>
        <v/>
      </c>
      <c r="N23" s="137" t="str">
        <f>IF(SER_hh_tes_in!N23=0,"",SER_hh_tes_in!N23/SER_hh_fec_in!N23)</f>
        <v/>
      </c>
      <c r="O23" s="137" t="str">
        <f>IF(SER_hh_tes_in!O23=0,"",SER_hh_tes_in!O23/SER_hh_fec_in!O23)</f>
        <v/>
      </c>
      <c r="P23" s="137" t="str">
        <f>IF(SER_hh_tes_in!P23=0,"",SER_hh_tes_in!P23/SER_hh_fec_in!P23)</f>
        <v/>
      </c>
      <c r="Q23" s="137" t="str">
        <f>IF(SER_hh_tes_in!Q23=0,"",SER_hh_tes_in!Q23/SER_hh_fec_in!Q23)</f>
        <v/>
      </c>
      <c r="R23" s="137" t="str">
        <f>IF(SER_hh_tes_in!R23=0,"",SER_hh_tes_in!R23/SER_hh_fec_in!R23)</f>
        <v/>
      </c>
      <c r="S23" s="137" t="str">
        <f>IF(SER_hh_tes_in!S23=0,"",SER_hh_tes_in!S23/SER_hh_fec_in!S23)</f>
        <v/>
      </c>
      <c r="T23" s="137" t="str">
        <f>IF(SER_hh_tes_in!T23=0,"",SER_hh_tes_in!T23/SER_hh_fec_in!T23)</f>
        <v/>
      </c>
      <c r="U23" s="137" t="str">
        <f>IF(SER_hh_tes_in!U23=0,"",SER_hh_tes_in!U23/SER_hh_fec_in!U23)</f>
        <v/>
      </c>
      <c r="V23" s="137" t="str">
        <f>IF(SER_hh_tes_in!V23=0,"",SER_hh_tes_in!V23/SER_hh_fec_in!V23)</f>
        <v/>
      </c>
      <c r="W23" s="137" t="str">
        <f>IF(SER_hh_tes_in!W23=0,"",SER_hh_tes_in!W23/SER_hh_fec_in!W23)</f>
        <v/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>
        <f>IF(SER_hh_tes_in!M25=0,"",SER_hh_tes_in!M25/SER_hh_fec_in!M25)</f>
        <v>0.62793220958967966</v>
      </c>
      <c r="N25" s="137">
        <f>IF(SER_hh_tes_in!N25=0,"",SER_hh_tes_in!N25/SER_hh_fec_in!N25)</f>
        <v>0.63239117932292799</v>
      </c>
      <c r="O25" s="137">
        <f>IF(SER_hh_tes_in!O25=0,"",SER_hh_tes_in!O25/SER_hh_fec_in!O25)</f>
        <v>0.63823034976996051</v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0.53236694426996334</v>
      </c>
      <c r="D26" s="138">
        <f>IF(SER_hh_tes_in!D26=0,"",SER_hh_tes_in!D26/SER_hh_fec_in!D26)</f>
        <v>0.5346167206587491</v>
      </c>
      <c r="E26" s="138">
        <f>IF(SER_hh_tes_in!E26=0,"",SER_hh_tes_in!E26/SER_hh_fec_in!E26)</f>
        <v>0.53703953666870508</v>
      </c>
      <c r="F26" s="138">
        <f>IF(SER_hh_tes_in!F26=0,"",SER_hh_tes_in!F26/SER_hh_fec_in!F26)</f>
        <v>0.5394856260394929</v>
      </c>
      <c r="G26" s="138">
        <f>IF(SER_hh_tes_in!G26=0,"",SER_hh_tes_in!G26/SER_hh_fec_in!G26)</f>
        <v>0.54209246175889947</v>
      </c>
      <c r="H26" s="138">
        <f>IF(SER_hh_tes_in!H26=0,"",SER_hh_tes_in!H26/SER_hh_fec_in!H26)</f>
        <v>0.54484463495331548</v>
      </c>
      <c r="I26" s="138">
        <f>IF(SER_hh_tes_in!I26=0,"",SER_hh_tes_in!I26/SER_hh_fec_in!I26)</f>
        <v>0.54777794963140791</v>
      </c>
      <c r="J26" s="138">
        <f>IF(SER_hh_tes_in!J26=0,"",SER_hh_tes_in!J26/SER_hh_fec_in!J26)</f>
        <v>0.55103572352552777</v>
      </c>
      <c r="K26" s="138">
        <f>IF(SER_hh_tes_in!K26=0,"",SER_hh_tes_in!K26/SER_hh_fec_in!K26)</f>
        <v>0.55474496485269587</v>
      </c>
      <c r="L26" s="138">
        <f>IF(SER_hh_tes_in!L26=0,"",SER_hh_tes_in!L26/SER_hh_fec_in!L26)</f>
        <v>0.55895012486977136</v>
      </c>
      <c r="M26" s="138">
        <f>IF(SER_hh_tes_in!M26=0,"",SER_hh_tes_in!M26/SER_hh_fec_in!M26)</f>
        <v>0.56656500855419156</v>
      </c>
      <c r="N26" s="138">
        <f>IF(SER_hh_tes_in!N26=0,"",SER_hh_tes_in!N26/SER_hh_fec_in!N26)</f>
        <v>0.57886989803541267</v>
      </c>
      <c r="O26" s="138">
        <f>IF(SER_hh_tes_in!O26=0,"",SER_hh_tes_in!O26/SER_hh_fec_in!O26)</f>
        <v>0.59750660578792403</v>
      </c>
      <c r="P26" s="138">
        <f>IF(SER_hh_tes_in!P26=0,"",SER_hh_tes_in!P26/SER_hh_fec_in!P26)</f>
        <v>0.62175057017342139</v>
      </c>
      <c r="Q26" s="138">
        <f>IF(SER_hh_tes_in!Q26=0,"",SER_hh_tes_in!Q26/SER_hh_fec_in!Q26)</f>
        <v>0.64553972995056741</v>
      </c>
      <c r="R26" s="138">
        <f>IF(SER_hh_tes_in!R26=0,"",SER_hh_tes_in!R26/SER_hh_fec_in!R26)</f>
        <v>0.66259312417386229</v>
      </c>
      <c r="S26" s="138">
        <f>IF(SER_hh_tes_in!S26=0,"",SER_hh_tes_in!S26/SER_hh_fec_in!S26)</f>
        <v>0.67947839782790798</v>
      </c>
      <c r="T26" s="138">
        <f>IF(SER_hh_tes_in!T26=0,"",SER_hh_tes_in!T26/SER_hh_fec_in!T26)</f>
        <v>0.69584149808978191</v>
      </c>
      <c r="U26" s="138">
        <f>IF(SER_hh_tes_in!U26=0,"",SER_hh_tes_in!U26/SER_hh_fec_in!U26)</f>
        <v>0.71121253120652606</v>
      </c>
      <c r="V26" s="138">
        <f>IF(SER_hh_tes_in!V26=0,"",SER_hh_tes_in!V26/SER_hh_fec_in!V26)</f>
        <v>0.72487058607878274</v>
      </c>
      <c r="W26" s="138">
        <f>IF(SER_hh_tes_in!W26=0,"",SER_hh_tes_in!W26/SER_hh_fec_in!W26)</f>
        <v>0.73562211568444158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0.72939314446298698</v>
      </c>
      <c r="D29" s="136">
        <f>IF(SER_hh_tes_in!D29=0,"",SER_hh_tes_in!D29/SER_hh_fec_in!D29)</f>
        <v>0.72412342234831051</v>
      </c>
      <c r="E29" s="136">
        <f>IF(SER_hh_tes_in!E29=0,"",SER_hh_tes_in!E29/SER_hh_fec_in!E29)</f>
        <v>0.73181270459185555</v>
      </c>
      <c r="F29" s="136">
        <f>IF(SER_hh_tes_in!F29=0,"",SER_hh_tes_in!F29/SER_hh_fec_in!F29)</f>
        <v>0.72560269934458732</v>
      </c>
      <c r="G29" s="136">
        <f>IF(SER_hh_tes_in!G29=0,"",SER_hh_tes_in!G29/SER_hh_fec_in!G29)</f>
        <v>0.72179525356041319</v>
      </c>
      <c r="H29" s="136">
        <f>IF(SER_hh_tes_in!H29=0,"",SER_hh_tes_in!H29/SER_hh_fec_in!H29)</f>
        <v>0.68308796431787078</v>
      </c>
      <c r="I29" s="136">
        <f>IF(SER_hh_tes_in!I29=0,"",SER_hh_tes_in!I29/SER_hh_fec_in!I29)</f>
        <v>0.67704969394459413</v>
      </c>
      <c r="J29" s="136">
        <f>IF(SER_hh_tes_in!J29=0,"",SER_hh_tes_in!J29/SER_hh_fec_in!J29)</f>
        <v>0.68107319615566964</v>
      </c>
      <c r="K29" s="136">
        <f>IF(SER_hh_tes_in!K29=0,"",SER_hh_tes_in!K29/SER_hh_fec_in!K29)</f>
        <v>0.65310506283482817</v>
      </c>
      <c r="L29" s="136">
        <f>IF(SER_hh_tes_in!L29=0,"",SER_hh_tes_in!L29/SER_hh_fec_in!L29)</f>
        <v>0.7324098047025237</v>
      </c>
      <c r="M29" s="136">
        <f>IF(SER_hh_tes_in!M29=0,"",SER_hh_tes_in!M29/SER_hh_fec_in!M29)</f>
        <v>0.71550917676074488</v>
      </c>
      <c r="N29" s="136">
        <f>IF(SER_hh_tes_in!N29=0,"",SER_hh_tes_in!N29/SER_hh_fec_in!N29)</f>
        <v>0.7476822718358338</v>
      </c>
      <c r="O29" s="136">
        <f>IF(SER_hh_tes_in!O29=0,"",SER_hh_tes_in!O29/SER_hh_fec_in!O29)</f>
        <v>0.73131684766118443</v>
      </c>
      <c r="P29" s="136">
        <f>IF(SER_hh_tes_in!P29=0,"",SER_hh_tes_in!P29/SER_hh_fec_in!P29)</f>
        <v>0.73922326693588725</v>
      </c>
      <c r="Q29" s="136">
        <f>IF(SER_hh_tes_in!Q29=0,"",SER_hh_tes_in!Q29/SER_hh_fec_in!Q29)</f>
        <v>0.71496953113082806</v>
      </c>
      <c r="R29" s="136">
        <f>IF(SER_hh_tes_in!R29=0,"",SER_hh_tes_in!R29/SER_hh_fec_in!R29)</f>
        <v>0.73110107334490271</v>
      </c>
      <c r="S29" s="136">
        <f>IF(SER_hh_tes_in!S29=0,"",SER_hh_tes_in!S29/SER_hh_fec_in!S29)</f>
        <v>0.69151927531784574</v>
      </c>
      <c r="T29" s="136">
        <f>IF(SER_hh_tes_in!T29=0,"",SER_hh_tes_in!T29/SER_hh_fec_in!T29)</f>
        <v>0.68960444895915984</v>
      </c>
      <c r="U29" s="136">
        <f>IF(SER_hh_tes_in!U29=0,"",SER_hh_tes_in!U29/SER_hh_fec_in!U29)</f>
        <v>0.74263844777228893</v>
      </c>
      <c r="V29" s="136">
        <f>IF(SER_hh_tes_in!V29=0,"",SER_hh_tes_in!V29/SER_hh_fec_in!V29)</f>
        <v>0.80414837769932546</v>
      </c>
      <c r="W29" s="136">
        <f>IF(SER_hh_tes_in!W29=0,"",SER_hh_tes_in!W29/SER_hh_fec_in!W29)</f>
        <v>0.81393430175326453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0.56178892740306585</v>
      </c>
      <c r="D30" s="137">
        <f>IF(SER_hh_tes_in!D30=0,"",SER_hh_tes_in!D30/SER_hh_fec_in!D30)</f>
        <v>0.56312327895442049</v>
      </c>
      <c r="E30" s="137">
        <f>IF(SER_hh_tes_in!E30=0,"",SER_hh_tes_in!E30/SER_hh_fec_in!E30)</f>
        <v>0.56443881208240143</v>
      </c>
      <c r="F30" s="137">
        <f>IF(SER_hh_tes_in!F30=0,"",SER_hh_tes_in!F30/SER_hh_fec_in!F30)</f>
        <v>0.56575177906174035</v>
      </c>
      <c r="G30" s="137">
        <f>IF(SER_hh_tes_in!G30=0,"",SER_hh_tes_in!G30/SER_hh_fec_in!G30)</f>
        <v>0.56704741538003389</v>
      </c>
      <c r="H30" s="137">
        <f>IF(SER_hh_tes_in!H30=0,"",SER_hh_tes_in!H30/SER_hh_fec_in!H30)</f>
        <v>0.56832752802563802</v>
      </c>
      <c r="I30" s="137">
        <f>IF(SER_hh_tes_in!I30=0,"",SER_hh_tes_in!I30/SER_hh_fec_in!I30)</f>
        <v>0.56958847902226462</v>
      </c>
      <c r="J30" s="137">
        <f>IF(SER_hh_tes_in!J30=0,"",SER_hh_tes_in!J30/SER_hh_fec_in!J30)</f>
        <v>0.57081536486515372</v>
      </c>
      <c r="K30" s="137">
        <f>IF(SER_hh_tes_in!K30=0,"",SER_hh_tes_in!K30/SER_hh_fec_in!K30)</f>
        <v>0.57199551365517076</v>
      </c>
      <c r="L30" s="137">
        <f>IF(SER_hh_tes_in!L30=0,"",SER_hh_tes_in!L30/SER_hh_fec_in!L30)</f>
        <v>0.57312553513977504</v>
      </c>
      <c r="M30" s="137">
        <f>IF(SER_hh_tes_in!M30=0,"",SER_hh_tes_in!M30/SER_hh_fec_in!M30)</f>
        <v>0.57373363631033769</v>
      </c>
      <c r="N30" s="137">
        <f>IF(SER_hh_tes_in!N30=0,"",SER_hh_tes_in!N30/SER_hh_fec_in!N30)</f>
        <v>0.57373363631033769</v>
      </c>
      <c r="O30" s="137">
        <f>IF(SER_hh_tes_in!O30=0,"",SER_hh_tes_in!O30/SER_hh_fec_in!O30)</f>
        <v>0.57373363631033769</v>
      </c>
      <c r="P30" s="137">
        <f>IF(SER_hh_tes_in!P30=0,"",SER_hh_tes_in!P30/SER_hh_fec_in!P30)</f>
        <v>0.5737336363103378</v>
      </c>
      <c r="Q30" s="137">
        <f>IF(SER_hh_tes_in!Q30=0,"",SER_hh_tes_in!Q30/SER_hh_fec_in!Q30)</f>
        <v>0.57373363631033769</v>
      </c>
      <c r="R30" s="137">
        <f>IF(SER_hh_tes_in!R30=0,"",SER_hh_tes_in!R30/SER_hh_fec_in!R30)</f>
        <v>0.57757543615004603</v>
      </c>
      <c r="S30" s="137">
        <f>IF(SER_hh_tes_in!S30=0,"",SER_hh_tes_in!S30/SER_hh_fec_in!S30)</f>
        <v>0.58385764934102313</v>
      </c>
      <c r="T30" s="137">
        <f>IF(SER_hh_tes_in!T30=0,"",SER_hh_tes_in!T30/SER_hh_fec_in!T30)</f>
        <v>0.59118689806382418</v>
      </c>
      <c r="U30" s="137">
        <f>IF(SER_hh_tes_in!U30=0,"",SER_hh_tes_in!U30/SER_hh_fec_in!U30)</f>
        <v>0.59877790566958389</v>
      </c>
      <c r="V30" s="137">
        <f>IF(SER_hh_tes_in!V30=0,"",SER_hh_tes_in!V30/SER_hh_fec_in!V30)</f>
        <v>0.60584539550942929</v>
      </c>
      <c r="W30" s="137">
        <f>IF(SER_hh_tes_in!W30=0,"",SER_hh_tes_in!W30/SER_hh_fec_in!W30)</f>
        <v>0.61238936758335683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 t="str">
        <f>IF(SER_hh_tes_in!C31=0,"",SER_hh_tes_in!C31/SER_hh_fec_in!C31)</f>
        <v/>
      </c>
      <c r="D31" s="137" t="str">
        <f>IF(SER_hh_tes_in!D31=0,"",SER_hh_tes_in!D31/SER_hh_fec_in!D31)</f>
        <v/>
      </c>
      <c r="E31" s="137" t="str">
        <f>IF(SER_hh_tes_in!E31=0,"",SER_hh_tes_in!E31/SER_hh_fec_in!E31)</f>
        <v/>
      </c>
      <c r="F31" s="137" t="str">
        <f>IF(SER_hh_tes_in!F31=0,"",SER_hh_tes_in!F31/SER_hh_fec_in!F31)</f>
        <v/>
      </c>
      <c r="G31" s="137" t="str">
        <f>IF(SER_hh_tes_in!G31=0,"",SER_hh_tes_in!G31/SER_hh_fec_in!G31)</f>
        <v/>
      </c>
      <c r="H31" s="137" t="str">
        <f>IF(SER_hh_tes_in!H31=0,"",SER_hh_tes_in!H31/SER_hh_fec_in!H31)</f>
        <v/>
      </c>
      <c r="I31" s="137" t="str">
        <f>IF(SER_hh_tes_in!I31=0,"",SER_hh_tes_in!I31/SER_hh_fec_in!I31)</f>
        <v/>
      </c>
      <c r="J31" s="137" t="str">
        <f>IF(SER_hh_tes_in!J31=0,"",SER_hh_tes_in!J31/SER_hh_fec_in!J31)</f>
        <v/>
      </c>
      <c r="K31" s="137" t="str">
        <f>IF(SER_hh_tes_in!K31=0,"",SER_hh_tes_in!K31/SER_hh_fec_in!K31)</f>
        <v/>
      </c>
      <c r="L31" s="137" t="str">
        <f>IF(SER_hh_tes_in!L31=0,"",SER_hh_tes_in!L31/SER_hh_fec_in!L31)</f>
        <v/>
      </c>
      <c r="M31" s="137" t="str">
        <f>IF(SER_hh_tes_in!M31=0,"",SER_hh_tes_in!M31/SER_hh_fec_in!M31)</f>
        <v/>
      </c>
      <c r="N31" s="137" t="str">
        <f>IF(SER_hh_tes_in!N31=0,"",SER_hh_tes_in!N31/SER_hh_fec_in!N31)</f>
        <v/>
      </c>
      <c r="O31" s="137" t="str">
        <f>IF(SER_hh_tes_in!O31=0,"",SER_hh_tes_in!O31/SER_hh_fec_in!O31)</f>
        <v/>
      </c>
      <c r="P31" s="137" t="str">
        <f>IF(SER_hh_tes_in!P31=0,"",SER_hh_tes_in!P31/SER_hh_fec_in!P31)</f>
        <v/>
      </c>
      <c r="Q31" s="137" t="str">
        <f>IF(SER_hh_tes_in!Q31=0,"",SER_hh_tes_in!Q31/SER_hh_fec_in!Q31)</f>
        <v/>
      </c>
      <c r="R31" s="137" t="str">
        <f>IF(SER_hh_tes_in!R31=0,"",SER_hh_tes_in!R31/SER_hh_fec_in!R31)</f>
        <v/>
      </c>
      <c r="S31" s="137" t="str">
        <f>IF(SER_hh_tes_in!S31=0,"",SER_hh_tes_in!S31/SER_hh_fec_in!S31)</f>
        <v/>
      </c>
      <c r="T31" s="137" t="str">
        <f>IF(SER_hh_tes_in!T31=0,"",SER_hh_tes_in!T31/SER_hh_fec_in!T31)</f>
        <v/>
      </c>
      <c r="U31" s="137" t="str">
        <f>IF(SER_hh_tes_in!U31=0,"",SER_hh_tes_in!U31/SER_hh_fec_in!U31)</f>
        <v/>
      </c>
      <c r="V31" s="137" t="str">
        <f>IF(SER_hh_tes_in!V31=0,"",SER_hh_tes_in!V31/SER_hh_fec_in!V31)</f>
        <v/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0.74189257113908946</v>
      </c>
      <c r="D33" s="150">
        <f>IF(SER_hh_tes_in!D33=0,"",SER_hh_tes_in!D33/SER_hh_fec_in!D33)</f>
        <v>0.74346532795910858</v>
      </c>
      <c r="E33" s="150">
        <f>IF(SER_hh_tes_in!E33=0,"",SER_hh_tes_in!E33/SER_hh_fec_in!E33)</f>
        <v>0.74509624151425724</v>
      </c>
      <c r="F33" s="150">
        <f>IF(SER_hh_tes_in!F33=0,"",SER_hh_tes_in!F33/SER_hh_fec_in!F33)</f>
        <v>0.7467350855332876</v>
      </c>
      <c r="G33" s="150">
        <f>IF(SER_hh_tes_in!G33=0,"",SER_hh_tes_in!G33/SER_hh_fec_in!G33)</f>
        <v>0.74842748848464868</v>
      </c>
      <c r="H33" s="150">
        <f>IF(SER_hh_tes_in!H33=0,"",SER_hh_tes_in!H33/SER_hh_fec_in!H33)</f>
        <v>0.75016786602468566</v>
      </c>
      <c r="I33" s="150">
        <f>IF(SER_hh_tes_in!I33=0,"",SER_hh_tes_in!I33/SER_hh_fec_in!I33)</f>
        <v>0.75196746100935774</v>
      </c>
      <c r="J33" s="150">
        <f>IF(SER_hh_tes_in!J33=0,"",SER_hh_tes_in!J33/SER_hh_fec_in!J33)</f>
        <v>0.75387233145115917</v>
      </c>
      <c r="K33" s="150">
        <f>IF(SER_hh_tes_in!K33=0,"",SER_hh_tes_in!K33/SER_hh_fec_in!K33)</f>
        <v>0.75592163877540741</v>
      </c>
      <c r="L33" s="150">
        <f>IF(SER_hh_tes_in!L33=0,"",SER_hh_tes_in!L33/SER_hh_fec_in!L33)</f>
        <v>0.75812586026891227</v>
      </c>
      <c r="M33" s="150">
        <f>IF(SER_hh_tes_in!M33=0,"",SER_hh_tes_in!M33/SER_hh_fec_in!M33)</f>
        <v>0.76112477474105666</v>
      </c>
      <c r="N33" s="150">
        <f>IF(SER_hh_tes_in!N33=0,"",SER_hh_tes_in!N33/SER_hh_fec_in!N33)</f>
        <v>0.76509979383739912</v>
      </c>
      <c r="O33" s="150">
        <f>IF(SER_hh_tes_in!O33=0,"",SER_hh_tes_in!O33/SER_hh_fec_in!O33)</f>
        <v>0.77049201619604135</v>
      </c>
      <c r="P33" s="150">
        <f>IF(SER_hh_tes_in!P33=0,"",SER_hh_tes_in!P33/SER_hh_fec_in!P33)</f>
        <v>0.77753311080287624</v>
      </c>
      <c r="Q33" s="150">
        <f>IF(SER_hh_tes_in!Q33=0,"",SER_hh_tes_in!Q33/SER_hh_fec_in!Q33)</f>
        <v>0.78660814364554954</v>
      </c>
      <c r="R33" s="150">
        <f>IF(SER_hh_tes_in!R33=0,"",SER_hh_tes_in!R33/SER_hh_fec_in!R33)</f>
        <v>0.79895332650505624</v>
      </c>
      <c r="S33" s="150">
        <f>IF(SER_hh_tes_in!S33=0,"",SER_hh_tes_in!S33/SER_hh_fec_in!S33)</f>
        <v>0.81436126937937769</v>
      </c>
      <c r="T33" s="150">
        <f>IF(SER_hh_tes_in!T33=0,"",SER_hh_tes_in!T33/SER_hh_fec_in!T33)</f>
        <v>0.83092730687332605</v>
      </c>
      <c r="U33" s="150">
        <f>IF(SER_hh_tes_in!U33=0,"",SER_hh_tes_in!U33/SER_hh_fec_in!U33)</f>
        <v>0.84674677359176009</v>
      </c>
      <c r="V33" s="150">
        <f>IF(SER_hh_tes_in!V33=0,"",SER_hh_tes_in!V33/SER_hh_fec_in!V33)</f>
        <v>0.85991500413951749</v>
      </c>
      <c r="W33" s="150">
        <f>IF(SER_hh_tes_in!W33=0,"",SER_hh_tes_in!W33/SER_hh_fec_in!W33)</f>
        <v>0.86976295099201217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1.6907141172239499</v>
      </c>
      <c r="D3" s="126">
        <f t="shared" si="0"/>
        <v>1.1638126699872615</v>
      </c>
      <c r="E3" s="126">
        <f t="shared" si="0"/>
        <v>0.6178683062852417</v>
      </c>
      <c r="F3" s="126">
        <f t="shared" si="0"/>
        <v>0.17955049194960526</v>
      </c>
      <c r="G3" s="126">
        <f t="shared" si="0"/>
        <v>0.7729983743350396</v>
      </c>
      <c r="H3" s="126">
        <f t="shared" si="0"/>
        <v>2.1285023760664687</v>
      </c>
      <c r="I3" s="126">
        <f t="shared" si="0"/>
        <v>2.6512017876936356</v>
      </c>
      <c r="J3" s="126">
        <f t="shared" si="0"/>
        <v>4.3639976297057297</v>
      </c>
      <c r="K3" s="126">
        <f t="shared" si="0"/>
        <v>0.37593638371929283</v>
      </c>
      <c r="L3" s="126">
        <f t="shared" si="0"/>
        <v>0.22756440336841632</v>
      </c>
      <c r="M3" s="126">
        <f t="shared" si="0"/>
        <v>0.88771492417459918</v>
      </c>
      <c r="N3" s="126">
        <f t="shared" si="0"/>
        <v>3.1232404848310855</v>
      </c>
      <c r="O3" s="126">
        <f t="shared" si="0"/>
        <v>2.0495114955220495</v>
      </c>
      <c r="P3" s="126">
        <f t="shared" si="0"/>
        <v>3.3426883679455046</v>
      </c>
      <c r="Q3" s="126">
        <f t="shared" si="0"/>
        <v>2.5130368525229141</v>
      </c>
      <c r="R3" s="126">
        <f t="shared" ref="R3:W3" si="1">SUM(R4,R16,R19,R29)</f>
        <v>0.84862625680136183</v>
      </c>
      <c r="S3" s="126">
        <f t="shared" si="1"/>
        <v>1.124490134574484</v>
      </c>
      <c r="T3" s="126">
        <f t="shared" si="1"/>
        <v>1.3475277561791392</v>
      </c>
      <c r="U3" s="126">
        <f t="shared" si="1"/>
        <v>0.90772116156884786</v>
      </c>
      <c r="V3" s="126">
        <f t="shared" si="1"/>
        <v>0.43038997058118023</v>
      </c>
      <c r="W3" s="126">
        <f t="shared" si="1"/>
        <v>0.64848587954814718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1.5103586828815816</v>
      </c>
      <c r="D4" s="131">
        <f t="shared" si="2"/>
        <v>1.0387918548519459</v>
      </c>
      <c r="E4" s="131">
        <f t="shared" si="2"/>
        <v>0.54622309533178814</v>
      </c>
      <c r="F4" s="131">
        <f t="shared" si="2"/>
        <v>0.10345676716281571</v>
      </c>
      <c r="G4" s="131">
        <f t="shared" si="2"/>
        <v>0.3530798024098501</v>
      </c>
      <c r="H4" s="131">
        <f t="shared" si="2"/>
        <v>1.3919488028957436</v>
      </c>
      <c r="I4" s="131">
        <f t="shared" si="2"/>
        <v>1.9195639750987312</v>
      </c>
      <c r="J4" s="131">
        <f t="shared" si="2"/>
        <v>3.1372502507152236</v>
      </c>
      <c r="K4" s="131">
        <f t="shared" si="2"/>
        <v>2.0890236192276354E-2</v>
      </c>
      <c r="L4" s="131">
        <f t="shared" si="2"/>
        <v>0.12931121179945954</v>
      </c>
      <c r="M4" s="131">
        <f t="shared" si="2"/>
        <v>0.61131047685212492</v>
      </c>
      <c r="N4" s="131">
        <f t="shared" si="2"/>
        <v>2.9589474637546074</v>
      </c>
      <c r="O4" s="131">
        <f t="shared" si="2"/>
        <v>1.8163616442632893</v>
      </c>
      <c r="P4" s="131">
        <f t="shared" si="2"/>
        <v>3.0491879230414267</v>
      </c>
      <c r="Q4" s="131">
        <f t="shared" si="2"/>
        <v>1.982545180580658</v>
      </c>
      <c r="R4" s="131">
        <f t="shared" ref="R4:W4" si="3">SUM(R5:R15)</f>
        <v>0.34881995467294225</v>
      </c>
      <c r="S4" s="131">
        <f t="shared" si="3"/>
        <v>0.14412848265228434</v>
      </c>
      <c r="T4" s="131">
        <f t="shared" si="3"/>
        <v>0.21895405925149625</v>
      </c>
      <c r="U4" s="131">
        <f t="shared" si="3"/>
        <v>0.2053132396019495</v>
      </c>
      <c r="V4" s="131">
        <f t="shared" si="3"/>
        <v>0.11413136037732867</v>
      </c>
      <c r="W4" s="131">
        <f t="shared" si="3"/>
        <v>0.31364472053172376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4.7956832261912677E-2</v>
      </c>
      <c r="D6" s="133">
        <v>5.9617381197421347E-2</v>
      </c>
      <c r="E6" s="133">
        <v>3.357790609897443E-2</v>
      </c>
      <c r="F6" s="133">
        <v>5.392054961126061E-2</v>
      </c>
      <c r="G6" s="133">
        <v>0.14170678727175243</v>
      </c>
      <c r="H6" s="133">
        <v>0.14352258562691755</v>
      </c>
      <c r="I6" s="133">
        <v>0.1228376416178273</v>
      </c>
      <c r="J6" s="133">
        <v>9.7980666361957874E-2</v>
      </c>
      <c r="K6" s="133">
        <v>2.0890236192276354E-2</v>
      </c>
      <c r="L6" s="133">
        <v>0.12931121179945954</v>
      </c>
      <c r="M6" s="133">
        <v>0.17306247421654139</v>
      </c>
      <c r="N6" s="133">
        <v>0.1431920142369936</v>
      </c>
      <c r="O6" s="133">
        <v>0</v>
      </c>
      <c r="P6" s="133">
        <v>1.1194315133315095E-2</v>
      </c>
      <c r="Q6" s="133">
        <v>7.8621715140126072E-2</v>
      </c>
      <c r="R6" s="133">
        <v>9.6767271085861889E-2</v>
      </c>
      <c r="S6" s="133">
        <v>0.14412848265228434</v>
      </c>
      <c r="T6" s="133">
        <v>0.21895405925149625</v>
      </c>
      <c r="U6" s="133">
        <v>0.2053132396019495</v>
      </c>
      <c r="V6" s="133">
        <v>0.11413136037732867</v>
      </c>
      <c r="W6" s="133">
        <v>6.9725803439395773E-2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1.462401850619669</v>
      </c>
      <c r="D7" s="133">
        <v>0.97917447365452448</v>
      </c>
      <c r="E7" s="133">
        <v>0.51264518923281377</v>
      </c>
      <c r="F7" s="133">
        <v>4.9536217551555108E-2</v>
      </c>
      <c r="G7" s="133">
        <v>0.21137301513809767</v>
      </c>
      <c r="H7" s="133">
        <v>1.2484262172688261</v>
      </c>
      <c r="I7" s="133">
        <v>1.7967263334809038</v>
      </c>
      <c r="J7" s="133">
        <v>3.0392695843532658</v>
      </c>
      <c r="K7" s="133">
        <v>0</v>
      </c>
      <c r="L7" s="133">
        <v>0</v>
      </c>
      <c r="M7" s="133">
        <v>0.4382480026355835</v>
      </c>
      <c r="N7" s="133">
        <v>2.8157554495176136</v>
      </c>
      <c r="O7" s="133">
        <v>1.8163616442632893</v>
      </c>
      <c r="P7" s="133">
        <v>3.0379936079081116</v>
      </c>
      <c r="Q7" s="133">
        <v>1.9039234654405319</v>
      </c>
      <c r="R7" s="133">
        <v>0.25205268358708033</v>
      </c>
      <c r="S7" s="133">
        <v>0</v>
      </c>
      <c r="T7" s="133">
        <v>0</v>
      </c>
      <c r="U7" s="133">
        <v>0</v>
      </c>
      <c r="V7" s="133">
        <v>0</v>
      </c>
      <c r="W7" s="133">
        <v>0.24391891709232802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7.8009049776991718E-2</v>
      </c>
      <c r="D19" s="131">
        <f t="shared" si="6"/>
        <v>3.2797579516807882E-2</v>
      </c>
      <c r="E19" s="131">
        <f t="shared" si="6"/>
        <v>2.9862889661450249E-2</v>
      </c>
      <c r="F19" s="131">
        <f t="shared" si="6"/>
        <v>3.2136372090353728E-2</v>
      </c>
      <c r="G19" s="131">
        <f t="shared" si="6"/>
        <v>0.20332765204685382</v>
      </c>
      <c r="H19" s="131">
        <f t="shared" si="6"/>
        <v>0.27095779786415447</v>
      </c>
      <c r="I19" s="131">
        <f t="shared" si="6"/>
        <v>0.16693624180649463</v>
      </c>
      <c r="J19" s="131">
        <f t="shared" si="6"/>
        <v>0.21524276345452617</v>
      </c>
      <c r="K19" s="131">
        <f t="shared" si="6"/>
        <v>4.015549569077613E-2</v>
      </c>
      <c r="L19" s="131">
        <f t="shared" si="6"/>
        <v>0</v>
      </c>
      <c r="M19" s="131">
        <f t="shared" si="6"/>
        <v>0</v>
      </c>
      <c r="N19" s="131">
        <f t="shared" si="6"/>
        <v>0</v>
      </c>
      <c r="O19" s="131">
        <f t="shared" si="6"/>
        <v>0</v>
      </c>
      <c r="P19" s="131">
        <f t="shared" si="6"/>
        <v>0</v>
      </c>
      <c r="Q19" s="131">
        <f t="shared" si="6"/>
        <v>0</v>
      </c>
      <c r="R19" s="131">
        <f t="shared" ref="R19:W19" si="7">SUM(R20:R27)</f>
        <v>0</v>
      </c>
      <c r="S19" s="131">
        <f t="shared" si="7"/>
        <v>3.0199126691809939E-2</v>
      </c>
      <c r="T19" s="131">
        <f t="shared" si="7"/>
        <v>4.1133260113391613E-2</v>
      </c>
      <c r="U19" s="131">
        <f t="shared" si="7"/>
        <v>2.5075777105585253E-2</v>
      </c>
      <c r="V19" s="131">
        <f t="shared" si="7"/>
        <v>1.3739815881897431E-2</v>
      </c>
      <c r="W19" s="131">
        <f t="shared" si="7"/>
        <v>3.5285691403324798E-2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7.8009049776991718E-2</v>
      </c>
      <c r="D21" s="133">
        <v>3.2797579516807882E-2</v>
      </c>
      <c r="E21" s="133">
        <v>2.9862889661450249E-2</v>
      </c>
      <c r="F21" s="133">
        <v>3.2136372090353728E-2</v>
      </c>
      <c r="G21" s="133">
        <v>0.20332765204685382</v>
      </c>
      <c r="H21" s="133">
        <v>0.27095779786415447</v>
      </c>
      <c r="I21" s="133">
        <v>0.16693624180649463</v>
      </c>
      <c r="J21" s="133">
        <v>0.21524276345452617</v>
      </c>
      <c r="K21" s="133">
        <v>4.015549569077613E-2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3.0199126691809939E-2</v>
      </c>
      <c r="T21" s="133">
        <v>4.1133260113391613E-2</v>
      </c>
      <c r="U21" s="133">
        <v>2.5075777105585253E-2</v>
      </c>
      <c r="V21" s="133">
        <v>1.3739815881897431E-2</v>
      </c>
      <c r="W21" s="133">
        <v>3.5285691403324798E-2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0.10234638456537681</v>
      </c>
      <c r="D29" s="131">
        <f t="shared" si="8"/>
        <v>9.2223235618507801E-2</v>
      </c>
      <c r="E29" s="131">
        <f t="shared" si="8"/>
        <v>4.178232129200328E-2</v>
      </c>
      <c r="F29" s="131">
        <f t="shared" si="8"/>
        <v>4.3957352696435831E-2</v>
      </c>
      <c r="G29" s="131">
        <f t="shared" si="8"/>
        <v>0.21659091987833567</v>
      </c>
      <c r="H29" s="131">
        <f t="shared" si="8"/>
        <v>0.46559577530657087</v>
      </c>
      <c r="I29" s="131">
        <f t="shared" si="8"/>
        <v>0.56470157078840966</v>
      </c>
      <c r="J29" s="131">
        <f t="shared" si="8"/>
        <v>1.0115046155359797</v>
      </c>
      <c r="K29" s="131">
        <f t="shared" si="8"/>
        <v>0.31489065183624038</v>
      </c>
      <c r="L29" s="131">
        <f t="shared" si="8"/>
        <v>9.8253191568956774E-2</v>
      </c>
      <c r="M29" s="131">
        <f t="shared" si="8"/>
        <v>0.27640444732247432</v>
      </c>
      <c r="N29" s="131">
        <f t="shared" si="8"/>
        <v>0.16429302107647795</v>
      </c>
      <c r="O29" s="131">
        <f t="shared" si="8"/>
        <v>0.23314985125876023</v>
      </c>
      <c r="P29" s="131">
        <f t="shared" si="8"/>
        <v>0.29350044490407773</v>
      </c>
      <c r="Q29" s="131">
        <f t="shared" si="8"/>
        <v>0.53049167194225588</v>
      </c>
      <c r="R29" s="131">
        <f t="shared" ref="R29:W29" si="9">SUM(R30:R33)</f>
        <v>0.49980630212841959</v>
      </c>
      <c r="S29" s="131">
        <f t="shared" si="9"/>
        <v>0.9501625252303898</v>
      </c>
      <c r="T29" s="131">
        <f t="shared" si="9"/>
        <v>1.0874404368142514</v>
      </c>
      <c r="U29" s="131">
        <f t="shared" si="9"/>
        <v>0.6773321448613131</v>
      </c>
      <c r="V29" s="131">
        <f t="shared" si="9"/>
        <v>0.30251879432195417</v>
      </c>
      <c r="W29" s="131">
        <f t="shared" si="9"/>
        <v>0.29955546761309865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0.10234638456537681</v>
      </c>
      <c r="D30" s="133">
        <v>9.2223235618507801E-2</v>
      </c>
      <c r="E30" s="133">
        <v>4.178232129200328E-2</v>
      </c>
      <c r="F30" s="133">
        <v>4.3957352696435831E-2</v>
      </c>
      <c r="G30" s="133">
        <v>0.21659091987833567</v>
      </c>
      <c r="H30" s="133">
        <v>0.46559577530657087</v>
      </c>
      <c r="I30" s="133">
        <v>0.56470157078840966</v>
      </c>
      <c r="J30" s="133">
        <v>1.0115046155359797</v>
      </c>
      <c r="K30" s="133">
        <v>0.31489065183624038</v>
      </c>
      <c r="L30" s="133">
        <v>9.8253191568956774E-2</v>
      </c>
      <c r="M30" s="133">
        <v>0.27640444732247432</v>
      </c>
      <c r="N30" s="133">
        <v>0.16429302107647795</v>
      </c>
      <c r="O30" s="133">
        <v>0.23314985125876023</v>
      </c>
      <c r="P30" s="133">
        <v>0.29350044490407773</v>
      </c>
      <c r="Q30" s="133">
        <v>0.53049167194225588</v>
      </c>
      <c r="R30" s="133">
        <v>0.49980630212841959</v>
      </c>
      <c r="S30" s="133">
        <v>0.9501625252303898</v>
      </c>
      <c r="T30" s="133">
        <v>1.0874404368142514</v>
      </c>
      <c r="U30" s="133">
        <v>0.6773321448613131</v>
      </c>
      <c r="V30" s="133">
        <v>0.30251879432195417</v>
      </c>
      <c r="W30" s="133">
        <v>0.29955546761309865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237109.62667697889</v>
      </c>
      <c r="D3" s="126">
        <f>IF(SER_hh_fec_in!D3=0,0,11630*1000*SER_hh_fec_in!D3/SER_hh_num_in!D3)</f>
        <v>246298.88466614677</v>
      </c>
      <c r="E3" s="126">
        <f>IF(SER_hh_fec_in!E3=0,0,11630*1000*SER_hh_fec_in!E3/SER_hh_num_in!E3)</f>
        <v>266611.97854425333</v>
      </c>
      <c r="F3" s="126">
        <f>IF(SER_hh_fec_in!F3=0,0,11630*1000*SER_hh_fec_in!F3/SER_hh_num_in!F3)</f>
        <v>249622.59308809249</v>
      </c>
      <c r="G3" s="126">
        <f>IF(SER_hh_fec_in!G3=0,0,11630*1000*SER_hh_fec_in!G3/SER_hh_num_in!G3)</f>
        <v>302460.03080918669</v>
      </c>
      <c r="H3" s="126">
        <f>IF(SER_hh_fec_in!H3=0,0,11630*1000*SER_hh_fec_in!H3/SER_hh_num_in!H3)</f>
        <v>233322.58748227626</v>
      </c>
      <c r="I3" s="126">
        <f>IF(SER_hh_fec_in!I3=0,0,11630*1000*SER_hh_fec_in!I3/SER_hh_num_in!I3)</f>
        <v>223693.7498665298</v>
      </c>
      <c r="J3" s="126">
        <f>IF(SER_hh_fec_in!J3=0,0,11630*1000*SER_hh_fec_in!J3/SER_hh_num_in!J3)</f>
        <v>210785.95567013166</v>
      </c>
      <c r="K3" s="126">
        <f>IF(SER_hh_fec_in!K3=0,0,11630*1000*SER_hh_fec_in!K3/SER_hh_num_in!K3)</f>
        <v>190408.05139924021</v>
      </c>
      <c r="L3" s="126">
        <f>IF(SER_hh_fec_in!L3=0,0,11630*1000*SER_hh_fec_in!L3/SER_hh_num_in!L3)</f>
        <v>265978.47263650928</v>
      </c>
      <c r="M3" s="126">
        <f>IF(SER_hh_fec_in!M3=0,0,11630*1000*SER_hh_fec_in!M3/SER_hh_num_in!M3)</f>
        <v>239266.21236424622</v>
      </c>
      <c r="N3" s="126">
        <f>IF(SER_hh_fec_in!N3=0,0,11630*1000*SER_hh_fec_in!N3/SER_hh_num_in!N3)</f>
        <v>249062.08687035029</v>
      </c>
      <c r="O3" s="126">
        <f>IF(SER_hh_fec_in!O3=0,0,11630*1000*SER_hh_fec_in!O3/SER_hh_num_in!O3)</f>
        <v>245680.5403948176</v>
      </c>
      <c r="P3" s="126">
        <f>IF(SER_hh_fec_in!P3=0,0,11630*1000*SER_hh_fec_in!P3/SER_hh_num_in!P3)</f>
        <v>227015.24565028702</v>
      </c>
      <c r="Q3" s="126">
        <f>IF(SER_hh_fec_in!Q3=0,0,11630*1000*SER_hh_fec_in!Q3/SER_hh_num_in!Q3)</f>
        <v>237123.00260559778</v>
      </c>
      <c r="R3" s="126">
        <f>IF(SER_hh_fec_in!R3=0,0,11630*1000*SER_hh_fec_in!R3/SER_hh_num_in!R3)</f>
        <v>208670.91341507892</v>
      </c>
      <c r="S3" s="126">
        <f>IF(SER_hh_fec_in!S3=0,0,11630*1000*SER_hh_fec_in!S3/SER_hh_num_in!S3)</f>
        <v>216884.68051755</v>
      </c>
      <c r="T3" s="126">
        <f>IF(SER_hh_fec_in!T3=0,0,11630*1000*SER_hh_fec_in!T3/SER_hh_num_in!T3)</f>
        <v>191371.2057347529</v>
      </c>
      <c r="U3" s="126">
        <f>IF(SER_hh_fec_in!U3=0,0,11630*1000*SER_hh_fec_in!U3/SER_hh_num_in!U3)</f>
        <v>169316.82678891197</v>
      </c>
      <c r="V3" s="126">
        <f>IF(SER_hh_fec_in!V3=0,0,11630*1000*SER_hh_fec_in!V3/SER_hh_num_in!V3)</f>
        <v>122949.70123503997</v>
      </c>
      <c r="W3" s="126">
        <f>IF(SER_hh_fec_in!W3=0,0,11630*1000*SER_hh_fec_in!W3/SER_hh_num_in!W3)</f>
        <v>121361.92894192411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100535.49526365113</v>
      </c>
      <c r="D4" s="131">
        <f>IF(SER_hh_fec_in!D4=0,0,11630*1000*SER_hh_fec_in!D4/SER_hh_num_in!D4)</f>
        <v>114829.56875086403</v>
      </c>
      <c r="E4" s="131">
        <f>IF(SER_hh_fec_in!E4=0,0,11630*1000*SER_hh_fec_in!E4/SER_hh_num_in!E4)</f>
        <v>123000.64191720494</v>
      </c>
      <c r="F4" s="131">
        <f>IF(SER_hh_fec_in!F4=0,0,11630*1000*SER_hh_fec_in!F4/SER_hh_num_in!F4)</f>
        <v>121031.82278352702</v>
      </c>
      <c r="G4" s="131">
        <f>IF(SER_hh_fec_in!G4=0,0,11630*1000*SER_hh_fec_in!G4/SER_hh_num_in!G4)</f>
        <v>178447.80852544293</v>
      </c>
      <c r="H4" s="131">
        <f>IF(SER_hh_fec_in!H4=0,0,11630*1000*SER_hh_fec_in!H4/SER_hh_num_in!H4)</f>
        <v>95406.423346927812</v>
      </c>
      <c r="I4" s="131">
        <f>IF(SER_hh_fec_in!I4=0,0,11630*1000*SER_hh_fec_in!I4/SER_hh_num_in!I4)</f>
        <v>92493.364480424396</v>
      </c>
      <c r="J4" s="131">
        <f>IF(SER_hh_fec_in!J4=0,0,11630*1000*SER_hh_fec_in!J4/SER_hh_num_in!J4)</f>
        <v>85602.890795985353</v>
      </c>
      <c r="K4" s="131">
        <f>IF(SER_hh_fec_in!K4=0,0,11630*1000*SER_hh_fec_in!K4/SER_hh_num_in!K4)</f>
        <v>58028.046738517791</v>
      </c>
      <c r="L4" s="131">
        <f>IF(SER_hh_fec_in!L4=0,0,11630*1000*SER_hh_fec_in!L4/SER_hh_num_in!L4)</f>
        <v>145548.54280312828</v>
      </c>
      <c r="M4" s="131">
        <f>IF(SER_hh_fec_in!M4=0,0,11630*1000*SER_hh_fec_in!M4/SER_hh_num_in!M4)</f>
        <v>118607.59239129975</v>
      </c>
      <c r="N4" s="131">
        <f>IF(SER_hh_fec_in!N4=0,0,11630*1000*SER_hh_fec_in!N4/SER_hh_num_in!N4)</f>
        <v>124639.36814637386</v>
      </c>
      <c r="O4" s="131">
        <f>IF(SER_hh_fec_in!O4=0,0,11630*1000*SER_hh_fec_in!O4/SER_hh_num_in!O4)</f>
        <v>129671.97465079161</v>
      </c>
      <c r="P4" s="131">
        <f>IF(SER_hh_fec_in!P4=0,0,11630*1000*SER_hh_fec_in!P4/SER_hh_num_in!P4)</f>
        <v>114257.70525219446</v>
      </c>
      <c r="Q4" s="131">
        <f>IF(SER_hh_fec_in!Q4=0,0,11630*1000*SER_hh_fec_in!Q4/SER_hh_num_in!Q4)</f>
        <v>124158.02006257886</v>
      </c>
      <c r="R4" s="131">
        <f>IF(SER_hh_fec_in!R4=0,0,11630*1000*SER_hh_fec_in!R4/SER_hh_num_in!R4)</f>
        <v>102180.78708243328</v>
      </c>
      <c r="S4" s="131">
        <f>IF(SER_hh_fec_in!S4=0,0,11630*1000*SER_hh_fec_in!S4/SER_hh_num_in!S4)</f>
        <v>108047.05716210764</v>
      </c>
      <c r="T4" s="131">
        <f>IF(SER_hh_fec_in!T4=0,0,11630*1000*SER_hh_fec_in!T4/SER_hh_num_in!T4)</f>
        <v>83017.527962060485</v>
      </c>
      <c r="U4" s="131">
        <f>IF(SER_hh_fec_in!U4=0,0,11630*1000*SER_hh_fec_in!U4/SER_hh_num_in!U4)</f>
        <v>63910.618417999591</v>
      </c>
      <c r="V4" s="131">
        <f>IF(SER_hh_fec_in!V4=0,0,11630*1000*SER_hh_fec_in!V4/SER_hh_num_in!V4)</f>
        <v>31658.665435137718</v>
      </c>
      <c r="W4" s="131">
        <f>IF(SER_hh_fec_in!W4=0,0,11630*1000*SER_hh_fec_in!W4/SER_hh_num_in!W4)</f>
        <v>28468.551944875922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104986.58064842242</v>
      </c>
      <c r="D6" s="133">
        <f>IF(SER_hh_fec_in!D6=0,0,11630*1000*SER_hh_fec_in!D6/SER_hh_num_in!D6)</f>
        <v>106141.52069912321</v>
      </c>
      <c r="E6" s="133">
        <f>IF(SER_hh_fec_in!E6=0,0,11630*1000*SER_hh_fec_in!E6/SER_hh_num_in!E6)</f>
        <v>118663.42167309446</v>
      </c>
      <c r="F6" s="133">
        <f>IF(SER_hh_fec_in!F6=0,0,11630*1000*SER_hh_fec_in!F6/SER_hh_num_in!F6)</f>
        <v>122976.45666805907</v>
      </c>
      <c r="G6" s="133">
        <f>IF(SER_hh_fec_in!G6=0,0,11630*1000*SER_hh_fec_in!G6/SER_hh_num_in!G6)</f>
        <v>104975.53037285476</v>
      </c>
      <c r="H6" s="133">
        <f>IF(SER_hh_fec_in!H6=0,0,11630*1000*SER_hh_fec_in!H6/SER_hh_num_in!H6)</f>
        <v>118990.88161440183</v>
      </c>
      <c r="I6" s="133">
        <f>IF(SER_hh_fec_in!I6=0,0,11630*1000*SER_hh_fec_in!I6/SER_hh_num_in!I6)</f>
        <v>131737.96477728733</v>
      </c>
      <c r="J6" s="133">
        <f>IF(SER_hh_fec_in!J6=0,0,11630*1000*SER_hh_fec_in!J6/SER_hh_num_in!J6)</f>
        <v>69712.66150792563</v>
      </c>
      <c r="K6" s="133">
        <f>IF(SER_hh_fec_in!K6=0,0,11630*1000*SER_hh_fec_in!K6/SER_hh_num_in!K6)</f>
        <v>35694.752414152979</v>
      </c>
      <c r="L6" s="133">
        <f>IF(SER_hh_fec_in!L6=0,0,11630*1000*SER_hh_fec_in!L6/SER_hh_num_in!L6)</f>
        <v>157168.61918467589</v>
      </c>
      <c r="M6" s="133">
        <f>IF(SER_hh_fec_in!M6=0,0,11630*1000*SER_hh_fec_in!M6/SER_hh_num_in!M6)</f>
        <v>116735.51923840657</v>
      </c>
      <c r="N6" s="133">
        <f>IF(SER_hh_fec_in!N6=0,0,11630*1000*SER_hh_fec_in!N6/SER_hh_num_in!N6)</f>
        <v>138546.36584157092</v>
      </c>
      <c r="O6" s="133">
        <f>IF(SER_hh_fec_in!O6=0,0,11630*1000*SER_hh_fec_in!O6/SER_hh_num_in!O6)</f>
        <v>0</v>
      </c>
      <c r="P6" s="133">
        <f>IF(SER_hh_fec_in!P6=0,0,11630*1000*SER_hh_fec_in!P6/SER_hh_num_in!P6)</f>
        <v>99269.15711944073</v>
      </c>
      <c r="Q6" s="133">
        <f>IF(SER_hh_fec_in!Q6=0,0,11630*1000*SER_hh_fec_in!Q6/SER_hh_num_in!Q6)</f>
        <v>111266.56055535054</v>
      </c>
      <c r="R6" s="133">
        <f>IF(SER_hh_fec_in!R6=0,0,11630*1000*SER_hh_fec_in!R6/SER_hh_num_in!R6)</f>
        <v>87637.612366367466</v>
      </c>
      <c r="S6" s="133">
        <f>IF(SER_hh_fec_in!S6=0,0,11630*1000*SER_hh_fec_in!S6/SER_hh_num_in!S6)</f>
        <v>89765.280071665547</v>
      </c>
      <c r="T6" s="133">
        <f>IF(SER_hh_fec_in!T6=0,0,11630*1000*SER_hh_fec_in!T6/SER_hh_num_in!T6)</f>
        <v>97470.74689074987</v>
      </c>
      <c r="U6" s="133">
        <f>IF(SER_hh_fec_in!U6=0,0,11630*1000*SER_hh_fec_in!U6/SER_hh_num_in!U6)</f>
        <v>81734.057787825499</v>
      </c>
      <c r="V6" s="133">
        <f>IF(SER_hh_fec_in!V6=0,0,11630*1000*SER_hh_fec_in!V6/SER_hh_num_in!V6)</f>
        <v>54010.268150199459</v>
      </c>
      <c r="W6" s="133">
        <f>IF(SER_hh_fec_in!W6=0,0,11630*1000*SER_hh_fec_in!W6/SER_hh_num_in!W6)</f>
        <v>42003.787031957661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95348.863843770931</v>
      </c>
      <c r="D7" s="133">
        <f>IF(SER_hh_fec_in!D7=0,0,11630*1000*SER_hh_fec_in!D7/SER_hh_num_in!D7)</f>
        <v>108386.01219695383</v>
      </c>
      <c r="E7" s="133">
        <f>IF(SER_hh_fec_in!E7=0,0,11630*1000*SER_hh_fec_in!E7/SER_hh_num_in!E7)</f>
        <v>132132.60137833602</v>
      </c>
      <c r="F7" s="133">
        <f>IF(SER_hh_fec_in!F7=0,0,11630*1000*SER_hh_fec_in!F7/SER_hh_num_in!F7)</f>
        <v>147315.58032728903</v>
      </c>
      <c r="G7" s="133">
        <f>IF(SER_hh_fec_in!G7=0,0,11630*1000*SER_hh_fec_in!G7/SER_hh_num_in!G7)</f>
        <v>125783.75152124644</v>
      </c>
      <c r="H7" s="133">
        <f>IF(SER_hh_fec_in!H7=0,0,11630*1000*SER_hh_fec_in!H7/SER_hh_num_in!H7)</f>
        <v>98445.228848251369</v>
      </c>
      <c r="I7" s="133">
        <f>IF(SER_hh_fec_in!I7=0,0,11630*1000*SER_hh_fec_in!I7/SER_hh_num_in!I7)</f>
        <v>107386.94457403105</v>
      </c>
      <c r="J7" s="133">
        <f>IF(SER_hh_fec_in!J7=0,0,11630*1000*SER_hh_fec_in!J7/SER_hh_num_in!J7)</f>
        <v>98664.755919299816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73021.038705643048</v>
      </c>
      <c r="N7" s="133">
        <f>IF(SER_hh_fec_in!N7=0,0,11630*1000*SER_hh_fec_in!N7/SER_hh_num_in!N7)</f>
        <v>116569.07623311946</v>
      </c>
      <c r="O7" s="133">
        <f>IF(SER_hh_fec_in!O7=0,0,11630*1000*SER_hh_fec_in!O7/SER_hh_num_in!O7)</f>
        <v>141392.10395578845</v>
      </c>
      <c r="P7" s="133">
        <f>IF(SER_hh_fec_in!P7=0,0,11630*1000*SER_hh_fec_in!P7/SER_hh_num_in!P7)</f>
        <v>133287.48425778185</v>
      </c>
      <c r="Q7" s="133">
        <f>IF(SER_hh_fec_in!Q7=0,0,11630*1000*SER_hh_fec_in!Q7/SER_hh_num_in!Q7)</f>
        <v>146722.83667689955</v>
      </c>
      <c r="R7" s="133">
        <f>IF(SER_hh_fec_in!R7=0,0,11630*1000*SER_hh_fec_in!R7/SER_hh_num_in!R7)</f>
        <v>133554.26729762706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39375.98877038771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0</v>
      </c>
      <c r="D9" s="133">
        <f>IF(SER_hh_fec_in!D9=0,0,11630*1000*SER_hh_fec_in!D9/SER_hh_num_in!D9)</f>
        <v>0</v>
      </c>
      <c r="E9" s="133">
        <f>IF(SER_hh_fec_in!E9=0,0,11630*1000*SER_hh_fec_in!E9/SER_hh_num_in!E9)</f>
        <v>0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0</v>
      </c>
      <c r="L9" s="133">
        <f>IF(SER_hh_fec_in!L9=0,0,11630*1000*SER_hh_fec_in!L9/SER_hh_num_in!L9)</f>
        <v>0</v>
      </c>
      <c r="M9" s="133">
        <f>IF(SER_hh_fec_in!M9=0,0,11630*1000*SER_hh_fec_in!M9/SER_hh_num_in!M9)</f>
        <v>133669.07908717403</v>
      </c>
      <c r="N9" s="133">
        <f>IF(SER_hh_fec_in!N9=0,0,11630*1000*SER_hh_fec_in!N9/SER_hh_num_in!N9)</f>
        <v>145819.79812565984</v>
      </c>
      <c r="O9" s="133">
        <f>IF(SER_hh_fec_in!O9=0,0,11630*1000*SER_hh_fec_in!O9/SER_hh_num_in!O9)</f>
        <v>0</v>
      </c>
      <c r="P9" s="133">
        <f>IF(SER_hh_fec_in!P9=0,0,11630*1000*SER_hh_fec_in!P9/SER_hh_num_in!P9)</f>
        <v>0</v>
      </c>
      <c r="Q9" s="133">
        <f>IF(SER_hh_fec_in!Q9=0,0,11630*1000*SER_hh_fec_in!Q9/SER_hh_num_in!Q9)</f>
        <v>0</v>
      </c>
      <c r="R9" s="133">
        <f>IF(SER_hh_fec_in!R9=0,0,11630*1000*SER_hh_fec_in!R9/SER_hh_num_in!R9)</f>
        <v>117848.43082807692</v>
      </c>
      <c r="S9" s="133">
        <f>IF(SER_hh_fec_in!S9=0,0,11630*1000*SER_hh_fec_in!S9/SER_hh_num_in!S9)</f>
        <v>0</v>
      </c>
      <c r="T9" s="133">
        <f>IF(SER_hh_fec_in!T9=0,0,11630*1000*SER_hh_fec_in!T9/SER_hh_num_in!T9)</f>
        <v>63901.060432228354</v>
      </c>
      <c r="U9" s="133">
        <f>IF(SER_hh_fec_in!U9=0,0,11630*1000*SER_hh_fec_in!U9/SER_hh_num_in!U9)</f>
        <v>81592.217257078912</v>
      </c>
      <c r="V9" s="133">
        <f>IF(SER_hh_fec_in!V9=0,0,11630*1000*SER_hh_fec_in!V9/SER_hh_num_in!V9)</f>
        <v>52649.0646740015</v>
      </c>
      <c r="W9" s="133">
        <f>IF(SER_hh_fec_in!W9=0,0,11630*1000*SER_hh_fec_in!W9/SER_hh_num_in!W9)</f>
        <v>26610.523381569219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0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0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0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154154.45480100872</v>
      </c>
      <c r="N12" s="133">
        <f>IF(SER_hh_fec_in!N12=0,0,11630*1000*SER_hh_fec_in!N12/SER_hh_num_in!N12)</f>
        <v>236940.96891336361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41725.415297694388</v>
      </c>
      <c r="D13" s="133">
        <f>IF(SER_hh_fec_in!D13=0,0,11630*1000*SER_hh_fec_in!D13/SER_hh_num_in!D13)</f>
        <v>43645.995301791299</v>
      </c>
      <c r="E13" s="133">
        <f>IF(SER_hh_fec_in!E13=0,0,11630*1000*SER_hh_fec_in!E13/SER_hh_num_in!E13)</f>
        <v>48304.243000110073</v>
      </c>
      <c r="F13" s="133">
        <f>IF(SER_hh_fec_in!F13=0,0,11630*1000*SER_hh_fec_in!F13/SER_hh_num_in!F13)</f>
        <v>40348.494283247572</v>
      </c>
      <c r="G13" s="133">
        <f>IF(SER_hh_fec_in!G13=0,0,11630*1000*SER_hh_fec_in!G13/SER_hh_num_in!G13)</f>
        <v>39428.010773206814</v>
      </c>
      <c r="H13" s="133">
        <f>IF(SER_hh_fec_in!H13=0,0,11630*1000*SER_hh_fec_in!H13/SER_hh_num_in!H13)</f>
        <v>29499.456982346976</v>
      </c>
      <c r="I13" s="133">
        <f>IF(SER_hh_fec_in!I13=0,0,11630*1000*SER_hh_fec_in!I13/SER_hh_num_in!I13)</f>
        <v>26949.674606544482</v>
      </c>
      <c r="J13" s="133">
        <f>IF(SER_hh_fec_in!J13=0,0,11630*1000*SER_hh_fec_in!J13/SER_hh_num_in!J13)</f>
        <v>27918.654348304775</v>
      </c>
      <c r="K13" s="133">
        <f>IF(SER_hh_fec_in!K13=0,0,11630*1000*SER_hh_fec_in!K13/SER_hh_num_in!K13)</f>
        <v>27754.488273720875</v>
      </c>
      <c r="L13" s="133">
        <f>IF(SER_hh_fec_in!L13=0,0,11630*1000*SER_hh_fec_in!L13/SER_hh_num_in!L13)</f>
        <v>26667.788020241864</v>
      </c>
      <c r="M13" s="133">
        <f>IF(SER_hh_fec_in!M13=0,0,11630*1000*SER_hh_fec_in!M13/SER_hh_num_in!M13)</f>
        <v>29109.804802125851</v>
      </c>
      <c r="N13" s="133">
        <f>IF(SER_hh_fec_in!N13=0,0,11630*1000*SER_hh_fec_in!N13/SER_hh_num_in!N13)</f>
        <v>30906.209690132655</v>
      </c>
      <c r="O13" s="133">
        <f>IF(SER_hh_fec_in!O13=0,0,11630*1000*SER_hh_fec_in!O13/SER_hh_num_in!O13)</f>
        <v>28969.341258713255</v>
      </c>
      <c r="P13" s="133">
        <f>IF(SER_hh_fec_in!P13=0,0,11630*1000*SER_hh_fec_in!P13/SER_hh_num_in!P13)</f>
        <v>30675.837054795644</v>
      </c>
      <c r="Q13" s="133">
        <f>IF(SER_hh_fec_in!Q13=0,0,11630*1000*SER_hh_fec_in!Q13/SER_hh_num_in!Q13)</f>
        <v>31581.749669620523</v>
      </c>
      <c r="R13" s="133">
        <f>IF(SER_hh_fec_in!R13=0,0,11630*1000*SER_hh_fec_in!R13/SER_hh_num_in!R13)</f>
        <v>28363.377750786938</v>
      </c>
      <c r="S13" s="133">
        <f>IF(SER_hh_fec_in!S13=0,0,11630*1000*SER_hh_fec_in!S13/SER_hh_num_in!S13)</f>
        <v>25546.457591852202</v>
      </c>
      <c r="T13" s="133">
        <f>IF(SER_hh_fec_in!T13=0,0,11630*1000*SER_hh_fec_in!T13/SER_hh_num_in!T13)</f>
        <v>21161.836466227454</v>
      </c>
      <c r="U13" s="133">
        <f>IF(SER_hh_fec_in!U13=0,0,11630*1000*SER_hh_fec_in!U13/SER_hh_num_in!U13)</f>
        <v>16697.103410344382</v>
      </c>
      <c r="V13" s="133">
        <f>IF(SER_hh_fec_in!V13=0,0,11630*1000*SER_hh_fec_in!V13/SER_hh_num_in!V13)</f>
        <v>14468.273846187678</v>
      </c>
      <c r="W13" s="133">
        <f>IF(SER_hh_fec_in!W13=0,0,11630*1000*SER_hh_fec_in!W13/SER_hh_num_in!W13)</f>
        <v>10211.335508885692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107222.74640247312</v>
      </c>
      <c r="D14" s="65">
        <f>IF(SER_hh_fec_in!D14=0,0,11630*1000*SER_hh_fec_in!D14/SER_hh_num_in!D14)</f>
        <v>128273.27799841011</v>
      </c>
      <c r="E14" s="65">
        <f>IF(SER_hh_fec_in!E14=0,0,11630*1000*SER_hh_fec_in!E14/SER_hh_num_in!E14)</f>
        <v>121199.67702374424</v>
      </c>
      <c r="F14" s="65">
        <f>IF(SER_hh_fec_in!F14=0,0,11630*1000*SER_hh_fec_in!F14/SER_hh_num_in!F14)</f>
        <v>124132.6124881343</v>
      </c>
      <c r="G14" s="65">
        <f>IF(SER_hh_fec_in!G14=0,0,11630*1000*SER_hh_fec_in!G14/SER_hh_num_in!G14)</f>
        <v>197664.16315378516</v>
      </c>
      <c r="H14" s="65">
        <f>IF(SER_hh_fec_in!H14=0,0,11630*1000*SER_hh_fec_in!H14/SER_hh_num_in!H14)</f>
        <v>114572.39023855548</v>
      </c>
      <c r="I14" s="65">
        <f>IF(SER_hh_fec_in!I14=0,0,11630*1000*SER_hh_fec_in!I14/SER_hh_num_in!I14)</f>
        <v>107621.12284566046</v>
      </c>
      <c r="J14" s="65">
        <f>IF(SER_hh_fec_in!J14=0,0,11630*1000*SER_hh_fec_in!J14/SER_hh_num_in!J14)</f>
        <v>91244.646800782328</v>
      </c>
      <c r="K14" s="65">
        <f>IF(SER_hh_fec_in!K14=0,0,11630*1000*SER_hh_fec_in!K14/SER_hh_num_in!K14)</f>
        <v>64925.246767802062</v>
      </c>
      <c r="L14" s="65">
        <f>IF(SER_hh_fec_in!L14=0,0,11630*1000*SER_hh_fec_in!L14/SER_hh_num_in!L14)</f>
        <v>146997.16983181838</v>
      </c>
      <c r="M14" s="65">
        <f>IF(SER_hh_fec_in!M14=0,0,11630*1000*SER_hh_fec_in!M14/SER_hh_num_in!M14)</f>
        <v>150174.80316229776</v>
      </c>
      <c r="N14" s="65">
        <f>IF(SER_hh_fec_in!N14=0,0,11630*1000*SER_hh_fec_in!N14/SER_hh_num_in!N14)</f>
        <v>145539.91030499939</v>
      </c>
      <c r="O14" s="65">
        <f>IF(SER_hh_fec_in!O14=0,0,11630*1000*SER_hh_fec_in!O14/SER_hh_num_in!O14)</f>
        <v>140626.39133593635</v>
      </c>
      <c r="P14" s="65">
        <f>IF(SER_hh_fec_in!P14=0,0,11630*1000*SER_hh_fec_in!P14/SER_hh_num_in!P14)</f>
        <v>143158.23803958035</v>
      </c>
      <c r="Q14" s="65">
        <f>IF(SER_hh_fec_in!Q14=0,0,11630*1000*SER_hh_fec_in!Q14/SER_hh_num_in!Q14)</f>
        <v>146868.42003159213</v>
      </c>
      <c r="R14" s="65">
        <f>IF(SER_hh_fec_in!R14=0,0,11630*1000*SER_hh_fec_in!R14/SER_hh_num_in!R14)</f>
        <v>124117.2136208038</v>
      </c>
      <c r="S14" s="65">
        <f>IF(SER_hh_fec_in!S14=0,0,11630*1000*SER_hh_fec_in!S14/SER_hh_num_in!S14)</f>
        <v>126686.24762848504</v>
      </c>
      <c r="T14" s="65">
        <f>IF(SER_hh_fec_in!T14=0,0,11630*1000*SER_hh_fec_in!T14/SER_hh_num_in!T14)</f>
        <v>103504.58056827211</v>
      </c>
      <c r="U14" s="65">
        <f>IF(SER_hh_fec_in!U14=0,0,11630*1000*SER_hh_fec_in!U14/SER_hh_num_in!U14)</f>
        <v>88326.441153309177</v>
      </c>
      <c r="V14" s="65">
        <f>IF(SER_hh_fec_in!V14=0,0,11630*1000*SER_hh_fec_in!V14/SER_hh_num_in!V14)</f>
        <v>57986.241741597769</v>
      </c>
      <c r="W14" s="65">
        <f>IF(SER_hh_fec_in!W14=0,0,11630*1000*SER_hh_fec_in!W14/SER_hh_num_in!W14)</f>
        <v>41669.081012078088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1172.8512999377408</v>
      </c>
      <c r="D15" s="135">
        <f>IF(SER_hh_fec_in!D15=0,0,11630*1000*SER_hh_fec_in!D15/SER_hh_num_in!D15)</f>
        <v>1314.6066395388175</v>
      </c>
      <c r="E15" s="135">
        <f>IF(SER_hh_fec_in!E15=0,0,11630*1000*SER_hh_fec_in!E15/SER_hh_num_in!E15)</f>
        <v>1577.5779658069755</v>
      </c>
      <c r="F15" s="135">
        <f>IF(SER_hh_fec_in!F15=0,0,11630*1000*SER_hh_fec_in!F15/SER_hh_num_in!F15)</f>
        <v>1603.0933730558825</v>
      </c>
      <c r="G15" s="135">
        <f>IF(SER_hh_fec_in!G15=0,0,11630*1000*SER_hh_fec_in!G15/SER_hh_num_in!G15)</f>
        <v>1379.8962681550202</v>
      </c>
      <c r="H15" s="135">
        <f>IF(SER_hh_fec_in!H15=0,0,11630*1000*SER_hh_fec_in!H15/SER_hh_num_in!H15)</f>
        <v>1179.1553754371771</v>
      </c>
      <c r="I15" s="135">
        <f>IF(SER_hh_fec_in!I15=0,0,11630*1000*SER_hh_fec_in!I15/SER_hh_num_in!I15)</f>
        <v>1266.6148852502242</v>
      </c>
      <c r="J15" s="135">
        <f>IF(SER_hh_fec_in!J15=0,0,11630*1000*SER_hh_fec_in!J15/SER_hh_num_in!J15)</f>
        <v>1118.1148961768461</v>
      </c>
      <c r="K15" s="135">
        <f>IF(SER_hh_fec_in!K15=0,0,11630*1000*SER_hh_fec_in!K15/SER_hh_num_in!K15)</f>
        <v>418.15439635124608</v>
      </c>
      <c r="L15" s="135">
        <f>IF(SER_hh_fec_in!L15=0,0,11630*1000*SER_hh_fec_in!L15/SER_hh_num_in!L15)</f>
        <v>1841.2966421968752</v>
      </c>
      <c r="M15" s="135">
        <f>IF(SER_hh_fec_in!M15=0,0,11630*1000*SER_hh_fec_in!M15/SER_hh_num_in!M15)</f>
        <v>1282.4550073340413</v>
      </c>
      <c r="N15" s="135">
        <f>IF(SER_hh_fec_in!N15=0,0,11630*1000*SER_hh_fec_in!N15/SER_hh_num_in!N15)</f>
        <v>1409.7390062329277</v>
      </c>
      <c r="O15" s="135">
        <f>IF(SER_hh_fec_in!O15=0,0,11630*1000*SER_hh_fec_in!O15/SER_hh_num_in!O15)</f>
        <v>1706.0775192532658</v>
      </c>
      <c r="P15" s="135">
        <f>IF(SER_hh_fec_in!P15=0,0,11630*1000*SER_hh_fec_in!P15/SER_hh_num_in!P15)</f>
        <v>1652.6317857516117</v>
      </c>
      <c r="Q15" s="135">
        <f>IF(SER_hh_fec_in!Q15=0,0,11630*1000*SER_hh_fec_in!Q15/SER_hh_num_in!Q15)</f>
        <v>1836.5822287882459</v>
      </c>
      <c r="R15" s="135">
        <f>IF(SER_hh_fec_in!R15=0,0,11630*1000*SER_hh_fec_in!R15/SER_hh_num_in!R15)</f>
        <v>1483.3307985771999</v>
      </c>
      <c r="S15" s="135">
        <f>IF(SER_hh_fec_in!S15=0,0,11630*1000*SER_hh_fec_in!S15/SER_hh_num_in!S15)</f>
        <v>1181.4963988874565</v>
      </c>
      <c r="T15" s="135">
        <f>IF(SER_hh_fec_in!T15=0,0,11630*1000*SER_hh_fec_in!T15/SER_hh_num_in!T15)</f>
        <v>1237.1100873657676</v>
      </c>
      <c r="U15" s="135">
        <f>IF(SER_hh_fec_in!U15=0,0,11630*1000*SER_hh_fec_in!U15/SER_hh_num_in!U15)</f>
        <v>1096.9713572433266</v>
      </c>
      <c r="V15" s="135">
        <f>IF(SER_hh_fec_in!V15=0,0,11630*1000*SER_hh_fec_in!V15/SER_hh_num_in!V15)</f>
        <v>716.00871443506583</v>
      </c>
      <c r="W15" s="135">
        <f>IF(SER_hh_fec_in!W15=0,0,11630*1000*SER_hh_fec_in!W15/SER_hh_num_in!W15)</f>
        <v>511.28836931526325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31703.891216033906</v>
      </c>
      <c r="D16" s="131">
        <f>IF(SER_hh_fec_in!D16=0,0,11630*1000*SER_hh_fec_in!D16/SER_hh_num_in!D16)</f>
        <v>23815.756045662081</v>
      </c>
      <c r="E16" s="131">
        <f>IF(SER_hh_fec_in!E16=0,0,11630*1000*SER_hh_fec_in!E16/SER_hh_num_in!E16)</f>
        <v>35045.890632173956</v>
      </c>
      <c r="F16" s="131">
        <f>IF(SER_hh_fec_in!F16=0,0,11630*1000*SER_hh_fec_in!F16/SER_hh_num_in!F16)</f>
        <v>17740.066890931485</v>
      </c>
      <c r="G16" s="131">
        <f>IF(SER_hh_fec_in!G16=0,0,11630*1000*SER_hh_fec_in!G16/SER_hh_num_in!G16)</f>
        <v>16976.304663759551</v>
      </c>
      <c r="H16" s="131">
        <f>IF(SER_hh_fec_in!H16=0,0,11630*1000*SER_hh_fec_in!H16/SER_hh_num_in!H16)</f>
        <v>22385.387883193202</v>
      </c>
      <c r="I16" s="131">
        <f>IF(SER_hh_fec_in!I16=0,0,11630*1000*SER_hh_fec_in!I16/SER_hh_num_in!I16)</f>
        <v>22489.160983167141</v>
      </c>
      <c r="J16" s="131">
        <f>IF(SER_hh_fec_in!J16=0,0,11630*1000*SER_hh_fec_in!J16/SER_hh_num_in!J16)</f>
        <v>18791.781794187231</v>
      </c>
      <c r="K16" s="131">
        <f>IF(SER_hh_fec_in!K16=0,0,11630*1000*SER_hh_fec_in!K16/SER_hh_num_in!K16)</f>
        <v>18633.32177479046</v>
      </c>
      <c r="L16" s="131">
        <f>IF(SER_hh_fec_in!L16=0,0,11630*1000*SER_hh_fec_in!L16/SER_hh_num_in!L16)</f>
        <v>14622.309478954503</v>
      </c>
      <c r="M16" s="131">
        <f>IF(SER_hh_fec_in!M16=0,0,11630*1000*SER_hh_fec_in!M16/SER_hh_num_in!M16)</f>
        <v>15162.232934354128</v>
      </c>
      <c r="N16" s="131">
        <f>IF(SER_hh_fec_in!N16=0,0,11630*1000*SER_hh_fec_in!N16/SER_hh_num_in!N16)</f>
        <v>25232.977562385036</v>
      </c>
      <c r="O16" s="131">
        <f>IF(SER_hh_fec_in!O16=0,0,11630*1000*SER_hh_fec_in!O16/SER_hh_num_in!O16)</f>
        <v>16786.24165805761</v>
      </c>
      <c r="P16" s="131">
        <f>IF(SER_hh_fec_in!P16=0,0,11630*1000*SER_hh_fec_in!P16/SER_hh_num_in!P16)</f>
        <v>16295.939086528011</v>
      </c>
      <c r="Q16" s="131">
        <f>IF(SER_hh_fec_in!Q16=0,0,11630*1000*SER_hh_fec_in!Q16/SER_hh_num_in!Q16)</f>
        <v>16532.995517195723</v>
      </c>
      <c r="R16" s="131">
        <f>IF(SER_hh_fec_in!R16=0,0,11630*1000*SER_hh_fec_in!R16/SER_hh_num_in!R16)</f>
        <v>13155.021099930866</v>
      </c>
      <c r="S16" s="131">
        <f>IF(SER_hh_fec_in!S16=0,0,11630*1000*SER_hh_fec_in!S16/SER_hh_num_in!S16)</f>
        <v>14888.907214443394</v>
      </c>
      <c r="T16" s="131">
        <f>IF(SER_hh_fec_in!T16=0,0,11630*1000*SER_hh_fec_in!T16/SER_hh_num_in!T16)</f>
        <v>12591.893331076593</v>
      </c>
      <c r="U16" s="131">
        <f>IF(SER_hh_fec_in!U16=0,0,11630*1000*SER_hh_fec_in!U16/SER_hh_num_in!U16)</f>
        <v>16229.824858950175</v>
      </c>
      <c r="V16" s="131">
        <f>IF(SER_hh_fec_in!V16=0,0,11630*1000*SER_hh_fec_in!V16/SER_hh_num_in!V16)</f>
        <v>12021.27473987854</v>
      </c>
      <c r="W16" s="131">
        <f>IF(SER_hh_fec_in!W16=0,0,11630*1000*SER_hh_fec_in!W16/SER_hh_num_in!W16)</f>
        <v>12504.341849166933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31703.891216033906</v>
      </c>
      <c r="D18" s="133">
        <f>IF(SER_hh_fec_in!D18=0,0,11630*1000*SER_hh_fec_in!D18/SER_hh_num_in!D18)</f>
        <v>23815.756045662081</v>
      </c>
      <c r="E18" s="133">
        <f>IF(SER_hh_fec_in!E18=0,0,11630*1000*SER_hh_fec_in!E18/SER_hh_num_in!E18)</f>
        <v>35045.890632173956</v>
      </c>
      <c r="F18" s="133">
        <f>IF(SER_hh_fec_in!F18=0,0,11630*1000*SER_hh_fec_in!F18/SER_hh_num_in!F18)</f>
        <v>17740.066890931485</v>
      </c>
      <c r="G18" s="133">
        <f>IF(SER_hh_fec_in!G18=0,0,11630*1000*SER_hh_fec_in!G18/SER_hh_num_in!G18)</f>
        <v>16976.304663759551</v>
      </c>
      <c r="H18" s="133">
        <f>IF(SER_hh_fec_in!H18=0,0,11630*1000*SER_hh_fec_in!H18/SER_hh_num_in!H18)</f>
        <v>22385.387883193202</v>
      </c>
      <c r="I18" s="133">
        <f>IF(SER_hh_fec_in!I18=0,0,11630*1000*SER_hh_fec_in!I18/SER_hh_num_in!I18)</f>
        <v>22489.160983167141</v>
      </c>
      <c r="J18" s="133">
        <f>IF(SER_hh_fec_in!J18=0,0,11630*1000*SER_hh_fec_in!J18/SER_hh_num_in!J18)</f>
        <v>18791.781794187231</v>
      </c>
      <c r="K18" s="133">
        <f>IF(SER_hh_fec_in!K18=0,0,11630*1000*SER_hh_fec_in!K18/SER_hh_num_in!K18)</f>
        <v>18633.32177479046</v>
      </c>
      <c r="L18" s="133">
        <f>IF(SER_hh_fec_in!L18=0,0,11630*1000*SER_hh_fec_in!L18/SER_hh_num_in!L18)</f>
        <v>14622.309478954503</v>
      </c>
      <c r="M18" s="133">
        <f>IF(SER_hh_fec_in!M18=0,0,11630*1000*SER_hh_fec_in!M18/SER_hh_num_in!M18)</f>
        <v>15162.232934354128</v>
      </c>
      <c r="N18" s="133">
        <f>IF(SER_hh_fec_in!N18=0,0,11630*1000*SER_hh_fec_in!N18/SER_hh_num_in!N18)</f>
        <v>25232.977562385036</v>
      </c>
      <c r="O18" s="133">
        <f>IF(SER_hh_fec_in!O18=0,0,11630*1000*SER_hh_fec_in!O18/SER_hh_num_in!O18)</f>
        <v>16786.24165805761</v>
      </c>
      <c r="P18" s="133">
        <f>IF(SER_hh_fec_in!P18=0,0,11630*1000*SER_hh_fec_in!P18/SER_hh_num_in!P18)</f>
        <v>16295.939086528011</v>
      </c>
      <c r="Q18" s="133">
        <f>IF(SER_hh_fec_in!Q18=0,0,11630*1000*SER_hh_fec_in!Q18/SER_hh_num_in!Q18)</f>
        <v>16532.995517195723</v>
      </c>
      <c r="R18" s="133">
        <f>IF(SER_hh_fec_in!R18=0,0,11630*1000*SER_hh_fec_in!R18/SER_hh_num_in!R18)</f>
        <v>13155.021099930866</v>
      </c>
      <c r="S18" s="133">
        <f>IF(SER_hh_fec_in!S18=0,0,11630*1000*SER_hh_fec_in!S18/SER_hh_num_in!S18)</f>
        <v>14888.907214443394</v>
      </c>
      <c r="T18" s="133">
        <f>IF(SER_hh_fec_in!T18=0,0,11630*1000*SER_hh_fec_in!T18/SER_hh_num_in!T18)</f>
        <v>12591.893331076593</v>
      </c>
      <c r="U18" s="133">
        <f>IF(SER_hh_fec_in!U18=0,0,11630*1000*SER_hh_fec_in!U18/SER_hh_num_in!U18)</f>
        <v>16229.824858950175</v>
      </c>
      <c r="V18" s="133">
        <f>IF(SER_hh_fec_in!V18=0,0,11630*1000*SER_hh_fec_in!V18/SER_hh_num_in!V18)</f>
        <v>12021.27473987854</v>
      </c>
      <c r="W18" s="133">
        <f>IF(SER_hh_fec_in!W18=0,0,11630*1000*SER_hh_fec_in!W18/SER_hh_num_in!W18)</f>
        <v>12504.341849166933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48040.020580740318</v>
      </c>
      <c r="D19" s="131">
        <f>IF(SER_hh_fec_in!D19=0,0,11630*1000*SER_hh_fec_in!D19/SER_hh_num_in!D19)</f>
        <v>48803.850070512613</v>
      </c>
      <c r="E19" s="131">
        <f>IF(SER_hh_fec_in!E19=0,0,11630*1000*SER_hh_fec_in!E19/SER_hh_num_in!E19)</f>
        <v>48941.97786978582</v>
      </c>
      <c r="F19" s="131">
        <f>IF(SER_hh_fec_in!F19=0,0,11630*1000*SER_hh_fec_in!F19/SER_hh_num_in!F19)</f>
        <v>49593.324752850778</v>
      </c>
      <c r="G19" s="131">
        <f>IF(SER_hh_fec_in!G19=0,0,11630*1000*SER_hh_fec_in!G19/SER_hh_num_in!G19)</f>
        <v>47464.963220252248</v>
      </c>
      <c r="H19" s="131">
        <f>IF(SER_hh_fec_in!H19=0,0,11630*1000*SER_hh_fec_in!H19/SER_hh_num_in!H19)</f>
        <v>51945.5869156935</v>
      </c>
      <c r="I19" s="131">
        <f>IF(SER_hh_fec_in!I19=0,0,11630*1000*SER_hh_fec_in!I19/SER_hh_num_in!I19)</f>
        <v>47381.015860601416</v>
      </c>
      <c r="J19" s="131">
        <f>IF(SER_hh_fec_in!J19=0,0,11630*1000*SER_hh_fec_in!J19/SER_hh_num_in!J19)</f>
        <v>45060.272108782709</v>
      </c>
      <c r="K19" s="131">
        <f>IF(SER_hh_fec_in!K19=0,0,11630*1000*SER_hh_fec_in!K19/SER_hh_num_in!K19)</f>
        <v>45326.046150428629</v>
      </c>
      <c r="L19" s="131">
        <f>IF(SER_hh_fec_in!L19=0,0,11630*1000*SER_hh_fec_in!L19/SER_hh_num_in!L19)</f>
        <v>46699.111961000599</v>
      </c>
      <c r="M19" s="131">
        <f>IF(SER_hh_fec_in!M19=0,0,11630*1000*SER_hh_fec_in!M19/SER_hh_num_in!M19)</f>
        <v>45800.738309120556</v>
      </c>
      <c r="N19" s="131">
        <f>IF(SER_hh_fec_in!N19=0,0,11630*1000*SER_hh_fec_in!N19/SER_hh_num_in!N19)</f>
        <v>43249.280688528015</v>
      </c>
      <c r="O19" s="131">
        <f>IF(SER_hh_fec_in!O19=0,0,11630*1000*SER_hh_fec_in!O19/SER_hh_num_in!O19)</f>
        <v>42436.537183534099</v>
      </c>
      <c r="P19" s="131">
        <f>IF(SER_hh_fec_in!P19=0,0,11630*1000*SER_hh_fec_in!P19/SER_hh_num_in!P19)</f>
        <v>39970.547120608397</v>
      </c>
      <c r="Q19" s="131">
        <f>IF(SER_hh_fec_in!Q19=0,0,11630*1000*SER_hh_fec_in!Q19/SER_hh_num_in!Q19)</f>
        <v>38000.31869561311</v>
      </c>
      <c r="R19" s="131">
        <f>IF(SER_hh_fec_in!R19=0,0,11630*1000*SER_hh_fec_in!R19/SER_hh_num_in!R19)</f>
        <v>36758.589698603115</v>
      </c>
      <c r="S19" s="131">
        <f>IF(SER_hh_fec_in!S19=0,0,11630*1000*SER_hh_fec_in!S19/SER_hh_num_in!S19)</f>
        <v>35277.500952198498</v>
      </c>
      <c r="T19" s="131">
        <f>IF(SER_hh_fec_in!T19=0,0,11630*1000*SER_hh_fec_in!T19/SER_hh_num_in!T19)</f>
        <v>34112.122690730444</v>
      </c>
      <c r="U19" s="131">
        <f>IF(SER_hh_fec_in!U19=0,0,11630*1000*SER_hh_fec_in!U19/SER_hh_num_in!U19)</f>
        <v>33027.114763356112</v>
      </c>
      <c r="V19" s="131">
        <f>IF(SER_hh_fec_in!V19=0,0,11630*1000*SER_hh_fec_in!V19/SER_hh_num_in!V19)</f>
        <v>30743.328517141053</v>
      </c>
      <c r="W19" s="131">
        <f>IF(SER_hh_fec_in!W19=0,0,11630*1000*SER_hh_fec_in!W19/SER_hh_num_in!W19)</f>
        <v>30645.285749321014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59784.274296181749</v>
      </c>
      <c r="D21" s="133">
        <f>IF(SER_hh_fec_in!D21=0,0,11630*1000*SER_hh_fec_in!D21/SER_hh_num_in!D21)</f>
        <v>60641.727456424494</v>
      </c>
      <c r="E21" s="133">
        <f>IF(SER_hh_fec_in!E21=0,0,11630*1000*SER_hh_fec_in!E21/SER_hh_num_in!E21)</f>
        <v>51998.739329090356</v>
      </c>
      <c r="F21" s="133">
        <f>IF(SER_hh_fec_in!F21=0,0,11630*1000*SER_hh_fec_in!F21/SER_hh_num_in!F21)</f>
        <v>45240.076432314592</v>
      </c>
      <c r="G21" s="133">
        <f>IF(SER_hh_fec_in!G21=0,0,11630*1000*SER_hh_fec_in!G21/SER_hh_num_in!G21)</f>
        <v>38523.292352098288</v>
      </c>
      <c r="H21" s="133">
        <f>IF(SER_hh_fec_in!H21=0,0,11630*1000*SER_hh_fec_in!H21/SER_hh_num_in!H21)</f>
        <v>85466.26836811153</v>
      </c>
      <c r="I21" s="133">
        <f>IF(SER_hh_fec_in!I21=0,0,11630*1000*SER_hh_fec_in!I21/SER_hh_num_in!I21)</f>
        <v>103327.23535062485</v>
      </c>
      <c r="J21" s="133">
        <f>IF(SER_hh_fec_in!J21=0,0,11630*1000*SER_hh_fec_in!J21/SER_hh_num_in!J21)</f>
        <v>93858.306139082633</v>
      </c>
      <c r="K21" s="133">
        <f>IF(SER_hh_fec_in!K21=0,0,11630*1000*SER_hh_fec_in!K21/SER_hh_num_in!K21)</f>
        <v>86619.304235447315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36052.095834273619</v>
      </c>
      <c r="T21" s="133">
        <f>IF(SER_hh_fec_in!T21=0,0,11630*1000*SER_hh_fec_in!T21/SER_hh_num_in!T21)</f>
        <v>42234.359060904826</v>
      </c>
      <c r="U21" s="133">
        <f>IF(SER_hh_fec_in!U21=0,0,11630*1000*SER_hh_fec_in!U21/SER_hh_num_in!U21)</f>
        <v>40248.171248998769</v>
      </c>
      <c r="V21" s="133">
        <f>IF(SER_hh_fec_in!V21=0,0,11630*1000*SER_hh_fec_in!V21/SER_hh_num_in!V21)</f>
        <v>32566.710931642763</v>
      </c>
      <c r="W21" s="133">
        <f>IF(SER_hh_fec_in!W21=0,0,11630*1000*SER_hh_fec_in!W21/SER_hh_num_in!W21)</f>
        <v>37750.423926490199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0</v>
      </c>
      <c r="D23" s="133">
        <f>IF(SER_hh_fec_in!D23=0,0,11630*1000*SER_hh_fec_in!D23/SER_hh_num_in!D23)</f>
        <v>0</v>
      </c>
      <c r="E23" s="133">
        <f>IF(SER_hh_fec_in!E23=0,0,11630*1000*SER_hh_fec_in!E23/SER_hh_num_in!E23)</f>
        <v>0</v>
      </c>
      <c r="F23" s="133">
        <f>IF(SER_hh_fec_in!F23=0,0,11630*1000*SER_hh_fec_in!F23/SER_hh_num_in!F23)</f>
        <v>0</v>
      </c>
      <c r="G23" s="133">
        <f>IF(SER_hh_fec_in!G23=0,0,11630*1000*SER_hh_fec_in!G23/SER_hh_num_in!G23)</f>
        <v>0</v>
      </c>
      <c r="H23" s="133">
        <f>IF(SER_hh_fec_in!H23=0,0,11630*1000*SER_hh_fec_in!H23/SER_hh_num_in!H23)</f>
        <v>0</v>
      </c>
      <c r="I23" s="133">
        <f>IF(SER_hh_fec_in!I23=0,0,11630*1000*SER_hh_fec_in!I23/SER_hh_num_in!I23)</f>
        <v>0</v>
      </c>
      <c r="J23" s="133">
        <f>IF(SER_hh_fec_in!J23=0,0,11630*1000*SER_hh_fec_in!J23/SER_hh_num_in!J23)</f>
        <v>0</v>
      </c>
      <c r="K23" s="133">
        <f>IF(SER_hh_fec_in!K23=0,0,11630*1000*SER_hh_fec_in!K23/SER_hh_num_in!K23)</f>
        <v>0</v>
      </c>
      <c r="L23" s="133">
        <f>IF(SER_hh_fec_in!L23=0,0,11630*1000*SER_hh_fec_in!L23/SER_hh_num_in!L23)</f>
        <v>0</v>
      </c>
      <c r="M23" s="133">
        <f>IF(SER_hh_fec_in!M23=0,0,11630*1000*SER_hh_fec_in!M23/SER_hh_num_in!M23)</f>
        <v>0</v>
      </c>
      <c r="N23" s="133">
        <f>IF(SER_hh_fec_in!N23=0,0,11630*1000*SER_hh_fec_in!N23/SER_hh_num_in!N23)</f>
        <v>0</v>
      </c>
      <c r="O23" s="133">
        <f>IF(SER_hh_fec_in!O23=0,0,11630*1000*SER_hh_fec_in!O23/SER_hh_num_in!O23)</f>
        <v>0</v>
      </c>
      <c r="P23" s="133">
        <f>IF(SER_hh_fec_in!P23=0,0,11630*1000*SER_hh_fec_in!P23/SER_hh_num_in!P23)</f>
        <v>0</v>
      </c>
      <c r="Q23" s="133">
        <f>IF(SER_hh_fec_in!Q23=0,0,11630*1000*SER_hh_fec_in!Q23/SER_hh_num_in!Q23)</f>
        <v>0</v>
      </c>
      <c r="R23" s="133">
        <f>IF(SER_hh_fec_in!R23=0,0,11630*1000*SER_hh_fec_in!R23/SER_hh_num_in!R23)</f>
        <v>0</v>
      </c>
      <c r="S23" s="133">
        <f>IF(SER_hh_fec_in!S23=0,0,11630*1000*SER_hh_fec_in!S23/SER_hh_num_in!S23)</f>
        <v>0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0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0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59939.058800801227</v>
      </c>
      <c r="N25" s="133">
        <f>IF(SER_hh_fec_in!N25=0,0,11630*1000*SER_hh_fec_in!N25/SER_hh_num_in!N25)</f>
        <v>42631.128397817498</v>
      </c>
      <c r="O25" s="133">
        <f>IF(SER_hh_fec_in!O25=0,0,11630*1000*SER_hh_fec_in!O25/SER_hh_num_in!O25)</f>
        <v>42044.90798327946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47418.201193858367</v>
      </c>
      <c r="D26" s="65">
        <f>IF(SER_hh_fec_in!D26=0,0,11630*1000*SER_hh_fec_in!D26/SER_hh_num_in!D26)</f>
        <v>48348.829820309023</v>
      </c>
      <c r="E26" s="65">
        <f>IF(SER_hh_fec_in!E26=0,0,11630*1000*SER_hh_fec_in!E26/SER_hh_num_in!E26)</f>
        <v>48745.969354942543</v>
      </c>
      <c r="F26" s="65">
        <f>IF(SER_hh_fec_in!F26=0,0,11630*1000*SER_hh_fec_in!F26/SER_hh_num_in!F26)</f>
        <v>50162.267972818285</v>
      </c>
      <c r="G26" s="65">
        <f>IF(SER_hh_fec_in!G26=0,0,11630*1000*SER_hh_fec_in!G26/SER_hh_num_in!G26)</f>
        <v>49887.17521407504</v>
      </c>
      <c r="H26" s="65">
        <f>IF(SER_hh_fec_in!H26=0,0,11630*1000*SER_hh_fec_in!H26/SER_hh_num_in!H26)</f>
        <v>45574.049628708228</v>
      </c>
      <c r="I26" s="65">
        <f>IF(SER_hh_fec_in!I26=0,0,11630*1000*SER_hh_fec_in!I26/SER_hh_num_in!I26)</f>
        <v>43035.308589334265</v>
      </c>
      <c r="J26" s="65">
        <f>IF(SER_hh_fec_in!J26=0,0,11630*1000*SER_hh_fec_in!J26/SER_hh_num_in!J26)</f>
        <v>42203.895472501928</v>
      </c>
      <c r="K26" s="65">
        <f>IF(SER_hh_fec_in!K26=0,0,11630*1000*SER_hh_fec_in!K26/SER_hh_num_in!K26)</f>
        <v>42862.12577281773</v>
      </c>
      <c r="L26" s="65">
        <f>IF(SER_hh_fec_in!L26=0,0,11630*1000*SER_hh_fec_in!L26/SER_hh_num_in!L26)</f>
        <v>46699.111961000599</v>
      </c>
      <c r="M26" s="65">
        <f>IF(SER_hh_fec_in!M26=0,0,11630*1000*SER_hh_fec_in!M26/SER_hh_num_in!M26)</f>
        <v>45770.379108396846</v>
      </c>
      <c r="N26" s="65">
        <f>IF(SER_hh_fec_in!N26=0,0,11630*1000*SER_hh_fec_in!N26/SER_hh_num_in!N26)</f>
        <v>43249.563169664441</v>
      </c>
      <c r="O26" s="65">
        <f>IF(SER_hh_fec_in!O26=0,0,11630*1000*SER_hh_fec_in!O26/SER_hh_num_in!O26)</f>
        <v>42436.670565955734</v>
      </c>
      <c r="P26" s="65">
        <f>IF(SER_hh_fec_in!P26=0,0,11630*1000*SER_hh_fec_in!P26/SER_hh_num_in!P26)</f>
        <v>39970.547120608397</v>
      </c>
      <c r="Q26" s="65">
        <f>IF(SER_hh_fec_in!Q26=0,0,11630*1000*SER_hh_fec_in!Q26/SER_hh_num_in!Q26)</f>
        <v>38000.31869561311</v>
      </c>
      <c r="R26" s="65">
        <f>IF(SER_hh_fec_in!R26=0,0,11630*1000*SER_hh_fec_in!R26/SER_hh_num_in!R26)</f>
        <v>36758.589698603115</v>
      </c>
      <c r="S26" s="65">
        <f>IF(SER_hh_fec_in!S26=0,0,11630*1000*SER_hh_fec_in!S26/SER_hh_num_in!S26)</f>
        <v>35255.543888436849</v>
      </c>
      <c r="T26" s="65">
        <f>IF(SER_hh_fec_in!T26=0,0,11630*1000*SER_hh_fec_in!T26/SER_hh_num_in!T26)</f>
        <v>33838.866639819127</v>
      </c>
      <c r="U26" s="65">
        <f>IF(SER_hh_fec_in!U26=0,0,11630*1000*SER_hh_fec_in!U26/SER_hh_num_in!U26)</f>
        <v>32867.062969479462</v>
      </c>
      <c r="V26" s="65">
        <f>IF(SER_hh_fec_in!V26=0,0,11630*1000*SER_hh_fec_in!V26/SER_hh_num_in!V26)</f>
        <v>30715.834892090039</v>
      </c>
      <c r="W26" s="65">
        <f>IF(SER_hh_fec_in!W26=0,0,11630*1000*SER_hh_fec_in!W26/SER_hh_num_in!W26)</f>
        <v>30397.72723560534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56830.219616553528</v>
      </c>
      <c r="D29" s="131">
        <f>IF(SER_hh_fec_in!D29=0,0,11630*1000*SER_hh_fec_in!D29/SER_hh_num_in!D29)</f>
        <v>58849.709799108074</v>
      </c>
      <c r="E29" s="131">
        <f>IF(SER_hh_fec_in!E29=0,0,11630*1000*SER_hh_fec_in!E29/SER_hh_num_in!E29)</f>
        <v>59623.468125088591</v>
      </c>
      <c r="F29" s="131">
        <f>IF(SER_hh_fec_in!F29=0,0,11630*1000*SER_hh_fec_in!F29/SER_hh_num_in!F29)</f>
        <v>61257.378660783193</v>
      </c>
      <c r="G29" s="131">
        <f>IF(SER_hh_fec_in!G29=0,0,11630*1000*SER_hh_fec_in!G29/SER_hh_num_in!G29)</f>
        <v>59570.954399731971</v>
      </c>
      <c r="H29" s="131">
        <f>IF(SER_hh_fec_in!H29=0,0,11630*1000*SER_hh_fec_in!H29/SER_hh_num_in!H29)</f>
        <v>63585.189336461706</v>
      </c>
      <c r="I29" s="131">
        <f>IF(SER_hh_fec_in!I29=0,0,11630*1000*SER_hh_fec_in!I29/SER_hh_num_in!I29)</f>
        <v>61330.208542336833</v>
      </c>
      <c r="J29" s="131">
        <f>IF(SER_hh_fec_in!J29=0,0,11630*1000*SER_hh_fec_in!J29/SER_hh_num_in!J29)</f>
        <v>61331.010971176373</v>
      </c>
      <c r="K29" s="131">
        <f>IF(SER_hh_fec_in!K29=0,0,11630*1000*SER_hh_fec_in!K29/SER_hh_num_in!K29)</f>
        <v>68420.636735503344</v>
      </c>
      <c r="L29" s="131">
        <f>IF(SER_hh_fec_in!L29=0,0,11630*1000*SER_hh_fec_in!L29/SER_hh_num_in!L29)</f>
        <v>59108.508393425873</v>
      </c>
      <c r="M29" s="131">
        <f>IF(SER_hh_fec_in!M29=0,0,11630*1000*SER_hh_fec_in!M29/SER_hh_num_in!M29)</f>
        <v>59695.648729471817</v>
      </c>
      <c r="N29" s="131">
        <f>IF(SER_hh_fec_in!N29=0,0,11630*1000*SER_hh_fec_in!N29/SER_hh_num_in!N29)</f>
        <v>55940.460473063373</v>
      </c>
      <c r="O29" s="131">
        <f>IF(SER_hh_fec_in!O29=0,0,11630*1000*SER_hh_fec_in!O29/SER_hh_num_in!O29)</f>
        <v>56785.786902434251</v>
      </c>
      <c r="P29" s="131">
        <f>IF(SER_hh_fec_in!P29=0,0,11630*1000*SER_hh_fec_in!P29/SER_hh_num_in!P29)</f>
        <v>56491.054190956143</v>
      </c>
      <c r="Q29" s="131">
        <f>IF(SER_hh_fec_in!Q29=0,0,11630*1000*SER_hh_fec_in!Q29/SER_hh_num_in!Q29)</f>
        <v>58431.668330210108</v>
      </c>
      <c r="R29" s="131">
        <f>IF(SER_hh_fec_in!R29=0,0,11630*1000*SER_hh_fec_in!R29/SER_hh_num_in!R29)</f>
        <v>56576.51553411167</v>
      </c>
      <c r="S29" s="131">
        <f>IF(SER_hh_fec_in!S29=0,0,11630*1000*SER_hh_fec_in!S29/SER_hh_num_in!S29)</f>
        <v>58671.215188800525</v>
      </c>
      <c r="T29" s="131">
        <f>IF(SER_hh_fec_in!T29=0,0,11630*1000*SER_hh_fec_in!T29/SER_hh_num_in!T29)</f>
        <v>61649.661750885411</v>
      </c>
      <c r="U29" s="131">
        <f>IF(SER_hh_fec_in!U29=0,0,11630*1000*SER_hh_fec_in!U29/SER_hh_num_in!U29)</f>
        <v>56149.268748606119</v>
      </c>
      <c r="V29" s="131">
        <f>IF(SER_hh_fec_in!V29=0,0,11630*1000*SER_hh_fec_in!V29/SER_hh_num_in!V29)</f>
        <v>48526.432542882634</v>
      </c>
      <c r="W29" s="131">
        <f>IF(SER_hh_fec_in!W29=0,0,11630*1000*SER_hh_fec_in!W29/SER_hh_num_in!W29)</f>
        <v>49743.749398560234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69442.745702873697</v>
      </c>
      <c r="D30" s="133">
        <f>IF(SER_hh_fec_in!D30=0,0,11630*1000*SER_hh_fec_in!D30/SER_hh_num_in!D30)</f>
        <v>81811.943310219896</v>
      </c>
      <c r="E30" s="133">
        <f>IF(SER_hh_fec_in!E30=0,0,11630*1000*SER_hh_fec_in!E30/SER_hh_num_in!E30)</f>
        <v>78388.234442700734</v>
      </c>
      <c r="F30" s="133">
        <f>IF(SER_hh_fec_in!F30=0,0,11630*1000*SER_hh_fec_in!F30/SER_hh_num_in!F30)</f>
        <v>68314.810678761045</v>
      </c>
      <c r="G30" s="133">
        <f>IF(SER_hh_fec_in!G30=0,0,11630*1000*SER_hh_fec_in!G30/SER_hh_num_in!G30)</f>
        <v>59875.374827245192</v>
      </c>
      <c r="H30" s="133">
        <f>IF(SER_hh_fec_in!H30=0,0,11630*1000*SER_hh_fec_in!H30/SER_hh_num_in!H30)</f>
        <v>76536.572131091641</v>
      </c>
      <c r="I30" s="133">
        <f>IF(SER_hh_fec_in!I30=0,0,11630*1000*SER_hh_fec_in!I30/SER_hh_num_in!I30)</f>
        <v>66236.991621693334</v>
      </c>
      <c r="J30" s="133">
        <f>IF(SER_hh_fec_in!J30=0,0,11630*1000*SER_hh_fec_in!J30/SER_hh_num_in!J30)</f>
        <v>73117.562997658912</v>
      </c>
      <c r="K30" s="133">
        <f>IF(SER_hh_fec_in!K30=0,0,11630*1000*SER_hh_fec_in!K30/SER_hh_num_in!K30)</f>
        <v>90295.411508287158</v>
      </c>
      <c r="L30" s="133">
        <f>IF(SER_hh_fec_in!L30=0,0,11630*1000*SER_hh_fec_in!L30/SER_hh_num_in!L30)</f>
        <v>68153.17882187599</v>
      </c>
      <c r="M30" s="133">
        <f>IF(SER_hh_fec_in!M30=0,0,11630*1000*SER_hh_fec_in!M30/SER_hh_num_in!M30)</f>
        <v>76234.060059957978</v>
      </c>
      <c r="N30" s="133">
        <f>IF(SER_hh_fec_in!N30=0,0,11630*1000*SER_hh_fec_in!N30/SER_hh_num_in!N30)</f>
        <v>73493.568524579343</v>
      </c>
      <c r="O30" s="133">
        <f>IF(SER_hh_fec_in!O30=0,0,11630*1000*SER_hh_fec_in!O30/SER_hh_num_in!O30)</f>
        <v>71085.078112598436</v>
      </c>
      <c r="P30" s="133">
        <f>IF(SER_hh_fec_in!P30=0,0,11630*1000*SER_hh_fec_in!P30/SER_hh_num_in!P30)</f>
        <v>70191.572117957941</v>
      </c>
      <c r="Q30" s="133">
        <f>IF(SER_hh_fec_in!Q30=0,0,11630*1000*SER_hh_fec_in!Q30/SER_hh_num_in!Q30)</f>
        <v>77491.569742619438</v>
      </c>
      <c r="R30" s="133">
        <f>IF(SER_hh_fec_in!R30=0,0,11630*1000*SER_hh_fec_in!R30/SER_hh_num_in!R30)</f>
        <v>62786.88736374693</v>
      </c>
      <c r="S30" s="133">
        <f>IF(SER_hh_fec_in!S30=0,0,11630*1000*SER_hh_fec_in!S30/SER_hh_num_in!S30)</f>
        <v>66954.185245761415</v>
      </c>
      <c r="T30" s="133">
        <f>IF(SER_hh_fec_in!T30=0,0,11630*1000*SER_hh_fec_in!T30/SER_hh_num_in!T30)</f>
        <v>77396.003016332354</v>
      </c>
      <c r="U30" s="133">
        <f>IF(SER_hh_fec_in!U30=0,0,11630*1000*SER_hh_fec_in!U30/SER_hh_num_in!U30)</f>
        <v>78406.095386999499</v>
      </c>
      <c r="V30" s="133">
        <f>IF(SER_hh_fec_in!V30=0,0,11630*1000*SER_hh_fec_in!V30/SER_hh_num_in!V30)</f>
        <v>52030.015536720312</v>
      </c>
      <c r="W30" s="133">
        <f>IF(SER_hh_fec_in!W30=0,0,11630*1000*SER_hh_fec_in!W30/SER_hh_num_in!W30)</f>
        <v>56597.451722292259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0</v>
      </c>
      <c r="D31" s="133">
        <f>IF(SER_hh_fec_in!D31=0,0,11630*1000*SER_hh_fec_in!D31/SER_hh_num_in!D31)</f>
        <v>0</v>
      </c>
      <c r="E31" s="133">
        <f>IF(SER_hh_fec_in!E31=0,0,11630*1000*SER_hh_fec_in!E31/SER_hh_num_in!E31)</f>
        <v>0</v>
      </c>
      <c r="F31" s="133">
        <f>IF(SER_hh_fec_in!F31=0,0,11630*1000*SER_hh_fec_in!F31/SER_hh_num_in!F31)</f>
        <v>0</v>
      </c>
      <c r="G31" s="133">
        <f>IF(SER_hh_fec_in!G31=0,0,11630*1000*SER_hh_fec_in!G31/SER_hh_num_in!G31)</f>
        <v>0</v>
      </c>
      <c r="H31" s="133">
        <f>IF(SER_hh_fec_in!H31=0,0,11630*1000*SER_hh_fec_in!H31/SER_hh_num_in!H31)</f>
        <v>0</v>
      </c>
      <c r="I31" s="133">
        <f>IF(SER_hh_fec_in!I31=0,0,11630*1000*SER_hh_fec_in!I31/SER_hh_num_in!I31)</f>
        <v>0</v>
      </c>
      <c r="J31" s="133">
        <f>IF(SER_hh_fec_in!J31=0,0,11630*1000*SER_hh_fec_in!J31/SER_hh_num_in!J31)</f>
        <v>0</v>
      </c>
      <c r="K31" s="133">
        <f>IF(SER_hh_fec_in!K31=0,0,11630*1000*SER_hh_fec_in!K31/SER_hh_num_in!K31)</f>
        <v>0</v>
      </c>
      <c r="L31" s="133">
        <f>IF(SER_hh_fec_in!L31=0,0,11630*1000*SER_hh_fec_in!L31/SER_hh_num_in!L31)</f>
        <v>0</v>
      </c>
      <c r="M31" s="133">
        <f>IF(SER_hh_fec_in!M31=0,0,11630*1000*SER_hh_fec_in!M31/SER_hh_num_in!M31)</f>
        <v>0</v>
      </c>
      <c r="N31" s="133">
        <f>IF(SER_hh_fec_in!N31=0,0,11630*1000*SER_hh_fec_in!N31/SER_hh_num_in!N31)</f>
        <v>0</v>
      </c>
      <c r="O31" s="133">
        <f>IF(SER_hh_fec_in!O31=0,0,11630*1000*SER_hh_fec_in!O31/SER_hh_num_in!O31)</f>
        <v>0</v>
      </c>
      <c r="P31" s="133">
        <f>IF(SER_hh_fec_in!P31=0,0,11630*1000*SER_hh_fec_in!P31/SER_hh_num_in!P31)</f>
        <v>0</v>
      </c>
      <c r="Q31" s="133">
        <f>IF(SER_hh_fec_in!Q31=0,0,11630*1000*SER_hh_fec_in!Q31/SER_hh_num_in!Q31)</f>
        <v>0</v>
      </c>
      <c r="R31" s="133">
        <f>IF(SER_hh_fec_in!R31=0,0,11630*1000*SER_hh_fec_in!R31/SER_hh_num_in!R31)</f>
        <v>0</v>
      </c>
      <c r="S31" s="133">
        <f>IF(SER_hh_fec_in!S31=0,0,11630*1000*SER_hh_fec_in!S31/SER_hh_num_in!S31)</f>
        <v>0</v>
      </c>
      <c r="T31" s="133">
        <f>IF(SER_hh_fec_in!T31=0,0,11630*1000*SER_hh_fec_in!T31/SER_hh_num_in!T31)</f>
        <v>0</v>
      </c>
      <c r="U31" s="133">
        <f>IF(SER_hh_fec_in!U31=0,0,11630*1000*SER_hh_fec_in!U31/SER_hh_num_in!U31)</f>
        <v>0</v>
      </c>
      <c r="V31" s="133">
        <f>IF(SER_hh_fec_in!V31=0,0,11630*1000*SER_hh_fec_in!V31/SER_hh_num_in!V31)</f>
        <v>0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56070.739119515645</v>
      </c>
      <c r="D33" s="68">
        <f>IF(SER_hh_fec_in!D33=0,0,11630*1000*SER_hh_fec_in!D33/SER_hh_num_in!D33)</f>
        <v>56930.102541700944</v>
      </c>
      <c r="E33" s="68">
        <f>IF(SER_hh_fec_in!E33=0,0,11630*1000*SER_hh_fec_in!E33/SER_hh_num_in!E33)</f>
        <v>58511.833675967806</v>
      </c>
      <c r="F33" s="68">
        <f>IF(SER_hh_fec_in!F33=0,0,11630*1000*SER_hh_fec_in!F33/SER_hh_num_in!F33)</f>
        <v>60432.039441123721</v>
      </c>
      <c r="G33" s="68">
        <f>IF(SER_hh_fec_in!G33=0,0,11630*1000*SER_hh_fec_in!G33/SER_hh_num_in!G33)</f>
        <v>59518.875321976033</v>
      </c>
      <c r="H33" s="68">
        <f>IF(SER_hh_fec_in!H33=0,0,11630*1000*SER_hh_fec_in!H33/SER_hh_num_in!H33)</f>
        <v>57861.967783527485</v>
      </c>
      <c r="I33" s="68">
        <f>IF(SER_hh_fec_in!I33=0,0,11630*1000*SER_hh_fec_in!I33/SER_hh_num_in!I33)</f>
        <v>58318.350029037516</v>
      </c>
      <c r="J33" s="68">
        <f>IF(SER_hh_fec_in!J33=0,0,11630*1000*SER_hh_fec_in!J33/SER_hh_num_in!J33)</f>
        <v>55431.224214203095</v>
      </c>
      <c r="K33" s="68">
        <f>IF(SER_hh_fec_in!K33=0,0,11630*1000*SER_hh_fec_in!K33/SER_hh_num_in!K33)</f>
        <v>52345.677427392293</v>
      </c>
      <c r="L33" s="68">
        <f>IF(SER_hh_fec_in!L33=0,0,11630*1000*SER_hh_fec_in!L33/SER_hh_num_in!L33)</f>
        <v>57868.623835237966</v>
      </c>
      <c r="M33" s="68">
        <f>IF(SER_hh_fec_in!M33=0,0,11630*1000*SER_hh_fec_in!M33/SER_hh_num_in!M33)</f>
        <v>55800.744415126341</v>
      </c>
      <c r="N33" s="68">
        <f>IF(SER_hh_fec_in!N33=0,0,11630*1000*SER_hh_fec_in!N33/SER_hh_num_in!N33)</f>
        <v>54633.892007533272</v>
      </c>
      <c r="O33" s="68">
        <f>IF(SER_hh_fec_in!O33=0,0,11630*1000*SER_hh_fec_in!O33/SER_hh_num_in!O33)</f>
        <v>54081.304550244808</v>
      </c>
      <c r="P33" s="68">
        <f>IF(SER_hh_fec_in!P33=0,0,11630*1000*SER_hh_fec_in!P33/SER_hh_num_in!P33)</f>
        <v>54048.871000457846</v>
      </c>
      <c r="Q33" s="68">
        <f>IF(SER_hh_fec_in!Q33=0,0,11630*1000*SER_hh_fec_in!Q33/SER_hh_num_in!Q33)</f>
        <v>51950.437610736277</v>
      </c>
      <c r="R33" s="68">
        <f>IF(SER_hh_fec_in!R33=0,0,11630*1000*SER_hh_fec_in!R33/SER_hh_num_in!R33)</f>
        <v>54206.854528779739</v>
      </c>
      <c r="S33" s="68">
        <f>IF(SER_hh_fec_in!S33=0,0,11630*1000*SER_hh_fec_in!S33/SER_hh_num_in!S33)</f>
        <v>51413.916864838284</v>
      </c>
      <c r="T33" s="68">
        <f>IF(SER_hh_fec_in!T33=0,0,11630*1000*SER_hh_fec_in!T33/SER_hh_num_in!T33)</f>
        <v>47711.039129341254</v>
      </c>
      <c r="U33" s="68">
        <f>IF(SER_hh_fec_in!U33=0,0,11630*1000*SER_hh_fec_in!U33/SER_hh_num_in!U33)</f>
        <v>46580.403609248067</v>
      </c>
      <c r="V33" s="68">
        <f>IF(SER_hh_fec_in!V33=0,0,11630*1000*SER_hh_fec_in!V33/SER_hh_num_in!V33)</f>
        <v>47624.581617929354</v>
      </c>
      <c r="W33" s="68">
        <f>IF(SER_hh_fec_in!W33=0,0,11630*1000*SER_hh_fec_in!W33/SER_hh_num_in!W33)</f>
        <v>48129.304670180623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207270.81383780285</v>
      </c>
      <c r="D3" s="126">
        <f>IF(SER_hh_tes_in!D3=0,0,11630*1000*SER_hh_tes_in!D3/SER_hh_num_in!D3)</f>
        <v>201811.53068726952</v>
      </c>
      <c r="E3" s="126">
        <f>IF(SER_hh_tes_in!E3=0,0,11630*1000*SER_hh_tes_in!E3/SER_hh_num_in!E3)</f>
        <v>240404.19641614132</v>
      </c>
      <c r="F3" s="126">
        <f>IF(SER_hh_tes_in!F3=0,0,11630*1000*SER_hh_tes_in!F3/SER_hh_num_in!F3)</f>
        <v>196059.26603992312</v>
      </c>
      <c r="G3" s="126">
        <f>IF(SER_hh_tes_in!G3=0,0,11630*1000*SER_hh_tes_in!G3/SER_hh_num_in!G3)</f>
        <v>229161.83344530431</v>
      </c>
      <c r="H3" s="126">
        <f>IF(SER_hh_tes_in!H3=0,0,11630*1000*SER_hh_tes_in!H3/SER_hh_num_in!H3)</f>
        <v>202955.5365668041</v>
      </c>
      <c r="I3" s="126">
        <f>IF(SER_hh_tes_in!I3=0,0,11630*1000*SER_hh_tes_in!I3/SER_hh_num_in!I3)</f>
        <v>203843.32958610845</v>
      </c>
      <c r="J3" s="126">
        <f>IF(SER_hh_tes_in!J3=0,0,11630*1000*SER_hh_tes_in!J3/SER_hh_num_in!J3)</f>
        <v>188396.41531852479</v>
      </c>
      <c r="K3" s="126">
        <f>IF(SER_hh_tes_in!K3=0,0,11630*1000*SER_hh_tes_in!K3/SER_hh_num_in!K3)</f>
        <v>172385.60920434358</v>
      </c>
      <c r="L3" s="126">
        <f>IF(SER_hh_tes_in!L3=0,0,11630*1000*SER_hh_tes_in!L3/SER_hh_num_in!L3)</f>
        <v>211887.48290501599</v>
      </c>
      <c r="M3" s="126">
        <f>IF(SER_hh_tes_in!M3=0,0,11630*1000*SER_hh_tes_in!M3/SER_hh_num_in!M3)</f>
        <v>207902.38218335254</v>
      </c>
      <c r="N3" s="126">
        <f>IF(SER_hh_tes_in!N3=0,0,11630*1000*SER_hh_tes_in!N3/SER_hh_num_in!N3)</f>
        <v>245446.2228665741</v>
      </c>
      <c r="O3" s="126">
        <f>IF(SER_hh_tes_in!O3=0,0,11630*1000*SER_hh_tes_in!O3/SER_hh_num_in!O3)</f>
        <v>228368.54345726414</v>
      </c>
      <c r="P3" s="126">
        <f>IF(SER_hh_tes_in!P3=0,0,11630*1000*SER_hh_tes_in!P3/SER_hh_num_in!P3)</f>
        <v>231547.82051326582</v>
      </c>
      <c r="Q3" s="126">
        <f>IF(SER_hh_tes_in!Q3=0,0,11630*1000*SER_hh_tes_in!Q3/SER_hh_num_in!Q3)</f>
        <v>242056.19152919584</v>
      </c>
      <c r="R3" s="126">
        <f>IF(SER_hh_tes_in!R3=0,0,11630*1000*SER_hh_tes_in!R3/SER_hh_num_in!R3)</f>
        <v>211712.48101823905</v>
      </c>
      <c r="S3" s="126">
        <f>IF(SER_hh_tes_in!S3=0,0,11630*1000*SER_hh_tes_in!S3/SER_hh_num_in!S3)</f>
        <v>219080.33070324667</v>
      </c>
      <c r="T3" s="126">
        <f>IF(SER_hh_tes_in!T3=0,0,11630*1000*SER_hh_tes_in!T3/SER_hh_num_in!T3)</f>
        <v>197708.98963441819</v>
      </c>
      <c r="U3" s="126">
        <f>IF(SER_hh_tes_in!U3=0,0,11630*1000*SER_hh_tes_in!U3/SER_hh_num_in!U3)</f>
        <v>201419.17755180108</v>
      </c>
      <c r="V3" s="126">
        <f>IF(SER_hh_tes_in!V3=0,0,11630*1000*SER_hh_tes_in!V3/SER_hh_num_in!V3)</f>
        <v>163792.48453517744</v>
      </c>
      <c r="W3" s="126">
        <f>IF(SER_hh_tes_in!W3=0,0,11630*1000*SER_hh_tes_in!W3/SER_hh_num_in!W3)</f>
        <v>153509.73365954543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62218.639971719072</v>
      </c>
      <c r="D4" s="131">
        <f>IF(SER_hh_tes_in!D4=0,0,11630*1000*SER_hh_tes_in!D4/SER_hh_num_in!D4)</f>
        <v>72398.722915585124</v>
      </c>
      <c r="E4" s="131">
        <f>IF(SER_hh_tes_in!E4=0,0,11630*1000*SER_hh_tes_in!E4/SER_hh_num_in!E4)</f>
        <v>78026.121639269055</v>
      </c>
      <c r="F4" s="131">
        <f>IF(SER_hh_tes_in!F4=0,0,11630*1000*SER_hh_tes_in!F4/SER_hh_num_in!F4)</f>
        <v>76790.777243841992</v>
      </c>
      <c r="G4" s="131">
        <f>IF(SER_hh_tes_in!G4=0,0,11630*1000*SER_hh_tes_in!G4/SER_hh_num_in!G4)</f>
        <v>113193.66389983338</v>
      </c>
      <c r="H4" s="131">
        <f>IF(SER_hh_tes_in!H4=0,0,11630*1000*SER_hh_tes_in!H4/SER_hh_num_in!H4)</f>
        <v>67148.908726398964</v>
      </c>
      <c r="I4" s="131">
        <f>IF(SER_hh_tes_in!I4=0,0,11630*1000*SER_hh_tes_in!I4/SER_hh_num_in!I4)</f>
        <v>69394.411028328876</v>
      </c>
      <c r="J4" s="131">
        <f>IF(SER_hh_tes_in!J4=0,0,11630*1000*SER_hh_tes_in!J4/SER_hh_num_in!J4)</f>
        <v>63993.549711909931</v>
      </c>
      <c r="K4" s="131">
        <f>IF(SER_hh_tes_in!K4=0,0,11630*1000*SER_hh_tes_in!K4/SER_hh_num_in!K4)</f>
        <v>43436.43660977509</v>
      </c>
      <c r="L4" s="131">
        <f>IF(SER_hh_tes_in!L4=0,0,11630*1000*SER_hh_tes_in!L4/SER_hh_num_in!L4)</f>
        <v>94335.116434729367</v>
      </c>
      <c r="M4" s="131">
        <f>IF(SER_hh_tes_in!M4=0,0,11630*1000*SER_hh_tes_in!M4/SER_hh_num_in!M4)</f>
        <v>87522.446874716785</v>
      </c>
      <c r="N4" s="131">
        <f>IF(SER_hh_tes_in!N4=0,0,11630*1000*SER_hh_tes_in!N4/SER_hh_num_in!N4)</f>
        <v>88958.585722838601</v>
      </c>
      <c r="O4" s="131">
        <f>IF(SER_hh_tes_in!O4=0,0,11630*1000*SER_hh_tes_in!O4/SER_hh_num_in!O4)</f>
        <v>99024.832740337923</v>
      </c>
      <c r="P4" s="131">
        <f>IF(SER_hh_tes_in!P4=0,0,11630*1000*SER_hh_tes_in!P4/SER_hh_num_in!P4)</f>
        <v>101317.16600069252</v>
      </c>
      <c r="Q4" s="131">
        <f>IF(SER_hh_tes_in!Q4=0,0,11630*1000*SER_hh_tes_in!Q4/SER_hh_num_in!Q4)</f>
        <v>108600.98769223872</v>
      </c>
      <c r="R4" s="131">
        <f>IF(SER_hh_tes_in!R4=0,0,11630*1000*SER_hh_tes_in!R4/SER_hh_num_in!R4)</f>
        <v>91265.908345063654</v>
      </c>
      <c r="S4" s="131">
        <f>IF(SER_hh_tes_in!S4=0,0,11630*1000*SER_hh_tes_in!S4/SER_hh_num_in!S4)</f>
        <v>91488.143531885537</v>
      </c>
      <c r="T4" s="131">
        <f>IF(SER_hh_tes_in!T4=0,0,11630*1000*SER_hh_tes_in!T4/SER_hh_num_in!T4)</f>
        <v>77342.373597125785</v>
      </c>
      <c r="U4" s="131">
        <f>IF(SER_hh_tes_in!U4=0,0,11630*1000*SER_hh_tes_in!U4/SER_hh_num_in!U4)</f>
        <v>65455.792185481398</v>
      </c>
      <c r="V4" s="131">
        <f>IF(SER_hh_tes_in!V4=0,0,11630*1000*SER_hh_tes_in!V4/SER_hh_num_in!V4)</f>
        <v>49320.946795034892</v>
      </c>
      <c r="W4" s="131">
        <f>IF(SER_hh_tes_in!W4=0,0,11630*1000*SER_hh_tes_in!W4/SER_hh_num_in!W4)</f>
        <v>34491.524793126024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66925.906063110204</v>
      </c>
      <c r="D6" s="133">
        <f>IF(SER_hh_tes_in!D6=0,0,11630*1000*SER_hh_tes_in!D6/SER_hh_num_in!D6)</f>
        <v>68237.90981216183</v>
      </c>
      <c r="E6" s="133">
        <f>IF(SER_hh_tes_in!E6=0,0,11630*1000*SER_hh_tes_in!E6/SER_hh_num_in!E6)</f>
        <v>76954.146912917931</v>
      </c>
      <c r="F6" s="133">
        <f>IF(SER_hh_tes_in!F6=0,0,11630*1000*SER_hh_tes_in!F6/SER_hh_num_in!F6)</f>
        <v>80437.902644908259</v>
      </c>
      <c r="G6" s="133">
        <f>IF(SER_hh_tes_in!G6=0,0,11630*1000*SER_hh_tes_in!G6/SER_hh_num_in!G6)</f>
        <v>69266.626780870138</v>
      </c>
      <c r="H6" s="133">
        <f>IF(SER_hh_tes_in!H6=0,0,11630*1000*SER_hh_tes_in!H6/SER_hh_num_in!H6)</f>
        <v>79213.574314523838</v>
      </c>
      <c r="I6" s="133">
        <f>IF(SER_hh_tes_in!I6=0,0,11630*1000*SER_hh_tes_in!I6/SER_hh_num_in!I6)</f>
        <v>88496.121297393023</v>
      </c>
      <c r="J6" s="133">
        <f>IF(SER_hh_tes_in!J6=0,0,11630*1000*SER_hh_tes_in!J6/SER_hh_num_in!J6)</f>
        <v>47276.174338806515</v>
      </c>
      <c r="K6" s="133">
        <f>IF(SER_hh_tes_in!K6=0,0,11630*1000*SER_hh_tes_in!K6/SER_hh_num_in!K6)</f>
        <v>24452.830490190008</v>
      </c>
      <c r="L6" s="133">
        <f>IF(SER_hh_tes_in!L6=0,0,11630*1000*SER_hh_tes_in!L6/SER_hh_num_in!L6)</f>
        <v>108835.24528531048</v>
      </c>
      <c r="M6" s="133">
        <f>IF(SER_hh_tes_in!M6=0,0,11630*1000*SER_hh_tes_in!M6/SER_hh_num_in!M6)</f>
        <v>82220.362156465882</v>
      </c>
      <c r="N6" s="133">
        <f>IF(SER_hh_tes_in!N6=0,0,11630*1000*SER_hh_tes_in!N6/SER_hh_num_in!N6)</f>
        <v>99997.792564803778</v>
      </c>
      <c r="O6" s="133">
        <f>IF(SER_hh_tes_in!O6=0,0,11630*1000*SER_hh_tes_in!O6/SER_hh_num_in!O6)</f>
        <v>0</v>
      </c>
      <c r="P6" s="133">
        <f>IF(SER_hh_tes_in!P6=0,0,11630*1000*SER_hh_tes_in!P6/SER_hh_num_in!P6)</f>
        <v>76688.468004801587</v>
      </c>
      <c r="Q6" s="133">
        <f>IF(SER_hh_tes_in!Q6=0,0,11630*1000*SER_hh_tes_in!Q6/SER_hh_num_in!Q6)</f>
        <v>88452.825209225193</v>
      </c>
      <c r="R6" s="133">
        <f>IF(SER_hh_tes_in!R6=0,0,11630*1000*SER_hh_tes_in!R6/SER_hh_num_in!R6)</f>
        <v>70628.806842298596</v>
      </c>
      <c r="S6" s="133">
        <f>IF(SER_hh_tes_in!S6=0,0,11630*1000*SER_hh_tes_in!S6/SER_hh_num_in!S6)</f>
        <v>73044.534724622441</v>
      </c>
      <c r="T6" s="133">
        <f>IF(SER_hh_tes_in!T6=0,0,11630*1000*SER_hh_tes_in!T6/SER_hh_num_in!T6)</f>
        <v>79870.853812973539</v>
      </c>
      <c r="U6" s="133">
        <f>IF(SER_hh_tes_in!U6=0,0,11630*1000*SER_hh_tes_in!U6/SER_hh_num_in!U6)</f>
        <v>67339.69095455372</v>
      </c>
      <c r="V6" s="133">
        <f>IF(SER_hh_tes_in!V6=0,0,11630*1000*SER_hh_tes_in!V6/SER_hh_num_in!V6)</f>
        <v>44709.23597169092</v>
      </c>
      <c r="W6" s="133">
        <f>IF(SER_hh_tes_in!W6=0,0,11630*1000*SER_hh_tes_in!W6/SER_hh_num_in!W6)</f>
        <v>34879.018628643222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59540.598694908207</v>
      </c>
      <c r="D7" s="133">
        <f>IF(SER_hh_tes_in!D7=0,0,11630*1000*SER_hh_tes_in!D7/SER_hh_num_in!D7)</f>
        <v>68244.395121407113</v>
      </c>
      <c r="E7" s="133">
        <f>IF(SER_hh_tes_in!E7=0,0,11630*1000*SER_hh_tes_in!E7/SER_hh_num_in!E7)</f>
        <v>83906.643495461933</v>
      </c>
      <c r="F7" s="133">
        <f>IF(SER_hh_tes_in!F7=0,0,11630*1000*SER_hh_tes_in!F7/SER_hh_num_in!F7)</f>
        <v>94336.366908984666</v>
      </c>
      <c r="G7" s="133">
        <f>IF(SER_hh_tes_in!G7=0,0,11630*1000*SER_hh_tes_in!G7/SER_hh_num_in!G7)</f>
        <v>81240.846838367186</v>
      </c>
      <c r="H7" s="133">
        <f>IF(SER_hh_tes_in!H7=0,0,11630*1000*SER_hh_tes_in!H7/SER_hh_num_in!H7)</f>
        <v>64138.46733825386</v>
      </c>
      <c r="I7" s="133">
        <f>IF(SER_hh_tes_in!I7=0,0,11630*1000*SER_hh_tes_in!I7/SER_hh_num_in!I7)</f>
        <v>70587.591347173671</v>
      </c>
      <c r="J7" s="133">
        <f>IF(SER_hh_tes_in!J7=0,0,11630*1000*SER_hh_tes_in!J7/SER_hh_num_in!J7)</f>
        <v>65461.006220654919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50289.459098523374</v>
      </c>
      <c r="N7" s="133">
        <f>IF(SER_hh_tes_in!N7=0,0,11630*1000*SER_hh_tes_in!N7/SER_hh_num_in!N7)</f>
        <v>82247.074036829435</v>
      </c>
      <c r="O7" s="133">
        <f>IF(SER_hh_tes_in!O7=0,0,11630*1000*SER_hh_tes_in!O7/SER_hh_num_in!O7)</f>
        <v>103000.43841559488</v>
      </c>
      <c r="P7" s="133">
        <f>IF(SER_hh_tes_in!P7=0,0,11630*1000*SER_hh_tes_in!P7/SER_hh_num_in!P7)</f>
        <v>100596.77987613683</v>
      </c>
      <c r="Q7" s="133">
        <f>IF(SER_hh_tes_in!Q7=0,0,11630*1000*SER_hh_tes_in!Q7/SER_hh_num_in!Q7)</f>
        <v>113925.82056519251</v>
      </c>
      <c r="R7" s="133">
        <f>IF(SER_hh_tes_in!R7=0,0,11630*1000*SER_hh_tes_in!R7/SER_hh_num_in!R7)</f>
        <v>105120.6189843801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31926.800245395603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0</v>
      </c>
      <c r="D9" s="133">
        <f>IF(SER_hh_tes_in!D9=0,0,11630*1000*SER_hh_tes_in!D9/SER_hh_num_in!D9)</f>
        <v>0</v>
      </c>
      <c r="E9" s="133">
        <f>IF(SER_hh_tes_in!E9=0,0,11630*1000*SER_hh_tes_in!E9/SER_hh_num_in!E9)</f>
        <v>0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0</v>
      </c>
      <c r="L9" s="133">
        <f>IF(SER_hh_tes_in!L9=0,0,11630*1000*SER_hh_tes_in!L9/SER_hh_num_in!L9)</f>
        <v>0</v>
      </c>
      <c r="M9" s="133">
        <f>IF(SER_hh_tes_in!M9=0,0,11630*1000*SER_hh_tes_in!M9/SER_hh_num_in!M9)</f>
        <v>114567.29268225739</v>
      </c>
      <c r="N9" s="133">
        <f>IF(SER_hh_tes_in!N9=0,0,11630*1000*SER_hh_tes_in!N9/SER_hh_num_in!N9)</f>
        <v>126029.44738094616</v>
      </c>
      <c r="O9" s="133">
        <f>IF(SER_hh_tes_in!O9=0,0,11630*1000*SER_hh_tes_in!O9/SER_hh_num_in!O9)</f>
        <v>0</v>
      </c>
      <c r="P9" s="133">
        <f>IF(SER_hh_tes_in!P9=0,0,11630*1000*SER_hh_tes_in!P9/SER_hh_num_in!P9)</f>
        <v>0</v>
      </c>
      <c r="Q9" s="133">
        <f>IF(SER_hh_tes_in!Q9=0,0,11630*1000*SER_hh_tes_in!Q9/SER_hh_num_in!Q9)</f>
        <v>0</v>
      </c>
      <c r="R9" s="133">
        <f>IF(SER_hh_tes_in!R9=0,0,11630*1000*SER_hh_tes_in!R9/SER_hh_num_in!R9)</f>
        <v>105652.58250713137</v>
      </c>
      <c r="S9" s="133">
        <f>IF(SER_hh_tes_in!S9=0,0,11630*1000*SER_hh_tes_in!S9/SER_hh_num_in!S9)</f>
        <v>0</v>
      </c>
      <c r="T9" s="133">
        <f>IF(SER_hh_tes_in!T9=0,0,11630*1000*SER_hh_tes_in!T9/SER_hh_num_in!T9)</f>
        <v>57714.315424141765</v>
      </c>
      <c r="U9" s="133">
        <f>IF(SER_hh_tes_in!U9=0,0,11630*1000*SER_hh_tes_in!U9/SER_hh_num_in!U9)</f>
        <v>73893.617043342732</v>
      </c>
      <c r="V9" s="133">
        <f>IF(SER_hh_tes_in!V9=0,0,11630*1000*SER_hh_tes_in!V9/SER_hh_num_in!V9)</f>
        <v>47793.957199247205</v>
      </c>
      <c r="W9" s="133">
        <f>IF(SER_hh_tes_in!W9=0,0,11630*1000*SER_hh_tes_in!W9/SER_hh_num_in!W9)</f>
        <v>24195.960663913131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0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0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0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119698.42597258712</v>
      </c>
      <c r="N12" s="133">
        <f>IF(SER_hh_tes_in!N12=0,0,11630*1000*SER_hh_tes_in!N12/SER_hh_num_in!N12)</f>
        <v>185287.26168118062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63007.610219804024</v>
      </c>
      <c r="D13" s="133">
        <f>IF(SER_hh_tes_in!D13=0,0,11630*1000*SER_hh_tes_in!D13/SER_hh_num_in!D13)</f>
        <v>70677.583558037164</v>
      </c>
      <c r="E13" s="133">
        <f>IF(SER_hh_tes_in!E13=0,0,11630*1000*SER_hh_tes_in!E13/SER_hh_num_in!E13)</f>
        <v>83650.910061610499</v>
      </c>
      <c r="F13" s="133">
        <f>IF(SER_hh_tes_in!F13=0,0,11630*1000*SER_hh_tes_in!F13/SER_hh_num_in!F13)</f>
        <v>74516.687231997115</v>
      </c>
      <c r="G13" s="133">
        <f>IF(SER_hh_tes_in!G13=0,0,11630*1000*SER_hh_tes_in!G13/SER_hh_num_in!G13)</f>
        <v>77474.227135225286</v>
      </c>
      <c r="H13" s="133">
        <f>IF(SER_hh_tes_in!H13=0,0,11630*1000*SER_hh_tes_in!H13/SER_hh_num_in!H13)</f>
        <v>61537.595870756813</v>
      </c>
      <c r="I13" s="133">
        <f>IF(SER_hh_tes_in!I13=0,0,11630*1000*SER_hh_tes_in!I13/SER_hh_num_in!I13)</f>
        <v>59564.430365273409</v>
      </c>
      <c r="J13" s="133">
        <f>IF(SER_hh_tes_in!J13=0,0,11630*1000*SER_hh_tes_in!J13/SER_hh_num_in!J13)</f>
        <v>65266.801843525587</v>
      </c>
      <c r="K13" s="133">
        <f>IF(SER_hh_tes_in!K13=0,0,11630*1000*SER_hh_tes_in!K13/SER_hh_num_in!K13)</f>
        <v>68523.865131266561</v>
      </c>
      <c r="L13" s="133">
        <f>IF(SER_hh_tes_in!L13=0,0,11630*1000*SER_hh_tes_in!L13/SER_hh_num_in!L13)</f>
        <v>69436.253509335394</v>
      </c>
      <c r="M13" s="133">
        <f>IF(SER_hh_tes_in!M13=0,0,11630*1000*SER_hh_tes_in!M13/SER_hh_num_in!M13)</f>
        <v>80110.071697562744</v>
      </c>
      <c r="N13" s="133">
        <f>IF(SER_hh_tes_in!N13=0,0,11630*1000*SER_hh_tes_in!N13/SER_hh_num_in!N13)</f>
        <v>90127.244770083431</v>
      </c>
      <c r="O13" s="133">
        <f>IF(SER_hh_tes_in!O13=0,0,11630*1000*SER_hh_tes_in!O13/SER_hh_num_in!O13)</f>
        <v>89647.43898748474</v>
      </c>
      <c r="P13" s="133">
        <f>IF(SER_hh_tes_in!P13=0,0,11630*1000*SER_hh_tes_in!P13/SER_hh_num_in!P13)</f>
        <v>100421.67440991584</v>
      </c>
      <c r="Q13" s="133">
        <f>IF(SER_hh_tes_in!Q13=0,0,11630*1000*SER_hh_tes_in!Q13/SER_hh_num_in!Q13)</f>
        <v>108023.41888028559</v>
      </c>
      <c r="R13" s="133">
        <f>IF(SER_hh_tes_in!R13=0,0,11630*1000*SER_hh_tes_in!R13/SER_hh_num_in!R13)</f>
        <v>98697.882752235993</v>
      </c>
      <c r="S13" s="133">
        <f>IF(SER_hh_tes_in!S13=0,0,11630*1000*SER_hh_tes_in!S13/SER_hh_num_in!S13)</f>
        <v>89854.97037469699</v>
      </c>
      <c r="T13" s="133">
        <f>IF(SER_hh_tes_in!T13=0,0,11630*1000*SER_hh_tes_in!T13/SER_hh_num_in!T13)</f>
        <v>74942.537951396458</v>
      </c>
      <c r="U13" s="133">
        <f>IF(SER_hh_tes_in!U13=0,0,11630*1000*SER_hh_tes_in!U13/SER_hh_num_in!U13)</f>
        <v>59451.176041851068</v>
      </c>
      <c r="V13" s="133">
        <f>IF(SER_hh_tes_in!V13=0,0,11630*1000*SER_hh_tes_in!V13/SER_hh_num_in!V13)</f>
        <v>51850.041582054844</v>
      </c>
      <c r="W13" s="133">
        <f>IF(SER_hh_tes_in!W13=0,0,11630*1000*SER_hh_tes_in!W13/SER_hh_num_in!W13)</f>
        <v>36864.529074552331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63690.715386209755</v>
      </c>
      <c r="D14" s="65">
        <f>IF(SER_hh_tes_in!D14=0,0,11630*1000*SER_hh_tes_in!D14/SER_hh_num_in!D14)</f>
        <v>76749.421029909921</v>
      </c>
      <c r="E14" s="65">
        <f>IF(SER_hh_tes_in!E14=0,0,11630*1000*SER_hh_tes_in!E14/SER_hh_num_in!E14)</f>
        <v>73054.562430538354</v>
      </c>
      <c r="F14" s="65">
        <f>IF(SER_hh_tes_in!F14=0,0,11630*1000*SER_hh_tes_in!F14/SER_hh_num_in!F14)</f>
        <v>75374.76157569357</v>
      </c>
      <c r="G14" s="65">
        <f>IF(SER_hh_tes_in!G14=0,0,11630*1000*SER_hh_tes_in!G14/SER_hh_num_in!G14)</f>
        <v>120923.67172482792</v>
      </c>
      <c r="H14" s="65">
        <f>IF(SER_hh_tes_in!H14=0,0,11630*1000*SER_hh_tes_in!H14/SER_hh_num_in!H14)</f>
        <v>70623.140759994683</v>
      </c>
      <c r="I14" s="65">
        <f>IF(SER_hh_tes_in!I14=0,0,11630*1000*SER_hh_tes_in!I14/SER_hh_num_in!I14)</f>
        <v>66850.156512144094</v>
      </c>
      <c r="J14" s="65">
        <f>IF(SER_hh_tes_in!J14=0,0,11630*1000*SER_hh_tes_in!J14/SER_hh_num_in!J14)</f>
        <v>57129.938908322962</v>
      </c>
      <c r="K14" s="65">
        <f>IF(SER_hh_tes_in!K14=0,0,11630*1000*SER_hh_tes_in!K14/SER_hh_num_in!K14)</f>
        <v>40990.504589354481</v>
      </c>
      <c r="L14" s="65">
        <f>IF(SER_hh_tes_in!L14=0,0,11630*1000*SER_hh_tes_in!L14/SER_hh_num_in!L14)</f>
        <v>93618.72417063202</v>
      </c>
      <c r="M14" s="65">
        <f>IF(SER_hh_tes_in!M14=0,0,11630*1000*SER_hh_tes_in!M14/SER_hh_num_in!M14)</f>
        <v>96745.684411718539</v>
      </c>
      <c r="N14" s="65">
        <f>IF(SER_hh_tes_in!N14=0,0,11630*1000*SER_hh_tes_in!N14/SER_hh_num_in!N14)</f>
        <v>95159.940717220568</v>
      </c>
      <c r="O14" s="65">
        <f>IF(SER_hh_tes_in!O14=0,0,11630*1000*SER_hh_tes_in!O14/SER_hh_num_in!O14)</f>
        <v>93703.623885633671</v>
      </c>
      <c r="P14" s="65">
        <f>IF(SER_hh_tes_in!P14=0,0,11630*1000*SER_hh_tes_in!P14/SER_hh_num_in!P14)</f>
        <v>97529.991347242234</v>
      </c>
      <c r="Q14" s="65">
        <f>IF(SER_hh_tes_in!Q14=0,0,11630*1000*SER_hh_tes_in!Q14/SER_hh_num_in!Q14)</f>
        <v>102390.43494835298</v>
      </c>
      <c r="R14" s="65">
        <f>IF(SER_hh_tes_in!R14=0,0,11630*1000*SER_hh_tes_in!R14/SER_hh_num_in!R14)</f>
        <v>88648.001320362717</v>
      </c>
      <c r="S14" s="65">
        <f>IF(SER_hh_tes_in!S14=0,0,11630*1000*SER_hh_tes_in!S14/SER_hh_num_in!S14)</f>
        <v>93001.259325831474</v>
      </c>
      <c r="T14" s="65">
        <f>IF(SER_hh_tes_in!T14=0,0,11630*1000*SER_hh_tes_in!T14/SER_hh_num_in!T14)</f>
        <v>78065.333048285742</v>
      </c>
      <c r="U14" s="65">
        <f>IF(SER_hh_tes_in!U14=0,0,11630*1000*SER_hh_tes_in!U14/SER_hh_num_in!U14)</f>
        <v>68188.409233935439</v>
      </c>
      <c r="V14" s="65">
        <f>IF(SER_hh_tes_in!V14=0,0,11630*1000*SER_hh_tes_in!V14/SER_hh_num_in!V14)</f>
        <v>45512.482887267382</v>
      </c>
      <c r="W14" s="65">
        <f>IF(SER_hh_tes_in!W14=0,0,11630*1000*SER_hh_tes_in!W14/SER_hh_num_in!W14)</f>
        <v>32975.008611118777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1172.8512999377408</v>
      </c>
      <c r="D15" s="135">
        <f>IF(SER_hh_tes_in!D15=0,0,11630*1000*SER_hh_tes_in!D15/SER_hh_num_in!D15)</f>
        <v>1314.6066395388175</v>
      </c>
      <c r="E15" s="135">
        <f>IF(SER_hh_tes_in!E15=0,0,11630*1000*SER_hh_tes_in!E15/SER_hh_num_in!E15)</f>
        <v>1577.5779658069755</v>
      </c>
      <c r="F15" s="135">
        <f>IF(SER_hh_tes_in!F15=0,0,11630*1000*SER_hh_tes_in!F15/SER_hh_num_in!F15)</f>
        <v>1603.0933730558825</v>
      </c>
      <c r="G15" s="135">
        <f>IF(SER_hh_tes_in!G15=0,0,11630*1000*SER_hh_tes_in!G15/SER_hh_num_in!G15)</f>
        <v>1379.8962681550202</v>
      </c>
      <c r="H15" s="135">
        <f>IF(SER_hh_tes_in!H15=0,0,11630*1000*SER_hh_tes_in!H15/SER_hh_num_in!H15)</f>
        <v>1179.1553754371771</v>
      </c>
      <c r="I15" s="135">
        <f>IF(SER_hh_tes_in!I15=0,0,11630*1000*SER_hh_tes_in!I15/SER_hh_num_in!I15)</f>
        <v>1266.6148852502242</v>
      </c>
      <c r="J15" s="135">
        <f>IF(SER_hh_tes_in!J15=0,0,11630*1000*SER_hh_tes_in!J15/SER_hh_num_in!J15)</f>
        <v>1118.1148961768461</v>
      </c>
      <c r="K15" s="135">
        <f>IF(SER_hh_tes_in!K15=0,0,11630*1000*SER_hh_tes_in!K15/SER_hh_num_in!K15)</f>
        <v>418.15439635124608</v>
      </c>
      <c r="L15" s="135">
        <f>IF(SER_hh_tes_in!L15=0,0,11630*1000*SER_hh_tes_in!L15/SER_hh_num_in!L15)</f>
        <v>1841.2966421968752</v>
      </c>
      <c r="M15" s="135">
        <f>IF(SER_hh_tes_in!M15=0,0,11630*1000*SER_hh_tes_in!M15/SER_hh_num_in!M15)</f>
        <v>1282.4550073340413</v>
      </c>
      <c r="N15" s="135">
        <f>IF(SER_hh_tes_in!N15=0,0,11630*1000*SER_hh_tes_in!N15/SER_hh_num_in!N15)</f>
        <v>1409.7390062329277</v>
      </c>
      <c r="O15" s="135">
        <f>IF(SER_hh_tes_in!O15=0,0,11630*1000*SER_hh_tes_in!O15/SER_hh_num_in!O15)</f>
        <v>1706.0775192532658</v>
      </c>
      <c r="P15" s="135">
        <f>IF(SER_hh_tes_in!P15=0,0,11630*1000*SER_hh_tes_in!P15/SER_hh_num_in!P15)</f>
        <v>1652.6317857516117</v>
      </c>
      <c r="Q15" s="135">
        <f>IF(SER_hh_tes_in!Q15=0,0,11630*1000*SER_hh_tes_in!Q15/SER_hh_num_in!Q15)</f>
        <v>1836.5822287882459</v>
      </c>
      <c r="R15" s="135">
        <f>IF(SER_hh_tes_in!R15=0,0,11630*1000*SER_hh_tes_in!R15/SER_hh_num_in!R15)</f>
        <v>1483.3307985771999</v>
      </c>
      <c r="S15" s="135">
        <f>IF(SER_hh_tes_in!S15=0,0,11630*1000*SER_hh_tes_in!S15/SER_hh_num_in!S15)</f>
        <v>1181.4963988874565</v>
      </c>
      <c r="T15" s="135">
        <f>IF(SER_hh_tes_in!T15=0,0,11630*1000*SER_hh_tes_in!T15/SER_hh_num_in!T15)</f>
        <v>1237.1100873657676</v>
      </c>
      <c r="U15" s="135">
        <f>IF(SER_hh_tes_in!U15=0,0,11630*1000*SER_hh_tes_in!U15/SER_hh_num_in!U15)</f>
        <v>1096.9713572433266</v>
      </c>
      <c r="V15" s="135">
        <f>IF(SER_hh_tes_in!V15=0,0,11630*1000*SER_hh_tes_in!V15/SER_hh_num_in!V15)</f>
        <v>716.00871443506583</v>
      </c>
      <c r="W15" s="135">
        <f>IF(SER_hh_tes_in!W15=0,0,11630*1000*SER_hh_tes_in!W15/SER_hh_num_in!W15)</f>
        <v>511.28836931526325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78282.351618501285</v>
      </c>
      <c r="D16" s="131">
        <f>IF(SER_hh_tes_in!D16=0,0,11630*1000*SER_hh_tes_in!D16/SER_hh_num_in!D16)</f>
        <v>60899.859999222244</v>
      </c>
      <c r="E16" s="131">
        <f>IF(SER_hh_tes_in!E16=0,0,11630*1000*SER_hh_tes_in!E16/SER_hh_num_in!E16)</f>
        <v>92731.654686333684</v>
      </c>
      <c r="F16" s="131">
        <f>IF(SER_hh_tes_in!F16=0,0,11630*1000*SER_hh_tes_in!F16/SER_hh_num_in!F16)</f>
        <v>48518.79359901134</v>
      </c>
      <c r="G16" s="131">
        <f>IF(SER_hh_tes_in!G16=0,0,11630*1000*SER_hh_tes_in!G16/SER_hh_num_in!G16)</f>
        <v>47954.773633918296</v>
      </c>
      <c r="H16" s="131">
        <f>IF(SER_hh_tes_in!H16=0,0,11630*1000*SER_hh_tes_in!H16/SER_hh_num_in!H16)</f>
        <v>65261.864955170138</v>
      </c>
      <c r="I16" s="131">
        <f>IF(SER_hh_tes_in!I16=0,0,11630*1000*SER_hh_tes_in!I16/SER_hh_num_in!I16)</f>
        <v>67622.163144697261</v>
      </c>
      <c r="J16" s="131">
        <f>IF(SER_hh_tes_in!J16=0,0,11630*1000*SER_hh_tes_in!J16/SER_hh_num_in!J16)</f>
        <v>58255.544351694094</v>
      </c>
      <c r="K16" s="131">
        <f>IF(SER_hh_tes_in!K16=0,0,11630*1000*SER_hh_tes_in!K16/SER_hh_num_in!K16)</f>
        <v>59543.441904272164</v>
      </c>
      <c r="L16" s="131">
        <f>IF(SER_hh_tes_in!L16=0,0,11630*1000*SER_hh_tes_in!L16/SER_hh_num_in!L16)</f>
        <v>48158.240919691409</v>
      </c>
      <c r="M16" s="131">
        <f>IF(SER_hh_tes_in!M16=0,0,11630*1000*SER_hh_tes_in!M16/SER_hh_num_in!M16)</f>
        <v>51710.17366886219</v>
      </c>
      <c r="N16" s="131">
        <f>IF(SER_hh_tes_in!N16=0,0,11630*1000*SER_hh_tes_in!N16/SER_hh_num_in!N16)</f>
        <v>89625.197672668524</v>
      </c>
      <c r="O16" s="131">
        <f>IF(SER_hh_tes_in!O16=0,0,11630*1000*SER_hh_tes_in!O16/SER_hh_num_in!O16)</f>
        <v>62458.613796246755</v>
      </c>
      <c r="P16" s="131">
        <f>IF(SER_hh_tes_in!P16=0,0,11630*1000*SER_hh_tes_in!P16/SER_hh_num_in!P16)</f>
        <v>63619.442418500541</v>
      </c>
      <c r="Q16" s="131">
        <f>IF(SER_hh_tes_in!Q16=0,0,11630*1000*SER_hh_tes_in!Q16/SER_hh_num_in!Q16)</f>
        <v>67147.625858913176</v>
      </c>
      <c r="R16" s="131">
        <f>IF(SER_hh_tes_in!R16=0,0,11630*1000*SER_hh_tes_in!R16/SER_hh_num_in!R16)</f>
        <v>54727.432651449162</v>
      </c>
      <c r="S16" s="131">
        <f>IF(SER_hh_tes_in!S16=0,0,11630*1000*SER_hh_tes_in!S16/SER_hh_num_in!S16)</f>
        <v>63111.148421379199</v>
      </c>
      <c r="T16" s="131">
        <f>IF(SER_hh_tes_in!T16=0,0,11630*1000*SER_hh_tes_in!T16/SER_hh_num_in!T16)</f>
        <v>54201.612744987338</v>
      </c>
      <c r="U16" s="131">
        <f>IF(SER_hh_tes_in!U16=0,0,11630*1000*SER_hh_tes_in!U16/SER_hh_num_in!U16)</f>
        <v>70831.488842680308</v>
      </c>
      <c r="V16" s="131">
        <f>IF(SER_hh_tes_in!V16=0,0,11630*1000*SER_hh_tes_in!V16/SER_hh_num_in!V16)</f>
        <v>53197.10290523836</v>
      </c>
      <c r="W16" s="131">
        <f>IF(SER_hh_tes_in!W16=0,0,11630*1000*SER_hh_tes_in!W16/SER_hh_num_in!W16)</f>
        <v>56081.148598354353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78282.351618501285</v>
      </c>
      <c r="D18" s="133">
        <f>IF(SER_hh_tes_in!D18=0,0,11630*1000*SER_hh_tes_in!D18/SER_hh_num_in!D18)</f>
        <v>60899.859999222244</v>
      </c>
      <c r="E18" s="133">
        <f>IF(SER_hh_tes_in!E18=0,0,11630*1000*SER_hh_tes_in!E18/SER_hh_num_in!E18)</f>
        <v>92731.654686333684</v>
      </c>
      <c r="F18" s="133">
        <f>IF(SER_hh_tes_in!F18=0,0,11630*1000*SER_hh_tes_in!F18/SER_hh_num_in!F18)</f>
        <v>48518.79359901134</v>
      </c>
      <c r="G18" s="133">
        <f>IF(SER_hh_tes_in!G18=0,0,11630*1000*SER_hh_tes_in!G18/SER_hh_num_in!G18)</f>
        <v>47954.773633918296</v>
      </c>
      <c r="H18" s="133">
        <f>IF(SER_hh_tes_in!H18=0,0,11630*1000*SER_hh_tes_in!H18/SER_hh_num_in!H18)</f>
        <v>65261.864955170138</v>
      </c>
      <c r="I18" s="133">
        <f>IF(SER_hh_tes_in!I18=0,0,11630*1000*SER_hh_tes_in!I18/SER_hh_num_in!I18)</f>
        <v>67622.163144697261</v>
      </c>
      <c r="J18" s="133">
        <f>IF(SER_hh_tes_in!J18=0,0,11630*1000*SER_hh_tes_in!J18/SER_hh_num_in!J18)</f>
        <v>58255.544351694094</v>
      </c>
      <c r="K18" s="133">
        <f>IF(SER_hh_tes_in!K18=0,0,11630*1000*SER_hh_tes_in!K18/SER_hh_num_in!K18)</f>
        <v>59543.441904272164</v>
      </c>
      <c r="L18" s="133">
        <f>IF(SER_hh_tes_in!L18=0,0,11630*1000*SER_hh_tes_in!L18/SER_hh_num_in!L18)</f>
        <v>48158.240919691409</v>
      </c>
      <c r="M18" s="133">
        <f>IF(SER_hh_tes_in!M18=0,0,11630*1000*SER_hh_tes_in!M18/SER_hh_num_in!M18)</f>
        <v>51710.17366886219</v>
      </c>
      <c r="N18" s="133">
        <f>IF(SER_hh_tes_in!N18=0,0,11630*1000*SER_hh_tes_in!N18/SER_hh_num_in!N18)</f>
        <v>89625.197672668524</v>
      </c>
      <c r="O18" s="133">
        <f>IF(SER_hh_tes_in!O18=0,0,11630*1000*SER_hh_tes_in!O18/SER_hh_num_in!O18)</f>
        <v>62458.613796246755</v>
      </c>
      <c r="P18" s="133">
        <f>IF(SER_hh_tes_in!P18=0,0,11630*1000*SER_hh_tes_in!P18/SER_hh_num_in!P18)</f>
        <v>63619.442418500541</v>
      </c>
      <c r="Q18" s="133">
        <f>IF(SER_hh_tes_in!Q18=0,0,11630*1000*SER_hh_tes_in!Q18/SER_hh_num_in!Q18)</f>
        <v>67147.625858913176</v>
      </c>
      <c r="R18" s="133">
        <f>IF(SER_hh_tes_in!R18=0,0,11630*1000*SER_hh_tes_in!R18/SER_hh_num_in!R18)</f>
        <v>54727.432651449162</v>
      </c>
      <c r="S18" s="133">
        <f>IF(SER_hh_tes_in!S18=0,0,11630*1000*SER_hh_tes_in!S18/SER_hh_num_in!S18)</f>
        <v>63111.148421379199</v>
      </c>
      <c r="T18" s="133">
        <f>IF(SER_hh_tes_in!T18=0,0,11630*1000*SER_hh_tes_in!T18/SER_hh_num_in!T18)</f>
        <v>54201.612744987338</v>
      </c>
      <c r="U18" s="133">
        <f>IF(SER_hh_tes_in!U18=0,0,11630*1000*SER_hh_tes_in!U18/SER_hh_num_in!U18)</f>
        <v>70831.488842680308</v>
      </c>
      <c r="V18" s="133">
        <f>IF(SER_hh_tes_in!V18=0,0,11630*1000*SER_hh_tes_in!V18/SER_hh_num_in!V18)</f>
        <v>53197.10290523836</v>
      </c>
      <c r="W18" s="133">
        <f>IF(SER_hh_tes_in!W18=0,0,11630*1000*SER_hh_tes_in!W18/SER_hh_num_in!W18)</f>
        <v>56081.148598354353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25318.249660942412</v>
      </c>
      <c r="D19" s="131">
        <f>IF(SER_hh_tes_in!D19=0,0,11630*1000*SER_hh_tes_in!D19/SER_hh_num_in!D19)</f>
        <v>25898.494508527121</v>
      </c>
      <c r="E19" s="131">
        <f>IF(SER_hh_tes_in!E19=0,0,11630*1000*SER_hh_tes_in!E19/SER_hh_num_in!E19)</f>
        <v>26013.20862477117</v>
      </c>
      <c r="F19" s="131">
        <f>IF(SER_hh_tes_in!F19=0,0,11630*1000*SER_hh_tes_in!F19/SER_hh_num_in!F19)</f>
        <v>26301.175886031971</v>
      </c>
      <c r="G19" s="131">
        <f>IF(SER_hh_tes_in!G19=0,0,11630*1000*SER_hh_tes_in!G19/SER_hh_num_in!G19)</f>
        <v>25015.363775762249</v>
      </c>
      <c r="H19" s="131">
        <f>IF(SER_hh_tes_in!H19=0,0,11630*1000*SER_hh_tes_in!H19/SER_hh_num_in!H19)</f>
        <v>27110.485340625008</v>
      </c>
      <c r="I19" s="131">
        <f>IF(SER_hh_tes_in!I19=0,0,11630*1000*SER_hh_tes_in!I19/SER_hh_num_in!I19)</f>
        <v>25303.156489934987</v>
      </c>
      <c r="J19" s="131">
        <f>IF(SER_hh_tes_in!J19=0,0,11630*1000*SER_hh_tes_in!J19/SER_hh_num_in!J19)</f>
        <v>24376.413589323241</v>
      </c>
      <c r="K19" s="131">
        <f>IF(SER_hh_tes_in!K19=0,0,11630*1000*SER_hh_tes_in!K19/SER_hh_num_in!K19)</f>
        <v>24719.86643595645</v>
      </c>
      <c r="L19" s="131">
        <f>IF(SER_hh_tes_in!L19=0,0,11630*1000*SER_hh_tes_in!L19/SER_hh_num_in!L19)</f>
        <v>26102.474461908718</v>
      </c>
      <c r="M19" s="131">
        <f>IF(SER_hh_tes_in!M19=0,0,11630*1000*SER_hh_tes_in!M19/SER_hh_num_in!M19)</f>
        <v>25956.977161150564</v>
      </c>
      <c r="N19" s="131">
        <f>IF(SER_hh_tes_in!N19=0,0,11630*1000*SER_hh_tes_in!N19/SER_hh_num_in!N19)</f>
        <v>25036.74889702427</v>
      </c>
      <c r="O19" s="131">
        <f>IF(SER_hh_tes_in!O19=0,0,11630*1000*SER_hh_tes_in!O19/SER_hh_num_in!O19)</f>
        <v>25356.694251231478</v>
      </c>
      <c r="P19" s="131">
        <f>IF(SER_hh_tes_in!P19=0,0,11630*1000*SER_hh_tes_in!P19/SER_hh_num_in!P19)</f>
        <v>24851.710462381881</v>
      </c>
      <c r="Q19" s="131">
        <f>IF(SER_hh_tes_in!Q19=0,0,11630*1000*SER_hh_tes_in!Q19/SER_hh_num_in!Q19)</f>
        <v>24530.715468801583</v>
      </c>
      <c r="R19" s="131">
        <f>IF(SER_hh_tes_in!R19=0,0,11630*1000*SER_hh_tes_in!R19/SER_hh_num_in!R19)</f>
        <v>24355.988788622592</v>
      </c>
      <c r="S19" s="131">
        <f>IF(SER_hh_tes_in!S19=0,0,11630*1000*SER_hh_tes_in!S19/SER_hh_num_in!S19)</f>
        <v>23908.762540605225</v>
      </c>
      <c r="T19" s="131">
        <f>IF(SER_hh_tes_in!T19=0,0,11630*1000*SER_hh_tes_in!T19/SER_hh_num_in!T19)</f>
        <v>23651.122272067161</v>
      </c>
      <c r="U19" s="131">
        <f>IF(SER_hh_tes_in!U19=0,0,11630*1000*SER_hh_tes_in!U19/SER_hh_num_in!U19)</f>
        <v>23433.290736625408</v>
      </c>
      <c r="V19" s="131">
        <f>IF(SER_hh_tes_in!V19=0,0,11630*1000*SER_hh_tes_in!V19/SER_hh_num_in!V19)</f>
        <v>22251.982830009376</v>
      </c>
      <c r="W19" s="131">
        <f>IF(SER_hh_tes_in!W19=0,0,11630*1000*SER_hh_tes_in!W19/SER_hh_num_in!W19)</f>
        <v>22448.916334758567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26722.809331523917</v>
      </c>
      <c r="D21" s="133">
        <f>IF(SER_hh_tes_in!D21=0,0,11630*1000*SER_hh_tes_in!D21/SER_hh_num_in!D21)</f>
        <v>27209.751970480927</v>
      </c>
      <c r="E21" s="133">
        <f>IF(SER_hh_tes_in!E21=0,0,11630*1000*SER_hh_tes_in!E21/SER_hh_num_in!E21)</f>
        <v>23435.282749141352</v>
      </c>
      <c r="F21" s="133">
        <f>IF(SER_hh_tes_in!F21=0,0,11630*1000*SER_hh_tes_in!F21/SER_hh_num_in!F21)</f>
        <v>20481.115717438563</v>
      </c>
      <c r="G21" s="133">
        <f>IF(SER_hh_tes_in!G21=0,0,11630*1000*SER_hh_tes_in!G21/SER_hh_num_in!G21)</f>
        <v>17528.577534228934</v>
      </c>
      <c r="H21" s="133">
        <f>IF(SER_hh_tes_in!H21=0,0,11630*1000*SER_hh_tes_in!H21/SER_hh_num_in!H21)</f>
        <v>39104.04241245563</v>
      </c>
      <c r="I21" s="133">
        <f>IF(SER_hh_tes_in!I21=0,0,11630*1000*SER_hh_tes_in!I21/SER_hh_num_in!I21)</f>
        <v>47566.815246959755</v>
      </c>
      <c r="J21" s="133">
        <f>IF(SER_hh_tes_in!J21=0,0,11630*1000*SER_hh_tes_in!J21/SER_hh_num_in!J21)</f>
        <v>43519.932867150586</v>
      </c>
      <c r="K21" s="133">
        <f>IF(SER_hh_tes_in!K21=0,0,11630*1000*SER_hh_tes_in!K21/SER_hh_num_in!K21)</f>
        <v>40512.332752955284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22264.188636811552</v>
      </c>
      <c r="T21" s="133">
        <f>IF(SER_hh_tes_in!T21=0,0,11630*1000*SER_hh_tes_in!T21/SER_hh_num_in!T21)</f>
        <v>26761.271448382722</v>
      </c>
      <c r="U21" s="133">
        <f>IF(SER_hh_tes_in!U21=0,0,11630*1000*SER_hh_tes_in!U21/SER_hh_num_in!U21)</f>
        <v>26042.121995295223</v>
      </c>
      <c r="V21" s="133">
        <f>IF(SER_hh_tes_in!V21=0,0,11630*1000*SER_hh_tes_in!V21/SER_hh_num_in!V21)</f>
        <v>21388.334127393464</v>
      </c>
      <c r="W21" s="133">
        <f>IF(SER_hh_tes_in!W21=0,0,11630*1000*SER_hh_tes_in!W21/SER_hh_num_in!W21)</f>
        <v>24965.289019044132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0</v>
      </c>
      <c r="D23" s="133">
        <f>IF(SER_hh_tes_in!D23=0,0,11630*1000*SER_hh_tes_in!D23/SER_hh_num_in!D23)</f>
        <v>0</v>
      </c>
      <c r="E23" s="133">
        <f>IF(SER_hh_tes_in!E23=0,0,11630*1000*SER_hh_tes_in!E23/SER_hh_num_in!E23)</f>
        <v>0</v>
      </c>
      <c r="F23" s="133">
        <f>IF(SER_hh_tes_in!F23=0,0,11630*1000*SER_hh_tes_in!F23/SER_hh_num_in!F23)</f>
        <v>0</v>
      </c>
      <c r="G23" s="133">
        <f>IF(SER_hh_tes_in!G23=0,0,11630*1000*SER_hh_tes_in!G23/SER_hh_num_in!G23)</f>
        <v>0</v>
      </c>
      <c r="H23" s="133">
        <f>IF(SER_hh_tes_in!H23=0,0,11630*1000*SER_hh_tes_in!H23/SER_hh_num_in!H23)</f>
        <v>0</v>
      </c>
      <c r="I23" s="133">
        <f>IF(SER_hh_tes_in!I23=0,0,11630*1000*SER_hh_tes_in!I23/SER_hh_num_in!I23)</f>
        <v>0</v>
      </c>
      <c r="J23" s="133">
        <f>IF(SER_hh_tes_in!J23=0,0,11630*1000*SER_hh_tes_in!J23/SER_hh_num_in!J23)</f>
        <v>0</v>
      </c>
      <c r="K23" s="133">
        <f>IF(SER_hh_tes_in!K23=0,0,11630*1000*SER_hh_tes_in!K23/SER_hh_num_in!K23)</f>
        <v>0</v>
      </c>
      <c r="L23" s="133">
        <f>IF(SER_hh_tes_in!L23=0,0,11630*1000*SER_hh_tes_in!L23/SER_hh_num_in!L23)</f>
        <v>0</v>
      </c>
      <c r="M23" s="133">
        <f>IF(SER_hh_tes_in!M23=0,0,11630*1000*SER_hh_tes_in!M23/SER_hh_num_in!M23)</f>
        <v>0</v>
      </c>
      <c r="N23" s="133">
        <f>IF(SER_hh_tes_in!N23=0,0,11630*1000*SER_hh_tes_in!N23/SER_hh_num_in!N23)</f>
        <v>0</v>
      </c>
      <c r="O23" s="133">
        <f>IF(SER_hh_tes_in!O23=0,0,11630*1000*SER_hh_tes_in!O23/SER_hh_num_in!O23)</f>
        <v>0</v>
      </c>
      <c r="P23" s="133">
        <f>IF(SER_hh_tes_in!P23=0,0,11630*1000*SER_hh_tes_in!P23/SER_hh_num_in!P23)</f>
        <v>0</v>
      </c>
      <c r="Q23" s="133">
        <f>IF(SER_hh_tes_in!Q23=0,0,11630*1000*SER_hh_tes_in!Q23/SER_hh_num_in!Q23)</f>
        <v>0</v>
      </c>
      <c r="R23" s="133">
        <f>IF(SER_hh_tes_in!R23=0,0,11630*1000*SER_hh_tes_in!R23/SER_hh_num_in!R23)</f>
        <v>0</v>
      </c>
      <c r="S23" s="133">
        <f>IF(SER_hh_tes_in!S23=0,0,11630*1000*SER_hh_tes_in!S23/SER_hh_num_in!S23)</f>
        <v>0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0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0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37637.665633512857</v>
      </c>
      <c r="N25" s="133">
        <f>IF(SER_hh_tes_in!N25=0,0,11630*1000*SER_hh_tes_in!N25/SER_hh_num_in!N25)</f>
        <v>26959.549563362969</v>
      </c>
      <c r="O25" s="133">
        <f>IF(SER_hh_tes_in!O25=0,0,11630*1000*SER_hh_tes_in!O25/SER_hh_num_in!O25)</f>
        <v>26834.336328214253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25243.882872352708</v>
      </c>
      <c r="D26" s="65">
        <f>IF(SER_hh_tes_in!D26=0,0,11630*1000*SER_hh_tes_in!D26/SER_hh_num_in!D26)</f>
        <v>25848.092846221545</v>
      </c>
      <c r="E26" s="65">
        <f>IF(SER_hh_tes_in!E26=0,0,11630*1000*SER_hh_tes_in!E26/SER_hh_num_in!E26)</f>
        <v>26178.512796845236</v>
      </c>
      <c r="F26" s="65">
        <f>IF(SER_hh_tes_in!F26=0,0,11630*1000*SER_hh_tes_in!F26/SER_hh_num_in!F26)</f>
        <v>27061.822540876674</v>
      </c>
      <c r="G26" s="65">
        <f>IF(SER_hh_tes_in!G26=0,0,11630*1000*SER_hh_tes_in!G26/SER_hh_num_in!G26)</f>
        <v>27043.461621995495</v>
      </c>
      <c r="H26" s="65">
        <f>IF(SER_hh_tes_in!H26=0,0,11630*1000*SER_hh_tes_in!H26/SER_hh_num_in!H26)</f>
        <v>24830.776433297815</v>
      </c>
      <c r="I26" s="65">
        <f>IF(SER_hh_tes_in!I26=0,0,11630*1000*SER_hh_tes_in!I26/SER_hh_num_in!I26)</f>
        <v>23573.79310082044</v>
      </c>
      <c r="J26" s="65">
        <f>IF(SER_hh_tes_in!J26=0,0,11630*1000*SER_hh_tes_in!J26/SER_hh_num_in!J26)</f>
        <v>23255.854077285847</v>
      </c>
      <c r="K26" s="65">
        <f>IF(SER_hh_tes_in!K26=0,0,11630*1000*SER_hh_tes_in!K26/SER_hh_num_in!K26)</f>
        <v>23777.548455353601</v>
      </c>
      <c r="L26" s="65">
        <f>IF(SER_hh_tes_in!L26=0,0,11630*1000*SER_hh_tes_in!L26/SER_hh_num_in!L26)</f>
        <v>26102.474461908718</v>
      </c>
      <c r="M26" s="65">
        <f>IF(SER_hh_tes_in!M26=0,0,11630*1000*SER_hh_tes_in!M26/SER_hh_num_in!M26)</f>
        <v>25931.895231077451</v>
      </c>
      <c r="N26" s="65">
        <f>IF(SER_hh_tes_in!N26=0,0,11630*1000*SER_hh_tes_in!N26/SER_hh_num_in!N26)</f>
        <v>25035.870222099791</v>
      </c>
      <c r="O26" s="65">
        <f>IF(SER_hh_tes_in!O26=0,0,11630*1000*SER_hh_tes_in!O26/SER_hh_num_in!O26)</f>
        <v>25356.190990804509</v>
      </c>
      <c r="P26" s="65">
        <f>IF(SER_hh_tes_in!P26=0,0,11630*1000*SER_hh_tes_in!P26/SER_hh_num_in!P26)</f>
        <v>24851.710462381881</v>
      </c>
      <c r="Q26" s="65">
        <f>IF(SER_hh_tes_in!Q26=0,0,11630*1000*SER_hh_tes_in!Q26/SER_hh_num_in!Q26)</f>
        <v>24530.715468801583</v>
      </c>
      <c r="R26" s="65">
        <f>IF(SER_hh_tes_in!R26=0,0,11630*1000*SER_hh_tes_in!R26/SER_hh_num_in!R26)</f>
        <v>24355.988788622592</v>
      </c>
      <c r="S26" s="65">
        <f>IF(SER_hh_tes_in!S26=0,0,11630*1000*SER_hh_tes_in!S26/SER_hh_num_in!S26)</f>
        <v>23955.380475866565</v>
      </c>
      <c r="T26" s="65">
        <f>IF(SER_hh_tes_in!T26=0,0,11630*1000*SER_hh_tes_in!T26/SER_hh_num_in!T26)</f>
        <v>23546.487656312085</v>
      </c>
      <c r="U26" s="65">
        <f>IF(SER_hh_tes_in!U26=0,0,11630*1000*SER_hh_tes_in!U26/SER_hh_num_in!U26)</f>
        <v>23375.467047847764</v>
      </c>
      <c r="V26" s="65">
        <f>IF(SER_hh_tes_in!V26=0,0,11630*1000*SER_hh_tes_in!V26/SER_hh_num_in!V26)</f>
        <v>22265.00524012843</v>
      </c>
      <c r="W26" s="65">
        <f>IF(SER_hh_tes_in!W26=0,0,11630*1000*SER_hh_tes_in!W26/SER_hh_num_in!W26)</f>
        <v>22361.240421054568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41451.572586640104</v>
      </c>
      <c r="D29" s="131">
        <f>IF(SER_hh_tes_in!D29=0,0,11630*1000*SER_hh_tes_in!D29/SER_hh_num_in!D29)</f>
        <v>42614.453263935044</v>
      </c>
      <c r="E29" s="131">
        <f>IF(SER_hh_tes_in!E29=0,0,11630*1000*SER_hh_tes_in!E29/SER_hh_num_in!E29)</f>
        <v>43633.211465767374</v>
      </c>
      <c r="F29" s="131">
        <f>IF(SER_hh_tes_in!F29=0,0,11630*1000*SER_hh_tes_in!F29/SER_hh_num_in!F29)</f>
        <v>44448.51931103781</v>
      </c>
      <c r="G29" s="131">
        <f>IF(SER_hh_tes_in!G29=0,0,11630*1000*SER_hh_tes_in!G29/SER_hh_num_in!G29)</f>
        <v>42998.032135790345</v>
      </c>
      <c r="H29" s="131">
        <f>IF(SER_hh_tes_in!H29=0,0,11630*1000*SER_hh_tes_in!H29/SER_hh_num_in!H29)</f>
        <v>43434.277544610006</v>
      </c>
      <c r="I29" s="131">
        <f>IF(SER_hh_tes_in!I29=0,0,11630*1000*SER_hh_tes_in!I29/SER_hh_num_in!I29)</f>
        <v>41523.598923147285</v>
      </c>
      <c r="J29" s="131">
        <f>IF(SER_hh_tes_in!J29=0,0,11630*1000*SER_hh_tes_in!J29/SER_hh_num_in!J29)</f>
        <v>41770.90766559753</v>
      </c>
      <c r="K29" s="131">
        <f>IF(SER_hh_tes_in!K29=0,0,11630*1000*SER_hh_tes_in!K29/SER_hh_num_in!K29)</f>
        <v>44685.864254339867</v>
      </c>
      <c r="L29" s="131">
        <f>IF(SER_hh_tes_in!L29=0,0,11630*1000*SER_hh_tes_in!L29/SER_hh_num_in!L29)</f>
        <v>43291.651088686522</v>
      </c>
      <c r="M29" s="131">
        <f>IF(SER_hh_tes_in!M29=0,0,11630*1000*SER_hh_tes_in!M29/SER_hh_num_in!M29)</f>
        <v>42712.784478622983</v>
      </c>
      <c r="N29" s="131">
        <f>IF(SER_hh_tes_in!N29=0,0,11630*1000*SER_hh_tes_in!N29/SER_hh_num_in!N29)</f>
        <v>41825.690574042681</v>
      </c>
      <c r="O29" s="131">
        <f>IF(SER_hh_tes_in!O29=0,0,11630*1000*SER_hh_tes_in!O29/SER_hh_num_in!O29)</f>
        <v>41528.402669447983</v>
      </c>
      <c r="P29" s="131">
        <f>IF(SER_hh_tes_in!P29=0,0,11630*1000*SER_hh_tes_in!P29/SER_hh_num_in!P29)</f>
        <v>41759.501631690851</v>
      </c>
      <c r="Q29" s="131">
        <f>IF(SER_hh_tes_in!Q29=0,0,11630*1000*SER_hh_tes_in!Q29/SER_hh_num_in!Q29)</f>
        <v>41776.862509242375</v>
      </c>
      <c r="R29" s="131">
        <f>IF(SER_hh_tes_in!R29=0,0,11630*1000*SER_hh_tes_in!R29/SER_hh_num_in!R29)</f>
        <v>41363.151233103599</v>
      </c>
      <c r="S29" s="131">
        <f>IF(SER_hh_tes_in!S29=0,0,11630*1000*SER_hh_tes_in!S29/SER_hh_num_in!S29)</f>
        <v>40572.276209376723</v>
      </c>
      <c r="T29" s="131">
        <f>IF(SER_hh_tes_in!T29=0,0,11630*1000*SER_hh_tes_in!T29/SER_hh_num_in!T29)</f>
        <v>42513.881020237925</v>
      </c>
      <c r="U29" s="131">
        <f>IF(SER_hh_tes_in!U29=0,0,11630*1000*SER_hh_tes_in!U29/SER_hh_num_in!U29)</f>
        <v>41698.605787013934</v>
      </c>
      <c r="V29" s="131">
        <f>IF(SER_hh_tes_in!V29=0,0,11630*1000*SER_hh_tes_in!V29/SER_hh_num_in!V29)</f>
        <v>39022.452004894825</v>
      </c>
      <c r="W29" s="131">
        <f>IF(SER_hh_tes_in!W29=0,0,11630*1000*SER_hh_tes_in!W29/SER_hh_num_in!W29)</f>
        <v>40488.143933306499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39012.165624341273</v>
      </c>
      <c r="D30" s="133">
        <f>IF(SER_hh_tes_in!D30=0,0,11630*1000*SER_hh_tes_in!D30/SER_hh_num_in!D30)</f>
        <v>46070.209774484189</v>
      </c>
      <c r="E30" s="133">
        <f>IF(SER_hh_tes_in!E30=0,0,11630*1000*SER_hh_tes_in!E30/SER_hh_num_in!E30)</f>
        <v>44245.361930074789</v>
      </c>
      <c r="F30" s="133">
        <f>IF(SER_hh_tes_in!F30=0,0,11630*1000*SER_hh_tes_in!F30/SER_hh_num_in!F30)</f>
        <v>38649.225677775044</v>
      </c>
      <c r="G30" s="133">
        <f>IF(SER_hh_tes_in!G30=0,0,11630*1000*SER_hh_tes_in!G30/SER_hh_num_in!G30)</f>
        <v>33952.176540700129</v>
      </c>
      <c r="H30" s="133">
        <f>IF(SER_hh_tes_in!H30=0,0,11630*1000*SER_hh_tes_in!H30/SER_hh_num_in!H30)</f>
        <v>43497.840842819256</v>
      </c>
      <c r="I30" s="133">
        <f>IF(SER_hh_tes_in!I30=0,0,11630*1000*SER_hh_tes_in!I30/SER_hh_num_in!I30)</f>
        <v>37727.827312810783</v>
      </c>
      <c r="J30" s="133">
        <f>IF(SER_hh_tes_in!J30=0,0,11630*1000*SER_hh_tes_in!J30/SER_hh_num_in!J30)</f>
        <v>41736.628400559537</v>
      </c>
      <c r="K30" s="133">
        <f>IF(SER_hh_tes_in!K30=0,0,11630*1000*SER_hh_tes_in!K30/SER_hh_num_in!K30)</f>
        <v>51648.57028638773</v>
      </c>
      <c r="L30" s="133">
        <f>IF(SER_hh_tes_in!L30=0,0,11630*1000*SER_hh_tes_in!L30/SER_hh_num_in!L30)</f>
        <v>39060.327083764467</v>
      </c>
      <c r="M30" s="133">
        <f>IF(SER_hh_tes_in!M30=0,0,11630*1000*SER_hh_tes_in!M30/SER_hh_num_in!M30)</f>
        <v>43738.04448890037</v>
      </c>
      <c r="N30" s="133">
        <f>IF(SER_hh_tes_in!N30=0,0,11630*1000*SER_hh_tes_in!N30/SER_hh_num_in!N30)</f>
        <v>42165.732315029891</v>
      </c>
      <c r="O30" s="133">
        <f>IF(SER_hh_tes_in!O30=0,0,11630*1000*SER_hh_tes_in!O30/SER_hh_num_in!O30)</f>
        <v>40783.900352945493</v>
      </c>
      <c r="P30" s="133">
        <f>IF(SER_hh_tes_in!P30=0,0,11630*1000*SER_hh_tes_in!P30/SER_hh_num_in!P30)</f>
        <v>40271.265909575326</v>
      </c>
      <c r="Q30" s="133">
        <f>IF(SER_hh_tes_in!Q30=0,0,11630*1000*SER_hh_tes_in!Q30/SER_hh_num_in!Q30)</f>
        <v>44459.520091829196</v>
      </c>
      <c r="R30" s="133">
        <f>IF(SER_hh_tes_in!R30=0,0,11630*1000*SER_hh_tes_in!R30/SER_hh_num_in!R30)</f>
        <v>36264.163853619953</v>
      </c>
      <c r="S30" s="133">
        <f>IF(SER_hh_tes_in!S30=0,0,11630*1000*SER_hh_tes_in!S30/SER_hh_num_in!S30)</f>
        <v>39091.713211133669</v>
      </c>
      <c r="T30" s="133">
        <f>IF(SER_hh_tes_in!T30=0,0,11630*1000*SER_hh_tes_in!T30/SER_hh_num_in!T30)</f>
        <v>45755.502945763896</v>
      </c>
      <c r="U30" s="133">
        <f>IF(SER_hh_tes_in!U30=0,0,11630*1000*SER_hh_tes_in!U30/SER_hh_num_in!U30)</f>
        <v>46947.837587557187</v>
      </c>
      <c r="V30" s="133">
        <f>IF(SER_hh_tes_in!V30=0,0,11630*1000*SER_hh_tes_in!V30/SER_hh_num_in!V30)</f>
        <v>31522.145341206069</v>
      </c>
      <c r="W30" s="133">
        <f>IF(SER_hh_tes_in!W30=0,0,11630*1000*SER_hh_tes_in!W30/SER_hh_num_in!W30)</f>
        <v>34659.677667044125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0</v>
      </c>
      <c r="D31" s="133">
        <f>IF(SER_hh_tes_in!D31=0,0,11630*1000*SER_hh_tes_in!D31/SER_hh_num_in!D31)</f>
        <v>0</v>
      </c>
      <c r="E31" s="133">
        <f>IF(SER_hh_tes_in!E31=0,0,11630*1000*SER_hh_tes_in!E31/SER_hh_num_in!E31)</f>
        <v>0</v>
      </c>
      <c r="F31" s="133">
        <f>IF(SER_hh_tes_in!F31=0,0,11630*1000*SER_hh_tes_in!F31/SER_hh_num_in!F31)</f>
        <v>0</v>
      </c>
      <c r="G31" s="133">
        <f>IF(SER_hh_tes_in!G31=0,0,11630*1000*SER_hh_tes_in!G31/SER_hh_num_in!G31)</f>
        <v>0</v>
      </c>
      <c r="H31" s="133">
        <f>IF(SER_hh_tes_in!H31=0,0,11630*1000*SER_hh_tes_in!H31/SER_hh_num_in!H31)</f>
        <v>0</v>
      </c>
      <c r="I31" s="133">
        <f>IF(SER_hh_tes_in!I31=0,0,11630*1000*SER_hh_tes_in!I31/SER_hh_num_in!I31)</f>
        <v>0</v>
      </c>
      <c r="J31" s="133">
        <f>IF(SER_hh_tes_in!J31=0,0,11630*1000*SER_hh_tes_in!J31/SER_hh_num_in!J31)</f>
        <v>0</v>
      </c>
      <c r="K31" s="133">
        <f>IF(SER_hh_tes_in!K31=0,0,11630*1000*SER_hh_tes_in!K31/SER_hh_num_in!K31)</f>
        <v>0</v>
      </c>
      <c r="L31" s="133">
        <f>IF(SER_hh_tes_in!L31=0,0,11630*1000*SER_hh_tes_in!L31/SER_hh_num_in!L31)</f>
        <v>0</v>
      </c>
      <c r="M31" s="133">
        <f>IF(SER_hh_tes_in!M31=0,0,11630*1000*SER_hh_tes_in!M31/SER_hh_num_in!M31)</f>
        <v>0</v>
      </c>
      <c r="N31" s="133">
        <f>IF(SER_hh_tes_in!N31=0,0,11630*1000*SER_hh_tes_in!N31/SER_hh_num_in!N31)</f>
        <v>0</v>
      </c>
      <c r="O31" s="133">
        <f>IF(SER_hh_tes_in!O31=0,0,11630*1000*SER_hh_tes_in!O31/SER_hh_num_in!O31)</f>
        <v>0</v>
      </c>
      <c r="P31" s="133">
        <f>IF(SER_hh_tes_in!P31=0,0,11630*1000*SER_hh_tes_in!P31/SER_hh_num_in!P31)</f>
        <v>0</v>
      </c>
      <c r="Q31" s="133">
        <f>IF(SER_hh_tes_in!Q31=0,0,11630*1000*SER_hh_tes_in!Q31/SER_hh_num_in!Q31)</f>
        <v>0</v>
      </c>
      <c r="R31" s="133">
        <f>IF(SER_hh_tes_in!R31=0,0,11630*1000*SER_hh_tes_in!R31/SER_hh_num_in!R31)</f>
        <v>0</v>
      </c>
      <c r="S31" s="133">
        <f>IF(SER_hh_tes_in!S31=0,0,11630*1000*SER_hh_tes_in!S31/SER_hh_num_in!S31)</f>
        <v>0</v>
      </c>
      <c r="T31" s="133">
        <f>IF(SER_hh_tes_in!T31=0,0,11630*1000*SER_hh_tes_in!T31/SER_hh_num_in!T31)</f>
        <v>0</v>
      </c>
      <c r="U31" s="133">
        <f>IF(SER_hh_tes_in!U31=0,0,11630*1000*SER_hh_tes_in!U31/SER_hh_num_in!U31)</f>
        <v>0</v>
      </c>
      <c r="V31" s="133">
        <f>IF(SER_hh_tes_in!V31=0,0,11630*1000*SER_hh_tes_in!V31/SER_hh_num_in!V31)</f>
        <v>0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41598.464811046586</v>
      </c>
      <c r="D33" s="68">
        <f>IF(SER_hh_tes_in!D33=0,0,11630*1000*SER_hh_tes_in!D33/SER_hh_num_in!D33)</f>
        <v>42325.557356911369</v>
      </c>
      <c r="E33" s="68">
        <f>IF(SER_hh_tes_in!E33=0,0,11630*1000*SER_hh_tes_in!E33/SER_hh_num_in!E33)</f>
        <v>43596.947356070959</v>
      </c>
      <c r="F33" s="68">
        <f>IF(SER_hh_tes_in!F33=0,0,11630*1000*SER_hh_tes_in!F33/SER_hh_num_in!F33)</f>
        <v>45126.724141018531</v>
      </c>
      <c r="G33" s="68">
        <f>IF(SER_hh_tes_in!G33=0,0,11630*1000*SER_hh_tes_in!G33/SER_hh_num_in!G33)</f>
        <v>44545.562374657457</v>
      </c>
      <c r="H33" s="68">
        <f>IF(SER_hh_tes_in!H33=0,0,11630*1000*SER_hh_tes_in!H33/SER_hh_num_in!H33)</f>
        <v>43406.188896157924</v>
      </c>
      <c r="I33" s="68">
        <f>IF(SER_hh_tes_in!I33=0,0,11630*1000*SER_hh_tes_in!I33/SER_hh_num_in!I33)</f>
        <v>43853.501601590346</v>
      </c>
      <c r="J33" s="68">
        <f>IF(SER_hh_tes_in!J33=0,0,11630*1000*SER_hh_tes_in!J33/SER_hh_num_in!J33)</f>
        <v>41788.066233553232</v>
      </c>
      <c r="K33" s="68">
        <f>IF(SER_hh_tes_in!K33=0,0,11630*1000*SER_hh_tes_in!K33/SER_hh_num_in!K33)</f>
        <v>39569.230263723235</v>
      </c>
      <c r="L33" s="68">
        <f>IF(SER_hh_tes_in!L33=0,0,11630*1000*SER_hh_tes_in!L33/SER_hh_num_in!L33)</f>
        <v>43871.700227667861</v>
      </c>
      <c r="M33" s="68">
        <f>IF(SER_hh_tes_in!M33=0,0,11630*1000*SER_hh_tes_in!M33/SER_hh_num_in!M33)</f>
        <v>42471.329023346312</v>
      </c>
      <c r="N33" s="68">
        <f>IF(SER_hh_tes_in!N33=0,0,11630*1000*SER_hh_tes_in!N33/SER_hh_num_in!N33)</f>
        <v>41800.379511498439</v>
      </c>
      <c r="O33" s="68">
        <f>IF(SER_hh_tes_in!O33=0,0,11630*1000*SER_hh_tes_in!O33/SER_hh_num_in!O33)</f>
        <v>41669.213381430265</v>
      </c>
      <c r="P33" s="68">
        <f>IF(SER_hh_tes_in!P33=0,0,11630*1000*SER_hh_tes_in!P33/SER_hh_num_in!P33)</f>
        <v>42024.786804369345</v>
      </c>
      <c r="Q33" s="68">
        <f>IF(SER_hh_tes_in!Q33=0,0,11630*1000*SER_hh_tes_in!Q33/SER_hh_num_in!Q33)</f>
        <v>40864.637290555198</v>
      </c>
      <c r="R33" s="68">
        <f>IF(SER_hh_tes_in!R33=0,0,11630*1000*SER_hh_tes_in!R33/SER_hh_num_in!R33)</f>
        <v>43308.746745144243</v>
      </c>
      <c r="S33" s="68">
        <f>IF(SER_hh_tes_in!S33=0,0,11630*1000*SER_hh_tes_in!S33/SER_hh_num_in!S33)</f>
        <v>41869.502601815497</v>
      </c>
      <c r="T33" s="68">
        <f>IF(SER_hh_tes_in!T33=0,0,11630*1000*SER_hh_tes_in!T33/SER_hh_num_in!T33)</f>
        <v>39644.405251871409</v>
      </c>
      <c r="U33" s="68">
        <f>IF(SER_hh_tes_in!U33=0,0,11630*1000*SER_hh_tes_in!U33/SER_hh_num_in!U33)</f>
        <v>39441.806468732771</v>
      </c>
      <c r="V33" s="68">
        <f>IF(SER_hh_tes_in!V33=0,0,11630*1000*SER_hh_tes_in!V33/SER_hh_num_in!V33)</f>
        <v>40953.09229912451</v>
      </c>
      <c r="W33" s="68">
        <f>IF(SER_hh_tes_in!W33=0,0,11630*1000*SER_hh_tes_in!W33/SER_hh_num_in!W33)</f>
        <v>41861.086059129928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14800.502536839305</v>
      </c>
      <c r="D3" s="126">
        <f>IF(SER_hh_emi_in!D3=0,0,1000000*SER_hh_emi_in!D3/SER_hh_num_in!D3)</f>
        <v>18093.441105976512</v>
      </c>
      <c r="E3" s="126">
        <f>IF(SER_hh_emi_in!E3=0,0,1000000*SER_hh_emi_in!E3/SER_hh_num_in!E3)</f>
        <v>14726.866474427146</v>
      </c>
      <c r="F3" s="126">
        <f>IF(SER_hh_emi_in!F3=0,0,1000000*SER_hh_emi_in!F3/SER_hh_num_in!F3)</f>
        <v>6636.7484769155062</v>
      </c>
      <c r="G3" s="126">
        <f>IF(SER_hh_emi_in!G3=0,0,1000000*SER_hh_emi_in!G3/SER_hh_num_in!G3)</f>
        <v>7091.2499478637883</v>
      </c>
      <c r="H3" s="126">
        <f>IF(SER_hh_emi_in!H3=0,0,1000000*SER_hh_emi_in!H3/SER_hh_num_in!H3)</f>
        <v>24358.757099913189</v>
      </c>
      <c r="I3" s="126">
        <f>IF(SER_hh_emi_in!I3=0,0,1000000*SER_hh_emi_in!I3/SER_hh_num_in!I3)</f>
        <v>26868.29617968242</v>
      </c>
      <c r="J3" s="126">
        <f>IF(SER_hh_emi_in!J3=0,0,1000000*SER_hh_emi_in!J3/SER_hh_num_in!J3)</f>
        <v>23903.889921164286</v>
      </c>
      <c r="K3" s="126">
        <f>IF(SER_hh_emi_in!K3=0,0,1000000*SER_hh_emi_in!K3/SER_hh_num_in!K3)</f>
        <v>10372.734892041051</v>
      </c>
      <c r="L3" s="126">
        <f>IF(SER_hh_emi_in!L3=0,0,1000000*SER_hh_emi_in!L3/SER_hh_num_in!L3)</f>
        <v>4322.8621444479477</v>
      </c>
      <c r="M3" s="126">
        <f>IF(SER_hh_emi_in!M3=0,0,1000000*SER_hh_emi_in!M3/SER_hh_num_in!M3)</f>
        <v>10601.500880430316</v>
      </c>
      <c r="N3" s="126">
        <f>IF(SER_hh_emi_in!N3=0,0,1000000*SER_hh_emi_in!N3/SER_hh_num_in!N3)</f>
        <v>21986.972740009711</v>
      </c>
      <c r="O3" s="126">
        <f>IF(SER_hh_emi_in!O3=0,0,1000000*SER_hh_emi_in!O3/SER_hh_num_in!O3)</f>
        <v>22576.902622811012</v>
      </c>
      <c r="P3" s="126">
        <f>IF(SER_hh_emi_in!P3=0,0,1000000*SER_hh_emi_in!P3/SER_hh_num_in!P3)</f>
        <v>27472.993768216467</v>
      </c>
      <c r="Q3" s="126">
        <f>IF(SER_hh_emi_in!Q3=0,0,1000000*SER_hh_emi_in!Q3/SER_hh_num_in!Q3)</f>
        <v>21160.403429565002</v>
      </c>
      <c r="R3" s="126">
        <f>IF(SER_hh_emi_in!R3=0,0,1000000*SER_hh_emi_in!R3/SER_hh_num_in!R3)</f>
        <v>6688.2549965038443</v>
      </c>
      <c r="S3" s="126">
        <f>IF(SER_hh_emi_in!S3=0,0,1000000*SER_hh_emi_in!S3/SER_hh_num_in!S3)</f>
        <v>8405.8919369325649</v>
      </c>
      <c r="T3" s="126">
        <f>IF(SER_hh_emi_in!T3=0,0,1000000*SER_hh_emi_in!T3/SER_hh_num_in!T3)</f>
        <v>10229.772348960794</v>
      </c>
      <c r="U3" s="126">
        <f>IF(SER_hh_emi_in!U3=0,0,1000000*SER_hh_emi_in!U3/SER_hh_num_in!U3)</f>
        <v>7176.5388676318189</v>
      </c>
      <c r="V3" s="126">
        <f>IF(SER_hh_emi_in!V3=0,0,1000000*SER_hh_emi_in!V3/SER_hh_num_in!V3)</f>
        <v>3442.2440736069921</v>
      </c>
      <c r="W3" s="126">
        <f>IF(SER_hh_emi_in!W3=0,0,1000000*SER_hh_emi_in!W3/SER_hh_num_in!W3)</f>
        <v>5306.2389222697902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13221.672008174952</v>
      </c>
      <c r="D4" s="131">
        <f>IF(SER_hh_emi_in!D4=0,0,1000000*SER_hh_emi_in!D4/SER_hh_num_in!D4)</f>
        <v>16149.780571934751</v>
      </c>
      <c r="E4" s="131">
        <f>IF(SER_hh_emi_in!E4=0,0,1000000*SER_hh_emi_in!E4/SER_hh_num_in!E4)</f>
        <v>13019.205724538189</v>
      </c>
      <c r="F4" s="131">
        <f>IF(SER_hh_emi_in!F4=0,0,1000000*SER_hh_emi_in!F4/SER_hh_num_in!F4)</f>
        <v>3824.086107695729</v>
      </c>
      <c r="G4" s="131">
        <f>IF(SER_hh_emi_in!G4=0,0,1000000*SER_hh_emi_in!G4/SER_hh_num_in!G4)</f>
        <v>3239.0457904707023</v>
      </c>
      <c r="H4" s="131">
        <f>IF(SER_hh_emi_in!H4=0,0,1000000*SER_hh_emi_in!H4/SER_hh_num_in!H4)</f>
        <v>15929.577136724578</v>
      </c>
      <c r="I4" s="131">
        <f>IF(SER_hh_emi_in!I4=0,0,1000000*SER_hh_emi_in!I4/SER_hh_num_in!I4)</f>
        <v>19453.59785822577</v>
      </c>
      <c r="J4" s="131">
        <f>IF(SER_hh_emi_in!J4=0,0,1000000*SER_hh_emi_in!J4/SER_hh_num_in!J4)</f>
        <v>17184.355036714034</v>
      </c>
      <c r="K4" s="131">
        <f>IF(SER_hh_emi_in!K4=0,0,1000000*SER_hh_emi_in!K4/SER_hh_num_in!K4)</f>
        <v>576.39773972077876</v>
      </c>
      <c r="L4" s="131">
        <f>IF(SER_hh_emi_in!L4=0,0,1000000*SER_hh_emi_in!L4/SER_hh_num_in!L4)</f>
        <v>2456.4234742618683</v>
      </c>
      <c r="M4" s="131">
        <f>IF(SER_hh_emi_in!M4=0,0,1000000*SER_hh_emi_in!M4/SER_hh_num_in!M4)</f>
        <v>7300.5515420279316</v>
      </c>
      <c r="N4" s="131">
        <f>IF(SER_hh_emi_in!N4=0,0,1000000*SER_hh_emi_in!N4/SER_hh_num_in!N4)</f>
        <v>20830.383552168885</v>
      </c>
      <c r="O4" s="131">
        <f>IF(SER_hh_emi_in!O4=0,0,1000000*SER_hh_emi_in!O4/SER_hh_num_in!O4)</f>
        <v>20008.582562205003</v>
      </c>
      <c r="P4" s="131">
        <f>IF(SER_hh_emi_in!P4=0,0,1000000*SER_hh_emi_in!P4/SER_hh_num_in!P4)</f>
        <v>25060.762950907458</v>
      </c>
      <c r="Q4" s="131">
        <f>IF(SER_hh_emi_in!Q4=0,0,1000000*SER_hh_emi_in!Q4/SER_hh_num_in!Q4)</f>
        <v>16693.529900411202</v>
      </c>
      <c r="R4" s="131">
        <f>IF(SER_hh_emi_in!R4=0,0,1000000*SER_hh_emi_in!R4/SER_hh_num_in!R4)</f>
        <v>2749.1452049988075</v>
      </c>
      <c r="S4" s="131">
        <f>IF(SER_hh_emi_in!S4=0,0,1000000*SER_hh_emi_in!S4/SER_hh_num_in!S4)</f>
        <v>1077.4024715366793</v>
      </c>
      <c r="T4" s="131">
        <f>IF(SER_hh_emi_in!T4=0,0,1000000*SER_hh_emi_in!T4/SER_hh_num_in!T4)</f>
        <v>1662.1922411265832</v>
      </c>
      <c r="U4" s="131">
        <f>IF(SER_hh_emi_in!U4=0,0,1000000*SER_hh_emi_in!U4/SER_hh_num_in!U4)</f>
        <v>1623.2280422946151</v>
      </c>
      <c r="V4" s="131">
        <f>IF(SER_hh_emi_in!V4=0,0,1000000*SER_hh_emi_in!V4/SER_hh_num_in!V4)</f>
        <v>912.81866615305023</v>
      </c>
      <c r="W4" s="131">
        <f>IF(SER_hh_emi_in!W4=0,0,1000000*SER_hh_emi_in!W4/SER_hh_num_in!W4)</f>
        <v>2566.3994796764091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23848.751660095641</v>
      </c>
      <c r="D6" s="133">
        <f>IF(SER_hh_emi_in!D6=0,0,1000000*SER_hh_emi_in!D6/SER_hh_num_in!D6)</f>
        <v>24111.107842012836</v>
      </c>
      <c r="E6" s="133">
        <f>IF(SER_hh_emi_in!E6=0,0,1000000*SER_hh_emi_in!E6/SER_hh_num_in!E6)</f>
        <v>26955.582867260142</v>
      </c>
      <c r="F6" s="133">
        <f>IF(SER_hh_emi_in!F6=0,0,1000000*SER_hh_emi_in!F6/SER_hh_num_in!F6)</f>
        <v>27935.331896716303</v>
      </c>
      <c r="G6" s="133">
        <f>IF(SER_hh_emi_in!G6=0,0,1000000*SER_hh_emi_in!G6/SER_hh_num_in!G6)</f>
        <v>23846.241479497694</v>
      </c>
      <c r="H6" s="133">
        <f>IF(SER_hh_emi_in!H6=0,0,1000000*SER_hh_emi_in!H6/SER_hh_num_in!H6)</f>
        <v>27029.968667527526</v>
      </c>
      <c r="I6" s="133">
        <f>IF(SER_hh_emi_in!I6=0,0,1000000*SER_hh_emi_in!I6/SER_hh_num_in!I6)</f>
        <v>29925.596078808594</v>
      </c>
      <c r="J6" s="133">
        <f>IF(SER_hh_emi_in!J6=0,0,1000000*SER_hh_emi_in!J6/SER_hh_num_in!J6)</f>
        <v>15835.928188140389</v>
      </c>
      <c r="K6" s="133">
        <f>IF(SER_hh_emi_in!K6=0,0,1000000*SER_hh_emi_in!K6/SER_hh_num_in!K6)</f>
        <v>8108.419958398993</v>
      </c>
      <c r="L6" s="133">
        <f>IF(SER_hh_emi_in!L6=0,0,1000000*SER_hh_emi_in!L6/SER_hh_num_in!L6)</f>
        <v>35702.423533990972</v>
      </c>
      <c r="M6" s="133">
        <f>IF(SER_hh_emi_in!M6=0,0,1000000*SER_hh_emi_in!M6/SER_hh_num_in!M6)</f>
        <v>26517.64055019644</v>
      </c>
      <c r="N6" s="133">
        <f>IF(SER_hh_emi_in!N6=0,0,1000000*SER_hh_emi_in!N6/SER_hh_num_in!N6)</f>
        <v>31472.192464571257</v>
      </c>
      <c r="O6" s="133">
        <f>IF(SER_hh_emi_in!O6=0,0,1000000*SER_hh_emi_in!O6/SER_hh_num_in!O6)</f>
        <v>0</v>
      </c>
      <c r="P6" s="133">
        <f>IF(SER_hh_emi_in!P6=0,0,1000000*SER_hh_emi_in!P6/SER_hh_num_in!P6)</f>
        <v>22549.981731252163</v>
      </c>
      <c r="Q6" s="133">
        <f>IF(SER_hh_emi_in!Q6=0,0,1000000*SER_hh_emi_in!Q6/SER_hh_num_in!Q6)</f>
        <v>25275.311895753439</v>
      </c>
      <c r="R6" s="133">
        <f>IF(SER_hh_emi_in!R6=0,0,1000000*SER_hh_emi_in!R6/SER_hh_num_in!R6)</f>
        <v>19907.760025144034</v>
      </c>
      <c r="S6" s="133">
        <f>IF(SER_hh_emi_in!S6=0,0,1000000*SER_hh_emi_in!S6/SER_hh_num_in!S6)</f>
        <v>20391.08102107955</v>
      </c>
      <c r="T6" s="133">
        <f>IF(SER_hh_emi_in!T6=0,0,1000000*SER_hh_emi_in!T6/SER_hh_num_in!T6)</f>
        <v>22141.45486370274</v>
      </c>
      <c r="U6" s="133">
        <f>IF(SER_hh_emi_in!U6=0,0,1000000*SER_hh_emi_in!U6/SER_hh_num_in!U6)</f>
        <v>18566.708567082442</v>
      </c>
      <c r="V6" s="133">
        <f>IF(SER_hh_emi_in!V6=0,0,1000000*SER_hh_emi_in!V6/SER_hh_num_in!V6)</f>
        <v>12268.972512999313</v>
      </c>
      <c r="W6" s="133">
        <f>IF(SER_hh_emi_in!W6=0,0,1000000*SER_hh_emi_in!W6/SER_hh_num_in!W6)</f>
        <v>9541.5802621795046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24785.641024928769</v>
      </c>
      <c r="D7" s="133">
        <f>IF(SER_hh_emi_in!D7=0,0,1000000*SER_hh_emi_in!D7/SER_hh_num_in!D7)</f>
        <v>28158.120637655535</v>
      </c>
      <c r="E7" s="133">
        <f>IF(SER_hh_emi_in!E7=0,0,1000000*SER_hh_emi_in!E7/SER_hh_num_in!E7)</f>
        <v>34305.776032123395</v>
      </c>
      <c r="F7" s="133">
        <f>IF(SER_hh_emi_in!F7=0,0,1000000*SER_hh_emi_in!F7/SER_hh_num_in!F7)</f>
        <v>38241.463946376767</v>
      </c>
      <c r="G7" s="133">
        <f>IF(SER_hh_emi_in!G7=0,0,1000000*SER_hh_emi_in!G7/SER_hh_num_in!G7)</f>
        <v>34032.020114655897</v>
      </c>
      <c r="H7" s="133">
        <f>IF(SER_hh_emi_in!H7=0,0,1000000*SER_hh_emi_in!H7/SER_hh_num_in!H7)</f>
        <v>26700.652754070459</v>
      </c>
      <c r="I7" s="133">
        <f>IF(SER_hh_emi_in!I7=0,0,1000000*SER_hh_emi_in!I7/SER_hh_num_in!I7)</f>
        <v>29291.793324698698</v>
      </c>
      <c r="J7" s="133">
        <f>IF(SER_hh_emi_in!J7=0,0,1000000*SER_hh_emi_in!J7/SER_hh_num_in!J7)</f>
        <v>26912.990149111076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19491.847062419667</v>
      </c>
      <c r="N7" s="133">
        <f>IF(SER_hh_emi_in!N7=0,0,1000000*SER_hh_emi_in!N7/SER_hh_num_in!N7)</f>
        <v>31351.367302652125</v>
      </c>
      <c r="O7" s="133">
        <f>IF(SER_hh_emi_in!O7=0,0,1000000*SER_hh_emi_in!O7/SER_hh_num_in!O7)</f>
        <v>38179.724305870557</v>
      </c>
      <c r="P7" s="133">
        <f>IF(SER_hh_emi_in!P7=0,0,1000000*SER_hh_emi_in!P7/SER_hh_num_in!P7)</f>
        <v>35997.961262561534</v>
      </c>
      <c r="Q7" s="133">
        <f>IF(SER_hh_emi_in!Q7=0,0,1000000*SER_hh_emi_in!Q7/SER_hh_num_in!Q7)</f>
        <v>39497.286753514425</v>
      </c>
      <c r="R7" s="133">
        <f>IF(SER_hh_emi_in!R7=0,0,1000000*SER_hh_emi_in!R7/SER_hh_num_in!R7)</f>
        <v>35816.956614456882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10638.857145327867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0</v>
      </c>
      <c r="D9" s="133">
        <f>IF(SER_hh_emi_in!D9=0,0,1000000*SER_hh_emi_in!D9/SER_hh_num_in!D9)</f>
        <v>0</v>
      </c>
      <c r="E9" s="133">
        <f>IF(SER_hh_emi_in!E9=0,0,1000000*SER_hh_emi_in!E9/SER_hh_num_in!E9)</f>
        <v>0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0</v>
      </c>
      <c r="L9" s="133">
        <f>IF(SER_hh_emi_in!L9=0,0,1000000*SER_hh_emi_in!L9/SER_hh_num_in!L9)</f>
        <v>0</v>
      </c>
      <c r="M9" s="133">
        <f>IF(SER_hh_emi_in!M9=0,0,1000000*SER_hh_emi_in!M9/SER_hh_num_in!M9)</f>
        <v>0</v>
      </c>
      <c r="N9" s="133">
        <f>IF(SER_hh_emi_in!N9=0,0,1000000*SER_hh_emi_in!N9/SER_hh_num_in!N9)</f>
        <v>0</v>
      </c>
      <c r="O9" s="133">
        <f>IF(SER_hh_emi_in!O9=0,0,1000000*SER_hh_emi_in!O9/SER_hh_num_in!O9)</f>
        <v>0</v>
      </c>
      <c r="P9" s="133">
        <f>IF(SER_hh_emi_in!P9=0,0,1000000*SER_hh_emi_in!P9/SER_hh_num_in!P9)</f>
        <v>0</v>
      </c>
      <c r="Q9" s="133">
        <f>IF(SER_hh_emi_in!Q9=0,0,1000000*SER_hh_emi_in!Q9/SER_hh_num_in!Q9)</f>
        <v>0</v>
      </c>
      <c r="R9" s="133">
        <f>IF(SER_hh_emi_in!R9=0,0,1000000*SER_hh_emi_in!R9/SER_hh_num_in!R9)</f>
        <v>0</v>
      </c>
      <c r="S9" s="133">
        <f>IF(SER_hh_emi_in!S9=0,0,1000000*SER_hh_emi_in!S9/SER_hh_num_in!S9)</f>
        <v>0</v>
      </c>
      <c r="T9" s="133">
        <f>IF(SER_hh_emi_in!T9=0,0,1000000*SER_hh_emi_in!T9/SER_hh_num_in!T9)</f>
        <v>0</v>
      </c>
      <c r="U9" s="133">
        <f>IF(SER_hh_emi_in!U9=0,0,1000000*SER_hh_emi_in!U9/SER_hh_num_in!U9)</f>
        <v>0</v>
      </c>
      <c r="V9" s="133">
        <f>IF(SER_hh_emi_in!V9=0,0,1000000*SER_hh_emi_in!V9/SER_hh_num_in!V9)</f>
        <v>0</v>
      </c>
      <c r="W9" s="133">
        <f>IF(SER_hh_emi_in!W9=0,0,1000000*SER_hh_emi_in!W9/SER_hh_num_in!W9)</f>
        <v>0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682.89081362645084</v>
      </c>
      <c r="D19" s="131">
        <f>IF(SER_hh_emi_in!D19=0,0,1000000*SER_hh_emi_in!D19/SER_hh_num_in!D19)</f>
        <v>509.8939792539295</v>
      </c>
      <c r="E19" s="131">
        <f>IF(SER_hh_emi_in!E19=0,0,1000000*SER_hh_emi_in!E19/SER_hh_num_in!E19)</f>
        <v>711.78078582606418</v>
      </c>
      <c r="F19" s="131">
        <f>IF(SER_hh_emi_in!F19=0,0,1000000*SER_hh_emi_in!F19/SER_hh_num_in!F19)</f>
        <v>1187.8609532526764</v>
      </c>
      <c r="G19" s="131">
        <f>IF(SER_hh_emi_in!G19=0,0,1000000*SER_hh_emi_in!G19/SER_hh_num_in!G19)</f>
        <v>1865.2655035876967</v>
      </c>
      <c r="H19" s="131">
        <f>IF(SER_hh_emi_in!H19=0,0,1000000*SER_hh_emi_in!H19/SER_hh_num_in!H19)</f>
        <v>3100.8634318264931</v>
      </c>
      <c r="I19" s="131">
        <f>IF(SER_hh_emi_in!I19=0,0,1000000*SER_hh_emi_in!I19/SER_hh_num_in!I19)</f>
        <v>1691.795927718455</v>
      </c>
      <c r="J19" s="131">
        <f>IF(SER_hh_emi_in!J19=0,0,1000000*SER_hh_emi_in!J19/SER_hh_num_in!J19)</f>
        <v>1178.9968190911095</v>
      </c>
      <c r="K19" s="131">
        <f>IF(SER_hh_emi_in!K19=0,0,1000000*SER_hh_emi_in!K19/SER_hh_num_in!K19)</f>
        <v>1107.9595625677184</v>
      </c>
      <c r="L19" s="131">
        <f>IF(SER_hh_emi_in!L19=0,0,1000000*SER_hh_emi_in!L19/SER_hh_num_in!L19)</f>
        <v>0</v>
      </c>
      <c r="M19" s="131">
        <f>IF(SER_hh_emi_in!M19=0,0,1000000*SER_hh_emi_in!M19/SER_hh_num_in!M19)</f>
        <v>0</v>
      </c>
      <c r="N19" s="131">
        <f>IF(SER_hh_emi_in!N19=0,0,1000000*SER_hh_emi_in!N19/SER_hh_num_in!N19)</f>
        <v>0</v>
      </c>
      <c r="O19" s="131">
        <f>IF(SER_hh_emi_in!O19=0,0,1000000*SER_hh_emi_in!O19/SER_hh_num_in!O19)</f>
        <v>0</v>
      </c>
      <c r="P19" s="131">
        <f>IF(SER_hh_emi_in!P19=0,0,1000000*SER_hh_emi_in!P19/SER_hh_num_in!P19)</f>
        <v>0</v>
      </c>
      <c r="Q19" s="131">
        <f>IF(SER_hh_emi_in!Q19=0,0,1000000*SER_hh_emi_in!Q19/SER_hh_num_in!Q19)</f>
        <v>0</v>
      </c>
      <c r="R19" s="131">
        <f>IF(SER_hh_emi_in!R19=0,0,1000000*SER_hh_emi_in!R19/SER_hh_num_in!R19)</f>
        <v>0</v>
      </c>
      <c r="S19" s="131">
        <f>IF(SER_hh_emi_in!S19=0,0,1000000*SER_hh_emi_in!S19/SER_hh_num_in!S19)</f>
        <v>225.74728559726253</v>
      </c>
      <c r="T19" s="131">
        <f>IF(SER_hh_emi_in!T19=0,0,1000000*SER_hh_emi_in!T19/SER_hh_num_in!T19)</f>
        <v>312.26361386699836</v>
      </c>
      <c r="U19" s="131">
        <f>IF(SER_hh_emi_in!U19=0,0,1000000*SER_hh_emi_in!U19/SER_hh_num_in!U19)</f>
        <v>198.25172823257518</v>
      </c>
      <c r="V19" s="131">
        <f>IF(SER_hh_emi_in!V19=0,0,1000000*SER_hh_emi_in!V19/SER_hh_num_in!V19)</f>
        <v>109.89057139980847</v>
      </c>
      <c r="W19" s="131">
        <f>IF(SER_hh_emi_in!W19=0,0,1000000*SER_hh_emi_in!W19/SER_hh_num_in!W19)</f>
        <v>288.72534472760447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13580.59574912065</v>
      </c>
      <c r="D21" s="133">
        <f>IF(SER_hh_emi_in!D21=0,0,1000000*SER_hh_emi_in!D21/SER_hh_num_in!D21)</f>
        <v>13775.374809001392</v>
      </c>
      <c r="E21" s="133">
        <f>IF(SER_hh_emi_in!E21=0,0,1000000*SER_hh_emi_in!E21/SER_hh_num_in!E21)</f>
        <v>11812.033625996168</v>
      </c>
      <c r="F21" s="133">
        <f>IF(SER_hh_emi_in!F21=0,0,1000000*SER_hh_emi_in!F21/SER_hh_num_in!F21)</f>
        <v>10276.735762364582</v>
      </c>
      <c r="G21" s="133">
        <f>IF(SER_hh_emi_in!G21=0,0,1000000*SER_hh_emi_in!G21/SER_hh_num_in!G21)</f>
        <v>8750.951090702647</v>
      </c>
      <c r="H21" s="133">
        <f>IF(SER_hh_emi_in!H21=0,0,1000000*SER_hh_emi_in!H21/SER_hh_num_in!H21)</f>
        <v>19414.517522500217</v>
      </c>
      <c r="I21" s="133">
        <f>IF(SER_hh_emi_in!I21=0,0,1000000*SER_hh_emi_in!I21/SER_hh_num_in!I21)</f>
        <v>23471.814782247944</v>
      </c>
      <c r="J21" s="133">
        <f>IF(SER_hh_emi_in!J21=0,0,1000000*SER_hh_emi_in!J21/SER_hh_num_in!J21)</f>
        <v>21320.852822554014</v>
      </c>
      <c r="K21" s="133">
        <f>IF(SER_hh_emi_in!K21=0,0,1000000*SER_hh_emi_in!K21/SER_hh_num_in!K21)</f>
        <v>19676.441150124214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8189.5940897135979</v>
      </c>
      <c r="T21" s="133">
        <f>IF(SER_hh_emi_in!T21=0,0,1000000*SER_hh_emi_in!T21/SER_hh_num_in!T21)</f>
        <v>9593.9570042751402</v>
      </c>
      <c r="U21" s="133">
        <f>IF(SER_hh_emi_in!U21=0,0,1000000*SER_hh_emi_in!U21/SER_hh_num_in!U21)</f>
        <v>9142.7745809225635</v>
      </c>
      <c r="V21" s="133">
        <f>IF(SER_hh_emi_in!V21=0,0,1000000*SER_hh_emi_in!V21/SER_hh_num_in!V21)</f>
        <v>7397.854055231971</v>
      </c>
      <c r="W21" s="133">
        <f>IF(SER_hh_emi_in!W21=0,0,1000000*SER_hh_emi_in!W21/SER_hh_num_in!W21)</f>
        <v>8575.3862991415135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0</v>
      </c>
      <c r="D23" s="133">
        <f>IF(SER_hh_emi_in!D23=0,0,1000000*SER_hh_emi_in!D23/SER_hh_num_in!D23)</f>
        <v>0</v>
      </c>
      <c r="E23" s="133">
        <f>IF(SER_hh_emi_in!E23=0,0,1000000*SER_hh_emi_in!E23/SER_hh_num_in!E23)</f>
        <v>0</v>
      </c>
      <c r="F23" s="133">
        <f>IF(SER_hh_emi_in!F23=0,0,1000000*SER_hh_emi_in!F23/SER_hh_num_in!F23)</f>
        <v>0</v>
      </c>
      <c r="G23" s="133">
        <f>IF(SER_hh_emi_in!G23=0,0,1000000*SER_hh_emi_in!G23/SER_hh_num_in!G23)</f>
        <v>0</v>
      </c>
      <c r="H23" s="133">
        <f>IF(SER_hh_emi_in!H23=0,0,1000000*SER_hh_emi_in!H23/SER_hh_num_in!H23)</f>
        <v>0</v>
      </c>
      <c r="I23" s="133">
        <f>IF(SER_hh_emi_in!I23=0,0,1000000*SER_hh_emi_in!I23/SER_hh_num_in!I23)</f>
        <v>0</v>
      </c>
      <c r="J23" s="133">
        <f>IF(SER_hh_emi_in!J23=0,0,1000000*SER_hh_emi_in!J23/SER_hh_num_in!J23)</f>
        <v>0</v>
      </c>
      <c r="K23" s="133">
        <f>IF(SER_hh_emi_in!K23=0,0,1000000*SER_hh_emi_in!K23/SER_hh_num_in!K23)</f>
        <v>0</v>
      </c>
      <c r="L23" s="133">
        <f>IF(SER_hh_emi_in!L23=0,0,1000000*SER_hh_emi_in!L23/SER_hh_num_in!L23)</f>
        <v>0</v>
      </c>
      <c r="M23" s="133">
        <f>IF(SER_hh_emi_in!M23=0,0,1000000*SER_hh_emi_in!M23/SER_hh_num_in!M23)</f>
        <v>0</v>
      </c>
      <c r="N23" s="133">
        <f>IF(SER_hh_emi_in!N23=0,0,1000000*SER_hh_emi_in!N23/SER_hh_num_in!N23)</f>
        <v>0</v>
      </c>
      <c r="O23" s="133">
        <f>IF(SER_hh_emi_in!O23=0,0,1000000*SER_hh_emi_in!O23/SER_hh_num_in!O23)</f>
        <v>0</v>
      </c>
      <c r="P23" s="133">
        <f>IF(SER_hh_emi_in!P23=0,0,1000000*SER_hh_emi_in!P23/SER_hh_num_in!P23)</f>
        <v>0</v>
      </c>
      <c r="Q23" s="133">
        <f>IF(SER_hh_emi_in!Q23=0,0,1000000*SER_hh_emi_in!Q23/SER_hh_num_in!Q23)</f>
        <v>0</v>
      </c>
      <c r="R23" s="133">
        <f>IF(SER_hh_emi_in!R23=0,0,1000000*SER_hh_emi_in!R23/SER_hh_num_in!R23)</f>
        <v>0</v>
      </c>
      <c r="S23" s="133">
        <f>IF(SER_hh_emi_in!S23=0,0,1000000*SER_hh_emi_in!S23/SER_hh_num_in!S23)</f>
        <v>0</v>
      </c>
      <c r="T23" s="133">
        <f>IF(SER_hh_emi_in!T23=0,0,1000000*SER_hh_emi_in!T23/SER_hh_num_in!T23)</f>
        <v>0</v>
      </c>
      <c r="U23" s="133">
        <f>IF(SER_hh_emi_in!U23=0,0,1000000*SER_hh_emi_in!U23/SER_hh_num_in!U23)</f>
        <v>0</v>
      </c>
      <c r="V23" s="133">
        <f>IF(SER_hh_emi_in!V23=0,0,1000000*SER_hh_emi_in!V23/SER_hh_num_in!V23)</f>
        <v>0</v>
      </c>
      <c r="W23" s="133">
        <f>IF(SER_hh_emi_in!W23=0,0,1000000*SER_hh_emi_in!W23/SER_hh_num_in!W23)</f>
        <v>0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895.93971503790647</v>
      </c>
      <c r="D29" s="131">
        <f>IF(SER_hh_emi_in!D29=0,0,1000000*SER_hh_emi_in!D29/SER_hh_num_in!D29)</f>
        <v>1433.7665547878341</v>
      </c>
      <c r="E29" s="131">
        <f>IF(SER_hh_emi_in!E29=0,0,1000000*SER_hh_emi_in!E29/SER_hh_num_in!E29)</f>
        <v>995.87996406289244</v>
      </c>
      <c r="F29" s="131">
        <f>IF(SER_hh_emi_in!F29=0,0,1000000*SER_hh_emi_in!F29/SER_hh_num_in!F29)</f>
        <v>1624.8014159671009</v>
      </c>
      <c r="G29" s="131">
        <f>IF(SER_hh_emi_in!G29=0,0,1000000*SER_hh_emi_in!G29/SER_hh_num_in!G29)</f>
        <v>1986.9386538053889</v>
      </c>
      <c r="H29" s="131">
        <f>IF(SER_hh_emi_in!H29=0,0,1000000*SER_hh_emi_in!H29/SER_hh_num_in!H29)</f>
        <v>5328.3165313621212</v>
      </c>
      <c r="I29" s="131">
        <f>IF(SER_hh_emi_in!I29=0,0,1000000*SER_hh_emi_in!I29/SER_hh_num_in!I29)</f>
        <v>5722.9023937381944</v>
      </c>
      <c r="J29" s="131">
        <f>IF(SER_hh_emi_in!J29=0,0,1000000*SER_hh_emi_in!J29/SER_hh_num_in!J29)</f>
        <v>5540.5380653591419</v>
      </c>
      <c r="K29" s="131">
        <f>IF(SER_hh_emi_in!K29=0,0,1000000*SER_hh_emi_in!K29/SER_hh_num_in!K29)</f>
        <v>8688.3775897525538</v>
      </c>
      <c r="L29" s="131">
        <f>IF(SER_hh_emi_in!L29=0,0,1000000*SER_hh_emi_in!L29/SER_hh_num_in!L29)</f>
        <v>1866.4386701860794</v>
      </c>
      <c r="M29" s="131">
        <f>IF(SER_hh_emi_in!M29=0,0,1000000*SER_hh_emi_in!M29/SER_hh_num_in!M29)</f>
        <v>3300.9493384023849</v>
      </c>
      <c r="N29" s="131">
        <f>IF(SER_hh_emi_in!N29=0,0,1000000*SER_hh_emi_in!N29/SER_hh_num_in!N29)</f>
        <v>1156.5891878408224</v>
      </c>
      <c r="O29" s="131">
        <f>IF(SER_hh_emi_in!O29=0,0,1000000*SER_hh_emi_in!O29/SER_hh_num_in!O29)</f>
        <v>2568.3200606060086</v>
      </c>
      <c r="P29" s="131">
        <f>IF(SER_hh_emi_in!P29=0,0,1000000*SER_hh_emi_in!P29/SER_hh_num_in!P29)</f>
        <v>2412.2308173090046</v>
      </c>
      <c r="Q29" s="131">
        <f>IF(SER_hh_emi_in!Q29=0,0,1000000*SER_hh_emi_in!Q29/SER_hh_num_in!Q29)</f>
        <v>4466.8735291537996</v>
      </c>
      <c r="R29" s="131">
        <f>IF(SER_hh_emi_in!R29=0,0,1000000*SER_hh_emi_in!R29/SER_hh_num_in!R29)</f>
        <v>3939.1097915050368</v>
      </c>
      <c r="S29" s="131">
        <f>IF(SER_hh_emi_in!S29=0,0,1000000*SER_hh_emi_in!S29/SER_hh_num_in!S29)</f>
        <v>7102.7421797986253</v>
      </c>
      <c r="T29" s="131">
        <f>IF(SER_hh_emi_in!T29=0,0,1000000*SER_hh_emi_in!T29/SER_hh_num_in!T29)</f>
        <v>8255.3164939672115</v>
      </c>
      <c r="U29" s="131">
        <f>IF(SER_hh_emi_in!U29=0,0,1000000*SER_hh_emi_in!U29/SER_hh_num_in!U29)</f>
        <v>5355.0590971046286</v>
      </c>
      <c r="V29" s="131">
        <f>IF(SER_hh_emi_in!V29=0,0,1000000*SER_hh_emi_in!V29/SER_hh_num_in!V29)</f>
        <v>2419.5348360541329</v>
      </c>
      <c r="W29" s="131">
        <f>IF(SER_hh_emi_in!W29=0,0,1000000*SER_hh_emi_in!W29/SER_hh_num_in!W29)</f>
        <v>2451.1140978657763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15774.614113864793</v>
      </c>
      <c r="D30" s="133">
        <f>IF(SER_hh_emi_in!D30=0,0,1000000*SER_hh_emi_in!D30/SER_hh_num_in!D30)</f>
        <v>18584.401042349553</v>
      </c>
      <c r="E30" s="133">
        <f>IF(SER_hh_emi_in!E30=0,0,1000000*SER_hh_emi_in!E30/SER_hh_num_in!E30)</f>
        <v>17806.671336003903</v>
      </c>
      <c r="F30" s="133">
        <f>IF(SER_hh_emi_in!F30=0,0,1000000*SER_hh_emi_in!F30/SER_hh_num_in!F30)</f>
        <v>15518.392393787362</v>
      </c>
      <c r="G30" s="133">
        <f>IF(SER_hh_emi_in!G30=0,0,1000000*SER_hh_emi_in!G30/SER_hh_num_in!G30)</f>
        <v>13601.290145757019</v>
      </c>
      <c r="H30" s="133">
        <f>IF(SER_hh_emi_in!H30=0,0,1000000*SER_hh_emi_in!H30/SER_hh_num_in!H30)</f>
        <v>17386.04772529878</v>
      </c>
      <c r="I30" s="133">
        <f>IF(SER_hh_emi_in!I30=0,0,1000000*SER_hh_emi_in!I30/SER_hh_num_in!I30)</f>
        <v>15046.395016783859</v>
      </c>
      <c r="J30" s="133">
        <f>IF(SER_hh_emi_in!J30=0,0,1000000*SER_hh_emi_in!J30/SER_hh_num_in!J30)</f>
        <v>16609.385610548201</v>
      </c>
      <c r="K30" s="133">
        <f>IF(SER_hh_emi_in!K30=0,0,1000000*SER_hh_emi_in!K30/SER_hh_num_in!K30)</f>
        <v>20511.505678222511</v>
      </c>
      <c r="L30" s="133">
        <f>IF(SER_hh_emi_in!L30=0,0,1000000*SER_hh_emi_in!L30/SER_hh_num_in!L30)</f>
        <v>15481.676101177354</v>
      </c>
      <c r="M30" s="133">
        <f>IF(SER_hh_emi_in!M30=0,0,1000000*SER_hh_emi_in!M30/SER_hh_num_in!M30)</f>
        <v>17317.329083220058</v>
      </c>
      <c r="N30" s="133">
        <f>IF(SER_hh_emi_in!N30=0,0,1000000*SER_hh_emi_in!N30/SER_hh_num_in!N30)</f>
        <v>16694.799026043445</v>
      </c>
      <c r="O30" s="133">
        <f>IF(SER_hh_emi_in!O30=0,0,1000000*SER_hh_emi_in!O30/SER_hh_num_in!O30)</f>
        <v>16147.686344057864</v>
      </c>
      <c r="P30" s="133">
        <f>IF(SER_hh_emi_in!P30=0,0,1000000*SER_hh_emi_in!P30/SER_hh_num_in!P30)</f>
        <v>15944.717522315328</v>
      </c>
      <c r="Q30" s="133">
        <f>IF(SER_hh_emi_in!Q30=0,0,1000000*SER_hh_emi_in!Q30/SER_hh_num_in!Q30)</f>
        <v>17602.984982733436</v>
      </c>
      <c r="R30" s="133">
        <f>IF(SER_hh_emi_in!R30=0,0,1000000*SER_hh_emi_in!R30/SER_hh_num_in!R30)</f>
        <v>14262.669333548754</v>
      </c>
      <c r="S30" s="133">
        <f>IF(SER_hh_emi_in!S30=0,0,1000000*SER_hh_emi_in!S30/SER_hh_num_in!S30)</f>
        <v>15209.312720427166</v>
      </c>
      <c r="T30" s="133">
        <f>IF(SER_hh_emi_in!T30=0,0,1000000*SER_hh_emi_in!T30/SER_hh_num_in!T30)</f>
        <v>17581.276045190058</v>
      </c>
      <c r="U30" s="133">
        <f>IF(SER_hh_emi_in!U30=0,0,1000000*SER_hh_emi_in!U30/SER_hh_num_in!U30)</f>
        <v>17810.72862811081</v>
      </c>
      <c r="V30" s="133">
        <f>IF(SER_hh_emi_in!V30=0,0,1000000*SER_hh_emi_in!V30/SER_hh_num_in!V30)</f>
        <v>11819.138329321389</v>
      </c>
      <c r="W30" s="133">
        <f>IF(SER_hh_emi_in!W30=0,0,1000000*SER_hh_emi_in!W30/SER_hh_num_in!W30)</f>
        <v>12856.677133235911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0</v>
      </c>
      <c r="D31" s="133">
        <f>IF(SER_hh_emi_in!D31=0,0,1000000*SER_hh_emi_in!D31/SER_hh_num_in!D31)</f>
        <v>0</v>
      </c>
      <c r="E31" s="133">
        <f>IF(SER_hh_emi_in!E31=0,0,1000000*SER_hh_emi_in!E31/SER_hh_num_in!E31)</f>
        <v>0</v>
      </c>
      <c r="F31" s="133">
        <f>IF(SER_hh_emi_in!F31=0,0,1000000*SER_hh_emi_in!F31/SER_hh_num_in!F31)</f>
        <v>0</v>
      </c>
      <c r="G31" s="133">
        <f>IF(SER_hh_emi_in!G31=0,0,1000000*SER_hh_emi_in!G31/SER_hh_num_in!G31)</f>
        <v>0</v>
      </c>
      <c r="H31" s="133">
        <f>IF(SER_hh_emi_in!H31=0,0,1000000*SER_hh_emi_in!H31/SER_hh_num_in!H31)</f>
        <v>0</v>
      </c>
      <c r="I31" s="133">
        <f>IF(SER_hh_emi_in!I31=0,0,1000000*SER_hh_emi_in!I31/SER_hh_num_in!I31)</f>
        <v>0</v>
      </c>
      <c r="J31" s="133">
        <f>IF(SER_hh_emi_in!J31=0,0,1000000*SER_hh_emi_in!J31/SER_hh_num_in!J31)</f>
        <v>0</v>
      </c>
      <c r="K31" s="133">
        <f>IF(SER_hh_emi_in!K31=0,0,1000000*SER_hh_emi_in!K31/SER_hh_num_in!K31)</f>
        <v>0</v>
      </c>
      <c r="L31" s="133">
        <f>IF(SER_hh_emi_in!L31=0,0,1000000*SER_hh_emi_in!L31/SER_hh_num_in!L31)</f>
        <v>0</v>
      </c>
      <c r="M31" s="133">
        <f>IF(SER_hh_emi_in!M31=0,0,1000000*SER_hh_emi_in!M31/SER_hh_num_in!M31)</f>
        <v>0</v>
      </c>
      <c r="N31" s="133">
        <f>IF(SER_hh_emi_in!N31=0,0,1000000*SER_hh_emi_in!N31/SER_hh_num_in!N31)</f>
        <v>0</v>
      </c>
      <c r="O31" s="133">
        <f>IF(SER_hh_emi_in!O31=0,0,1000000*SER_hh_emi_in!O31/SER_hh_num_in!O31)</f>
        <v>0</v>
      </c>
      <c r="P31" s="133">
        <f>IF(SER_hh_emi_in!P31=0,0,1000000*SER_hh_emi_in!P31/SER_hh_num_in!P31)</f>
        <v>0</v>
      </c>
      <c r="Q31" s="133">
        <f>IF(SER_hh_emi_in!Q31=0,0,1000000*SER_hh_emi_in!Q31/SER_hh_num_in!Q31)</f>
        <v>0</v>
      </c>
      <c r="R31" s="133">
        <f>IF(SER_hh_emi_in!R31=0,0,1000000*SER_hh_emi_in!R31/SER_hh_num_in!R31)</f>
        <v>0</v>
      </c>
      <c r="S31" s="133">
        <f>IF(SER_hh_emi_in!S31=0,0,1000000*SER_hh_emi_in!S31/SER_hh_num_in!S31)</f>
        <v>0</v>
      </c>
      <c r="T31" s="133">
        <f>IF(SER_hh_emi_in!T31=0,0,1000000*SER_hh_emi_in!T31/SER_hh_num_in!T31)</f>
        <v>0</v>
      </c>
      <c r="U31" s="133">
        <f>IF(SER_hh_emi_in!U31=0,0,1000000*SER_hh_emi_in!U31/SER_hh_num_in!U31)</f>
        <v>0</v>
      </c>
      <c r="V31" s="133">
        <f>IF(SER_hh_emi_in!V31=0,0,1000000*SER_hh_emi_in!V31/SER_hh_num_in!V31)</f>
        <v>0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263.45514075219882</v>
      </c>
      <c r="D3" s="126">
        <f>IF(SER_hh_fech_in!D3=0,0,SER_hh_fech_in!D3/SER_summary!D$27)</f>
        <v>273.66542740682974</v>
      </c>
      <c r="E3" s="126">
        <f>IF(SER_hh_fech_in!E3=0,0,SER_hh_fech_in!E3/SER_summary!E$27)</f>
        <v>296.23553171583711</v>
      </c>
      <c r="F3" s="126">
        <f>IF(SER_hh_fech_in!F3=0,0,SER_hh_fech_in!F3/SER_summary!F$27)</f>
        <v>277.35843676454721</v>
      </c>
      <c r="G3" s="126">
        <f>IF(SER_hh_fech_in!G3=0,0,SER_hh_fech_in!G3/SER_summary!G$27)</f>
        <v>336.0667008990963</v>
      </c>
      <c r="H3" s="126">
        <f>IF(SER_hh_fech_in!H3=0,0,SER_hh_fech_in!H3/SER_summary!H$27)</f>
        <v>259.24731942475137</v>
      </c>
      <c r="I3" s="126">
        <f>IF(SER_hh_fech_in!I3=0,0,SER_hh_fech_in!I3/SER_summary!I$27)</f>
        <v>248.54861096281087</v>
      </c>
      <c r="J3" s="126">
        <f>IF(SER_hh_fech_in!J3=0,0,SER_hh_fech_in!J3/SER_summary!J$27)</f>
        <v>234.20661741125735</v>
      </c>
      <c r="K3" s="126">
        <f>IF(SER_hh_fech_in!K3=0,0,SER_hh_fech_in!K3/SER_summary!K$27)</f>
        <v>211.56450155471134</v>
      </c>
      <c r="L3" s="126">
        <f>IF(SER_hh_fech_in!L3=0,0,SER_hh_fech_in!L3/SER_summary!L$27)</f>
        <v>295.53163626278814</v>
      </c>
      <c r="M3" s="126">
        <f>IF(SER_hh_fech_in!M3=0,0,SER_hh_fech_in!M3/SER_summary!M$27)</f>
        <v>265.85134707138468</v>
      </c>
      <c r="N3" s="126">
        <f>IF(SER_hh_fech_in!N3=0,0,SER_hh_fech_in!N3/SER_summary!N$27)</f>
        <v>276.73565207816705</v>
      </c>
      <c r="O3" s="126">
        <f>IF(SER_hh_fech_in!O3=0,0,SER_hh_fech_in!O3/SER_summary!O$27)</f>
        <v>272.97837821646397</v>
      </c>
      <c r="P3" s="126">
        <f>IF(SER_hh_fech_in!P3=0,0,SER_hh_fech_in!P3/SER_summary!P$27)</f>
        <v>252.23916183365225</v>
      </c>
      <c r="Q3" s="126">
        <f>IF(SER_hh_fech_in!Q3=0,0,SER_hh_fech_in!Q3/SER_summary!Q$27)</f>
        <v>263.47000289510862</v>
      </c>
      <c r="R3" s="126">
        <f>IF(SER_hh_fech_in!R3=0,0,SER_hh_fech_in!R3/SER_summary!R$27)</f>
        <v>231.8565704611988</v>
      </c>
      <c r="S3" s="126">
        <f>IF(SER_hh_fech_in!S3=0,0,SER_hh_fech_in!S3/SER_summary!S$27)</f>
        <v>240.98297835283333</v>
      </c>
      <c r="T3" s="126">
        <f>IF(SER_hh_fech_in!T3=0,0,SER_hh_fech_in!T3/SER_summary!T$27)</f>
        <v>212.63467303861435</v>
      </c>
      <c r="U3" s="126">
        <f>IF(SER_hh_fech_in!U3=0,0,SER_hh_fech_in!U3/SER_summary!U$27)</f>
        <v>188.12980754323553</v>
      </c>
      <c r="V3" s="126">
        <f>IF(SER_hh_fech_in!V3=0,0,SER_hh_fech_in!V3/SER_summary!V$27)</f>
        <v>136.61077915004441</v>
      </c>
      <c r="W3" s="126">
        <f>IF(SER_hh_fech_in!W3=0,0,SER_hh_fech_in!W3/SER_summary!W$27)</f>
        <v>134.84658771324902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111.70610584850127</v>
      </c>
      <c r="D4" s="131">
        <f>IF(SER_hh_fech_in!D4=0,0,SER_hh_fech_in!D4/SER_summary!D$27)</f>
        <v>127.58840972318224</v>
      </c>
      <c r="E4" s="131">
        <f>IF(SER_hh_fech_in!E4=0,0,SER_hh_fech_in!E4/SER_summary!E$27)</f>
        <v>136.66737990800553</v>
      </c>
      <c r="F4" s="131">
        <f>IF(SER_hh_fech_in!F4=0,0,SER_hh_fech_in!F4/SER_summary!F$27)</f>
        <v>134.4798030928078</v>
      </c>
      <c r="G4" s="131">
        <f>IF(SER_hh_fech_in!G4=0,0,SER_hh_fech_in!G4/SER_summary!G$27)</f>
        <v>198.27534280604769</v>
      </c>
      <c r="H4" s="131">
        <f>IF(SER_hh_fech_in!H4=0,0,SER_hh_fech_in!H4/SER_summary!H$27)</f>
        <v>106.007137052142</v>
      </c>
      <c r="I4" s="131">
        <f>IF(SER_hh_fech_in!I4=0,0,SER_hh_fech_in!I4/SER_summary!I$27)</f>
        <v>102.77040497824932</v>
      </c>
      <c r="J4" s="131">
        <f>IF(SER_hh_fech_in!J4=0,0,SER_hh_fech_in!J4/SER_summary!J$27)</f>
        <v>95.114323106650374</v>
      </c>
      <c r="K4" s="131">
        <f>IF(SER_hh_fech_in!K4=0,0,SER_hh_fech_in!K4/SER_summary!K$27)</f>
        <v>64.475607487241987</v>
      </c>
      <c r="L4" s="131">
        <f>IF(SER_hh_fech_in!L4=0,0,SER_hh_fech_in!L4/SER_summary!L$27)</f>
        <v>161.72060311458699</v>
      </c>
      <c r="M4" s="131">
        <f>IF(SER_hh_fech_in!M4=0,0,SER_hh_fech_in!M4/SER_summary!M$27)</f>
        <v>131.78621376811083</v>
      </c>
      <c r="N4" s="131">
        <f>IF(SER_hh_fech_in!N4=0,0,SER_hh_fech_in!N4/SER_summary!N$27)</f>
        <v>138.48818682930431</v>
      </c>
      <c r="O4" s="131">
        <f>IF(SER_hh_fech_in!O4=0,0,SER_hh_fech_in!O4/SER_summary!O$27)</f>
        <v>144.0799718342129</v>
      </c>
      <c r="P4" s="131">
        <f>IF(SER_hh_fech_in!P4=0,0,SER_hh_fech_in!P4/SER_summary!P$27)</f>
        <v>126.95300583577162</v>
      </c>
      <c r="Q4" s="131">
        <f>IF(SER_hh_fech_in!Q4=0,0,SER_hh_fech_in!Q4/SER_summary!Q$27)</f>
        <v>137.95335562508762</v>
      </c>
      <c r="R4" s="131">
        <f>IF(SER_hh_fech_in!R4=0,0,SER_hh_fech_in!R4/SER_summary!R$27)</f>
        <v>113.53420786937031</v>
      </c>
      <c r="S4" s="131">
        <f>IF(SER_hh_fech_in!S4=0,0,SER_hh_fech_in!S4/SER_summary!S$27)</f>
        <v>120.05228573567516</v>
      </c>
      <c r="T4" s="131">
        <f>IF(SER_hh_fech_in!T4=0,0,SER_hh_fech_in!T4/SER_summary!T$27)</f>
        <v>92.241697735622765</v>
      </c>
      <c r="U4" s="131">
        <f>IF(SER_hh_fech_in!U4=0,0,SER_hh_fech_in!U4/SER_summary!U$27)</f>
        <v>71.011798242221772</v>
      </c>
      <c r="V4" s="131">
        <f>IF(SER_hh_fech_in!V4=0,0,SER_hh_fech_in!V4/SER_summary!V$27)</f>
        <v>35.176294927930797</v>
      </c>
      <c r="W4" s="131">
        <f>IF(SER_hh_fech_in!W4=0,0,SER_hh_fech_in!W4/SER_summary!W$27)</f>
        <v>31.631724383195468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116.65175627602493</v>
      </c>
      <c r="D6" s="133">
        <f>IF(SER_hh_fech_in!D6=0,0,SER_hh_fech_in!D6/SER_summary!D$27)</f>
        <v>117.93502299902578</v>
      </c>
      <c r="E6" s="133">
        <f>IF(SER_hh_fech_in!E6=0,0,SER_hh_fech_in!E6/SER_summary!E$27)</f>
        <v>131.84824630343832</v>
      </c>
      <c r="F6" s="133">
        <f>IF(SER_hh_fech_in!F6=0,0,SER_hh_fech_in!F6/SER_summary!F$27)</f>
        <v>136.64050740895451</v>
      </c>
      <c r="G6" s="133">
        <f>IF(SER_hh_fech_in!G6=0,0,SER_hh_fech_in!G6/SER_summary!G$27)</f>
        <v>116.63947819206085</v>
      </c>
      <c r="H6" s="133">
        <f>IF(SER_hh_fech_in!H6=0,0,SER_hh_fech_in!H6/SER_summary!H$27)</f>
        <v>132.2120906826687</v>
      </c>
      <c r="I6" s="133">
        <f>IF(SER_hh_fech_in!I6=0,0,SER_hh_fech_in!I6/SER_summary!I$27)</f>
        <v>146.37551641920811</v>
      </c>
      <c r="J6" s="133">
        <f>IF(SER_hh_fech_in!J6=0,0,SER_hh_fech_in!J6/SER_summary!J$27)</f>
        <v>77.458512786584009</v>
      </c>
      <c r="K6" s="133">
        <f>IF(SER_hh_fech_in!K6=0,0,SER_hh_fech_in!K6/SER_summary!K$27)</f>
        <v>39.660836015725529</v>
      </c>
      <c r="L6" s="133">
        <f>IF(SER_hh_fech_in!L6=0,0,SER_hh_fech_in!L6/SER_summary!L$27)</f>
        <v>174.63179909408433</v>
      </c>
      <c r="M6" s="133">
        <f>IF(SER_hh_fech_in!M6=0,0,SER_hh_fech_in!M6/SER_summary!M$27)</f>
        <v>129.70613248711842</v>
      </c>
      <c r="N6" s="133">
        <f>IF(SER_hh_fech_in!N6=0,0,SER_hh_fech_in!N6/SER_summary!N$27)</f>
        <v>153.94040649063439</v>
      </c>
      <c r="O6" s="133">
        <f>IF(SER_hh_fech_in!O6=0,0,SER_hh_fech_in!O6/SER_summary!O$27)</f>
        <v>0</v>
      </c>
      <c r="P6" s="133">
        <f>IF(SER_hh_fech_in!P6=0,0,SER_hh_fech_in!P6/SER_summary!P$27)</f>
        <v>110.29906346604525</v>
      </c>
      <c r="Q6" s="133">
        <f>IF(SER_hh_fech_in!Q6=0,0,SER_hh_fech_in!Q6/SER_summary!Q$27)</f>
        <v>123.62951172816727</v>
      </c>
      <c r="R6" s="133">
        <f>IF(SER_hh_fech_in!R6=0,0,SER_hh_fech_in!R6/SER_summary!R$27)</f>
        <v>97.375124851519402</v>
      </c>
      <c r="S6" s="133">
        <f>IF(SER_hh_fech_in!S6=0,0,SER_hh_fech_in!S6/SER_summary!S$27)</f>
        <v>99.73920007962839</v>
      </c>
      <c r="T6" s="133">
        <f>IF(SER_hh_fech_in!T6=0,0,SER_hh_fech_in!T6/SER_summary!T$27)</f>
        <v>108.30082987861097</v>
      </c>
      <c r="U6" s="133">
        <f>IF(SER_hh_fech_in!U6=0,0,SER_hh_fech_in!U6/SER_summary!U$27)</f>
        <v>90.815619764250556</v>
      </c>
      <c r="V6" s="133">
        <f>IF(SER_hh_fech_in!V6=0,0,SER_hh_fech_in!V6/SER_summary!V$27)</f>
        <v>60.011409055777179</v>
      </c>
      <c r="W6" s="133">
        <f>IF(SER_hh_fech_in!W6=0,0,SER_hh_fech_in!W6/SER_summary!W$27)</f>
        <v>46.670874479952957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105.94318204863438</v>
      </c>
      <c r="D7" s="133">
        <f>IF(SER_hh_fech_in!D7=0,0,SER_hh_fech_in!D7/SER_summary!D$27)</f>
        <v>120.42890244105979</v>
      </c>
      <c r="E7" s="133">
        <f>IF(SER_hh_fech_in!E7=0,0,SER_hh_fech_in!E7/SER_summary!E$27)</f>
        <v>146.81400153148451</v>
      </c>
      <c r="F7" s="133">
        <f>IF(SER_hh_fech_in!F7=0,0,SER_hh_fech_in!F7/SER_summary!F$27)</f>
        <v>163.68397814143225</v>
      </c>
      <c r="G7" s="133">
        <f>IF(SER_hh_fech_in!G7=0,0,SER_hh_fech_in!G7/SER_summary!G$27)</f>
        <v>139.75972391249604</v>
      </c>
      <c r="H7" s="133">
        <f>IF(SER_hh_fech_in!H7=0,0,SER_hh_fech_in!H7/SER_summary!H$27)</f>
        <v>109.38358760916817</v>
      </c>
      <c r="I7" s="133">
        <f>IF(SER_hh_fech_in!I7=0,0,SER_hh_fech_in!I7/SER_summary!I$27)</f>
        <v>119.31882730447893</v>
      </c>
      <c r="J7" s="133">
        <f>IF(SER_hh_fech_in!J7=0,0,SER_hh_fech_in!J7/SER_summary!J$27)</f>
        <v>109.62750657699976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81.134487450714502</v>
      </c>
      <c r="N7" s="133">
        <f>IF(SER_hh_fech_in!N7=0,0,SER_hh_fech_in!N7/SER_summary!N$27)</f>
        <v>129.5211958145772</v>
      </c>
      <c r="O7" s="133">
        <f>IF(SER_hh_fech_in!O7=0,0,SER_hh_fech_in!O7/SER_summary!O$27)</f>
        <v>157.10233772865382</v>
      </c>
      <c r="P7" s="133">
        <f>IF(SER_hh_fech_in!P7=0,0,SER_hh_fech_in!P7/SER_summary!P$27)</f>
        <v>148.09720473086873</v>
      </c>
      <c r="Q7" s="133">
        <f>IF(SER_hh_fech_in!Q7=0,0,SER_hh_fech_in!Q7/SER_summary!Q$27)</f>
        <v>163.02537408544393</v>
      </c>
      <c r="R7" s="133">
        <f>IF(SER_hh_fech_in!R7=0,0,SER_hh_fech_in!R7/SER_summary!R$27)</f>
        <v>148.39363033069674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43.751098633764123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0</v>
      </c>
      <c r="D9" s="133">
        <f>IF(SER_hh_fech_in!D9=0,0,SER_hh_fech_in!D9/SER_summary!D$27)</f>
        <v>0</v>
      </c>
      <c r="E9" s="133">
        <f>IF(SER_hh_fech_in!E9=0,0,SER_hh_fech_in!E9/SER_summary!E$27)</f>
        <v>0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0</v>
      </c>
      <c r="L9" s="133">
        <f>IF(SER_hh_fech_in!L9=0,0,SER_hh_fech_in!L9/SER_summary!L$27)</f>
        <v>0</v>
      </c>
      <c r="M9" s="133">
        <f>IF(SER_hh_fech_in!M9=0,0,SER_hh_fech_in!M9/SER_summary!M$27)</f>
        <v>148.52119898574892</v>
      </c>
      <c r="N9" s="133">
        <f>IF(SER_hh_fech_in!N9=0,0,SER_hh_fech_in!N9/SER_summary!N$27)</f>
        <v>162.02199791739986</v>
      </c>
      <c r="O9" s="133">
        <f>IF(SER_hh_fech_in!O9=0,0,SER_hh_fech_in!O9/SER_summary!O$27)</f>
        <v>0</v>
      </c>
      <c r="P9" s="133">
        <f>IF(SER_hh_fech_in!P9=0,0,SER_hh_fech_in!P9/SER_summary!P$27)</f>
        <v>0</v>
      </c>
      <c r="Q9" s="133">
        <f>IF(SER_hh_fech_in!Q9=0,0,SER_hh_fech_in!Q9/SER_summary!Q$27)</f>
        <v>0</v>
      </c>
      <c r="R9" s="133">
        <f>IF(SER_hh_fech_in!R9=0,0,SER_hh_fech_in!R9/SER_summary!R$27)</f>
        <v>130.94270092008546</v>
      </c>
      <c r="S9" s="133">
        <f>IF(SER_hh_fech_in!S9=0,0,SER_hh_fech_in!S9/SER_summary!S$27)</f>
        <v>0</v>
      </c>
      <c r="T9" s="133">
        <f>IF(SER_hh_fech_in!T9=0,0,SER_hh_fech_in!T9/SER_summary!T$27)</f>
        <v>71.001178258031501</v>
      </c>
      <c r="U9" s="133">
        <f>IF(SER_hh_fech_in!U9=0,0,SER_hh_fech_in!U9/SER_summary!U$27)</f>
        <v>90.658019174532129</v>
      </c>
      <c r="V9" s="133">
        <f>IF(SER_hh_fech_in!V9=0,0,SER_hh_fech_in!V9/SER_summary!V$27)</f>
        <v>58.498960748890553</v>
      </c>
      <c r="W9" s="133">
        <f>IF(SER_hh_fech_in!W9=0,0,SER_hh_fech_in!W9/SER_summary!W$27)</f>
        <v>29.567248201743578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0</v>
      </c>
      <c r="N10" s="133">
        <f>IF(SER_hh_fech_in!N10=0,0,SER_hh_fech_in!N10/SER_summary!N$27)</f>
        <v>0</v>
      </c>
      <c r="O10" s="133">
        <f>IF(SER_hh_fech_in!O10=0,0,SER_hh_fech_in!O10/SER_summary!O$27)</f>
        <v>0</v>
      </c>
      <c r="P10" s="133">
        <f>IF(SER_hh_fech_in!P10=0,0,SER_hh_fech_in!P10/SER_summary!P$27)</f>
        <v>0</v>
      </c>
      <c r="Q10" s="133">
        <f>IF(SER_hh_fech_in!Q10=0,0,SER_hh_fech_in!Q10/SER_summary!Q$27)</f>
        <v>0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171.28272755667635</v>
      </c>
      <c r="N12" s="133">
        <f>IF(SER_hh_fech_in!N12=0,0,SER_hh_fech_in!N12/SER_summary!N$27)</f>
        <v>263.2677432370707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46.361572552993771</v>
      </c>
      <c r="D13" s="133">
        <f>IF(SER_hh_fech_in!D13=0,0,SER_hh_fech_in!D13/SER_summary!D$27)</f>
        <v>48.495550335323657</v>
      </c>
      <c r="E13" s="133">
        <f>IF(SER_hh_fech_in!E13=0,0,SER_hh_fech_in!E13/SER_summary!E$27)</f>
        <v>53.67138111123343</v>
      </c>
      <c r="F13" s="133">
        <f>IF(SER_hh_fech_in!F13=0,0,SER_hh_fech_in!F13/SER_summary!F$27)</f>
        <v>44.831660314719521</v>
      </c>
      <c r="G13" s="133">
        <f>IF(SER_hh_fech_in!G13=0,0,SER_hh_fech_in!G13/SER_summary!G$27)</f>
        <v>43.80890085911868</v>
      </c>
      <c r="H13" s="133">
        <f>IF(SER_hh_fech_in!H13=0,0,SER_hh_fech_in!H13/SER_summary!H$27)</f>
        <v>32.777174424829965</v>
      </c>
      <c r="I13" s="133">
        <f>IF(SER_hh_fech_in!I13=0,0,SER_hh_fech_in!I13/SER_summary!I$27)</f>
        <v>29.944082896160531</v>
      </c>
      <c r="J13" s="133">
        <f>IF(SER_hh_fech_in!J13=0,0,SER_hh_fech_in!J13/SER_summary!J$27)</f>
        <v>31.020727053671965</v>
      </c>
      <c r="K13" s="133">
        <f>IF(SER_hh_fech_in!K13=0,0,SER_hh_fech_in!K13/SER_summary!K$27)</f>
        <v>30.838320304134307</v>
      </c>
      <c r="L13" s="133">
        <f>IF(SER_hh_fech_in!L13=0,0,SER_hh_fech_in!L13/SER_summary!L$27)</f>
        <v>29.630875578046521</v>
      </c>
      <c r="M13" s="133">
        <f>IF(SER_hh_fech_in!M13=0,0,SER_hh_fech_in!M13/SER_summary!M$27)</f>
        <v>32.344227557917613</v>
      </c>
      <c r="N13" s="133">
        <f>IF(SER_hh_fech_in!N13=0,0,SER_hh_fech_in!N13/SER_summary!N$27)</f>
        <v>34.340232989036288</v>
      </c>
      <c r="O13" s="133">
        <f>IF(SER_hh_fech_in!O13=0,0,SER_hh_fech_in!O13/SER_summary!O$27)</f>
        <v>32.188156954125837</v>
      </c>
      <c r="P13" s="133">
        <f>IF(SER_hh_fech_in!P13=0,0,SER_hh_fech_in!P13/SER_summary!P$27)</f>
        <v>34.08426339421738</v>
      </c>
      <c r="Q13" s="133">
        <f>IF(SER_hh_fech_in!Q13=0,0,SER_hh_fech_in!Q13/SER_summary!Q$27)</f>
        <v>35.090832966245024</v>
      </c>
      <c r="R13" s="133">
        <f>IF(SER_hh_fech_in!R13=0,0,SER_hh_fech_in!R13/SER_summary!R$27)</f>
        <v>31.514864167541042</v>
      </c>
      <c r="S13" s="133">
        <f>IF(SER_hh_fech_in!S13=0,0,SER_hh_fech_in!S13/SER_summary!S$27)</f>
        <v>28.38495287983578</v>
      </c>
      <c r="T13" s="133">
        <f>IF(SER_hh_fech_in!T13=0,0,SER_hh_fech_in!T13/SER_summary!T$27)</f>
        <v>23.513151629141618</v>
      </c>
      <c r="U13" s="133">
        <f>IF(SER_hh_fech_in!U13=0,0,SER_hh_fech_in!U13/SER_summary!U$27)</f>
        <v>18.552337122604868</v>
      </c>
      <c r="V13" s="133">
        <f>IF(SER_hh_fech_in!V13=0,0,SER_hh_fech_in!V13/SER_summary!V$27)</f>
        <v>16.075859829097421</v>
      </c>
      <c r="W13" s="133">
        <f>IF(SER_hh_fech_in!W13=0,0,SER_hh_fech_in!W13/SER_summary!W$27)</f>
        <v>11.345928343206324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119.13638489163681</v>
      </c>
      <c r="D14" s="65">
        <f>IF(SER_hh_fech_in!D14=0,0,SER_hh_fech_in!D14/SER_summary!D$27)</f>
        <v>142.52586444267789</v>
      </c>
      <c r="E14" s="65">
        <f>IF(SER_hh_fech_in!E14=0,0,SER_hh_fech_in!E14/SER_summary!E$27)</f>
        <v>134.66630780416031</v>
      </c>
      <c r="F14" s="65">
        <f>IF(SER_hh_fech_in!F14=0,0,SER_hh_fech_in!F14/SER_summary!F$27)</f>
        <v>137.92512498681589</v>
      </c>
      <c r="G14" s="65">
        <f>IF(SER_hh_fech_in!G14=0,0,SER_hh_fech_in!G14/SER_summary!G$27)</f>
        <v>219.62684794865018</v>
      </c>
      <c r="H14" s="65">
        <f>IF(SER_hh_fech_in!H14=0,0,SER_hh_fech_in!H14/SER_summary!H$27)</f>
        <v>127.30265582061719</v>
      </c>
      <c r="I14" s="65">
        <f>IF(SER_hh_fech_in!I14=0,0,SER_hh_fech_in!I14/SER_summary!I$27)</f>
        <v>119.57902538406717</v>
      </c>
      <c r="J14" s="65">
        <f>IF(SER_hh_fech_in!J14=0,0,SER_hh_fech_in!J14/SER_summary!J$27)</f>
        <v>101.38294088975812</v>
      </c>
      <c r="K14" s="65">
        <f>IF(SER_hh_fech_in!K14=0,0,SER_hh_fech_in!K14/SER_summary!K$27)</f>
        <v>72.139163075335631</v>
      </c>
      <c r="L14" s="65">
        <f>IF(SER_hh_fech_in!L14=0,0,SER_hh_fech_in!L14/SER_summary!L$27)</f>
        <v>163.33018870202045</v>
      </c>
      <c r="M14" s="65">
        <f>IF(SER_hh_fech_in!M14=0,0,SER_hh_fech_in!M14/SER_summary!M$27)</f>
        <v>166.86089240255308</v>
      </c>
      <c r="N14" s="65">
        <f>IF(SER_hh_fech_in!N14=0,0,SER_hh_fech_in!N14/SER_summary!N$27)</f>
        <v>161.71101144999935</v>
      </c>
      <c r="O14" s="65">
        <f>IF(SER_hh_fech_in!O14=0,0,SER_hh_fech_in!O14/SER_summary!O$27)</f>
        <v>156.25154592881816</v>
      </c>
      <c r="P14" s="65">
        <f>IF(SER_hh_fech_in!P14=0,0,SER_hh_fech_in!P14/SER_summary!P$27)</f>
        <v>159.06470893286706</v>
      </c>
      <c r="Q14" s="65">
        <f>IF(SER_hh_fech_in!Q14=0,0,SER_hh_fech_in!Q14/SER_summary!Q$27)</f>
        <v>163.1871333684357</v>
      </c>
      <c r="R14" s="65">
        <f>IF(SER_hh_fech_in!R14=0,0,SER_hh_fech_in!R14/SER_summary!R$27)</f>
        <v>137.90801513422645</v>
      </c>
      <c r="S14" s="65">
        <f>IF(SER_hh_fech_in!S14=0,0,SER_hh_fech_in!S14/SER_summary!S$27)</f>
        <v>140.76249736498337</v>
      </c>
      <c r="T14" s="65">
        <f>IF(SER_hh_fech_in!T14=0,0,SER_hh_fech_in!T14/SER_summary!T$27)</f>
        <v>115.00508952030235</v>
      </c>
      <c r="U14" s="65">
        <f>IF(SER_hh_fech_in!U14=0,0,SER_hh_fech_in!U14/SER_summary!U$27)</f>
        <v>98.140490170343526</v>
      </c>
      <c r="V14" s="65">
        <f>IF(SER_hh_fech_in!V14=0,0,SER_hh_fech_in!V14/SER_summary!V$27)</f>
        <v>64.429157490664181</v>
      </c>
      <c r="W14" s="65">
        <f>IF(SER_hh_fech_in!W14=0,0,SER_hh_fech_in!W14/SER_summary!W$27)</f>
        <v>46.298978902308988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1.3031681110419344</v>
      </c>
      <c r="D15" s="135">
        <f>IF(SER_hh_fech_in!D15=0,0,SER_hh_fech_in!D15/SER_summary!D$27)</f>
        <v>1.4606740439320192</v>
      </c>
      <c r="E15" s="135">
        <f>IF(SER_hh_fech_in!E15=0,0,SER_hh_fech_in!E15/SER_summary!E$27)</f>
        <v>1.7528644064521954</v>
      </c>
      <c r="F15" s="135">
        <f>IF(SER_hh_fech_in!F15=0,0,SER_hh_fech_in!F15/SER_summary!F$27)</f>
        <v>1.7812148589509804</v>
      </c>
      <c r="G15" s="135">
        <f>IF(SER_hh_fech_in!G15=0,0,SER_hh_fech_in!G15/SER_summary!G$27)</f>
        <v>1.5332180757278002</v>
      </c>
      <c r="H15" s="135">
        <f>IF(SER_hh_fech_in!H15=0,0,SER_hh_fech_in!H15/SER_summary!H$27)</f>
        <v>1.3101726393746411</v>
      </c>
      <c r="I15" s="135">
        <f>IF(SER_hh_fech_in!I15=0,0,SER_hh_fech_in!I15/SER_summary!I$27)</f>
        <v>1.4073498725002489</v>
      </c>
      <c r="J15" s="135">
        <f>IF(SER_hh_fech_in!J15=0,0,SER_hh_fech_in!J15/SER_summary!J$27)</f>
        <v>1.2423498846409398</v>
      </c>
      <c r="K15" s="135">
        <f>IF(SER_hh_fech_in!K15=0,0,SER_hh_fech_in!K15/SER_summary!K$27)</f>
        <v>0.46461599594582897</v>
      </c>
      <c r="L15" s="135">
        <f>IF(SER_hh_fech_in!L15=0,0,SER_hh_fech_in!L15/SER_summary!L$27)</f>
        <v>2.045885157996528</v>
      </c>
      <c r="M15" s="135">
        <f>IF(SER_hh_fech_in!M15=0,0,SER_hh_fech_in!M15/SER_summary!M$27)</f>
        <v>1.4249500081489348</v>
      </c>
      <c r="N15" s="135">
        <f>IF(SER_hh_fech_in!N15=0,0,SER_hh_fech_in!N15/SER_summary!N$27)</f>
        <v>1.5663766735921421</v>
      </c>
      <c r="O15" s="135">
        <f>IF(SER_hh_fech_in!O15=0,0,SER_hh_fech_in!O15/SER_summary!O$27)</f>
        <v>1.895641688059184</v>
      </c>
      <c r="P15" s="135">
        <f>IF(SER_hh_fech_in!P15=0,0,SER_hh_fech_in!P15/SER_summary!P$27)</f>
        <v>1.8362575397240131</v>
      </c>
      <c r="Q15" s="135">
        <f>IF(SER_hh_fech_in!Q15=0,0,SER_hh_fech_in!Q15/SER_summary!Q$27)</f>
        <v>2.0406469208758287</v>
      </c>
      <c r="R15" s="135">
        <f>IF(SER_hh_fech_in!R15=0,0,SER_hh_fech_in!R15/SER_summary!R$27)</f>
        <v>1.6481453317524444</v>
      </c>
      <c r="S15" s="135">
        <f>IF(SER_hh_fech_in!S15=0,0,SER_hh_fech_in!S15/SER_summary!S$27)</f>
        <v>1.3127737765416183</v>
      </c>
      <c r="T15" s="135">
        <f>IF(SER_hh_fech_in!T15=0,0,SER_hh_fech_in!T15/SER_summary!T$27)</f>
        <v>1.3745667637397418</v>
      </c>
      <c r="U15" s="135">
        <f>IF(SER_hh_fech_in!U15=0,0,SER_hh_fech_in!U15/SER_summary!U$27)</f>
        <v>1.2188570636036962</v>
      </c>
      <c r="V15" s="135">
        <f>IF(SER_hh_fech_in!V15=0,0,SER_hh_fech_in!V15/SER_summary!V$27)</f>
        <v>0.7955652382611843</v>
      </c>
      <c r="W15" s="135">
        <f>IF(SER_hh_fech_in!W15=0,0,SER_hh_fech_in!W15/SER_summary!W$27)</f>
        <v>0.56809818812807034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35.226545795593232</v>
      </c>
      <c r="D16" s="131">
        <f>IF(SER_hh_fech_in!D16=0,0,SER_hh_fech_in!D16/SER_summary!D$27)</f>
        <v>26.461951161846752</v>
      </c>
      <c r="E16" s="131">
        <f>IF(SER_hh_fech_in!E16=0,0,SER_hh_fech_in!E16/SER_summary!E$27)</f>
        <v>38.939878480193293</v>
      </c>
      <c r="F16" s="131">
        <f>IF(SER_hh_fech_in!F16=0,0,SER_hh_fech_in!F16/SER_summary!F$27)</f>
        <v>19.711185434368318</v>
      </c>
      <c r="G16" s="131">
        <f>IF(SER_hh_fech_in!G16=0,0,SER_hh_fech_in!G16/SER_summary!G$27)</f>
        <v>18.862560737510613</v>
      </c>
      <c r="H16" s="131">
        <f>IF(SER_hh_fech_in!H16=0,0,SER_hh_fech_in!H16/SER_summary!H$27)</f>
        <v>24.872653203547998</v>
      </c>
      <c r="I16" s="131">
        <f>IF(SER_hh_fech_in!I16=0,0,SER_hh_fech_in!I16/SER_summary!I$27)</f>
        <v>24.987956647963486</v>
      </c>
      <c r="J16" s="131">
        <f>IF(SER_hh_fech_in!J16=0,0,SER_hh_fech_in!J16/SER_summary!J$27)</f>
        <v>20.879757549096919</v>
      </c>
      <c r="K16" s="131">
        <f>IF(SER_hh_fech_in!K16=0,0,SER_hh_fech_in!K16/SER_summary!K$27)</f>
        <v>20.703690860878289</v>
      </c>
      <c r="L16" s="131">
        <f>IF(SER_hh_fech_in!L16=0,0,SER_hh_fech_in!L16/SER_summary!L$27)</f>
        <v>16.247010532171672</v>
      </c>
      <c r="M16" s="131">
        <f>IF(SER_hh_fech_in!M16=0,0,SER_hh_fech_in!M16/SER_summary!M$27)</f>
        <v>16.846925482615699</v>
      </c>
      <c r="N16" s="131">
        <f>IF(SER_hh_fech_in!N16=0,0,SER_hh_fech_in!N16/SER_summary!N$27)</f>
        <v>28.036641735983377</v>
      </c>
      <c r="O16" s="131">
        <f>IF(SER_hh_fech_in!O16=0,0,SER_hh_fech_in!O16/SER_summary!O$27)</f>
        <v>18.651379620064009</v>
      </c>
      <c r="P16" s="131">
        <f>IF(SER_hh_fech_in!P16=0,0,SER_hh_fech_in!P16/SER_summary!P$27)</f>
        <v>18.106598985031123</v>
      </c>
      <c r="Q16" s="131">
        <f>IF(SER_hh_fech_in!Q16=0,0,SER_hh_fech_in!Q16/SER_summary!Q$27)</f>
        <v>18.369995019106359</v>
      </c>
      <c r="R16" s="131">
        <f>IF(SER_hh_fech_in!R16=0,0,SER_hh_fech_in!R16/SER_summary!R$27)</f>
        <v>14.616690111034295</v>
      </c>
      <c r="S16" s="131">
        <f>IF(SER_hh_fech_in!S16=0,0,SER_hh_fech_in!S16/SER_summary!S$27)</f>
        <v>16.543230238270439</v>
      </c>
      <c r="T16" s="131">
        <f>IF(SER_hh_fech_in!T16=0,0,SER_hh_fech_in!T16/SER_summary!T$27)</f>
        <v>13.990992590085103</v>
      </c>
      <c r="U16" s="131">
        <f>IF(SER_hh_fech_in!U16=0,0,SER_hh_fech_in!U16/SER_summary!U$27)</f>
        <v>18.033138732166861</v>
      </c>
      <c r="V16" s="131">
        <f>IF(SER_hh_fech_in!V16=0,0,SER_hh_fech_in!V16/SER_summary!V$27)</f>
        <v>13.356971933198377</v>
      </c>
      <c r="W16" s="131">
        <f>IF(SER_hh_fech_in!W16=0,0,SER_hh_fech_in!W16/SER_summary!W$27)</f>
        <v>13.893713165741037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35.226545795593232</v>
      </c>
      <c r="D18" s="133">
        <f>IF(SER_hh_fech_in!D18=0,0,SER_hh_fech_in!D18/SER_summary!D$27)</f>
        <v>26.461951161846752</v>
      </c>
      <c r="E18" s="133">
        <f>IF(SER_hh_fech_in!E18=0,0,SER_hh_fech_in!E18/SER_summary!E$27)</f>
        <v>38.939878480193293</v>
      </c>
      <c r="F18" s="133">
        <f>IF(SER_hh_fech_in!F18=0,0,SER_hh_fech_in!F18/SER_summary!F$27)</f>
        <v>19.711185434368318</v>
      </c>
      <c r="G18" s="133">
        <f>IF(SER_hh_fech_in!G18=0,0,SER_hh_fech_in!G18/SER_summary!G$27)</f>
        <v>18.862560737510613</v>
      </c>
      <c r="H18" s="133">
        <f>IF(SER_hh_fech_in!H18=0,0,SER_hh_fech_in!H18/SER_summary!H$27)</f>
        <v>24.872653203547998</v>
      </c>
      <c r="I18" s="133">
        <f>IF(SER_hh_fech_in!I18=0,0,SER_hh_fech_in!I18/SER_summary!I$27)</f>
        <v>24.987956647963486</v>
      </c>
      <c r="J18" s="133">
        <f>IF(SER_hh_fech_in!J18=0,0,SER_hh_fech_in!J18/SER_summary!J$27)</f>
        <v>20.879757549096919</v>
      </c>
      <c r="K18" s="133">
        <f>IF(SER_hh_fech_in!K18=0,0,SER_hh_fech_in!K18/SER_summary!K$27)</f>
        <v>20.703690860878289</v>
      </c>
      <c r="L18" s="133">
        <f>IF(SER_hh_fech_in!L18=0,0,SER_hh_fech_in!L18/SER_summary!L$27)</f>
        <v>16.247010532171672</v>
      </c>
      <c r="M18" s="133">
        <f>IF(SER_hh_fech_in!M18=0,0,SER_hh_fech_in!M18/SER_summary!M$27)</f>
        <v>16.846925482615699</v>
      </c>
      <c r="N18" s="133">
        <f>IF(SER_hh_fech_in!N18=0,0,SER_hh_fech_in!N18/SER_summary!N$27)</f>
        <v>28.036641735983377</v>
      </c>
      <c r="O18" s="133">
        <f>IF(SER_hh_fech_in!O18=0,0,SER_hh_fech_in!O18/SER_summary!O$27)</f>
        <v>18.651379620064009</v>
      </c>
      <c r="P18" s="133">
        <f>IF(SER_hh_fech_in!P18=0,0,SER_hh_fech_in!P18/SER_summary!P$27)</f>
        <v>18.106598985031123</v>
      </c>
      <c r="Q18" s="133">
        <f>IF(SER_hh_fech_in!Q18=0,0,SER_hh_fech_in!Q18/SER_summary!Q$27)</f>
        <v>18.369995019106359</v>
      </c>
      <c r="R18" s="133">
        <f>IF(SER_hh_fech_in!R18=0,0,SER_hh_fech_in!R18/SER_summary!R$27)</f>
        <v>14.616690111034295</v>
      </c>
      <c r="S18" s="133">
        <f>IF(SER_hh_fech_in!S18=0,0,SER_hh_fech_in!S18/SER_summary!S$27)</f>
        <v>16.543230238270439</v>
      </c>
      <c r="T18" s="133">
        <f>IF(SER_hh_fech_in!T18=0,0,SER_hh_fech_in!T18/SER_summary!T$27)</f>
        <v>13.990992590085103</v>
      </c>
      <c r="U18" s="133">
        <f>IF(SER_hh_fech_in!U18=0,0,SER_hh_fech_in!U18/SER_summary!U$27)</f>
        <v>18.033138732166861</v>
      </c>
      <c r="V18" s="133">
        <f>IF(SER_hh_fech_in!V18=0,0,SER_hh_fech_in!V18/SER_summary!V$27)</f>
        <v>13.356971933198377</v>
      </c>
      <c r="W18" s="133">
        <f>IF(SER_hh_fech_in!W18=0,0,SER_hh_fech_in!W18/SER_summary!W$27)</f>
        <v>13.893713165741037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53.37780064526703</v>
      </c>
      <c r="D19" s="131">
        <f>IF(SER_hh_fech_in!D19=0,0,SER_hh_fech_in!D19/SER_summary!D$27)</f>
        <v>54.226500078347343</v>
      </c>
      <c r="E19" s="131">
        <f>IF(SER_hh_fech_in!E19=0,0,SER_hh_fech_in!E19/SER_summary!E$27)</f>
        <v>54.379975410873151</v>
      </c>
      <c r="F19" s="131">
        <f>IF(SER_hh_fech_in!F19=0,0,SER_hh_fech_in!F19/SER_summary!F$27)</f>
        <v>55.103694169834199</v>
      </c>
      <c r="G19" s="131">
        <f>IF(SER_hh_fech_in!G19=0,0,SER_hh_fech_in!G19/SER_summary!G$27)</f>
        <v>52.738848022502495</v>
      </c>
      <c r="H19" s="131">
        <f>IF(SER_hh_fech_in!H19=0,0,SER_hh_fech_in!H19/SER_summary!H$27)</f>
        <v>57.717318795214993</v>
      </c>
      <c r="I19" s="131">
        <f>IF(SER_hh_fech_in!I19=0,0,SER_hh_fech_in!I19/SER_summary!I$27)</f>
        <v>52.645573178446014</v>
      </c>
      <c r="J19" s="131">
        <f>IF(SER_hh_fech_in!J19=0,0,SER_hh_fech_in!J19/SER_summary!J$27)</f>
        <v>50.066969009758552</v>
      </c>
      <c r="K19" s="131">
        <f>IF(SER_hh_fech_in!K19=0,0,SER_hh_fech_in!K19/SER_summary!K$27)</f>
        <v>50.362273500476256</v>
      </c>
      <c r="L19" s="131">
        <f>IF(SER_hh_fech_in!L19=0,0,SER_hh_fech_in!L19/SER_summary!L$27)</f>
        <v>51.887902178889561</v>
      </c>
      <c r="M19" s="131">
        <f>IF(SER_hh_fech_in!M19=0,0,SER_hh_fech_in!M19/SER_summary!M$27)</f>
        <v>50.889709232356175</v>
      </c>
      <c r="N19" s="131">
        <f>IF(SER_hh_fech_in!N19=0,0,SER_hh_fech_in!N19/SER_summary!N$27)</f>
        <v>48.054756320586691</v>
      </c>
      <c r="O19" s="131">
        <f>IF(SER_hh_fech_in!O19=0,0,SER_hh_fech_in!O19/SER_summary!O$27)</f>
        <v>47.151707981704547</v>
      </c>
      <c r="P19" s="131">
        <f>IF(SER_hh_fech_in!P19=0,0,SER_hh_fech_in!P19/SER_summary!P$27)</f>
        <v>44.411719022898218</v>
      </c>
      <c r="Q19" s="131">
        <f>IF(SER_hh_fech_in!Q19=0,0,SER_hh_fech_in!Q19/SER_summary!Q$27)</f>
        <v>42.222576328459013</v>
      </c>
      <c r="R19" s="131">
        <f>IF(SER_hh_fech_in!R19=0,0,SER_hh_fech_in!R19/SER_summary!R$27)</f>
        <v>40.842877442892352</v>
      </c>
      <c r="S19" s="131">
        <f>IF(SER_hh_fech_in!S19=0,0,SER_hh_fech_in!S19/SER_summary!S$27)</f>
        <v>39.197223280220555</v>
      </c>
      <c r="T19" s="131">
        <f>IF(SER_hh_fech_in!T19=0,0,SER_hh_fech_in!T19/SER_summary!T$27)</f>
        <v>37.90235854525605</v>
      </c>
      <c r="U19" s="131">
        <f>IF(SER_hh_fech_in!U19=0,0,SER_hh_fech_in!U19/SER_summary!U$27)</f>
        <v>36.696794181506789</v>
      </c>
      <c r="V19" s="131">
        <f>IF(SER_hh_fech_in!V19=0,0,SER_hh_fech_in!V19/SER_summary!V$27)</f>
        <v>34.159253907934506</v>
      </c>
      <c r="W19" s="131">
        <f>IF(SER_hh_fech_in!W19=0,0,SER_hh_fech_in!W19/SER_summary!W$27)</f>
        <v>34.050317499245573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66.426971440201953</v>
      </c>
      <c r="D21" s="133">
        <f>IF(SER_hh_fech_in!D21=0,0,SER_hh_fech_in!D21/SER_summary!D$27)</f>
        <v>67.379697173804985</v>
      </c>
      <c r="E21" s="133">
        <f>IF(SER_hh_fech_in!E21=0,0,SER_hh_fech_in!E21/SER_summary!E$27)</f>
        <v>57.776377032322635</v>
      </c>
      <c r="F21" s="133">
        <f>IF(SER_hh_fech_in!F21=0,0,SER_hh_fech_in!F21/SER_summary!F$27)</f>
        <v>50.266751591460661</v>
      </c>
      <c r="G21" s="133">
        <f>IF(SER_hh_fech_in!G21=0,0,SER_hh_fech_in!G21/SER_summary!G$27)</f>
        <v>42.803658168998098</v>
      </c>
      <c r="H21" s="133">
        <f>IF(SER_hh_fech_in!H21=0,0,SER_hh_fech_in!H21/SER_summary!H$27)</f>
        <v>94.962520409012797</v>
      </c>
      <c r="I21" s="133">
        <f>IF(SER_hh_fech_in!I21=0,0,SER_hh_fech_in!I21/SER_summary!I$27)</f>
        <v>114.80803927847204</v>
      </c>
      <c r="J21" s="133">
        <f>IF(SER_hh_fech_in!J21=0,0,SER_hh_fech_in!J21/SER_summary!J$27)</f>
        <v>104.28700682120289</v>
      </c>
      <c r="K21" s="133">
        <f>IF(SER_hh_fech_in!K21=0,0,SER_hh_fech_in!K21/SER_summary!K$27)</f>
        <v>96.243671372719234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40.057884260304021</v>
      </c>
      <c r="T21" s="133">
        <f>IF(SER_hh_fech_in!T21=0,0,SER_hh_fech_in!T21/SER_summary!T$27)</f>
        <v>46.927065623227584</v>
      </c>
      <c r="U21" s="133">
        <f>IF(SER_hh_fech_in!U21=0,0,SER_hh_fech_in!U21/SER_summary!U$27)</f>
        <v>44.720190276665299</v>
      </c>
      <c r="V21" s="133">
        <f>IF(SER_hh_fech_in!V21=0,0,SER_hh_fech_in!V21/SER_summary!V$27)</f>
        <v>36.185234368491962</v>
      </c>
      <c r="W21" s="133">
        <f>IF(SER_hh_fech_in!W21=0,0,SER_hh_fech_in!W21/SER_summary!W$27)</f>
        <v>41.944915473877998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0</v>
      </c>
      <c r="D23" s="133">
        <f>IF(SER_hh_fech_in!D23=0,0,SER_hh_fech_in!D23/SER_summary!D$27)</f>
        <v>0</v>
      </c>
      <c r="E23" s="133">
        <f>IF(SER_hh_fech_in!E23=0,0,SER_hh_fech_in!E23/SER_summary!E$27)</f>
        <v>0</v>
      </c>
      <c r="F23" s="133">
        <f>IF(SER_hh_fech_in!F23=0,0,SER_hh_fech_in!F23/SER_summary!F$27)</f>
        <v>0</v>
      </c>
      <c r="G23" s="133">
        <f>IF(SER_hh_fech_in!G23=0,0,SER_hh_fech_in!G23/SER_summary!G$27)</f>
        <v>0</v>
      </c>
      <c r="H23" s="133">
        <f>IF(SER_hh_fech_in!H23=0,0,SER_hh_fech_in!H23/SER_summary!H$27)</f>
        <v>0</v>
      </c>
      <c r="I23" s="133">
        <f>IF(SER_hh_fech_in!I23=0,0,SER_hh_fech_in!I23/SER_summary!I$27)</f>
        <v>0</v>
      </c>
      <c r="J23" s="133">
        <f>IF(SER_hh_fech_in!J23=0,0,SER_hh_fech_in!J23/SER_summary!J$27)</f>
        <v>0</v>
      </c>
      <c r="K23" s="133">
        <f>IF(SER_hh_fech_in!K23=0,0,SER_hh_fech_in!K23/SER_summary!K$27)</f>
        <v>0</v>
      </c>
      <c r="L23" s="133">
        <f>IF(SER_hh_fech_in!L23=0,0,SER_hh_fech_in!L23/SER_summary!L$27)</f>
        <v>0</v>
      </c>
      <c r="M23" s="133">
        <f>IF(SER_hh_fech_in!M23=0,0,SER_hh_fech_in!M23/SER_summary!M$27)</f>
        <v>0</v>
      </c>
      <c r="N23" s="133">
        <f>IF(SER_hh_fech_in!N23=0,0,SER_hh_fech_in!N23/SER_summary!N$27)</f>
        <v>0</v>
      </c>
      <c r="O23" s="133">
        <f>IF(SER_hh_fech_in!O23=0,0,SER_hh_fech_in!O23/SER_summary!O$27)</f>
        <v>0</v>
      </c>
      <c r="P23" s="133">
        <f>IF(SER_hh_fech_in!P23=0,0,SER_hh_fech_in!P23/SER_summary!P$27)</f>
        <v>0</v>
      </c>
      <c r="Q23" s="133">
        <f>IF(SER_hh_fech_in!Q23=0,0,SER_hh_fech_in!Q23/SER_summary!Q$27)</f>
        <v>0</v>
      </c>
      <c r="R23" s="133">
        <f>IF(SER_hh_fech_in!R23=0,0,SER_hh_fech_in!R23/SER_summary!R$27)</f>
        <v>0</v>
      </c>
      <c r="S23" s="133">
        <f>IF(SER_hh_fech_in!S23=0,0,SER_hh_fech_in!S23/SER_summary!S$27)</f>
        <v>0</v>
      </c>
      <c r="T23" s="133">
        <f>IF(SER_hh_fech_in!T23=0,0,SER_hh_fech_in!T23/SER_summary!T$27)</f>
        <v>0</v>
      </c>
      <c r="U23" s="133">
        <f>IF(SER_hh_fech_in!U23=0,0,SER_hh_fech_in!U23/SER_summary!U$27)</f>
        <v>0</v>
      </c>
      <c r="V23" s="133">
        <f>IF(SER_hh_fech_in!V23=0,0,SER_hh_fech_in!V23/SER_summary!V$27)</f>
        <v>0</v>
      </c>
      <c r="W23" s="133">
        <f>IF(SER_hh_fech_in!W23=0,0,SER_hh_fech_in!W23/SER_summary!W$27)</f>
        <v>0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66.598954223112472</v>
      </c>
      <c r="N25" s="133">
        <f>IF(SER_hh_fech_in!N25=0,0,SER_hh_fech_in!N25/SER_summary!N$27)</f>
        <v>47.367920442019447</v>
      </c>
      <c r="O25" s="133">
        <f>IF(SER_hh_fech_in!O25=0,0,SER_hh_fech_in!O25/SER_summary!O$27)</f>
        <v>46.716564425866061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52.686890215398194</v>
      </c>
      <c r="D26" s="65">
        <f>IF(SER_hh_fech_in!D26=0,0,SER_hh_fech_in!D26/SER_summary!D$27)</f>
        <v>53.720922022565574</v>
      </c>
      <c r="E26" s="65">
        <f>IF(SER_hh_fech_in!E26=0,0,SER_hh_fech_in!E26/SER_summary!E$27)</f>
        <v>54.162188172158395</v>
      </c>
      <c r="F26" s="65">
        <f>IF(SER_hh_fech_in!F26=0,0,SER_hh_fech_in!F26/SER_summary!F$27)</f>
        <v>55.735853303131428</v>
      </c>
      <c r="G26" s="65">
        <f>IF(SER_hh_fech_in!G26=0,0,SER_hh_fech_in!G26/SER_summary!G$27)</f>
        <v>55.430194682305597</v>
      </c>
      <c r="H26" s="65">
        <f>IF(SER_hh_fech_in!H26=0,0,SER_hh_fech_in!H26/SER_summary!H$27)</f>
        <v>50.637832920786913</v>
      </c>
      <c r="I26" s="65">
        <f>IF(SER_hh_fech_in!I26=0,0,SER_hh_fech_in!I26/SER_summary!I$27)</f>
        <v>47.817009543704735</v>
      </c>
      <c r="J26" s="65">
        <f>IF(SER_hh_fech_in!J26=0,0,SER_hh_fech_in!J26/SER_summary!J$27)</f>
        <v>46.893217191668796</v>
      </c>
      <c r="K26" s="65">
        <f>IF(SER_hh_fech_in!K26=0,0,SER_hh_fech_in!K26/SER_summary!K$27)</f>
        <v>47.624584192019697</v>
      </c>
      <c r="L26" s="65">
        <f>IF(SER_hh_fech_in!L26=0,0,SER_hh_fech_in!L26/SER_summary!L$27)</f>
        <v>51.887902178889561</v>
      </c>
      <c r="M26" s="65">
        <f>IF(SER_hh_fech_in!M26=0,0,SER_hh_fech_in!M26/SER_summary!M$27)</f>
        <v>50.855976787107608</v>
      </c>
      <c r="N26" s="65">
        <f>IF(SER_hh_fech_in!N26=0,0,SER_hh_fech_in!N26/SER_summary!N$27)</f>
        <v>48.055070188516055</v>
      </c>
      <c r="O26" s="65">
        <f>IF(SER_hh_fech_in!O26=0,0,SER_hh_fech_in!O26/SER_summary!O$27)</f>
        <v>47.151856184395257</v>
      </c>
      <c r="P26" s="65">
        <f>IF(SER_hh_fech_in!P26=0,0,SER_hh_fech_in!P26/SER_summary!P$27)</f>
        <v>44.411719022898218</v>
      </c>
      <c r="Q26" s="65">
        <f>IF(SER_hh_fech_in!Q26=0,0,SER_hh_fech_in!Q26/SER_summary!Q$27)</f>
        <v>42.222576328459013</v>
      </c>
      <c r="R26" s="65">
        <f>IF(SER_hh_fech_in!R26=0,0,SER_hh_fech_in!R26/SER_summary!R$27)</f>
        <v>40.842877442892352</v>
      </c>
      <c r="S26" s="65">
        <f>IF(SER_hh_fech_in!S26=0,0,SER_hh_fech_in!S26/SER_summary!S$27)</f>
        <v>39.172826542707611</v>
      </c>
      <c r="T26" s="65">
        <f>IF(SER_hh_fech_in!T26=0,0,SER_hh_fech_in!T26/SER_summary!T$27)</f>
        <v>37.598740710910143</v>
      </c>
      <c r="U26" s="65">
        <f>IF(SER_hh_fech_in!U26=0,0,SER_hh_fech_in!U26/SER_summary!U$27)</f>
        <v>36.518958854977178</v>
      </c>
      <c r="V26" s="65">
        <f>IF(SER_hh_fech_in!V26=0,0,SER_hh_fech_in!V26/SER_summary!V$27)</f>
        <v>34.128705435655597</v>
      </c>
      <c r="W26" s="65">
        <f>IF(SER_hh_fech_in!W26=0,0,SER_hh_fech_in!W26/SER_summary!W$27)</f>
        <v>33.775252484005932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63.144688462837259</v>
      </c>
      <c r="D29" s="131">
        <f>IF(SER_hh_fech_in!D29=0,0,SER_hh_fech_in!D29/SER_summary!D$27)</f>
        <v>65.388566443453414</v>
      </c>
      <c r="E29" s="131">
        <f>IF(SER_hh_fech_in!E29=0,0,SER_hh_fech_in!E29/SER_summary!E$27)</f>
        <v>66.248297916765125</v>
      </c>
      <c r="F29" s="131">
        <f>IF(SER_hh_fech_in!F29=0,0,SER_hh_fech_in!F29/SER_summary!F$27)</f>
        <v>68.063754067536877</v>
      </c>
      <c r="G29" s="131">
        <f>IF(SER_hh_fech_in!G29=0,0,SER_hh_fech_in!G29/SER_summary!G$27)</f>
        <v>66.189949333035528</v>
      </c>
      <c r="H29" s="131">
        <f>IF(SER_hh_fech_in!H29=0,0,SER_hh_fech_in!H29/SER_summary!H$27)</f>
        <v>70.650210373846335</v>
      </c>
      <c r="I29" s="131">
        <f>IF(SER_hh_fech_in!I29=0,0,SER_hh_fech_in!I29/SER_summary!I$27)</f>
        <v>68.144676158152024</v>
      </c>
      <c r="J29" s="131">
        <f>IF(SER_hh_fech_in!J29=0,0,SER_hh_fech_in!J29/SER_summary!J$27)</f>
        <v>68.145567745751507</v>
      </c>
      <c r="K29" s="131">
        <f>IF(SER_hh_fech_in!K29=0,0,SER_hh_fech_in!K29/SER_summary!K$27)</f>
        <v>76.022929706114823</v>
      </c>
      <c r="L29" s="131">
        <f>IF(SER_hh_fech_in!L29=0,0,SER_hh_fech_in!L29/SER_summary!L$27)</f>
        <v>65.676120437139872</v>
      </c>
      <c r="M29" s="131">
        <f>IF(SER_hh_fech_in!M29=0,0,SER_hh_fech_in!M29/SER_summary!M$27)</f>
        <v>66.328498588302025</v>
      </c>
      <c r="N29" s="131">
        <f>IF(SER_hh_fech_in!N29=0,0,SER_hh_fech_in!N29/SER_summary!N$27)</f>
        <v>62.156067192292646</v>
      </c>
      <c r="O29" s="131">
        <f>IF(SER_hh_fech_in!O29=0,0,SER_hh_fech_in!O29/SER_summary!O$27)</f>
        <v>63.095318780482494</v>
      </c>
      <c r="P29" s="131">
        <f>IF(SER_hh_fech_in!P29=0,0,SER_hh_fech_in!P29/SER_summary!P$27)</f>
        <v>62.767837989951268</v>
      </c>
      <c r="Q29" s="131">
        <f>IF(SER_hh_fech_in!Q29=0,0,SER_hh_fech_in!Q29/SER_summary!Q$27)</f>
        <v>64.924075922455671</v>
      </c>
      <c r="R29" s="131">
        <f>IF(SER_hh_fech_in!R29=0,0,SER_hh_fech_in!R29/SER_summary!R$27)</f>
        <v>62.862795037901854</v>
      </c>
      <c r="S29" s="131">
        <f>IF(SER_hh_fech_in!S29=0,0,SER_hh_fech_in!S29/SER_summary!S$27)</f>
        <v>65.190239098667249</v>
      </c>
      <c r="T29" s="131">
        <f>IF(SER_hh_fech_in!T29=0,0,SER_hh_fech_in!T29/SER_summary!T$27)</f>
        <v>68.499624167650452</v>
      </c>
      <c r="U29" s="131">
        <f>IF(SER_hh_fech_in!U29=0,0,SER_hh_fech_in!U29/SER_summary!U$27)</f>
        <v>62.388076387340135</v>
      </c>
      <c r="V29" s="131">
        <f>IF(SER_hh_fech_in!V29=0,0,SER_hh_fech_in!V29/SER_summary!V$27)</f>
        <v>53.918258380980703</v>
      </c>
      <c r="W29" s="131">
        <f>IF(SER_hh_fech_in!W29=0,0,SER_hh_fech_in!W29/SER_summary!W$27)</f>
        <v>55.270832665066926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77.158606336526333</v>
      </c>
      <c r="D30" s="133">
        <f>IF(SER_hh_fech_in!D30=0,0,SER_hh_fech_in!D30/SER_summary!D$27)</f>
        <v>90.902159233577649</v>
      </c>
      <c r="E30" s="133">
        <f>IF(SER_hh_fech_in!E30=0,0,SER_hh_fech_in!E30/SER_summary!E$27)</f>
        <v>87.098038269667498</v>
      </c>
      <c r="F30" s="133">
        <f>IF(SER_hh_fech_in!F30=0,0,SER_hh_fech_in!F30/SER_summary!F$27)</f>
        <v>75.90534519862338</v>
      </c>
      <c r="G30" s="133">
        <f>IF(SER_hh_fech_in!G30=0,0,SER_hh_fech_in!G30/SER_summary!G$27)</f>
        <v>66.528194252494657</v>
      </c>
      <c r="H30" s="133">
        <f>IF(SER_hh_fech_in!H30=0,0,SER_hh_fech_in!H30/SER_summary!H$27)</f>
        <v>85.040635701212921</v>
      </c>
      <c r="I30" s="133">
        <f>IF(SER_hh_fech_in!I30=0,0,SER_hh_fech_in!I30/SER_summary!I$27)</f>
        <v>73.596657357437024</v>
      </c>
      <c r="J30" s="133">
        <f>IF(SER_hh_fech_in!J30=0,0,SER_hh_fech_in!J30/SER_summary!J$27)</f>
        <v>81.241736664065442</v>
      </c>
      <c r="K30" s="133">
        <f>IF(SER_hh_fech_in!K30=0,0,SER_hh_fech_in!K30/SER_summary!K$27)</f>
        <v>100.32823500920796</v>
      </c>
      <c r="L30" s="133">
        <f>IF(SER_hh_fech_in!L30=0,0,SER_hh_fech_in!L30/SER_summary!L$27)</f>
        <v>75.725754246528894</v>
      </c>
      <c r="M30" s="133">
        <f>IF(SER_hh_fech_in!M30=0,0,SER_hh_fech_in!M30/SER_summary!M$27)</f>
        <v>84.704511177731092</v>
      </c>
      <c r="N30" s="133">
        <f>IF(SER_hh_fech_in!N30=0,0,SER_hh_fech_in!N30/SER_summary!N$27)</f>
        <v>81.659520582865952</v>
      </c>
      <c r="O30" s="133">
        <f>IF(SER_hh_fech_in!O30=0,0,SER_hh_fech_in!O30/SER_summary!O$27)</f>
        <v>78.983420125109362</v>
      </c>
      <c r="P30" s="133">
        <f>IF(SER_hh_fech_in!P30=0,0,SER_hh_fech_in!P30/SER_summary!P$27)</f>
        <v>77.990635686619939</v>
      </c>
      <c r="Q30" s="133">
        <f>IF(SER_hh_fech_in!Q30=0,0,SER_hh_fech_in!Q30/SER_summary!Q$27)</f>
        <v>86.101744158466047</v>
      </c>
      <c r="R30" s="133">
        <f>IF(SER_hh_fech_in!R30=0,0,SER_hh_fech_in!R30/SER_summary!R$27)</f>
        <v>69.763208181941039</v>
      </c>
      <c r="S30" s="133">
        <f>IF(SER_hh_fech_in!S30=0,0,SER_hh_fech_in!S30/SER_summary!S$27)</f>
        <v>74.393539161957122</v>
      </c>
      <c r="T30" s="133">
        <f>IF(SER_hh_fech_in!T30=0,0,SER_hh_fech_in!T30/SER_summary!T$27)</f>
        <v>85.995558907035942</v>
      </c>
      <c r="U30" s="133">
        <f>IF(SER_hh_fech_in!U30=0,0,SER_hh_fech_in!U30/SER_summary!U$27)</f>
        <v>87.11788376333277</v>
      </c>
      <c r="V30" s="133">
        <f>IF(SER_hh_fech_in!V30=0,0,SER_hh_fech_in!V30/SER_summary!V$27)</f>
        <v>57.811128374133681</v>
      </c>
      <c r="W30" s="133">
        <f>IF(SER_hh_fech_in!W30=0,0,SER_hh_fech_in!W30/SER_summary!W$27)</f>
        <v>62.886057469213618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0</v>
      </c>
      <c r="D31" s="133">
        <f>IF(SER_hh_fech_in!D31=0,0,SER_hh_fech_in!D31/SER_summary!D$27)</f>
        <v>0</v>
      </c>
      <c r="E31" s="133">
        <f>IF(SER_hh_fech_in!E31=0,0,SER_hh_fech_in!E31/SER_summary!E$27)</f>
        <v>0</v>
      </c>
      <c r="F31" s="133">
        <f>IF(SER_hh_fech_in!F31=0,0,SER_hh_fech_in!F31/SER_summary!F$27)</f>
        <v>0</v>
      </c>
      <c r="G31" s="133">
        <f>IF(SER_hh_fech_in!G31=0,0,SER_hh_fech_in!G31/SER_summary!G$27)</f>
        <v>0</v>
      </c>
      <c r="H31" s="133">
        <f>IF(SER_hh_fech_in!H31=0,0,SER_hh_fech_in!H31/SER_summary!H$27)</f>
        <v>0</v>
      </c>
      <c r="I31" s="133">
        <f>IF(SER_hh_fech_in!I31=0,0,SER_hh_fech_in!I31/SER_summary!I$27)</f>
        <v>0</v>
      </c>
      <c r="J31" s="133">
        <f>IF(SER_hh_fech_in!J31=0,0,SER_hh_fech_in!J31/SER_summary!J$27)</f>
        <v>0</v>
      </c>
      <c r="K31" s="133">
        <f>IF(SER_hh_fech_in!K31=0,0,SER_hh_fech_in!K31/SER_summary!K$27)</f>
        <v>0</v>
      </c>
      <c r="L31" s="133">
        <f>IF(SER_hh_fech_in!L31=0,0,SER_hh_fech_in!L31/SER_summary!L$27)</f>
        <v>0</v>
      </c>
      <c r="M31" s="133">
        <f>IF(SER_hh_fech_in!M31=0,0,SER_hh_fech_in!M31/SER_summary!M$27)</f>
        <v>0</v>
      </c>
      <c r="N31" s="133">
        <f>IF(SER_hh_fech_in!N31=0,0,SER_hh_fech_in!N31/SER_summary!N$27)</f>
        <v>0</v>
      </c>
      <c r="O31" s="133">
        <f>IF(SER_hh_fech_in!O31=0,0,SER_hh_fech_in!O31/SER_summary!O$27)</f>
        <v>0</v>
      </c>
      <c r="P31" s="133">
        <f>IF(SER_hh_fech_in!P31=0,0,SER_hh_fech_in!P31/SER_summary!P$27)</f>
        <v>0</v>
      </c>
      <c r="Q31" s="133">
        <f>IF(SER_hh_fech_in!Q31=0,0,SER_hh_fech_in!Q31/SER_summary!Q$27)</f>
        <v>0</v>
      </c>
      <c r="R31" s="133">
        <f>IF(SER_hh_fech_in!R31=0,0,SER_hh_fech_in!R31/SER_summary!R$27)</f>
        <v>0</v>
      </c>
      <c r="S31" s="133">
        <f>IF(SER_hh_fech_in!S31=0,0,SER_hh_fech_in!S31/SER_summary!S$27)</f>
        <v>0</v>
      </c>
      <c r="T31" s="133">
        <f>IF(SER_hh_fech_in!T31=0,0,SER_hh_fech_in!T31/SER_summary!T$27)</f>
        <v>0</v>
      </c>
      <c r="U31" s="133">
        <f>IF(SER_hh_fech_in!U31=0,0,SER_hh_fech_in!U31/SER_summary!U$27)</f>
        <v>0</v>
      </c>
      <c r="V31" s="133">
        <f>IF(SER_hh_fech_in!V31=0,0,SER_hh_fech_in!V31/SER_summary!V$27)</f>
        <v>0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62.300821243906277</v>
      </c>
      <c r="D33" s="68">
        <f>IF(SER_hh_fech_in!D33=0,0,SER_hh_fech_in!D33/SER_summary!D$27)</f>
        <v>63.255669490778821</v>
      </c>
      <c r="E33" s="68">
        <f>IF(SER_hh_fech_in!E33=0,0,SER_hh_fech_in!E33/SER_summary!E$27)</f>
        <v>65.013148528853137</v>
      </c>
      <c r="F33" s="68">
        <f>IF(SER_hh_fech_in!F33=0,0,SER_hh_fech_in!F33/SER_summary!F$27)</f>
        <v>67.146710490137465</v>
      </c>
      <c r="G33" s="68">
        <f>IF(SER_hh_fech_in!G33=0,0,SER_hh_fech_in!G33/SER_summary!G$27)</f>
        <v>66.132083691084475</v>
      </c>
      <c r="H33" s="68">
        <f>IF(SER_hh_fech_in!H33=0,0,SER_hh_fech_in!H33/SER_summary!H$27)</f>
        <v>64.291075315030525</v>
      </c>
      <c r="I33" s="68">
        <f>IF(SER_hh_fech_in!I33=0,0,SER_hh_fech_in!I33/SER_summary!I$27)</f>
        <v>64.798166698930558</v>
      </c>
      <c r="J33" s="68">
        <f>IF(SER_hh_fech_in!J33=0,0,SER_hh_fech_in!J33/SER_summary!J$27)</f>
        <v>61.59024912689231</v>
      </c>
      <c r="K33" s="68">
        <f>IF(SER_hh_fech_in!K33=0,0,SER_hh_fech_in!K33/SER_summary!K$27)</f>
        <v>58.16186380821366</v>
      </c>
      <c r="L33" s="68">
        <f>IF(SER_hh_fech_in!L33=0,0,SER_hh_fech_in!L33/SER_summary!L$27)</f>
        <v>64.298470928042192</v>
      </c>
      <c r="M33" s="68">
        <f>IF(SER_hh_fech_in!M33=0,0,SER_hh_fech_in!M33/SER_summary!M$27)</f>
        <v>62.000827127918157</v>
      </c>
      <c r="N33" s="68">
        <f>IF(SER_hh_fech_in!N33=0,0,SER_hh_fech_in!N33/SER_summary!N$27)</f>
        <v>60.704324452814753</v>
      </c>
      <c r="O33" s="68">
        <f>IF(SER_hh_fech_in!O33=0,0,SER_hh_fech_in!O33/SER_summary!O$27)</f>
        <v>60.090338389160891</v>
      </c>
      <c r="P33" s="68">
        <f>IF(SER_hh_fech_in!P33=0,0,SER_hh_fech_in!P33/SER_summary!P$27)</f>
        <v>60.054301111619829</v>
      </c>
      <c r="Q33" s="68">
        <f>IF(SER_hh_fech_in!Q33=0,0,SER_hh_fech_in!Q33/SER_summary!Q$27)</f>
        <v>57.722708456373638</v>
      </c>
      <c r="R33" s="68">
        <f>IF(SER_hh_fech_in!R33=0,0,SER_hh_fech_in!R33/SER_summary!R$27)</f>
        <v>60.229838365310819</v>
      </c>
      <c r="S33" s="68">
        <f>IF(SER_hh_fech_in!S33=0,0,SER_hh_fech_in!S33/SER_summary!S$27)</f>
        <v>57.126574294264756</v>
      </c>
      <c r="T33" s="68">
        <f>IF(SER_hh_fech_in!T33=0,0,SER_hh_fech_in!T33/SER_summary!T$27)</f>
        <v>53.012265699268063</v>
      </c>
      <c r="U33" s="68">
        <f>IF(SER_hh_fech_in!U33=0,0,SER_hh_fech_in!U33/SER_summary!U$27)</f>
        <v>51.756004010275632</v>
      </c>
      <c r="V33" s="68">
        <f>IF(SER_hh_fech_in!V33=0,0,SER_hh_fech_in!V33/SER_summary!V$27)</f>
        <v>52.91620179769928</v>
      </c>
      <c r="W33" s="68">
        <f>IF(SER_hh_fech_in!W33=0,0,SER_hh_fech_in!W33/SER_summary!W$27)</f>
        <v>53.477005189089581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230.30090426422541</v>
      </c>
      <c r="D3" s="126">
        <f>IF(SER_hh_tesh_in!D3=0,0,SER_hh_tesh_in!D3/SER_summary!D$27)</f>
        <v>224.2350340969661</v>
      </c>
      <c r="E3" s="126">
        <f>IF(SER_hh_tesh_in!E3=0,0,SER_hh_tesh_in!E3/SER_summary!E$27)</f>
        <v>267.11577379571264</v>
      </c>
      <c r="F3" s="126">
        <f>IF(SER_hh_tesh_in!F3=0,0,SER_hh_tesh_in!F3/SER_summary!F$27)</f>
        <v>217.84362893324791</v>
      </c>
      <c r="G3" s="126">
        <f>IF(SER_hh_tesh_in!G3=0,0,SER_hh_tesh_in!G3/SER_summary!G$27)</f>
        <v>254.62425938367144</v>
      </c>
      <c r="H3" s="126">
        <f>IF(SER_hh_tesh_in!H3=0,0,SER_hh_tesh_in!H3/SER_summary!H$27)</f>
        <v>225.50615174089342</v>
      </c>
      <c r="I3" s="126">
        <f>IF(SER_hh_tesh_in!I3=0,0,SER_hh_tesh_in!I3/SER_summary!I$27)</f>
        <v>226.49258842900934</v>
      </c>
      <c r="J3" s="126">
        <f>IF(SER_hh_tesh_in!J3=0,0,SER_hh_tesh_in!J3/SER_summary!J$27)</f>
        <v>209.32935035391637</v>
      </c>
      <c r="K3" s="126">
        <f>IF(SER_hh_tesh_in!K3=0,0,SER_hh_tesh_in!K3/SER_summary!K$27)</f>
        <v>191.53956578260397</v>
      </c>
      <c r="L3" s="126">
        <f>IF(SER_hh_tesh_in!L3=0,0,SER_hh_tesh_in!L3/SER_summary!L$27)</f>
        <v>235.43053656112892</v>
      </c>
      <c r="M3" s="126">
        <f>IF(SER_hh_tesh_in!M3=0,0,SER_hh_tesh_in!M3/SER_summary!M$27)</f>
        <v>231.00264687039171</v>
      </c>
      <c r="N3" s="126">
        <f>IF(SER_hh_tesh_in!N3=0,0,SER_hh_tesh_in!N3/SER_summary!N$27)</f>
        <v>272.71802540730459</v>
      </c>
      <c r="O3" s="126">
        <f>IF(SER_hh_tesh_in!O3=0,0,SER_hh_tesh_in!O3/SER_summary!O$27)</f>
        <v>253.74282606362678</v>
      </c>
      <c r="P3" s="126">
        <f>IF(SER_hh_tesh_in!P3=0,0,SER_hh_tesh_in!P3/SER_summary!P$27)</f>
        <v>257.27535612585092</v>
      </c>
      <c r="Q3" s="126">
        <f>IF(SER_hh_tesh_in!Q3=0,0,SER_hh_tesh_in!Q3/SER_summary!Q$27)</f>
        <v>268.95132392132871</v>
      </c>
      <c r="R3" s="126">
        <f>IF(SER_hh_tesh_in!R3=0,0,SER_hh_tesh_in!R3/SER_summary!R$27)</f>
        <v>235.23609002026561</v>
      </c>
      <c r="S3" s="126">
        <f>IF(SER_hh_tesh_in!S3=0,0,SER_hh_tesh_in!S3/SER_summary!S$27)</f>
        <v>243.42258967027408</v>
      </c>
      <c r="T3" s="126">
        <f>IF(SER_hh_tesh_in!T3=0,0,SER_hh_tesh_in!T3/SER_summary!T$27)</f>
        <v>219.67665514935354</v>
      </c>
      <c r="U3" s="126">
        <f>IF(SER_hh_tesh_in!U3=0,0,SER_hh_tesh_in!U3/SER_summary!U$27)</f>
        <v>223.79908616866788</v>
      </c>
      <c r="V3" s="126">
        <f>IF(SER_hh_tesh_in!V3=0,0,SER_hh_tesh_in!V3/SER_summary!V$27)</f>
        <v>181.99164948353049</v>
      </c>
      <c r="W3" s="126">
        <f>IF(SER_hh_tesh_in!W3=0,0,SER_hh_tesh_in!W3/SER_summary!W$27)</f>
        <v>170.56637073282826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69.131822190798985</v>
      </c>
      <c r="D4" s="131">
        <f>IF(SER_hh_tesh_in!D4=0,0,SER_hh_tesh_in!D4/SER_summary!D$27)</f>
        <v>80.443025461761238</v>
      </c>
      <c r="E4" s="131">
        <f>IF(SER_hh_tesh_in!E4=0,0,SER_hh_tesh_in!E4/SER_summary!E$27)</f>
        <v>86.695690710298976</v>
      </c>
      <c r="F4" s="131">
        <f>IF(SER_hh_tesh_in!F4=0,0,SER_hh_tesh_in!F4/SER_summary!F$27)</f>
        <v>85.323085826491109</v>
      </c>
      <c r="G4" s="131">
        <f>IF(SER_hh_tesh_in!G4=0,0,SER_hh_tesh_in!G4/SER_summary!G$27)</f>
        <v>125.77073766648154</v>
      </c>
      <c r="H4" s="131">
        <f>IF(SER_hh_tesh_in!H4=0,0,SER_hh_tesh_in!H4/SER_summary!H$27)</f>
        <v>74.609898584887731</v>
      </c>
      <c r="I4" s="131">
        <f>IF(SER_hh_tesh_in!I4=0,0,SER_hh_tesh_in!I4/SER_summary!I$27)</f>
        <v>77.104901142587636</v>
      </c>
      <c r="J4" s="131">
        <f>IF(SER_hh_tesh_in!J4=0,0,SER_hh_tesh_in!J4/SER_summary!J$27)</f>
        <v>71.103944124344352</v>
      </c>
      <c r="K4" s="131">
        <f>IF(SER_hh_tesh_in!K4=0,0,SER_hh_tesh_in!K4/SER_summary!K$27)</f>
        <v>48.262707344194546</v>
      </c>
      <c r="L4" s="131">
        <f>IF(SER_hh_tesh_in!L4=0,0,SER_hh_tesh_in!L4/SER_summary!L$27)</f>
        <v>104.81679603858819</v>
      </c>
      <c r="M4" s="131">
        <f>IF(SER_hh_tesh_in!M4=0,0,SER_hh_tesh_in!M4/SER_summary!M$27)</f>
        <v>97.247163194129755</v>
      </c>
      <c r="N4" s="131">
        <f>IF(SER_hh_tesh_in!N4=0,0,SER_hh_tesh_in!N4/SER_summary!N$27)</f>
        <v>98.842873025376235</v>
      </c>
      <c r="O4" s="131">
        <f>IF(SER_hh_tesh_in!O4=0,0,SER_hh_tesh_in!O4/SER_summary!O$27)</f>
        <v>110.02759193370879</v>
      </c>
      <c r="P4" s="131">
        <f>IF(SER_hh_tesh_in!P4=0,0,SER_hh_tesh_in!P4/SER_summary!P$27)</f>
        <v>112.57462888965836</v>
      </c>
      <c r="Q4" s="131">
        <f>IF(SER_hh_tesh_in!Q4=0,0,SER_hh_tesh_in!Q4/SER_summary!Q$27)</f>
        <v>120.66776410248747</v>
      </c>
      <c r="R4" s="131">
        <f>IF(SER_hh_tesh_in!R4=0,0,SER_hh_tesh_in!R4/SER_summary!R$27)</f>
        <v>101.4065648278485</v>
      </c>
      <c r="S4" s="131">
        <f>IF(SER_hh_tesh_in!S4=0,0,SER_hh_tesh_in!S4/SER_summary!S$27)</f>
        <v>101.65349281320616</v>
      </c>
      <c r="T4" s="131">
        <f>IF(SER_hh_tesh_in!T4=0,0,SER_hh_tesh_in!T4/SER_summary!T$27)</f>
        <v>85.9359706634731</v>
      </c>
      <c r="U4" s="131">
        <f>IF(SER_hh_tesh_in!U4=0,0,SER_hh_tesh_in!U4/SER_summary!U$27)</f>
        <v>72.728657983868217</v>
      </c>
      <c r="V4" s="131">
        <f>IF(SER_hh_tesh_in!V4=0,0,SER_hh_tesh_in!V4/SER_summary!V$27)</f>
        <v>54.80105199448321</v>
      </c>
      <c r="W4" s="131">
        <f>IF(SER_hh_tesh_in!W4=0,0,SER_hh_tesh_in!W4/SER_summary!W$27)</f>
        <v>38.323916436806691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74.362117847900237</v>
      </c>
      <c r="D6" s="133">
        <f>IF(SER_hh_tesh_in!D6=0,0,SER_hh_tesh_in!D6/SER_summary!D$27)</f>
        <v>75.819899791290908</v>
      </c>
      <c r="E6" s="133">
        <f>IF(SER_hh_tesh_in!E6=0,0,SER_hh_tesh_in!E6/SER_summary!E$27)</f>
        <v>85.504607681019948</v>
      </c>
      <c r="F6" s="133">
        <f>IF(SER_hh_tesh_in!F6=0,0,SER_hh_tesh_in!F6/SER_summary!F$27)</f>
        <v>89.375447383231403</v>
      </c>
      <c r="G6" s="133">
        <f>IF(SER_hh_tesh_in!G6=0,0,SER_hh_tesh_in!G6/SER_summary!G$27)</f>
        <v>76.962918645411264</v>
      </c>
      <c r="H6" s="133">
        <f>IF(SER_hh_tesh_in!H6=0,0,SER_hh_tesh_in!H6/SER_summary!H$27)</f>
        <v>88.015082571693142</v>
      </c>
      <c r="I6" s="133">
        <f>IF(SER_hh_tesh_in!I6=0,0,SER_hh_tesh_in!I6/SER_summary!I$27)</f>
        <v>98.329023663770016</v>
      </c>
      <c r="J6" s="133">
        <f>IF(SER_hh_tesh_in!J6=0,0,SER_hh_tesh_in!J6/SER_summary!J$27)</f>
        <v>52.529082598673895</v>
      </c>
      <c r="K6" s="133">
        <f>IF(SER_hh_tesh_in!K6=0,0,SER_hh_tesh_in!K6/SER_summary!K$27)</f>
        <v>27.169811655766676</v>
      </c>
      <c r="L6" s="133">
        <f>IF(SER_hh_tesh_in!L6=0,0,SER_hh_tesh_in!L6/SER_summary!L$27)</f>
        <v>120.92805031701165</v>
      </c>
      <c r="M6" s="133">
        <f>IF(SER_hh_tesh_in!M6=0,0,SER_hh_tesh_in!M6/SER_summary!M$27)</f>
        <v>91.355957951628753</v>
      </c>
      <c r="N6" s="133">
        <f>IF(SER_hh_tesh_in!N6=0,0,SER_hh_tesh_in!N6/SER_summary!N$27)</f>
        <v>111.10865840533755</v>
      </c>
      <c r="O6" s="133">
        <f>IF(SER_hh_tesh_in!O6=0,0,SER_hh_tesh_in!O6/SER_summary!O$27)</f>
        <v>0</v>
      </c>
      <c r="P6" s="133">
        <f>IF(SER_hh_tesh_in!P6=0,0,SER_hh_tesh_in!P6/SER_summary!P$27)</f>
        <v>85.209408894223984</v>
      </c>
      <c r="Q6" s="133">
        <f>IF(SER_hh_tesh_in!Q6=0,0,SER_hh_tesh_in!Q6/SER_summary!Q$27)</f>
        <v>98.2809168991391</v>
      </c>
      <c r="R6" s="133">
        <f>IF(SER_hh_tesh_in!R6=0,0,SER_hh_tesh_in!R6/SER_summary!R$27)</f>
        <v>78.476452046998446</v>
      </c>
      <c r="S6" s="133">
        <f>IF(SER_hh_tesh_in!S6=0,0,SER_hh_tesh_in!S6/SER_summary!S$27)</f>
        <v>81.160594138469378</v>
      </c>
      <c r="T6" s="133">
        <f>IF(SER_hh_tesh_in!T6=0,0,SER_hh_tesh_in!T6/SER_summary!T$27)</f>
        <v>88.745393125526149</v>
      </c>
      <c r="U6" s="133">
        <f>IF(SER_hh_tesh_in!U6=0,0,SER_hh_tesh_in!U6/SER_summary!U$27)</f>
        <v>74.821878838393019</v>
      </c>
      <c r="V6" s="133">
        <f>IF(SER_hh_tesh_in!V6=0,0,SER_hh_tesh_in!V6/SER_summary!V$27)</f>
        <v>49.676928857434355</v>
      </c>
      <c r="W6" s="133">
        <f>IF(SER_hh_tesh_in!W6=0,0,SER_hh_tesh_in!W6/SER_summary!W$27)</f>
        <v>38.754465142936915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66.156220772120236</v>
      </c>
      <c r="D7" s="133">
        <f>IF(SER_hh_tesh_in!D7=0,0,SER_hh_tesh_in!D7/SER_summary!D$27)</f>
        <v>75.827105690452342</v>
      </c>
      <c r="E7" s="133">
        <f>IF(SER_hh_tesh_in!E7=0,0,SER_hh_tesh_in!E7/SER_summary!E$27)</f>
        <v>93.229603883846622</v>
      </c>
      <c r="F7" s="133">
        <f>IF(SER_hh_tesh_in!F7=0,0,SER_hh_tesh_in!F7/SER_summary!F$27)</f>
        <v>104.81818545442741</v>
      </c>
      <c r="G7" s="133">
        <f>IF(SER_hh_tesh_in!G7=0,0,SER_hh_tesh_in!G7/SER_summary!G$27)</f>
        <v>90.267607598185762</v>
      </c>
      <c r="H7" s="133">
        <f>IF(SER_hh_tesh_in!H7=0,0,SER_hh_tesh_in!H7/SER_summary!H$27)</f>
        <v>71.264963709170942</v>
      </c>
      <c r="I7" s="133">
        <f>IF(SER_hh_tesh_in!I7=0,0,SER_hh_tesh_in!I7/SER_summary!I$27)</f>
        <v>78.430657052415185</v>
      </c>
      <c r="J7" s="133">
        <f>IF(SER_hh_tesh_in!J7=0,0,SER_hh_tesh_in!J7/SER_summary!J$27)</f>
        <v>72.73445135628323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55.877176776137084</v>
      </c>
      <c r="N7" s="133">
        <f>IF(SER_hh_tesh_in!N7=0,0,SER_hh_tesh_in!N7/SER_summary!N$27)</f>
        <v>91.385637818699379</v>
      </c>
      <c r="O7" s="133">
        <f>IF(SER_hh_tesh_in!O7=0,0,SER_hh_tesh_in!O7/SER_summary!O$27)</f>
        <v>114.44493157288318</v>
      </c>
      <c r="P7" s="133">
        <f>IF(SER_hh_tesh_in!P7=0,0,SER_hh_tesh_in!P7/SER_summary!P$27)</f>
        <v>111.77419986237426</v>
      </c>
      <c r="Q7" s="133">
        <f>IF(SER_hh_tesh_in!Q7=0,0,SER_hh_tesh_in!Q7/SER_summary!Q$27)</f>
        <v>126.58424507243612</v>
      </c>
      <c r="R7" s="133">
        <f>IF(SER_hh_tesh_in!R7=0,0,SER_hh_tesh_in!R7/SER_summary!R$27)</f>
        <v>116.80068776042233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35.474222494884003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0</v>
      </c>
      <c r="D9" s="133">
        <f>IF(SER_hh_tesh_in!D9=0,0,SER_hh_tesh_in!D9/SER_summary!D$27)</f>
        <v>0</v>
      </c>
      <c r="E9" s="133">
        <f>IF(SER_hh_tesh_in!E9=0,0,SER_hh_tesh_in!E9/SER_summary!E$27)</f>
        <v>0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0</v>
      </c>
      <c r="L9" s="133">
        <f>IF(SER_hh_tesh_in!L9=0,0,SER_hh_tesh_in!L9/SER_summary!L$27)</f>
        <v>0</v>
      </c>
      <c r="M9" s="133">
        <f>IF(SER_hh_tesh_in!M9=0,0,SER_hh_tesh_in!M9/SER_summary!M$27)</f>
        <v>127.29699186917489</v>
      </c>
      <c r="N9" s="133">
        <f>IF(SER_hh_tesh_in!N9=0,0,SER_hh_tesh_in!N9/SER_summary!N$27)</f>
        <v>140.03271931216241</v>
      </c>
      <c r="O9" s="133">
        <f>IF(SER_hh_tesh_in!O9=0,0,SER_hh_tesh_in!O9/SER_summary!O$27)</f>
        <v>0</v>
      </c>
      <c r="P9" s="133">
        <f>IF(SER_hh_tesh_in!P9=0,0,SER_hh_tesh_in!P9/SER_summary!P$27)</f>
        <v>0</v>
      </c>
      <c r="Q9" s="133">
        <f>IF(SER_hh_tesh_in!Q9=0,0,SER_hh_tesh_in!Q9/SER_summary!Q$27)</f>
        <v>0</v>
      </c>
      <c r="R9" s="133">
        <f>IF(SER_hh_tesh_in!R9=0,0,SER_hh_tesh_in!R9/SER_summary!R$27)</f>
        <v>117.39175834125709</v>
      </c>
      <c r="S9" s="133">
        <f>IF(SER_hh_tesh_in!S9=0,0,SER_hh_tesh_in!S9/SER_summary!S$27)</f>
        <v>0</v>
      </c>
      <c r="T9" s="133">
        <f>IF(SER_hh_tesh_in!T9=0,0,SER_hh_tesh_in!T9/SER_summary!T$27)</f>
        <v>64.127017137935297</v>
      </c>
      <c r="U9" s="133">
        <f>IF(SER_hh_tesh_in!U9=0,0,SER_hh_tesh_in!U9/SER_summary!U$27)</f>
        <v>82.104018937047485</v>
      </c>
      <c r="V9" s="133">
        <f>IF(SER_hh_tesh_in!V9=0,0,SER_hh_tesh_in!V9/SER_summary!V$27)</f>
        <v>53.104396888052449</v>
      </c>
      <c r="W9" s="133">
        <f>IF(SER_hh_tesh_in!W9=0,0,SER_hh_tesh_in!W9/SER_summary!W$27)</f>
        <v>26.884400737681258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0</v>
      </c>
      <c r="N10" s="133">
        <f>IF(SER_hh_tesh_in!N10=0,0,SER_hh_tesh_in!N10/SER_summary!N$27)</f>
        <v>0</v>
      </c>
      <c r="O10" s="133">
        <f>IF(SER_hh_tesh_in!O10=0,0,SER_hh_tesh_in!O10/SER_summary!O$27)</f>
        <v>0</v>
      </c>
      <c r="P10" s="133">
        <f>IF(SER_hh_tesh_in!P10=0,0,SER_hh_tesh_in!P10/SER_summary!P$27)</f>
        <v>0</v>
      </c>
      <c r="Q10" s="133">
        <f>IF(SER_hh_tesh_in!Q10=0,0,SER_hh_tesh_in!Q10/SER_summary!Q$27)</f>
        <v>0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132.99825108065235</v>
      </c>
      <c r="N12" s="133">
        <f>IF(SER_hh_tesh_in!N12=0,0,SER_hh_tesh_in!N12/SER_summary!N$27)</f>
        <v>205.87473520131184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70.008455799782254</v>
      </c>
      <c r="D13" s="133">
        <f>IF(SER_hh_tesh_in!D13=0,0,SER_hh_tesh_in!D13/SER_summary!D$27)</f>
        <v>78.530648397819064</v>
      </c>
      <c r="E13" s="133">
        <f>IF(SER_hh_tesh_in!E13=0,0,SER_hh_tesh_in!E13/SER_summary!E$27)</f>
        <v>92.945455624011686</v>
      </c>
      <c r="F13" s="133">
        <f>IF(SER_hh_tesh_in!F13=0,0,SER_hh_tesh_in!F13/SER_summary!F$27)</f>
        <v>82.796319146663464</v>
      </c>
      <c r="G13" s="133">
        <f>IF(SER_hh_tesh_in!G13=0,0,SER_hh_tesh_in!G13/SER_summary!G$27)</f>
        <v>86.082474594694759</v>
      </c>
      <c r="H13" s="133">
        <f>IF(SER_hh_tesh_in!H13=0,0,SER_hh_tesh_in!H13/SER_summary!H$27)</f>
        <v>68.375106523063124</v>
      </c>
      <c r="I13" s="133">
        <f>IF(SER_hh_tesh_in!I13=0,0,SER_hh_tesh_in!I13/SER_summary!I$27)</f>
        <v>66.182700405859336</v>
      </c>
      <c r="J13" s="133">
        <f>IF(SER_hh_tesh_in!J13=0,0,SER_hh_tesh_in!J13/SER_summary!J$27)</f>
        <v>72.518668715028411</v>
      </c>
      <c r="K13" s="133">
        <f>IF(SER_hh_tesh_in!K13=0,0,SER_hh_tesh_in!K13/SER_summary!K$27)</f>
        <v>76.137627923629509</v>
      </c>
      <c r="L13" s="133">
        <f>IF(SER_hh_tesh_in!L13=0,0,SER_hh_tesh_in!L13/SER_summary!L$27)</f>
        <v>77.151392788150446</v>
      </c>
      <c r="M13" s="133">
        <f>IF(SER_hh_tesh_in!M13=0,0,SER_hh_tesh_in!M13/SER_summary!M$27)</f>
        <v>89.011190775069721</v>
      </c>
      <c r="N13" s="133">
        <f>IF(SER_hh_tesh_in!N13=0,0,SER_hh_tesh_in!N13/SER_summary!N$27)</f>
        <v>100.14138307787049</v>
      </c>
      <c r="O13" s="133">
        <f>IF(SER_hh_tesh_in!O13=0,0,SER_hh_tesh_in!O13/SER_summary!O$27)</f>
        <v>99.6082655416497</v>
      </c>
      <c r="P13" s="133">
        <f>IF(SER_hh_tesh_in!P13=0,0,SER_hh_tesh_in!P13/SER_summary!P$27)</f>
        <v>111.57963823323982</v>
      </c>
      <c r="Q13" s="133">
        <f>IF(SER_hh_tesh_in!Q13=0,0,SER_hh_tesh_in!Q13/SER_summary!Q$27)</f>
        <v>120.0260209780951</v>
      </c>
      <c r="R13" s="133">
        <f>IF(SER_hh_tesh_in!R13=0,0,SER_hh_tesh_in!R13/SER_summary!R$27)</f>
        <v>109.6643141691511</v>
      </c>
      <c r="S13" s="133">
        <f>IF(SER_hh_tesh_in!S13=0,0,SER_hh_tesh_in!S13/SER_summary!S$27)</f>
        <v>99.83885597188555</v>
      </c>
      <c r="T13" s="133">
        <f>IF(SER_hh_tesh_in!T13=0,0,SER_hh_tesh_in!T13/SER_summary!T$27)</f>
        <v>83.269486612662732</v>
      </c>
      <c r="U13" s="133">
        <f>IF(SER_hh_tesh_in!U13=0,0,SER_hh_tesh_in!U13/SER_summary!U$27)</f>
        <v>66.056862268723407</v>
      </c>
      <c r="V13" s="133">
        <f>IF(SER_hh_tesh_in!V13=0,0,SER_hh_tesh_in!V13/SER_summary!V$27)</f>
        <v>57.611157313394273</v>
      </c>
      <c r="W13" s="133">
        <f>IF(SER_hh_tesh_in!W13=0,0,SER_hh_tesh_in!W13/SER_summary!W$27)</f>
        <v>40.9605878606137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70.767461540233072</v>
      </c>
      <c r="D14" s="65">
        <f>IF(SER_hh_tesh_in!D14=0,0,SER_hh_tesh_in!D14/SER_summary!D$27)</f>
        <v>85.277134477677677</v>
      </c>
      <c r="E14" s="65">
        <f>IF(SER_hh_tesh_in!E14=0,0,SER_hh_tesh_in!E14/SER_summary!E$27)</f>
        <v>81.171736033931523</v>
      </c>
      <c r="F14" s="65">
        <f>IF(SER_hh_tesh_in!F14=0,0,SER_hh_tesh_in!F14/SER_summary!F$27)</f>
        <v>83.749735084103961</v>
      </c>
      <c r="G14" s="65">
        <f>IF(SER_hh_tesh_in!G14=0,0,SER_hh_tesh_in!G14/SER_summary!G$27)</f>
        <v>134.3596352498088</v>
      </c>
      <c r="H14" s="65">
        <f>IF(SER_hh_tesh_in!H14=0,0,SER_hh_tesh_in!H14/SER_summary!H$27)</f>
        <v>78.470156399994082</v>
      </c>
      <c r="I14" s="65">
        <f>IF(SER_hh_tesh_in!I14=0,0,SER_hh_tesh_in!I14/SER_summary!I$27)</f>
        <v>74.277951680160101</v>
      </c>
      <c r="J14" s="65">
        <f>IF(SER_hh_tesh_in!J14=0,0,SER_hh_tesh_in!J14/SER_summary!J$27)</f>
        <v>63.477709898136609</v>
      </c>
      <c r="K14" s="65">
        <f>IF(SER_hh_tesh_in!K14=0,0,SER_hh_tesh_in!K14/SER_summary!K$27)</f>
        <v>45.545005099282754</v>
      </c>
      <c r="L14" s="65">
        <f>IF(SER_hh_tesh_in!L14=0,0,SER_hh_tesh_in!L14/SER_summary!L$27)</f>
        <v>104.02080463403558</v>
      </c>
      <c r="M14" s="65">
        <f>IF(SER_hh_tesh_in!M14=0,0,SER_hh_tesh_in!M14/SER_summary!M$27)</f>
        <v>107.49520490190949</v>
      </c>
      <c r="N14" s="65">
        <f>IF(SER_hh_tesh_in!N14=0,0,SER_hh_tesh_in!N14/SER_summary!N$27)</f>
        <v>105.73326746357843</v>
      </c>
      <c r="O14" s="65">
        <f>IF(SER_hh_tesh_in!O14=0,0,SER_hh_tesh_in!O14/SER_summary!O$27)</f>
        <v>104.11513765070407</v>
      </c>
      <c r="P14" s="65">
        <f>IF(SER_hh_tesh_in!P14=0,0,SER_hh_tesh_in!P14/SER_summary!P$27)</f>
        <v>108.36665705249138</v>
      </c>
      <c r="Q14" s="65">
        <f>IF(SER_hh_tesh_in!Q14=0,0,SER_hh_tesh_in!Q14/SER_summary!Q$27)</f>
        <v>113.76714994261442</v>
      </c>
      <c r="R14" s="65">
        <f>IF(SER_hh_tesh_in!R14=0,0,SER_hh_tesh_in!R14/SER_summary!R$27)</f>
        <v>98.497779244847464</v>
      </c>
      <c r="S14" s="65">
        <f>IF(SER_hh_tesh_in!S14=0,0,SER_hh_tesh_in!S14/SER_summary!S$27)</f>
        <v>103.3347325842572</v>
      </c>
      <c r="T14" s="65">
        <f>IF(SER_hh_tesh_in!T14=0,0,SER_hh_tesh_in!T14/SER_summary!T$27)</f>
        <v>86.739258942539706</v>
      </c>
      <c r="U14" s="65">
        <f>IF(SER_hh_tesh_in!U14=0,0,SER_hh_tesh_in!U14/SER_summary!U$27)</f>
        <v>75.76489914881715</v>
      </c>
      <c r="V14" s="65">
        <f>IF(SER_hh_tesh_in!V14=0,0,SER_hh_tesh_in!V14/SER_summary!V$27)</f>
        <v>50.569425430297095</v>
      </c>
      <c r="W14" s="65">
        <f>IF(SER_hh_tesh_in!W14=0,0,SER_hh_tesh_in!W14/SER_summary!W$27)</f>
        <v>36.638898456798643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1.3031681110419344</v>
      </c>
      <c r="D15" s="135">
        <f>IF(SER_hh_tesh_in!D15=0,0,SER_hh_tesh_in!D15/SER_summary!D$27)</f>
        <v>1.4606740439320192</v>
      </c>
      <c r="E15" s="135">
        <f>IF(SER_hh_tesh_in!E15=0,0,SER_hh_tesh_in!E15/SER_summary!E$27)</f>
        <v>1.7528644064521954</v>
      </c>
      <c r="F15" s="135">
        <f>IF(SER_hh_tesh_in!F15=0,0,SER_hh_tesh_in!F15/SER_summary!F$27)</f>
        <v>1.7812148589509804</v>
      </c>
      <c r="G15" s="135">
        <f>IF(SER_hh_tesh_in!G15=0,0,SER_hh_tesh_in!G15/SER_summary!G$27)</f>
        <v>1.5332180757278002</v>
      </c>
      <c r="H15" s="135">
        <f>IF(SER_hh_tesh_in!H15=0,0,SER_hh_tesh_in!H15/SER_summary!H$27)</f>
        <v>1.3101726393746411</v>
      </c>
      <c r="I15" s="135">
        <f>IF(SER_hh_tesh_in!I15=0,0,SER_hh_tesh_in!I15/SER_summary!I$27)</f>
        <v>1.4073498725002489</v>
      </c>
      <c r="J15" s="135">
        <f>IF(SER_hh_tesh_in!J15=0,0,SER_hh_tesh_in!J15/SER_summary!J$27)</f>
        <v>1.2423498846409398</v>
      </c>
      <c r="K15" s="135">
        <f>IF(SER_hh_tesh_in!K15=0,0,SER_hh_tesh_in!K15/SER_summary!K$27)</f>
        <v>0.46461599594582897</v>
      </c>
      <c r="L15" s="135">
        <f>IF(SER_hh_tesh_in!L15=0,0,SER_hh_tesh_in!L15/SER_summary!L$27)</f>
        <v>2.045885157996528</v>
      </c>
      <c r="M15" s="135">
        <f>IF(SER_hh_tesh_in!M15=0,0,SER_hh_tesh_in!M15/SER_summary!M$27)</f>
        <v>1.4249500081489348</v>
      </c>
      <c r="N15" s="135">
        <f>IF(SER_hh_tesh_in!N15=0,0,SER_hh_tesh_in!N15/SER_summary!N$27)</f>
        <v>1.5663766735921421</v>
      </c>
      <c r="O15" s="135">
        <f>IF(SER_hh_tesh_in!O15=0,0,SER_hh_tesh_in!O15/SER_summary!O$27)</f>
        <v>1.895641688059184</v>
      </c>
      <c r="P15" s="135">
        <f>IF(SER_hh_tesh_in!P15=0,0,SER_hh_tesh_in!P15/SER_summary!P$27)</f>
        <v>1.8362575397240131</v>
      </c>
      <c r="Q15" s="135">
        <f>IF(SER_hh_tesh_in!Q15=0,0,SER_hh_tesh_in!Q15/SER_summary!Q$27)</f>
        <v>2.0406469208758287</v>
      </c>
      <c r="R15" s="135">
        <f>IF(SER_hh_tesh_in!R15=0,0,SER_hh_tesh_in!R15/SER_summary!R$27)</f>
        <v>1.6481453317524444</v>
      </c>
      <c r="S15" s="135">
        <f>IF(SER_hh_tesh_in!S15=0,0,SER_hh_tesh_in!S15/SER_summary!S$27)</f>
        <v>1.3127737765416183</v>
      </c>
      <c r="T15" s="135">
        <f>IF(SER_hh_tesh_in!T15=0,0,SER_hh_tesh_in!T15/SER_summary!T$27)</f>
        <v>1.3745667637397418</v>
      </c>
      <c r="U15" s="135">
        <f>IF(SER_hh_tesh_in!U15=0,0,SER_hh_tesh_in!U15/SER_summary!U$27)</f>
        <v>1.2188570636036962</v>
      </c>
      <c r="V15" s="135">
        <f>IF(SER_hh_tesh_in!V15=0,0,SER_hh_tesh_in!V15/SER_summary!V$27)</f>
        <v>0.7955652382611843</v>
      </c>
      <c r="W15" s="135">
        <f>IF(SER_hh_tesh_in!W15=0,0,SER_hh_tesh_in!W15/SER_summary!W$27)</f>
        <v>0.56809818812807034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86.980390687223661</v>
      </c>
      <c r="D16" s="131">
        <f>IF(SER_hh_tesh_in!D16=0,0,SER_hh_tesh_in!D16/SER_summary!D$27)</f>
        <v>67.66651111024693</v>
      </c>
      <c r="E16" s="131">
        <f>IF(SER_hh_tesh_in!E16=0,0,SER_hh_tesh_in!E16/SER_summary!E$27)</f>
        <v>103.03517187370412</v>
      </c>
      <c r="F16" s="131">
        <f>IF(SER_hh_tesh_in!F16=0,0,SER_hh_tesh_in!F16/SER_summary!F$27)</f>
        <v>53.909770665568153</v>
      </c>
      <c r="G16" s="131">
        <f>IF(SER_hh_tesh_in!G16=0,0,SER_hh_tesh_in!G16/SER_summary!G$27)</f>
        <v>53.283081815464776</v>
      </c>
      <c r="H16" s="131">
        <f>IF(SER_hh_tesh_in!H16=0,0,SER_hh_tesh_in!H16/SER_summary!H$27)</f>
        <v>72.513183283522366</v>
      </c>
      <c r="I16" s="131">
        <f>IF(SER_hh_tesh_in!I16=0,0,SER_hh_tesh_in!I16/SER_summary!I$27)</f>
        <v>75.135736827441391</v>
      </c>
      <c r="J16" s="131">
        <f>IF(SER_hh_tesh_in!J16=0,0,SER_hh_tesh_in!J16/SER_summary!J$27)</f>
        <v>64.728382612993428</v>
      </c>
      <c r="K16" s="131">
        <f>IF(SER_hh_tesh_in!K16=0,0,SER_hh_tesh_in!K16/SER_summary!K$27)</f>
        <v>66.159379893635744</v>
      </c>
      <c r="L16" s="131">
        <f>IF(SER_hh_tesh_in!L16=0,0,SER_hh_tesh_in!L16/SER_summary!L$27)</f>
        <v>53.509156577434908</v>
      </c>
      <c r="M16" s="131">
        <f>IF(SER_hh_tesh_in!M16=0,0,SER_hh_tesh_in!M16/SER_summary!M$27)</f>
        <v>57.455748520957989</v>
      </c>
      <c r="N16" s="131">
        <f>IF(SER_hh_tesh_in!N16=0,0,SER_hh_tesh_in!N16/SER_summary!N$27)</f>
        <v>99.583552969631711</v>
      </c>
      <c r="O16" s="131">
        <f>IF(SER_hh_tesh_in!O16=0,0,SER_hh_tesh_in!O16/SER_summary!O$27)</f>
        <v>69.398459773607499</v>
      </c>
      <c r="P16" s="131">
        <f>IF(SER_hh_tesh_in!P16=0,0,SER_hh_tesh_in!P16/SER_summary!P$27)</f>
        <v>70.688269353889496</v>
      </c>
      <c r="Q16" s="131">
        <f>IF(SER_hh_tesh_in!Q16=0,0,SER_hh_tesh_in!Q16/SER_summary!Q$27)</f>
        <v>74.6084731765702</v>
      </c>
      <c r="R16" s="131">
        <f>IF(SER_hh_tesh_in!R16=0,0,SER_hh_tesh_in!R16/SER_summary!R$27)</f>
        <v>60.808258501610183</v>
      </c>
      <c r="S16" s="131">
        <f>IF(SER_hh_tesh_in!S16=0,0,SER_hh_tesh_in!S16/SER_summary!S$27)</f>
        <v>70.12349824597689</v>
      </c>
      <c r="T16" s="131">
        <f>IF(SER_hh_tesh_in!T16=0,0,SER_hh_tesh_in!T16/SER_summary!T$27)</f>
        <v>60.224014161097045</v>
      </c>
      <c r="U16" s="131">
        <f>IF(SER_hh_tesh_in!U16=0,0,SER_hh_tesh_in!U16/SER_summary!U$27)</f>
        <v>78.701654269644791</v>
      </c>
      <c r="V16" s="131">
        <f>IF(SER_hh_tesh_in!V16=0,0,SER_hh_tesh_in!V16/SER_summary!V$27)</f>
        <v>59.107892116931509</v>
      </c>
      <c r="W16" s="131">
        <f>IF(SER_hh_tesh_in!W16=0,0,SER_hh_tesh_in!W16/SER_summary!W$27)</f>
        <v>62.312387331504837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86.980390687223661</v>
      </c>
      <c r="D18" s="133">
        <f>IF(SER_hh_tesh_in!D18=0,0,SER_hh_tesh_in!D18/SER_summary!D$27)</f>
        <v>67.66651111024693</v>
      </c>
      <c r="E18" s="133">
        <f>IF(SER_hh_tesh_in!E18=0,0,SER_hh_tesh_in!E18/SER_summary!E$27)</f>
        <v>103.03517187370412</v>
      </c>
      <c r="F18" s="133">
        <f>IF(SER_hh_tesh_in!F18=0,0,SER_hh_tesh_in!F18/SER_summary!F$27)</f>
        <v>53.909770665568153</v>
      </c>
      <c r="G18" s="133">
        <f>IF(SER_hh_tesh_in!G18=0,0,SER_hh_tesh_in!G18/SER_summary!G$27)</f>
        <v>53.283081815464776</v>
      </c>
      <c r="H18" s="133">
        <f>IF(SER_hh_tesh_in!H18=0,0,SER_hh_tesh_in!H18/SER_summary!H$27)</f>
        <v>72.513183283522366</v>
      </c>
      <c r="I18" s="133">
        <f>IF(SER_hh_tesh_in!I18=0,0,SER_hh_tesh_in!I18/SER_summary!I$27)</f>
        <v>75.135736827441391</v>
      </c>
      <c r="J18" s="133">
        <f>IF(SER_hh_tesh_in!J18=0,0,SER_hh_tesh_in!J18/SER_summary!J$27)</f>
        <v>64.728382612993428</v>
      </c>
      <c r="K18" s="133">
        <f>IF(SER_hh_tesh_in!K18=0,0,SER_hh_tesh_in!K18/SER_summary!K$27)</f>
        <v>66.159379893635744</v>
      </c>
      <c r="L18" s="133">
        <f>IF(SER_hh_tesh_in!L18=0,0,SER_hh_tesh_in!L18/SER_summary!L$27)</f>
        <v>53.509156577434908</v>
      </c>
      <c r="M18" s="133">
        <f>IF(SER_hh_tesh_in!M18=0,0,SER_hh_tesh_in!M18/SER_summary!M$27)</f>
        <v>57.455748520957989</v>
      </c>
      <c r="N18" s="133">
        <f>IF(SER_hh_tesh_in!N18=0,0,SER_hh_tesh_in!N18/SER_summary!N$27)</f>
        <v>99.583552969631711</v>
      </c>
      <c r="O18" s="133">
        <f>IF(SER_hh_tesh_in!O18=0,0,SER_hh_tesh_in!O18/SER_summary!O$27)</f>
        <v>69.398459773607499</v>
      </c>
      <c r="P18" s="133">
        <f>IF(SER_hh_tesh_in!P18=0,0,SER_hh_tesh_in!P18/SER_summary!P$27)</f>
        <v>70.688269353889496</v>
      </c>
      <c r="Q18" s="133">
        <f>IF(SER_hh_tesh_in!Q18=0,0,SER_hh_tesh_in!Q18/SER_summary!Q$27)</f>
        <v>74.6084731765702</v>
      </c>
      <c r="R18" s="133">
        <f>IF(SER_hh_tesh_in!R18=0,0,SER_hh_tesh_in!R18/SER_summary!R$27)</f>
        <v>60.808258501610183</v>
      </c>
      <c r="S18" s="133">
        <f>IF(SER_hh_tesh_in!S18=0,0,SER_hh_tesh_in!S18/SER_summary!S$27)</f>
        <v>70.12349824597689</v>
      </c>
      <c r="T18" s="133">
        <f>IF(SER_hh_tesh_in!T18=0,0,SER_hh_tesh_in!T18/SER_summary!T$27)</f>
        <v>60.224014161097045</v>
      </c>
      <c r="U18" s="133">
        <f>IF(SER_hh_tesh_in!U18=0,0,SER_hh_tesh_in!U18/SER_summary!U$27)</f>
        <v>78.701654269644791</v>
      </c>
      <c r="V18" s="133">
        <f>IF(SER_hh_tesh_in!V18=0,0,SER_hh_tesh_in!V18/SER_summary!V$27)</f>
        <v>59.107892116931509</v>
      </c>
      <c r="W18" s="133">
        <f>IF(SER_hh_tesh_in!W18=0,0,SER_hh_tesh_in!W18/SER_summary!W$27)</f>
        <v>62.312387331504837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28.131388512158239</v>
      </c>
      <c r="D19" s="131">
        <f>IF(SER_hh_tesh_in!D19=0,0,SER_hh_tesh_in!D19/SER_summary!D$27)</f>
        <v>28.776105009474577</v>
      </c>
      <c r="E19" s="131">
        <f>IF(SER_hh_tesh_in!E19=0,0,SER_hh_tesh_in!E19/SER_summary!E$27)</f>
        <v>28.90356513863464</v>
      </c>
      <c r="F19" s="131">
        <f>IF(SER_hh_tesh_in!F19=0,0,SER_hh_tesh_in!F19/SER_summary!F$27)</f>
        <v>29.223528762257747</v>
      </c>
      <c r="G19" s="131">
        <f>IF(SER_hh_tesh_in!G19=0,0,SER_hh_tesh_in!G19/SER_summary!G$27)</f>
        <v>27.794848639735832</v>
      </c>
      <c r="H19" s="131">
        <f>IF(SER_hh_tesh_in!H19=0,0,SER_hh_tesh_in!H19/SER_summary!H$27)</f>
        <v>30.12276148958334</v>
      </c>
      <c r="I19" s="131">
        <f>IF(SER_hh_tesh_in!I19=0,0,SER_hh_tesh_in!I19/SER_summary!I$27)</f>
        <v>28.114618322149983</v>
      </c>
      <c r="J19" s="131">
        <f>IF(SER_hh_tesh_in!J19=0,0,SER_hh_tesh_in!J19/SER_summary!J$27)</f>
        <v>27.084903988136929</v>
      </c>
      <c r="K19" s="131">
        <f>IF(SER_hh_tesh_in!K19=0,0,SER_hh_tesh_in!K19/SER_summary!K$27)</f>
        <v>27.466518262173832</v>
      </c>
      <c r="L19" s="131">
        <f>IF(SER_hh_tesh_in!L19=0,0,SER_hh_tesh_in!L19/SER_summary!L$27)</f>
        <v>29.002749402120802</v>
      </c>
      <c r="M19" s="131">
        <f>IF(SER_hh_tesh_in!M19=0,0,SER_hh_tesh_in!M19/SER_summary!M$27)</f>
        <v>28.841085734611738</v>
      </c>
      <c r="N19" s="131">
        <f>IF(SER_hh_tesh_in!N19=0,0,SER_hh_tesh_in!N19/SER_summary!N$27)</f>
        <v>27.818609885582525</v>
      </c>
      <c r="O19" s="131">
        <f>IF(SER_hh_tesh_in!O19=0,0,SER_hh_tesh_in!O19/SER_summary!O$27)</f>
        <v>28.174104723590528</v>
      </c>
      <c r="P19" s="131">
        <f>IF(SER_hh_tesh_in!P19=0,0,SER_hh_tesh_in!P19/SER_summary!P$27)</f>
        <v>27.613011624868758</v>
      </c>
      <c r="Q19" s="131">
        <f>IF(SER_hh_tesh_in!Q19=0,0,SER_hh_tesh_in!Q19/SER_summary!Q$27)</f>
        <v>27.256350520890649</v>
      </c>
      <c r="R19" s="131">
        <f>IF(SER_hh_tesh_in!R19=0,0,SER_hh_tesh_in!R19/SER_summary!R$27)</f>
        <v>27.062209765136213</v>
      </c>
      <c r="S19" s="131">
        <f>IF(SER_hh_tesh_in!S19=0,0,SER_hh_tesh_in!S19/SER_summary!S$27)</f>
        <v>26.565291711783583</v>
      </c>
      <c r="T19" s="131">
        <f>IF(SER_hh_tesh_in!T19=0,0,SER_hh_tesh_in!T19/SER_summary!T$27)</f>
        <v>26.279024746741289</v>
      </c>
      <c r="U19" s="131">
        <f>IF(SER_hh_tesh_in!U19=0,0,SER_hh_tesh_in!U19/SER_summary!U$27)</f>
        <v>26.036989707361563</v>
      </c>
      <c r="V19" s="131">
        <f>IF(SER_hh_tesh_in!V19=0,0,SER_hh_tesh_in!V19/SER_summary!V$27)</f>
        <v>24.724425366677085</v>
      </c>
      <c r="W19" s="131">
        <f>IF(SER_hh_tesh_in!W19=0,0,SER_hh_tesh_in!W19/SER_summary!W$27)</f>
        <v>24.943240371953962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29.692010368359909</v>
      </c>
      <c r="D21" s="133">
        <f>IF(SER_hh_tesh_in!D21=0,0,SER_hh_tesh_in!D21/SER_summary!D$27)</f>
        <v>30.233057744978804</v>
      </c>
      <c r="E21" s="133">
        <f>IF(SER_hh_tesh_in!E21=0,0,SER_hh_tesh_in!E21/SER_summary!E$27)</f>
        <v>26.039203054601508</v>
      </c>
      <c r="F21" s="133">
        <f>IF(SER_hh_tesh_in!F21=0,0,SER_hh_tesh_in!F21/SER_summary!F$27)</f>
        <v>22.756795241598404</v>
      </c>
      <c r="G21" s="133">
        <f>IF(SER_hh_tesh_in!G21=0,0,SER_hh_tesh_in!G21/SER_summary!G$27)</f>
        <v>19.47619726025437</v>
      </c>
      <c r="H21" s="133">
        <f>IF(SER_hh_tesh_in!H21=0,0,SER_hh_tesh_in!H21/SER_summary!H$27)</f>
        <v>43.448936013839585</v>
      </c>
      <c r="I21" s="133">
        <f>IF(SER_hh_tesh_in!I21=0,0,SER_hh_tesh_in!I21/SER_summary!I$27)</f>
        <v>52.852016941066388</v>
      </c>
      <c r="J21" s="133">
        <f>IF(SER_hh_tesh_in!J21=0,0,SER_hh_tesh_in!J21/SER_summary!J$27)</f>
        <v>48.355480963500639</v>
      </c>
      <c r="K21" s="133">
        <f>IF(SER_hh_tesh_in!K21=0,0,SER_hh_tesh_in!K21/SER_summary!K$27)</f>
        <v>45.013703058839205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24.737987374235058</v>
      </c>
      <c r="T21" s="133">
        <f>IF(SER_hh_tesh_in!T21=0,0,SER_hh_tesh_in!T21/SER_summary!T$27)</f>
        <v>29.734746053758581</v>
      </c>
      <c r="U21" s="133">
        <f>IF(SER_hh_tesh_in!U21=0,0,SER_hh_tesh_in!U21/SER_summary!U$27)</f>
        <v>28.935691105883581</v>
      </c>
      <c r="V21" s="133">
        <f>IF(SER_hh_tesh_in!V21=0,0,SER_hh_tesh_in!V21/SER_summary!V$27)</f>
        <v>23.764815697103849</v>
      </c>
      <c r="W21" s="133">
        <f>IF(SER_hh_tesh_in!W21=0,0,SER_hh_tesh_in!W21/SER_summary!W$27)</f>
        <v>27.739210021160147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0</v>
      </c>
      <c r="D23" s="133">
        <f>IF(SER_hh_tesh_in!D23=0,0,SER_hh_tesh_in!D23/SER_summary!D$27)</f>
        <v>0</v>
      </c>
      <c r="E23" s="133">
        <f>IF(SER_hh_tesh_in!E23=0,0,SER_hh_tesh_in!E23/SER_summary!E$27)</f>
        <v>0</v>
      </c>
      <c r="F23" s="133">
        <f>IF(SER_hh_tesh_in!F23=0,0,SER_hh_tesh_in!F23/SER_summary!F$27)</f>
        <v>0</v>
      </c>
      <c r="G23" s="133">
        <f>IF(SER_hh_tesh_in!G23=0,0,SER_hh_tesh_in!G23/SER_summary!G$27)</f>
        <v>0</v>
      </c>
      <c r="H23" s="133">
        <f>IF(SER_hh_tesh_in!H23=0,0,SER_hh_tesh_in!H23/SER_summary!H$27)</f>
        <v>0</v>
      </c>
      <c r="I23" s="133">
        <f>IF(SER_hh_tesh_in!I23=0,0,SER_hh_tesh_in!I23/SER_summary!I$27)</f>
        <v>0</v>
      </c>
      <c r="J23" s="133">
        <f>IF(SER_hh_tesh_in!J23=0,0,SER_hh_tesh_in!J23/SER_summary!J$27)</f>
        <v>0</v>
      </c>
      <c r="K23" s="133">
        <f>IF(SER_hh_tesh_in!K23=0,0,SER_hh_tesh_in!K23/SER_summary!K$27)</f>
        <v>0</v>
      </c>
      <c r="L23" s="133">
        <f>IF(SER_hh_tesh_in!L23=0,0,SER_hh_tesh_in!L23/SER_summary!L$27)</f>
        <v>0</v>
      </c>
      <c r="M23" s="133">
        <f>IF(SER_hh_tesh_in!M23=0,0,SER_hh_tesh_in!M23/SER_summary!M$27)</f>
        <v>0</v>
      </c>
      <c r="N23" s="133">
        <f>IF(SER_hh_tesh_in!N23=0,0,SER_hh_tesh_in!N23/SER_summary!N$27)</f>
        <v>0</v>
      </c>
      <c r="O23" s="133">
        <f>IF(SER_hh_tesh_in!O23=0,0,SER_hh_tesh_in!O23/SER_summary!O$27)</f>
        <v>0</v>
      </c>
      <c r="P23" s="133">
        <f>IF(SER_hh_tesh_in!P23=0,0,SER_hh_tesh_in!P23/SER_summary!P$27)</f>
        <v>0</v>
      </c>
      <c r="Q23" s="133">
        <f>IF(SER_hh_tesh_in!Q23=0,0,SER_hh_tesh_in!Q23/SER_summary!Q$27)</f>
        <v>0</v>
      </c>
      <c r="R23" s="133">
        <f>IF(SER_hh_tesh_in!R23=0,0,SER_hh_tesh_in!R23/SER_summary!R$27)</f>
        <v>0</v>
      </c>
      <c r="S23" s="133">
        <f>IF(SER_hh_tesh_in!S23=0,0,SER_hh_tesh_in!S23/SER_summary!S$27)</f>
        <v>0</v>
      </c>
      <c r="T23" s="133">
        <f>IF(SER_hh_tesh_in!T23=0,0,SER_hh_tesh_in!T23/SER_summary!T$27)</f>
        <v>0</v>
      </c>
      <c r="U23" s="133">
        <f>IF(SER_hh_tesh_in!U23=0,0,SER_hh_tesh_in!U23/SER_summary!U$27)</f>
        <v>0</v>
      </c>
      <c r="V23" s="133">
        <f>IF(SER_hh_tesh_in!V23=0,0,SER_hh_tesh_in!V23/SER_summary!V$27)</f>
        <v>0</v>
      </c>
      <c r="W23" s="133">
        <f>IF(SER_hh_tesh_in!W23=0,0,SER_hh_tesh_in!W23/SER_summary!W$27)</f>
        <v>0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41.819628481680951</v>
      </c>
      <c r="N25" s="133">
        <f>IF(SER_hh_tesh_in!N25=0,0,SER_hh_tesh_in!N25/SER_summary!N$27)</f>
        <v>29.955055070403304</v>
      </c>
      <c r="O25" s="133">
        <f>IF(SER_hh_tesh_in!O25=0,0,SER_hh_tesh_in!O25/SER_summary!O$27)</f>
        <v>29.815929253571387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28.048758747058567</v>
      </c>
      <c r="D26" s="65">
        <f>IF(SER_hh_tesh_in!D26=0,0,SER_hh_tesh_in!D26/SER_summary!D$27)</f>
        <v>28.72010316246838</v>
      </c>
      <c r="E26" s="65">
        <f>IF(SER_hh_tesh_in!E26=0,0,SER_hh_tesh_in!E26/SER_summary!E$27)</f>
        <v>29.087236440939158</v>
      </c>
      <c r="F26" s="65">
        <f>IF(SER_hh_tesh_in!F26=0,0,SER_hh_tesh_in!F26/SER_summary!F$27)</f>
        <v>30.068691712085194</v>
      </c>
      <c r="G26" s="65">
        <f>IF(SER_hh_tesh_in!G26=0,0,SER_hh_tesh_in!G26/SER_summary!G$27)</f>
        <v>30.048290691106107</v>
      </c>
      <c r="H26" s="65">
        <f>IF(SER_hh_tesh_in!H26=0,0,SER_hh_tesh_in!H26/SER_summary!H$27)</f>
        <v>27.589751592553124</v>
      </c>
      <c r="I26" s="65">
        <f>IF(SER_hh_tesh_in!I26=0,0,SER_hh_tesh_in!I26/SER_summary!I$27)</f>
        <v>26.193103445356041</v>
      </c>
      <c r="J26" s="65">
        <f>IF(SER_hh_tesh_in!J26=0,0,SER_hh_tesh_in!J26/SER_summary!J$27)</f>
        <v>25.839837863650935</v>
      </c>
      <c r="K26" s="65">
        <f>IF(SER_hh_tesh_in!K26=0,0,SER_hh_tesh_in!K26/SER_summary!K$27)</f>
        <v>26.419498283726224</v>
      </c>
      <c r="L26" s="65">
        <f>IF(SER_hh_tesh_in!L26=0,0,SER_hh_tesh_in!L26/SER_summary!L$27)</f>
        <v>29.002749402120802</v>
      </c>
      <c r="M26" s="65">
        <f>IF(SER_hh_tesh_in!M26=0,0,SER_hh_tesh_in!M26/SER_summary!M$27)</f>
        <v>28.81321692341939</v>
      </c>
      <c r="N26" s="65">
        <f>IF(SER_hh_tesh_in!N26=0,0,SER_hh_tesh_in!N26/SER_summary!N$27)</f>
        <v>27.817633580110883</v>
      </c>
      <c r="O26" s="65">
        <f>IF(SER_hh_tesh_in!O26=0,0,SER_hh_tesh_in!O26/SER_summary!O$27)</f>
        <v>28.173545545338339</v>
      </c>
      <c r="P26" s="65">
        <f>IF(SER_hh_tesh_in!P26=0,0,SER_hh_tesh_in!P26/SER_summary!P$27)</f>
        <v>27.613011624868758</v>
      </c>
      <c r="Q26" s="65">
        <f>IF(SER_hh_tesh_in!Q26=0,0,SER_hh_tesh_in!Q26/SER_summary!Q$27)</f>
        <v>27.256350520890649</v>
      </c>
      <c r="R26" s="65">
        <f>IF(SER_hh_tesh_in!R26=0,0,SER_hh_tesh_in!R26/SER_summary!R$27)</f>
        <v>27.062209765136213</v>
      </c>
      <c r="S26" s="65">
        <f>IF(SER_hh_tesh_in!S26=0,0,SER_hh_tesh_in!S26/SER_summary!S$27)</f>
        <v>26.617089417629515</v>
      </c>
      <c r="T26" s="65">
        <f>IF(SER_hh_tesh_in!T26=0,0,SER_hh_tesh_in!T26/SER_summary!T$27)</f>
        <v>26.162764062568982</v>
      </c>
      <c r="U26" s="65">
        <f>IF(SER_hh_tesh_in!U26=0,0,SER_hh_tesh_in!U26/SER_summary!U$27)</f>
        <v>25.972741164275295</v>
      </c>
      <c r="V26" s="65">
        <f>IF(SER_hh_tesh_in!V26=0,0,SER_hh_tesh_in!V26/SER_summary!V$27)</f>
        <v>24.73889471125381</v>
      </c>
      <c r="W26" s="65">
        <f>IF(SER_hh_tesh_in!W26=0,0,SER_hh_tesh_in!W26/SER_summary!W$27)</f>
        <v>24.845822690060633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46.057302874044566</v>
      </c>
      <c r="D29" s="131">
        <f>IF(SER_hh_tesh_in!D29=0,0,SER_hh_tesh_in!D29/SER_summary!D$27)</f>
        <v>47.349392515483373</v>
      </c>
      <c r="E29" s="131">
        <f>IF(SER_hh_tesh_in!E29=0,0,SER_hh_tesh_in!E29/SER_summary!E$27)</f>
        <v>48.481346073074874</v>
      </c>
      <c r="F29" s="131">
        <f>IF(SER_hh_tesh_in!F29=0,0,SER_hh_tesh_in!F29/SER_summary!F$27)</f>
        <v>49.387243678930901</v>
      </c>
      <c r="G29" s="131">
        <f>IF(SER_hh_tesh_in!G29=0,0,SER_hh_tesh_in!G29/SER_summary!G$27)</f>
        <v>47.77559126198927</v>
      </c>
      <c r="H29" s="131">
        <f>IF(SER_hh_tesh_in!H29=0,0,SER_hh_tesh_in!H29/SER_summary!H$27)</f>
        <v>48.2603083829</v>
      </c>
      <c r="I29" s="131">
        <f>IF(SER_hh_tesh_in!I29=0,0,SER_hh_tesh_in!I29/SER_summary!I$27)</f>
        <v>46.13733213683031</v>
      </c>
      <c r="J29" s="131">
        <f>IF(SER_hh_tesh_in!J29=0,0,SER_hh_tesh_in!J29/SER_summary!J$27)</f>
        <v>46.412119628441687</v>
      </c>
      <c r="K29" s="131">
        <f>IF(SER_hh_tesh_in!K29=0,0,SER_hh_tesh_in!K29/SER_summary!K$27)</f>
        <v>49.650960282599854</v>
      </c>
      <c r="L29" s="131">
        <f>IF(SER_hh_tesh_in!L29=0,0,SER_hh_tesh_in!L29/SER_summary!L$27)</f>
        <v>48.101834542985031</v>
      </c>
      <c r="M29" s="131">
        <f>IF(SER_hh_tesh_in!M29=0,0,SER_hh_tesh_in!M29/SER_summary!M$27)</f>
        <v>47.458649420692204</v>
      </c>
      <c r="N29" s="131">
        <f>IF(SER_hh_tesh_in!N29=0,0,SER_hh_tesh_in!N29/SER_summary!N$27)</f>
        <v>46.472989526714095</v>
      </c>
      <c r="O29" s="131">
        <f>IF(SER_hh_tesh_in!O29=0,0,SER_hh_tesh_in!O29/SER_summary!O$27)</f>
        <v>46.142669632719979</v>
      </c>
      <c r="P29" s="131">
        <f>IF(SER_hh_tesh_in!P29=0,0,SER_hh_tesh_in!P29/SER_summary!P$27)</f>
        <v>46.399446257434278</v>
      </c>
      <c r="Q29" s="131">
        <f>IF(SER_hh_tesh_in!Q29=0,0,SER_hh_tesh_in!Q29/SER_summary!Q$27)</f>
        <v>46.418736121380419</v>
      </c>
      <c r="R29" s="131">
        <f>IF(SER_hh_tesh_in!R29=0,0,SER_hh_tesh_in!R29/SER_summary!R$27)</f>
        <v>45.959056925670666</v>
      </c>
      <c r="S29" s="131">
        <f>IF(SER_hh_tesh_in!S29=0,0,SER_hh_tesh_in!S29/SER_summary!S$27)</f>
        <v>45.080306899307473</v>
      </c>
      <c r="T29" s="131">
        <f>IF(SER_hh_tesh_in!T29=0,0,SER_hh_tesh_in!T29/SER_summary!T$27)</f>
        <v>47.237645578042141</v>
      </c>
      <c r="U29" s="131">
        <f>IF(SER_hh_tesh_in!U29=0,0,SER_hh_tesh_in!U29/SER_summary!U$27)</f>
        <v>46.331784207793262</v>
      </c>
      <c r="V29" s="131">
        <f>IF(SER_hh_tesh_in!V29=0,0,SER_hh_tesh_in!V29/SER_summary!V$27)</f>
        <v>43.358280005438694</v>
      </c>
      <c r="W29" s="131">
        <f>IF(SER_hh_tesh_in!W29=0,0,SER_hh_tesh_in!W29/SER_summary!W$27)</f>
        <v>44.986826592562778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43.346850693712533</v>
      </c>
      <c r="D30" s="133">
        <f>IF(SER_hh_tesh_in!D30=0,0,SER_hh_tesh_in!D30/SER_summary!D$27)</f>
        <v>51.189121971649094</v>
      </c>
      <c r="E30" s="133">
        <f>IF(SER_hh_tesh_in!E30=0,0,SER_hh_tesh_in!E30/SER_summary!E$27)</f>
        <v>49.161513255638667</v>
      </c>
      <c r="F30" s="133">
        <f>IF(SER_hh_tesh_in!F30=0,0,SER_hh_tesh_in!F30/SER_summary!F$27)</f>
        <v>42.943584086416713</v>
      </c>
      <c r="G30" s="133">
        <f>IF(SER_hh_tesh_in!G30=0,0,SER_hh_tesh_in!G30/SER_summary!G$27)</f>
        <v>37.724640600777924</v>
      </c>
      <c r="H30" s="133">
        <f>IF(SER_hh_tesh_in!H30=0,0,SER_hh_tesh_in!H30/SER_summary!H$27)</f>
        <v>48.330934269799165</v>
      </c>
      <c r="I30" s="133">
        <f>IF(SER_hh_tesh_in!I30=0,0,SER_hh_tesh_in!I30/SER_summary!I$27)</f>
        <v>41.919808125345313</v>
      </c>
      <c r="J30" s="133">
        <f>IF(SER_hh_tesh_in!J30=0,0,SER_hh_tesh_in!J30/SER_summary!J$27)</f>
        <v>46.37403155617725</v>
      </c>
      <c r="K30" s="133">
        <f>IF(SER_hh_tesh_in!K30=0,0,SER_hh_tesh_in!K30/SER_summary!K$27)</f>
        <v>57.387300318208588</v>
      </c>
      <c r="L30" s="133">
        <f>IF(SER_hh_tesh_in!L30=0,0,SER_hh_tesh_in!L30/SER_summary!L$27)</f>
        <v>43.400363426404965</v>
      </c>
      <c r="M30" s="133">
        <f>IF(SER_hh_tesh_in!M30=0,0,SER_hh_tesh_in!M30/SER_summary!M$27)</f>
        <v>48.597827209889303</v>
      </c>
      <c r="N30" s="133">
        <f>IF(SER_hh_tesh_in!N30=0,0,SER_hh_tesh_in!N30/SER_summary!N$27)</f>
        <v>46.850813683366553</v>
      </c>
      <c r="O30" s="133">
        <f>IF(SER_hh_tesh_in!O30=0,0,SER_hh_tesh_in!O30/SER_summary!O$27)</f>
        <v>45.315444836606098</v>
      </c>
      <c r="P30" s="133">
        <f>IF(SER_hh_tesh_in!P30=0,0,SER_hh_tesh_in!P30/SER_summary!P$27)</f>
        <v>44.74585101063925</v>
      </c>
      <c r="Q30" s="133">
        <f>IF(SER_hh_tesh_in!Q30=0,0,SER_hh_tesh_in!Q30/SER_summary!Q$27)</f>
        <v>49.399466768699106</v>
      </c>
      <c r="R30" s="133">
        <f>IF(SER_hh_tesh_in!R30=0,0,SER_hh_tesh_in!R30/SER_summary!R$27)</f>
        <v>40.293515392911061</v>
      </c>
      <c r="S30" s="133">
        <f>IF(SER_hh_tesh_in!S30=0,0,SER_hh_tesh_in!S30/SER_summary!S$27)</f>
        <v>43.435236901259628</v>
      </c>
      <c r="T30" s="133">
        <f>IF(SER_hh_tesh_in!T30=0,0,SER_hh_tesh_in!T30/SER_summary!T$27)</f>
        <v>50.839447717515441</v>
      </c>
      <c r="U30" s="133">
        <f>IF(SER_hh_tesh_in!U30=0,0,SER_hh_tesh_in!U30/SER_summary!U$27)</f>
        <v>52.164263986174653</v>
      </c>
      <c r="V30" s="133">
        <f>IF(SER_hh_tesh_in!V30=0,0,SER_hh_tesh_in!V30/SER_summary!V$27)</f>
        <v>35.02460593467341</v>
      </c>
      <c r="W30" s="133">
        <f>IF(SER_hh_tesh_in!W30=0,0,SER_hh_tesh_in!W30/SER_summary!W$27)</f>
        <v>38.510752963382359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0</v>
      </c>
      <c r="D31" s="133">
        <f>IF(SER_hh_tesh_in!D31=0,0,SER_hh_tesh_in!D31/SER_summary!D$27)</f>
        <v>0</v>
      </c>
      <c r="E31" s="133">
        <f>IF(SER_hh_tesh_in!E31=0,0,SER_hh_tesh_in!E31/SER_summary!E$27)</f>
        <v>0</v>
      </c>
      <c r="F31" s="133">
        <f>IF(SER_hh_tesh_in!F31=0,0,SER_hh_tesh_in!F31/SER_summary!F$27)</f>
        <v>0</v>
      </c>
      <c r="G31" s="133">
        <f>IF(SER_hh_tesh_in!G31=0,0,SER_hh_tesh_in!G31/SER_summary!G$27)</f>
        <v>0</v>
      </c>
      <c r="H31" s="133">
        <f>IF(SER_hh_tesh_in!H31=0,0,SER_hh_tesh_in!H31/SER_summary!H$27)</f>
        <v>0</v>
      </c>
      <c r="I31" s="133">
        <f>IF(SER_hh_tesh_in!I31=0,0,SER_hh_tesh_in!I31/SER_summary!I$27)</f>
        <v>0</v>
      </c>
      <c r="J31" s="133">
        <f>IF(SER_hh_tesh_in!J31=0,0,SER_hh_tesh_in!J31/SER_summary!J$27)</f>
        <v>0</v>
      </c>
      <c r="K31" s="133">
        <f>IF(SER_hh_tesh_in!K31=0,0,SER_hh_tesh_in!K31/SER_summary!K$27)</f>
        <v>0</v>
      </c>
      <c r="L31" s="133">
        <f>IF(SER_hh_tesh_in!L31=0,0,SER_hh_tesh_in!L31/SER_summary!L$27)</f>
        <v>0</v>
      </c>
      <c r="M31" s="133">
        <f>IF(SER_hh_tesh_in!M31=0,0,SER_hh_tesh_in!M31/SER_summary!M$27)</f>
        <v>0</v>
      </c>
      <c r="N31" s="133">
        <f>IF(SER_hh_tesh_in!N31=0,0,SER_hh_tesh_in!N31/SER_summary!N$27)</f>
        <v>0</v>
      </c>
      <c r="O31" s="133">
        <f>IF(SER_hh_tesh_in!O31=0,0,SER_hh_tesh_in!O31/SER_summary!O$27)</f>
        <v>0</v>
      </c>
      <c r="P31" s="133">
        <f>IF(SER_hh_tesh_in!P31=0,0,SER_hh_tesh_in!P31/SER_summary!P$27)</f>
        <v>0</v>
      </c>
      <c r="Q31" s="133">
        <f>IF(SER_hh_tesh_in!Q31=0,0,SER_hh_tesh_in!Q31/SER_summary!Q$27)</f>
        <v>0</v>
      </c>
      <c r="R31" s="133">
        <f>IF(SER_hh_tesh_in!R31=0,0,SER_hh_tesh_in!R31/SER_summary!R$27)</f>
        <v>0</v>
      </c>
      <c r="S31" s="133">
        <f>IF(SER_hh_tesh_in!S31=0,0,SER_hh_tesh_in!S31/SER_summary!S$27)</f>
        <v>0</v>
      </c>
      <c r="T31" s="133">
        <f>IF(SER_hh_tesh_in!T31=0,0,SER_hh_tesh_in!T31/SER_summary!T$27)</f>
        <v>0</v>
      </c>
      <c r="U31" s="133">
        <f>IF(SER_hh_tesh_in!U31=0,0,SER_hh_tesh_in!U31/SER_summary!U$27)</f>
        <v>0</v>
      </c>
      <c r="V31" s="133">
        <f>IF(SER_hh_tesh_in!V31=0,0,SER_hh_tesh_in!V31/SER_summary!V$27)</f>
        <v>0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46.220516456718435</v>
      </c>
      <c r="D33" s="68">
        <f>IF(SER_hh_tesh_in!D33=0,0,SER_hh_tesh_in!D33/SER_summary!D$27)</f>
        <v>47.028397063234848</v>
      </c>
      <c r="E33" s="68">
        <f>IF(SER_hh_tesh_in!E33=0,0,SER_hh_tesh_in!E33/SER_summary!E$27)</f>
        <v>48.441052617856634</v>
      </c>
      <c r="F33" s="68">
        <f>IF(SER_hh_tesh_in!F33=0,0,SER_hh_tesh_in!F33/SER_summary!F$27)</f>
        <v>50.140804601131698</v>
      </c>
      <c r="G33" s="68">
        <f>IF(SER_hh_tesh_in!G33=0,0,SER_hh_tesh_in!G33/SER_summary!G$27)</f>
        <v>49.495069305174951</v>
      </c>
      <c r="H33" s="68">
        <f>IF(SER_hh_tesh_in!H33=0,0,SER_hh_tesh_in!H33/SER_summary!H$27)</f>
        <v>48.229098773508795</v>
      </c>
      <c r="I33" s="68">
        <f>IF(SER_hh_tesh_in!I33=0,0,SER_hh_tesh_in!I33/SER_summary!I$27)</f>
        <v>48.726112890655934</v>
      </c>
      <c r="J33" s="68">
        <f>IF(SER_hh_tesh_in!J33=0,0,SER_hh_tesh_in!J33/SER_summary!J$27)</f>
        <v>46.431184703948027</v>
      </c>
      <c r="K33" s="68">
        <f>IF(SER_hh_tesh_in!K33=0,0,SER_hh_tesh_in!K33/SER_summary!K$27)</f>
        <v>43.965811404136929</v>
      </c>
      <c r="L33" s="68">
        <f>IF(SER_hh_tesh_in!L33=0,0,SER_hh_tesh_in!L33/SER_summary!L$27)</f>
        <v>48.746333586297631</v>
      </c>
      <c r="M33" s="68">
        <f>IF(SER_hh_tesh_in!M33=0,0,SER_hh_tesh_in!M33/SER_summary!M$27)</f>
        <v>47.190365581495904</v>
      </c>
      <c r="N33" s="68">
        <f>IF(SER_hh_tesh_in!N33=0,0,SER_hh_tesh_in!N33/SER_summary!N$27)</f>
        <v>46.444866123887159</v>
      </c>
      <c r="O33" s="68">
        <f>IF(SER_hh_tesh_in!O33=0,0,SER_hh_tesh_in!O33/SER_summary!O$27)</f>
        <v>46.299125979366956</v>
      </c>
      <c r="P33" s="68">
        <f>IF(SER_hh_tesh_in!P33=0,0,SER_hh_tesh_in!P33/SER_summary!P$27)</f>
        <v>46.694207560410383</v>
      </c>
      <c r="Q33" s="68">
        <f>IF(SER_hh_tesh_in!Q33=0,0,SER_hh_tesh_in!Q33/SER_summary!Q$27)</f>
        <v>45.405152545061334</v>
      </c>
      <c r="R33" s="68">
        <f>IF(SER_hh_tesh_in!R33=0,0,SER_hh_tesh_in!R33/SER_summary!R$27)</f>
        <v>48.12082971682694</v>
      </c>
      <c r="S33" s="68">
        <f>IF(SER_hh_tesh_in!S33=0,0,SER_hh_tesh_in!S33/SER_summary!S$27)</f>
        <v>46.521669557572771</v>
      </c>
      <c r="T33" s="68">
        <f>IF(SER_hh_tesh_in!T33=0,0,SER_hh_tesh_in!T33/SER_summary!T$27)</f>
        <v>44.049339168746009</v>
      </c>
      <c r="U33" s="68">
        <f>IF(SER_hh_tesh_in!U33=0,0,SER_hh_tesh_in!U33/SER_summary!U$27)</f>
        <v>43.824229409703079</v>
      </c>
      <c r="V33" s="68">
        <f>IF(SER_hh_tesh_in!V33=0,0,SER_hh_tesh_in!V33/SER_summary!V$27)</f>
        <v>45.503435887916119</v>
      </c>
      <c r="W33" s="68">
        <f>IF(SER_hh_tesh_in!W33=0,0,SER_hh_tesh_in!W33/SER_summary!W$27)</f>
        <v>46.512317843477696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16.445002818710343</v>
      </c>
      <c r="D3" s="126">
        <f>IF(SER_hh_emih_in!D3=0,0,SER_hh_emih_in!D3/SER_summary!D$27)</f>
        <v>20.10382345108501</v>
      </c>
      <c r="E3" s="126">
        <f>IF(SER_hh_emih_in!E3=0,0,SER_hh_emih_in!E3/SER_summary!E$27)</f>
        <v>16.363184971585721</v>
      </c>
      <c r="F3" s="126">
        <f>IF(SER_hh_emih_in!F3=0,0,SER_hh_emih_in!F3/SER_summary!F$27)</f>
        <v>7.3741649743505624</v>
      </c>
      <c r="G3" s="126">
        <f>IF(SER_hh_emih_in!G3=0,0,SER_hh_emih_in!G3/SER_summary!G$27)</f>
        <v>7.8791666087375427</v>
      </c>
      <c r="H3" s="126">
        <f>IF(SER_hh_emih_in!H3=0,0,SER_hh_emih_in!H3/SER_summary!H$27)</f>
        <v>27.065285666570208</v>
      </c>
      <c r="I3" s="126">
        <f>IF(SER_hh_emih_in!I3=0,0,SER_hh_emih_in!I3/SER_summary!I$27)</f>
        <v>29.853662421869352</v>
      </c>
      <c r="J3" s="126">
        <f>IF(SER_hh_emih_in!J3=0,0,SER_hh_emih_in!J3/SER_summary!J$27)</f>
        <v>26.559877690182532</v>
      </c>
      <c r="K3" s="126">
        <f>IF(SER_hh_emih_in!K3=0,0,SER_hh_emih_in!K3/SER_summary!K$27)</f>
        <v>11.525260991156724</v>
      </c>
      <c r="L3" s="126">
        <f>IF(SER_hh_emih_in!L3=0,0,SER_hh_emih_in!L3/SER_summary!L$27)</f>
        <v>4.8031801604977202</v>
      </c>
      <c r="M3" s="126">
        <f>IF(SER_hh_emih_in!M3=0,0,SER_hh_emih_in!M3/SER_summary!M$27)</f>
        <v>11.779445422700352</v>
      </c>
      <c r="N3" s="126">
        <f>IF(SER_hh_emih_in!N3=0,0,SER_hh_emih_in!N3/SER_summary!N$27)</f>
        <v>24.429969711121903</v>
      </c>
      <c r="O3" s="126">
        <f>IF(SER_hh_emih_in!O3=0,0,SER_hh_emih_in!O3/SER_summary!O$27)</f>
        <v>25.085447358678898</v>
      </c>
      <c r="P3" s="126">
        <f>IF(SER_hh_emih_in!P3=0,0,SER_hh_emih_in!P3/SER_summary!P$27)</f>
        <v>30.525548631351629</v>
      </c>
      <c r="Q3" s="126">
        <f>IF(SER_hh_emih_in!Q3=0,0,SER_hh_emih_in!Q3/SER_summary!Q$27)</f>
        <v>23.511559366183334</v>
      </c>
      <c r="R3" s="126">
        <f>IF(SER_hh_emih_in!R3=0,0,SER_hh_emih_in!R3/SER_summary!R$27)</f>
        <v>7.4313944405598269</v>
      </c>
      <c r="S3" s="126">
        <f>IF(SER_hh_emih_in!S3=0,0,SER_hh_emih_in!S3/SER_summary!S$27)</f>
        <v>9.3398799299250719</v>
      </c>
      <c r="T3" s="126">
        <f>IF(SER_hh_emih_in!T3=0,0,SER_hh_emih_in!T3/SER_summary!T$27)</f>
        <v>11.366413721067548</v>
      </c>
      <c r="U3" s="126">
        <f>IF(SER_hh_emih_in!U3=0,0,SER_hh_emih_in!U3/SER_summary!U$27)</f>
        <v>7.9739320751464655</v>
      </c>
      <c r="V3" s="126">
        <f>IF(SER_hh_emih_in!V3=0,0,SER_hh_emih_in!V3/SER_summary!V$27)</f>
        <v>3.8247156373411024</v>
      </c>
      <c r="W3" s="126">
        <f>IF(SER_hh_emih_in!W3=0,0,SER_hh_emih_in!W3/SER_summary!W$27)</f>
        <v>5.8958210247442118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14.690746675749947</v>
      </c>
      <c r="D4" s="131">
        <f>IF(SER_hh_emih_in!D4=0,0,SER_hh_emih_in!D4/SER_summary!D$27)</f>
        <v>17.944200635483053</v>
      </c>
      <c r="E4" s="131">
        <f>IF(SER_hh_emih_in!E4=0,0,SER_hh_emih_in!E4/SER_summary!E$27)</f>
        <v>14.465784138375769</v>
      </c>
      <c r="F4" s="131">
        <f>IF(SER_hh_emih_in!F4=0,0,SER_hh_emih_in!F4/SER_summary!F$27)</f>
        <v>4.2489845641063653</v>
      </c>
      <c r="G4" s="131">
        <f>IF(SER_hh_emih_in!G4=0,0,SER_hh_emih_in!G4/SER_summary!G$27)</f>
        <v>3.5989397671896692</v>
      </c>
      <c r="H4" s="131">
        <f>IF(SER_hh_emih_in!H4=0,0,SER_hh_emih_in!H4/SER_summary!H$27)</f>
        <v>17.699530151916196</v>
      </c>
      <c r="I4" s="131">
        <f>IF(SER_hh_emih_in!I4=0,0,SER_hh_emih_in!I4/SER_summary!I$27)</f>
        <v>21.615108731361964</v>
      </c>
      <c r="J4" s="131">
        <f>IF(SER_hh_emih_in!J4=0,0,SER_hh_emih_in!J4/SER_summary!J$27)</f>
        <v>19.093727818571143</v>
      </c>
      <c r="K4" s="131">
        <f>IF(SER_hh_emih_in!K4=0,0,SER_hh_emih_in!K4/SER_summary!K$27)</f>
        <v>0.6404419330230875</v>
      </c>
      <c r="L4" s="131">
        <f>IF(SER_hh_emih_in!L4=0,0,SER_hh_emih_in!L4/SER_summary!L$27)</f>
        <v>2.7293594158465204</v>
      </c>
      <c r="M4" s="131">
        <f>IF(SER_hh_emih_in!M4=0,0,SER_hh_emih_in!M4/SER_summary!M$27)</f>
        <v>8.1117239355865909</v>
      </c>
      <c r="N4" s="131">
        <f>IF(SER_hh_emih_in!N4=0,0,SER_hh_emih_in!N4/SER_summary!N$27)</f>
        <v>23.144870613520986</v>
      </c>
      <c r="O4" s="131">
        <f>IF(SER_hh_emih_in!O4=0,0,SER_hh_emih_in!O4/SER_summary!O$27)</f>
        <v>22.231758402450001</v>
      </c>
      <c r="P4" s="131">
        <f>IF(SER_hh_emih_in!P4=0,0,SER_hh_emih_in!P4/SER_summary!P$27)</f>
        <v>27.845292167674952</v>
      </c>
      <c r="Q4" s="131">
        <f>IF(SER_hh_emih_in!Q4=0,0,SER_hh_emih_in!Q4/SER_summary!Q$27)</f>
        <v>18.548366556012446</v>
      </c>
      <c r="R4" s="131">
        <f>IF(SER_hh_emih_in!R4=0,0,SER_hh_emih_in!R4/SER_summary!R$27)</f>
        <v>3.0546057833320082</v>
      </c>
      <c r="S4" s="131">
        <f>IF(SER_hh_emih_in!S4=0,0,SER_hh_emih_in!S4/SER_summary!S$27)</f>
        <v>1.1971138572629769</v>
      </c>
      <c r="T4" s="131">
        <f>IF(SER_hh_emih_in!T4=0,0,SER_hh_emih_in!T4/SER_summary!T$27)</f>
        <v>1.8468802679184257</v>
      </c>
      <c r="U4" s="131">
        <f>IF(SER_hh_emih_in!U4=0,0,SER_hh_emih_in!U4/SER_summary!U$27)</f>
        <v>1.8035867136606833</v>
      </c>
      <c r="V4" s="131">
        <f>IF(SER_hh_emih_in!V4=0,0,SER_hh_emih_in!V4/SER_summary!V$27)</f>
        <v>1.014242962392278</v>
      </c>
      <c r="W4" s="131">
        <f>IF(SER_hh_emih_in!W4=0,0,SER_hh_emih_in!W4/SER_summary!W$27)</f>
        <v>2.8515549774182323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26.498612955661827</v>
      </c>
      <c r="D6" s="133">
        <f>IF(SER_hh_emih_in!D6=0,0,SER_hh_emih_in!D6/SER_summary!D$27)</f>
        <v>26.790119824458703</v>
      </c>
      <c r="E6" s="133">
        <f>IF(SER_hh_emih_in!E6=0,0,SER_hh_emih_in!E6/SER_summary!E$27)</f>
        <v>29.950647630289055</v>
      </c>
      <c r="F6" s="133">
        <f>IF(SER_hh_emih_in!F6=0,0,SER_hh_emih_in!F6/SER_summary!F$27)</f>
        <v>31.039257663018116</v>
      </c>
      <c r="G6" s="133">
        <f>IF(SER_hh_emih_in!G6=0,0,SER_hh_emih_in!G6/SER_summary!G$27)</f>
        <v>26.495823866108548</v>
      </c>
      <c r="H6" s="133">
        <f>IF(SER_hh_emih_in!H6=0,0,SER_hh_emih_in!H6/SER_summary!H$27)</f>
        <v>30.033298519475025</v>
      </c>
      <c r="I6" s="133">
        <f>IF(SER_hh_emih_in!I6=0,0,SER_hh_emih_in!I6/SER_summary!I$27)</f>
        <v>33.250662309787323</v>
      </c>
      <c r="J6" s="133">
        <f>IF(SER_hh_emih_in!J6=0,0,SER_hh_emih_in!J6/SER_summary!J$27)</f>
        <v>17.59547576460043</v>
      </c>
      <c r="K6" s="133">
        <f>IF(SER_hh_emih_in!K6=0,0,SER_hh_emih_in!K6/SER_summary!K$27)</f>
        <v>9.0093555093322149</v>
      </c>
      <c r="L6" s="133">
        <f>IF(SER_hh_emih_in!L6=0,0,SER_hh_emih_in!L6/SER_summary!L$27)</f>
        <v>39.669359482212194</v>
      </c>
      <c r="M6" s="133">
        <f>IF(SER_hh_emih_in!M6=0,0,SER_hh_emih_in!M6/SER_summary!M$27)</f>
        <v>29.464045055773823</v>
      </c>
      <c r="N6" s="133">
        <f>IF(SER_hh_emih_in!N6=0,0,SER_hh_emih_in!N6/SER_summary!N$27)</f>
        <v>34.969102738412509</v>
      </c>
      <c r="O6" s="133">
        <f>IF(SER_hh_emih_in!O6=0,0,SER_hh_emih_in!O6/SER_summary!O$27)</f>
        <v>0</v>
      </c>
      <c r="P6" s="133">
        <f>IF(SER_hh_emih_in!P6=0,0,SER_hh_emih_in!P6/SER_summary!P$27)</f>
        <v>25.055535256946847</v>
      </c>
      <c r="Q6" s="133">
        <f>IF(SER_hh_emih_in!Q6=0,0,SER_hh_emih_in!Q6/SER_summary!Q$27)</f>
        <v>28.083679884170486</v>
      </c>
      <c r="R6" s="133">
        <f>IF(SER_hh_emih_in!R6=0,0,SER_hh_emih_in!R6/SER_summary!R$27)</f>
        <v>22.119733361271148</v>
      </c>
      <c r="S6" s="133">
        <f>IF(SER_hh_emih_in!S6=0,0,SER_hh_emih_in!S6/SER_summary!S$27)</f>
        <v>22.65675669008839</v>
      </c>
      <c r="T6" s="133">
        <f>IF(SER_hh_emih_in!T6=0,0,SER_hh_emih_in!T6/SER_summary!T$27)</f>
        <v>24.601616515225267</v>
      </c>
      <c r="U6" s="133">
        <f>IF(SER_hh_emih_in!U6=0,0,SER_hh_emih_in!U6/SER_summary!U$27)</f>
        <v>20.629676185647156</v>
      </c>
      <c r="V6" s="133">
        <f>IF(SER_hh_emih_in!V6=0,0,SER_hh_emih_in!V6/SER_summary!V$27)</f>
        <v>13.632191681110347</v>
      </c>
      <c r="W6" s="133">
        <f>IF(SER_hh_emih_in!W6=0,0,SER_hh_emih_in!W6/SER_summary!W$27)</f>
        <v>10.601755846866116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27.539601138809747</v>
      </c>
      <c r="D7" s="133">
        <f>IF(SER_hh_emih_in!D7=0,0,SER_hh_emih_in!D7/SER_summary!D$27)</f>
        <v>31.286800708506146</v>
      </c>
      <c r="E7" s="133">
        <f>IF(SER_hh_emih_in!E7=0,0,SER_hh_emih_in!E7/SER_summary!E$27)</f>
        <v>38.117528924581556</v>
      </c>
      <c r="F7" s="133">
        <f>IF(SER_hh_emih_in!F7=0,0,SER_hh_emih_in!F7/SER_summary!F$27)</f>
        <v>42.490515495974186</v>
      </c>
      <c r="G7" s="133">
        <f>IF(SER_hh_emih_in!G7=0,0,SER_hh_emih_in!G7/SER_summary!G$27)</f>
        <v>37.813355682950998</v>
      </c>
      <c r="H7" s="133">
        <f>IF(SER_hh_emih_in!H7=0,0,SER_hh_emih_in!H7/SER_summary!H$27)</f>
        <v>29.667391948967172</v>
      </c>
      <c r="I7" s="133">
        <f>IF(SER_hh_emih_in!I7=0,0,SER_hh_emih_in!I7/SER_summary!I$27)</f>
        <v>32.546437027442991</v>
      </c>
      <c r="J7" s="133">
        <f>IF(SER_hh_emih_in!J7=0,0,SER_hh_emih_in!J7/SER_summary!J$27)</f>
        <v>29.903322387901188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21.657607847132965</v>
      </c>
      <c r="N7" s="133">
        <f>IF(SER_hh_emih_in!N7=0,0,SER_hh_emih_in!N7/SER_summary!N$27)</f>
        <v>34.834852558502362</v>
      </c>
      <c r="O7" s="133">
        <f>IF(SER_hh_emih_in!O7=0,0,SER_hh_emih_in!O7/SER_summary!O$27)</f>
        <v>42.421915895411722</v>
      </c>
      <c r="P7" s="133">
        <f>IF(SER_hh_emih_in!P7=0,0,SER_hh_emih_in!P7/SER_summary!P$27)</f>
        <v>39.997734736179481</v>
      </c>
      <c r="Q7" s="133">
        <f>IF(SER_hh_emih_in!Q7=0,0,SER_hh_emih_in!Q7/SER_summary!Q$27)</f>
        <v>43.885874170571583</v>
      </c>
      <c r="R7" s="133">
        <f>IF(SER_hh_emih_in!R7=0,0,SER_hh_emih_in!R7/SER_summary!R$27)</f>
        <v>39.796618460507645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11.82095238369763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0</v>
      </c>
      <c r="D9" s="133">
        <f>IF(SER_hh_emih_in!D9=0,0,SER_hh_emih_in!D9/SER_summary!D$27)</f>
        <v>0</v>
      </c>
      <c r="E9" s="133">
        <f>IF(SER_hh_emih_in!E9=0,0,SER_hh_emih_in!E9/SER_summary!E$27)</f>
        <v>0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0</v>
      </c>
      <c r="L9" s="133">
        <f>IF(SER_hh_emih_in!L9=0,0,SER_hh_emih_in!L9/SER_summary!L$27)</f>
        <v>0</v>
      </c>
      <c r="M9" s="133">
        <f>IF(SER_hh_emih_in!M9=0,0,SER_hh_emih_in!M9/SER_summary!M$27)</f>
        <v>0</v>
      </c>
      <c r="N9" s="133">
        <f>IF(SER_hh_emih_in!N9=0,0,SER_hh_emih_in!N9/SER_summary!N$27)</f>
        <v>0</v>
      </c>
      <c r="O9" s="133">
        <f>IF(SER_hh_emih_in!O9=0,0,SER_hh_emih_in!O9/SER_summary!O$27)</f>
        <v>0</v>
      </c>
      <c r="P9" s="133">
        <f>IF(SER_hh_emih_in!P9=0,0,SER_hh_emih_in!P9/SER_summary!P$27)</f>
        <v>0</v>
      </c>
      <c r="Q9" s="133">
        <f>IF(SER_hh_emih_in!Q9=0,0,SER_hh_emih_in!Q9/SER_summary!Q$27)</f>
        <v>0</v>
      </c>
      <c r="R9" s="133">
        <f>IF(SER_hh_emih_in!R9=0,0,SER_hh_emih_in!R9/SER_summary!R$27)</f>
        <v>0</v>
      </c>
      <c r="S9" s="133">
        <f>IF(SER_hh_emih_in!S9=0,0,SER_hh_emih_in!S9/SER_summary!S$27)</f>
        <v>0</v>
      </c>
      <c r="T9" s="133">
        <f>IF(SER_hh_emih_in!T9=0,0,SER_hh_emih_in!T9/SER_summary!T$27)</f>
        <v>0</v>
      </c>
      <c r="U9" s="133">
        <f>IF(SER_hh_emih_in!U9=0,0,SER_hh_emih_in!U9/SER_summary!U$27)</f>
        <v>0</v>
      </c>
      <c r="V9" s="133">
        <f>IF(SER_hh_emih_in!V9=0,0,SER_hh_emih_in!V9/SER_summary!V$27)</f>
        <v>0</v>
      </c>
      <c r="W9" s="133">
        <f>IF(SER_hh_emih_in!W9=0,0,SER_hh_emih_in!W9/SER_summary!W$27)</f>
        <v>0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0.7587675706960566</v>
      </c>
      <c r="D19" s="131">
        <f>IF(SER_hh_emih_in!D19=0,0,SER_hh_emih_in!D19/SER_summary!D$27)</f>
        <v>0.56654886583769937</v>
      </c>
      <c r="E19" s="131">
        <f>IF(SER_hh_emih_in!E19=0,0,SER_hh_emih_in!E19/SER_summary!E$27)</f>
        <v>0.79086753980673818</v>
      </c>
      <c r="F19" s="131">
        <f>IF(SER_hh_emih_in!F19=0,0,SER_hh_emih_in!F19/SER_summary!F$27)</f>
        <v>1.3198455036140848</v>
      </c>
      <c r="G19" s="131">
        <f>IF(SER_hh_emih_in!G19=0,0,SER_hh_emih_in!G19/SER_summary!G$27)</f>
        <v>2.0725172262085518</v>
      </c>
      <c r="H19" s="131">
        <f>IF(SER_hh_emih_in!H19=0,0,SER_hh_emih_in!H19/SER_summary!H$27)</f>
        <v>3.4454038131405476</v>
      </c>
      <c r="I19" s="131">
        <f>IF(SER_hh_emih_in!I19=0,0,SER_hh_emih_in!I19/SER_summary!I$27)</f>
        <v>1.8797732530205054</v>
      </c>
      <c r="J19" s="131">
        <f>IF(SER_hh_emih_in!J19=0,0,SER_hh_emih_in!J19/SER_summary!J$27)</f>
        <v>1.309996465656788</v>
      </c>
      <c r="K19" s="131">
        <f>IF(SER_hh_emih_in!K19=0,0,SER_hh_emih_in!K19/SER_summary!K$27)</f>
        <v>1.2310661806307983</v>
      </c>
      <c r="L19" s="131">
        <f>IF(SER_hh_emih_in!L19=0,0,SER_hh_emih_in!L19/SER_summary!L$27)</f>
        <v>0</v>
      </c>
      <c r="M19" s="131">
        <f>IF(SER_hh_emih_in!M19=0,0,SER_hh_emih_in!M19/SER_summary!M$27)</f>
        <v>0</v>
      </c>
      <c r="N19" s="131">
        <f>IF(SER_hh_emih_in!N19=0,0,SER_hh_emih_in!N19/SER_summary!N$27)</f>
        <v>0</v>
      </c>
      <c r="O19" s="131">
        <f>IF(SER_hh_emih_in!O19=0,0,SER_hh_emih_in!O19/SER_summary!O$27)</f>
        <v>0</v>
      </c>
      <c r="P19" s="131">
        <f>IF(SER_hh_emih_in!P19=0,0,SER_hh_emih_in!P19/SER_summary!P$27)</f>
        <v>0</v>
      </c>
      <c r="Q19" s="131">
        <f>IF(SER_hh_emih_in!Q19=0,0,SER_hh_emih_in!Q19/SER_summary!Q$27)</f>
        <v>0</v>
      </c>
      <c r="R19" s="131">
        <f>IF(SER_hh_emih_in!R19=0,0,SER_hh_emih_in!R19/SER_summary!R$27)</f>
        <v>0</v>
      </c>
      <c r="S19" s="131">
        <f>IF(SER_hh_emih_in!S19=0,0,SER_hh_emih_in!S19/SER_summary!S$27)</f>
        <v>0.25083031733029171</v>
      </c>
      <c r="T19" s="131">
        <f>IF(SER_hh_emih_in!T19=0,0,SER_hh_emih_in!T19/SER_summary!T$27)</f>
        <v>0.34695957096333152</v>
      </c>
      <c r="U19" s="131">
        <f>IF(SER_hh_emih_in!U19=0,0,SER_hh_emih_in!U19/SER_summary!U$27)</f>
        <v>0.22027969803619463</v>
      </c>
      <c r="V19" s="131">
        <f>IF(SER_hh_emih_in!V19=0,0,SER_hh_emih_in!V19/SER_summary!V$27)</f>
        <v>0.12210063488867608</v>
      </c>
      <c r="W19" s="131">
        <f>IF(SER_hh_emih_in!W19=0,0,SER_hh_emih_in!W19/SER_summary!W$27)</f>
        <v>0.32080593858622719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15.089550832356279</v>
      </c>
      <c r="D21" s="133">
        <f>IF(SER_hh_emih_in!D21=0,0,SER_hh_emih_in!D21/SER_summary!D$27)</f>
        <v>15.305972010001545</v>
      </c>
      <c r="E21" s="133">
        <f>IF(SER_hh_emih_in!E21=0,0,SER_hh_emih_in!E21/SER_summary!E$27)</f>
        <v>13.124481806662413</v>
      </c>
      <c r="F21" s="133">
        <f>IF(SER_hh_emih_in!F21=0,0,SER_hh_emih_in!F21/SER_summary!F$27)</f>
        <v>11.418595291516203</v>
      </c>
      <c r="G21" s="133">
        <f>IF(SER_hh_emih_in!G21=0,0,SER_hh_emih_in!G21/SER_summary!G$27)</f>
        <v>9.7232789896696072</v>
      </c>
      <c r="H21" s="133">
        <f>IF(SER_hh_emih_in!H21=0,0,SER_hh_emih_in!H21/SER_summary!H$27)</f>
        <v>21.571686136111349</v>
      </c>
      <c r="I21" s="133">
        <f>IF(SER_hh_emih_in!I21=0,0,SER_hh_emih_in!I21/SER_summary!I$27)</f>
        <v>26.079794202497713</v>
      </c>
      <c r="J21" s="133">
        <f>IF(SER_hh_emih_in!J21=0,0,SER_hh_emih_in!J21/SER_summary!J$27)</f>
        <v>23.689836469504453</v>
      </c>
      <c r="K21" s="133">
        <f>IF(SER_hh_emih_in!K21=0,0,SER_hh_emih_in!K21/SER_summary!K$27)</f>
        <v>21.862712389026903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9.099548988570664</v>
      </c>
      <c r="T21" s="133">
        <f>IF(SER_hh_emih_in!T21=0,0,SER_hh_emih_in!T21/SER_summary!T$27)</f>
        <v>10.659952226972377</v>
      </c>
      <c r="U21" s="133">
        <f>IF(SER_hh_emih_in!U21=0,0,SER_hh_emih_in!U21/SER_summary!U$27)</f>
        <v>10.158638423247293</v>
      </c>
      <c r="V21" s="133">
        <f>IF(SER_hh_emih_in!V21=0,0,SER_hh_emih_in!V21/SER_summary!V$27)</f>
        <v>8.2198378391466349</v>
      </c>
      <c r="W21" s="133">
        <f>IF(SER_hh_emih_in!W21=0,0,SER_hh_emih_in!W21/SER_summary!W$27)</f>
        <v>9.5282069990461267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0</v>
      </c>
      <c r="D23" s="133">
        <f>IF(SER_hh_emih_in!D23=0,0,SER_hh_emih_in!D23/SER_summary!D$27)</f>
        <v>0</v>
      </c>
      <c r="E23" s="133">
        <f>IF(SER_hh_emih_in!E23=0,0,SER_hh_emih_in!E23/SER_summary!E$27)</f>
        <v>0</v>
      </c>
      <c r="F23" s="133">
        <f>IF(SER_hh_emih_in!F23=0,0,SER_hh_emih_in!F23/SER_summary!F$27)</f>
        <v>0</v>
      </c>
      <c r="G23" s="133">
        <f>IF(SER_hh_emih_in!G23=0,0,SER_hh_emih_in!G23/SER_summary!G$27)</f>
        <v>0</v>
      </c>
      <c r="H23" s="133">
        <f>IF(SER_hh_emih_in!H23=0,0,SER_hh_emih_in!H23/SER_summary!H$27)</f>
        <v>0</v>
      </c>
      <c r="I23" s="133">
        <f>IF(SER_hh_emih_in!I23=0,0,SER_hh_emih_in!I23/SER_summary!I$27)</f>
        <v>0</v>
      </c>
      <c r="J23" s="133">
        <f>IF(SER_hh_emih_in!J23=0,0,SER_hh_emih_in!J23/SER_summary!J$27)</f>
        <v>0</v>
      </c>
      <c r="K23" s="133">
        <f>IF(SER_hh_emih_in!K23=0,0,SER_hh_emih_in!K23/SER_summary!K$27)</f>
        <v>0</v>
      </c>
      <c r="L23" s="133">
        <f>IF(SER_hh_emih_in!L23=0,0,SER_hh_emih_in!L23/SER_summary!L$27)</f>
        <v>0</v>
      </c>
      <c r="M23" s="133">
        <f>IF(SER_hh_emih_in!M23=0,0,SER_hh_emih_in!M23/SER_summary!M$27)</f>
        <v>0</v>
      </c>
      <c r="N23" s="133">
        <f>IF(SER_hh_emih_in!N23=0,0,SER_hh_emih_in!N23/SER_summary!N$27)</f>
        <v>0</v>
      </c>
      <c r="O23" s="133">
        <f>IF(SER_hh_emih_in!O23=0,0,SER_hh_emih_in!O23/SER_summary!O$27)</f>
        <v>0</v>
      </c>
      <c r="P23" s="133">
        <f>IF(SER_hh_emih_in!P23=0,0,SER_hh_emih_in!P23/SER_summary!P$27)</f>
        <v>0</v>
      </c>
      <c r="Q23" s="133">
        <f>IF(SER_hh_emih_in!Q23=0,0,SER_hh_emih_in!Q23/SER_summary!Q$27)</f>
        <v>0</v>
      </c>
      <c r="R23" s="133">
        <f>IF(SER_hh_emih_in!R23=0,0,SER_hh_emih_in!R23/SER_summary!R$27)</f>
        <v>0</v>
      </c>
      <c r="S23" s="133">
        <f>IF(SER_hh_emih_in!S23=0,0,SER_hh_emih_in!S23/SER_summary!S$27)</f>
        <v>0</v>
      </c>
      <c r="T23" s="133">
        <f>IF(SER_hh_emih_in!T23=0,0,SER_hh_emih_in!T23/SER_summary!T$27)</f>
        <v>0</v>
      </c>
      <c r="U23" s="133">
        <f>IF(SER_hh_emih_in!U23=0,0,SER_hh_emih_in!U23/SER_summary!U$27)</f>
        <v>0</v>
      </c>
      <c r="V23" s="133">
        <f>IF(SER_hh_emih_in!V23=0,0,SER_hh_emih_in!V23/SER_summary!V$27)</f>
        <v>0</v>
      </c>
      <c r="W23" s="133">
        <f>IF(SER_hh_emih_in!W23=0,0,SER_hh_emih_in!W23/SER_summary!W$27)</f>
        <v>0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0.99548857226434062</v>
      </c>
      <c r="D29" s="131">
        <f>IF(SER_hh_emih_in!D29=0,0,SER_hh_emih_in!D29/SER_summary!D$27)</f>
        <v>1.5930739497642599</v>
      </c>
      <c r="E29" s="131">
        <f>IF(SER_hh_emih_in!E29=0,0,SER_hh_emih_in!E29/SER_summary!E$27)</f>
        <v>1.1065332934032142</v>
      </c>
      <c r="F29" s="131">
        <f>IF(SER_hh_emih_in!F29=0,0,SER_hh_emih_in!F29/SER_summary!F$27)</f>
        <v>1.8053349066301121</v>
      </c>
      <c r="G29" s="131">
        <f>IF(SER_hh_emih_in!G29=0,0,SER_hh_emih_in!G29/SER_summary!G$27)</f>
        <v>2.2077096153393208</v>
      </c>
      <c r="H29" s="131">
        <f>IF(SER_hh_emih_in!H29=0,0,SER_hh_emih_in!H29/SER_summary!H$27)</f>
        <v>5.920351701513467</v>
      </c>
      <c r="I29" s="131">
        <f>IF(SER_hh_emih_in!I29=0,0,SER_hh_emih_in!I29/SER_summary!I$27)</f>
        <v>6.3587804374868817</v>
      </c>
      <c r="J29" s="131">
        <f>IF(SER_hh_emih_in!J29=0,0,SER_hh_emih_in!J29/SER_summary!J$27)</f>
        <v>6.1561534059546004</v>
      </c>
      <c r="K29" s="131">
        <f>IF(SER_hh_emih_in!K29=0,0,SER_hh_emih_in!K29/SER_summary!K$27)</f>
        <v>9.6537528775028374</v>
      </c>
      <c r="L29" s="131">
        <f>IF(SER_hh_emih_in!L29=0,0,SER_hh_emih_in!L29/SER_summary!L$27)</f>
        <v>2.0738207446511998</v>
      </c>
      <c r="M29" s="131">
        <f>IF(SER_hh_emih_in!M29=0,0,SER_hh_emih_in!M29/SER_summary!M$27)</f>
        <v>3.6677214871137611</v>
      </c>
      <c r="N29" s="131">
        <f>IF(SER_hh_emih_in!N29=0,0,SER_hh_emih_in!N29/SER_summary!N$27)</f>
        <v>1.285099097600914</v>
      </c>
      <c r="O29" s="131">
        <f>IF(SER_hh_emih_in!O29=0,0,SER_hh_emih_in!O29/SER_summary!O$27)</f>
        <v>2.8536889562288983</v>
      </c>
      <c r="P29" s="131">
        <f>IF(SER_hh_emih_in!P29=0,0,SER_hh_emih_in!P29/SER_summary!P$27)</f>
        <v>2.6802564636766717</v>
      </c>
      <c r="Q29" s="131">
        <f>IF(SER_hh_emih_in!Q29=0,0,SER_hh_emih_in!Q29/SER_summary!Q$27)</f>
        <v>4.9631928101708889</v>
      </c>
      <c r="R29" s="131">
        <f>IF(SER_hh_emih_in!R29=0,0,SER_hh_emih_in!R29/SER_summary!R$27)</f>
        <v>4.3767886572278183</v>
      </c>
      <c r="S29" s="131">
        <f>IF(SER_hh_emih_in!S29=0,0,SER_hh_emih_in!S29/SER_summary!S$27)</f>
        <v>7.8919357553318061</v>
      </c>
      <c r="T29" s="131">
        <f>IF(SER_hh_emih_in!T29=0,0,SER_hh_emih_in!T29/SER_summary!T$27)</f>
        <v>9.1725738821857909</v>
      </c>
      <c r="U29" s="131">
        <f>IF(SER_hh_emih_in!U29=0,0,SER_hh_emih_in!U29/SER_summary!U$27)</f>
        <v>5.9500656634495872</v>
      </c>
      <c r="V29" s="131">
        <f>IF(SER_hh_emih_in!V29=0,0,SER_hh_emih_in!V29/SER_summary!V$27)</f>
        <v>2.6883720400601478</v>
      </c>
      <c r="W29" s="131">
        <f>IF(SER_hh_emih_in!W29=0,0,SER_hh_emih_in!W29/SER_summary!W$27)</f>
        <v>2.7234601087397516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17.527349015405328</v>
      </c>
      <c r="D30" s="133">
        <f>IF(SER_hh_emih_in!D30=0,0,SER_hh_emih_in!D30/SER_summary!D$27)</f>
        <v>20.649334491499502</v>
      </c>
      <c r="E30" s="133">
        <f>IF(SER_hh_emih_in!E30=0,0,SER_hh_emih_in!E30/SER_summary!E$27)</f>
        <v>19.785190373337674</v>
      </c>
      <c r="F30" s="133">
        <f>IF(SER_hh_emih_in!F30=0,0,SER_hh_emih_in!F30/SER_summary!F$27)</f>
        <v>17.242658215319292</v>
      </c>
      <c r="G30" s="133">
        <f>IF(SER_hh_emih_in!G30=0,0,SER_hh_emih_in!G30/SER_summary!G$27)</f>
        <v>15.112544606396687</v>
      </c>
      <c r="H30" s="133">
        <f>IF(SER_hh_emih_in!H30=0,0,SER_hh_emih_in!H30/SER_summary!H$27)</f>
        <v>19.317830805887532</v>
      </c>
      <c r="I30" s="133">
        <f>IF(SER_hh_emih_in!I30=0,0,SER_hh_emih_in!I30/SER_summary!I$27)</f>
        <v>16.718216685315397</v>
      </c>
      <c r="J30" s="133">
        <f>IF(SER_hh_emih_in!J30=0,0,SER_hh_emih_in!J30/SER_summary!J$27)</f>
        <v>18.454872900609107</v>
      </c>
      <c r="K30" s="133">
        <f>IF(SER_hh_emih_in!K30=0,0,SER_hh_emih_in!K30/SER_summary!K$27)</f>
        <v>22.790561864691679</v>
      </c>
      <c r="L30" s="133">
        <f>IF(SER_hh_emih_in!L30=0,0,SER_hh_emih_in!L30/SER_summary!L$27)</f>
        <v>17.201862334641508</v>
      </c>
      <c r="M30" s="133">
        <f>IF(SER_hh_emih_in!M30=0,0,SER_hh_emih_in!M30/SER_summary!M$27)</f>
        <v>19.241476759133398</v>
      </c>
      <c r="N30" s="133">
        <f>IF(SER_hh_emih_in!N30=0,0,SER_hh_emih_in!N30/SER_summary!N$27)</f>
        <v>18.549776695603832</v>
      </c>
      <c r="O30" s="133">
        <f>IF(SER_hh_emih_in!O30=0,0,SER_hh_emih_in!O30/SER_summary!O$27)</f>
        <v>17.941873715619845</v>
      </c>
      <c r="P30" s="133">
        <f>IF(SER_hh_emih_in!P30=0,0,SER_hh_emih_in!P30/SER_summary!P$27)</f>
        <v>17.716352802572587</v>
      </c>
      <c r="Q30" s="133">
        <f>IF(SER_hh_emih_in!Q30=0,0,SER_hh_emih_in!Q30/SER_summary!Q$27)</f>
        <v>19.558872203037151</v>
      </c>
      <c r="R30" s="133">
        <f>IF(SER_hh_emih_in!R30=0,0,SER_hh_emih_in!R30/SER_summary!R$27)</f>
        <v>15.847410370609728</v>
      </c>
      <c r="S30" s="133">
        <f>IF(SER_hh_emih_in!S30=0,0,SER_hh_emih_in!S30/SER_summary!S$27)</f>
        <v>16.899236356030183</v>
      </c>
      <c r="T30" s="133">
        <f>IF(SER_hh_emih_in!T30=0,0,SER_hh_emih_in!T30/SER_summary!T$27)</f>
        <v>19.534751161322287</v>
      </c>
      <c r="U30" s="133">
        <f>IF(SER_hh_emih_in!U30=0,0,SER_hh_emih_in!U30/SER_summary!U$27)</f>
        <v>19.789698475678676</v>
      </c>
      <c r="V30" s="133">
        <f>IF(SER_hh_emih_in!V30=0,0,SER_hh_emih_in!V30/SER_summary!V$27)</f>
        <v>13.13237592146821</v>
      </c>
      <c r="W30" s="133">
        <f>IF(SER_hh_emih_in!W30=0,0,SER_hh_emih_in!W30/SER_summary!W$27)</f>
        <v>14.285196814706568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0</v>
      </c>
      <c r="D31" s="133">
        <f>IF(SER_hh_emih_in!D31=0,0,SER_hh_emih_in!D31/SER_summary!D$27)</f>
        <v>0</v>
      </c>
      <c r="E31" s="133">
        <f>IF(SER_hh_emih_in!E31=0,0,SER_hh_emih_in!E31/SER_summary!E$27)</f>
        <v>0</v>
      </c>
      <c r="F31" s="133">
        <f>IF(SER_hh_emih_in!F31=0,0,SER_hh_emih_in!F31/SER_summary!F$27)</f>
        <v>0</v>
      </c>
      <c r="G31" s="133">
        <f>IF(SER_hh_emih_in!G31=0,0,SER_hh_emih_in!G31/SER_summary!G$27)</f>
        <v>0</v>
      </c>
      <c r="H31" s="133">
        <f>IF(SER_hh_emih_in!H31=0,0,SER_hh_emih_in!H31/SER_summary!H$27)</f>
        <v>0</v>
      </c>
      <c r="I31" s="133">
        <f>IF(SER_hh_emih_in!I31=0,0,SER_hh_emih_in!I31/SER_summary!I$27)</f>
        <v>0</v>
      </c>
      <c r="J31" s="133">
        <f>IF(SER_hh_emih_in!J31=0,0,SER_hh_emih_in!J31/SER_summary!J$27)</f>
        <v>0</v>
      </c>
      <c r="K31" s="133">
        <f>IF(SER_hh_emih_in!K31=0,0,SER_hh_emih_in!K31/SER_summary!K$27)</f>
        <v>0</v>
      </c>
      <c r="L31" s="133">
        <f>IF(SER_hh_emih_in!L31=0,0,SER_hh_emih_in!L31/SER_summary!L$27)</f>
        <v>0</v>
      </c>
      <c r="M31" s="133">
        <f>IF(SER_hh_emih_in!M31=0,0,SER_hh_emih_in!M31/SER_summary!M$27)</f>
        <v>0</v>
      </c>
      <c r="N31" s="133">
        <f>IF(SER_hh_emih_in!N31=0,0,SER_hh_emih_in!N31/SER_summary!N$27)</f>
        <v>0</v>
      </c>
      <c r="O31" s="133">
        <f>IF(SER_hh_emih_in!O31=0,0,SER_hh_emih_in!O31/SER_summary!O$27)</f>
        <v>0</v>
      </c>
      <c r="P31" s="133">
        <f>IF(SER_hh_emih_in!P31=0,0,SER_hh_emih_in!P31/SER_summary!P$27)</f>
        <v>0</v>
      </c>
      <c r="Q31" s="133">
        <f>IF(SER_hh_emih_in!Q31=0,0,SER_hh_emih_in!Q31/SER_summary!Q$27)</f>
        <v>0</v>
      </c>
      <c r="R31" s="133">
        <f>IF(SER_hh_emih_in!R31=0,0,SER_hh_emih_in!R31/SER_summary!R$27)</f>
        <v>0</v>
      </c>
      <c r="S31" s="133">
        <f>IF(SER_hh_emih_in!S31=0,0,SER_hh_emih_in!S31/SER_summary!S$27)</f>
        <v>0</v>
      </c>
      <c r="T31" s="133">
        <f>IF(SER_hh_emih_in!T31=0,0,SER_hh_emih_in!T31/SER_summary!T$27)</f>
        <v>0</v>
      </c>
      <c r="U31" s="133">
        <f>IF(SER_hh_emih_in!U31=0,0,SER_hh_emih_in!U31/SER_summary!U$27)</f>
        <v>0</v>
      </c>
      <c r="V31" s="133">
        <f>IF(SER_hh_emih_in!V31=0,0,SER_hh_emih_in!V31/SER_summary!V$27)</f>
        <v>0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14.009395580587682</v>
      </c>
      <c r="C3" s="180">
        <f t="shared" ref="C3:W3" si="1">SUM(C4:C9)</f>
        <v>15.001383263895448</v>
      </c>
      <c r="D3" s="180">
        <f t="shared" si="1"/>
        <v>15.788218931181609</v>
      </c>
      <c r="E3" s="180">
        <f t="shared" si="1"/>
        <v>16.501446702094452</v>
      </c>
      <c r="F3" s="180">
        <f t="shared" si="1"/>
        <v>17.088567606855033</v>
      </c>
      <c r="G3" s="180">
        <f t="shared" si="1"/>
        <v>17.720664460718009</v>
      </c>
      <c r="H3" s="180">
        <f t="shared" si="1"/>
        <v>18.516350694676898</v>
      </c>
      <c r="I3" s="180">
        <f t="shared" si="1"/>
        <v>19.096204639320241</v>
      </c>
      <c r="J3" s="180">
        <f t="shared" si="1"/>
        <v>19.815735651456293</v>
      </c>
      <c r="K3" s="180">
        <f t="shared" si="1"/>
        <v>20.181356271556911</v>
      </c>
      <c r="L3" s="180">
        <f t="shared" si="1"/>
        <v>21.042270800896173</v>
      </c>
      <c r="M3" s="180">
        <f t="shared" si="1"/>
        <v>21.505260125066897</v>
      </c>
      <c r="N3" s="180">
        <f t="shared" si="1"/>
        <v>22.308996406723917</v>
      </c>
      <c r="O3" s="180">
        <f t="shared" si="1"/>
        <v>23.124426047441283</v>
      </c>
      <c r="P3" s="180">
        <f t="shared" si="1"/>
        <v>24.13912443348536</v>
      </c>
      <c r="Q3" s="180">
        <f t="shared" si="1"/>
        <v>25.199459534834133</v>
      </c>
      <c r="R3" s="180">
        <f t="shared" si="1"/>
        <v>25.6073615611996</v>
      </c>
      <c r="S3" s="180">
        <f t="shared" si="1"/>
        <v>26.04921582376312</v>
      </c>
      <c r="T3" s="180">
        <f t="shared" si="1"/>
        <v>26.591780319229326</v>
      </c>
      <c r="U3" s="180">
        <f t="shared" si="1"/>
        <v>27.046607983445615</v>
      </c>
      <c r="V3" s="180">
        <f t="shared" si="1"/>
        <v>25.118537093869072</v>
      </c>
      <c r="W3" s="180">
        <f t="shared" si="1"/>
        <v>25.388507948488282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0.49562233665560984</v>
      </c>
      <c r="C4" s="181">
        <f t="shared" ref="C4:R9" si="3">C12*C44/11630</f>
        <v>0.52935684758573665</v>
      </c>
      <c r="D4" s="181">
        <f t="shared" si="3"/>
        <v>0.55106496267990379</v>
      </c>
      <c r="E4" s="181">
        <f t="shared" si="3"/>
        <v>0.56923375387858521</v>
      </c>
      <c r="F4" s="181">
        <f t="shared" si="3"/>
        <v>0.58246662850823161</v>
      </c>
      <c r="G4" s="181">
        <f t="shared" si="3"/>
        <v>0.61073309991498181</v>
      </c>
      <c r="H4" s="181">
        <f t="shared" si="3"/>
        <v>0.63559463118602377</v>
      </c>
      <c r="I4" s="181">
        <f t="shared" si="3"/>
        <v>0.65853710104512186</v>
      </c>
      <c r="J4" s="181">
        <f t="shared" si="3"/>
        <v>0.70293109329153414</v>
      </c>
      <c r="K4" s="181">
        <f t="shared" si="3"/>
        <v>0.71835094497217433</v>
      </c>
      <c r="L4" s="181">
        <f t="shared" si="3"/>
        <v>0.73364503769922607</v>
      </c>
      <c r="M4" s="181">
        <f t="shared" si="3"/>
        <v>0.75737746183307075</v>
      </c>
      <c r="N4" s="181">
        <f t="shared" si="3"/>
        <v>0.79284227151314557</v>
      </c>
      <c r="O4" s="181">
        <f t="shared" si="3"/>
        <v>0.81756534712340723</v>
      </c>
      <c r="P4" s="181">
        <f t="shared" si="3"/>
        <v>0.85246781082002088</v>
      </c>
      <c r="Q4" s="181">
        <f t="shared" si="3"/>
        <v>0.89017003345649293</v>
      </c>
      <c r="R4" s="181">
        <f t="shared" si="3"/>
        <v>0.92335152864655334</v>
      </c>
      <c r="S4" s="181">
        <f t="shared" ref="D4:W9" si="4">S12*S44/11630</f>
        <v>0.95826186869993779</v>
      </c>
      <c r="T4" s="181">
        <f t="shared" si="4"/>
        <v>0.992530341162562</v>
      </c>
      <c r="U4" s="181">
        <f t="shared" si="4"/>
        <v>1.0224540660380312</v>
      </c>
      <c r="V4" s="181">
        <f t="shared" si="4"/>
        <v>1.0550605295856481</v>
      </c>
      <c r="W4" s="181">
        <f t="shared" si="4"/>
        <v>1.0874745224475639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2.0555239242509518</v>
      </c>
      <c r="C5" s="181">
        <f t="shared" si="3"/>
        <v>2.0740109228608414</v>
      </c>
      <c r="D5" s="181">
        <f t="shared" si="4"/>
        <v>2.0885046786909363</v>
      </c>
      <c r="E5" s="181">
        <f t="shared" si="4"/>
        <v>2.1092171615439175</v>
      </c>
      <c r="F5" s="181">
        <f t="shared" si="4"/>
        <v>2.1246881730221707</v>
      </c>
      <c r="G5" s="181">
        <f t="shared" si="4"/>
        <v>2.1330704054076515</v>
      </c>
      <c r="H5" s="181">
        <f t="shared" si="4"/>
        <v>2.1388677652862045</v>
      </c>
      <c r="I5" s="181">
        <f t="shared" si="4"/>
        <v>2.143342761615926</v>
      </c>
      <c r="J5" s="181">
        <f t="shared" si="4"/>
        <v>2.1777476928013577</v>
      </c>
      <c r="K5" s="181">
        <f t="shared" si="4"/>
        <v>2.2113567245285535</v>
      </c>
      <c r="L5" s="181">
        <f t="shared" si="4"/>
        <v>2.2379974731164238</v>
      </c>
      <c r="M5" s="181">
        <f t="shared" si="4"/>
        <v>2.2671747352257943</v>
      </c>
      <c r="N5" s="181">
        <f t="shared" si="4"/>
        <v>2.3106039556333764</v>
      </c>
      <c r="O5" s="181">
        <f t="shared" si="4"/>
        <v>2.3574059403266543</v>
      </c>
      <c r="P5" s="181">
        <f t="shared" si="4"/>
        <v>2.4071661293867859</v>
      </c>
      <c r="Q5" s="181">
        <f t="shared" si="4"/>
        <v>2.4684538295078315</v>
      </c>
      <c r="R5" s="181">
        <f t="shared" si="4"/>
        <v>2.4863046114253256</v>
      </c>
      <c r="S5" s="181">
        <f t="shared" si="4"/>
        <v>2.5119606433763519</v>
      </c>
      <c r="T5" s="181">
        <f t="shared" si="4"/>
        <v>2.5371139893066257</v>
      </c>
      <c r="U5" s="181">
        <f t="shared" si="4"/>
        <v>2.545305198897764</v>
      </c>
      <c r="V5" s="181">
        <f t="shared" si="4"/>
        <v>2.5071869854451712</v>
      </c>
      <c r="W5" s="181">
        <f t="shared" si="4"/>
        <v>2.4726765283266654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3.5213669665843601</v>
      </c>
      <c r="C6" s="181">
        <f t="shared" si="3"/>
        <v>3.6991047283872578</v>
      </c>
      <c r="D6" s="181">
        <f t="shared" si="4"/>
        <v>3.8241642860726293</v>
      </c>
      <c r="E6" s="181">
        <f t="shared" si="4"/>
        <v>3.8893331396221451</v>
      </c>
      <c r="F6" s="181">
        <f t="shared" si="4"/>
        <v>3.9087254928440984</v>
      </c>
      <c r="G6" s="181">
        <f t="shared" si="4"/>
        <v>4.0440843899241052</v>
      </c>
      <c r="H6" s="181">
        <f t="shared" si="4"/>
        <v>4.1345694763365852</v>
      </c>
      <c r="I6" s="181">
        <f t="shared" si="4"/>
        <v>4.2597010766694039</v>
      </c>
      <c r="J6" s="181">
        <f t="shared" si="4"/>
        <v>4.5021441275496787</v>
      </c>
      <c r="K6" s="181">
        <f t="shared" si="4"/>
        <v>4.5723360073191035</v>
      </c>
      <c r="L6" s="181">
        <f t="shared" si="4"/>
        <v>4.6894271023682466</v>
      </c>
      <c r="M6" s="181">
        <f t="shared" si="4"/>
        <v>4.8178586406641957</v>
      </c>
      <c r="N6" s="181">
        <f t="shared" si="4"/>
        <v>5.0656148096984337</v>
      </c>
      <c r="O6" s="181">
        <f t="shared" si="4"/>
        <v>5.1923358428513255</v>
      </c>
      <c r="P6" s="181">
        <f t="shared" si="4"/>
        <v>5.3339708242770927</v>
      </c>
      <c r="Q6" s="181">
        <f t="shared" si="4"/>
        <v>5.5235941566384534</v>
      </c>
      <c r="R6" s="181">
        <f t="shared" si="4"/>
        <v>5.4672907494623564</v>
      </c>
      <c r="S6" s="181">
        <f t="shared" si="4"/>
        <v>5.261616800107614</v>
      </c>
      <c r="T6" s="181">
        <f t="shared" si="4"/>
        <v>5.1036474103990983</v>
      </c>
      <c r="U6" s="181">
        <f t="shared" si="4"/>
        <v>5.0187470986456129</v>
      </c>
      <c r="V6" s="181">
        <f t="shared" si="4"/>
        <v>4.1391674208650322</v>
      </c>
      <c r="W6" s="181">
        <f t="shared" si="4"/>
        <v>4.099306450925833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5.2744823602775348</v>
      </c>
      <c r="C7" s="181">
        <f t="shared" si="3"/>
        <v>5.4796191242166907</v>
      </c>
      <c r="D7" s="181">
        <f t="shared" si="4"/>
        <v>5.5808709115620081</v>
      </c>
      <c r="E7" s="181">
        <f t="shared" si="4"/>
        <v>5.675914373046747</v>
      </c>
      <c r="F7" s="181">
        <f t="shared" si="4"/>
        <v>5.7575340376194504</v>
      </c>
      <c r="G7" s="181">
        <f t="shared" si="4"/>
        <v>5.8496712263555688</v>
      </c>
      <c r="H7" s="181">
        <f t="shared" si="4"/>
        <v>5.9290910832324535</v>
      </c>
      <c r="I7" s="181">
        <f t="shared" si="4"/>
        <v>5.992688313065238</v>
      </c>
      <c r="J7" s="181">
        <f t="shared" si="4"/>
        <v>6.0709302913462517</v>
      </c>
      <c r="K7" s="181">
        <f t="shared" si="4"/>
        <v>6.1455362971284062</v>
      </c>
      <c r="L7" s="181">
        <f t="shared" si="4"/>
        <v>6.2077191217659378</v>
      </c>
      <c r="M7" s="181">
        <f t="shared" si="4"/>
        <v>6.2151110518075248</v>
      </c>
      <c r="N7" s="181">
        <f t="shared" si="4"/>
        <v>6.2621231417230767</v>
      </c>
      <c r="O7" s="181">
        <f t="shared" si="4"/>
        <v>6.3446160637299354</v>
      </c>
      <c r="P7" s="181">
        <f t="shared" si="4"/>
        <v>6.4464361547296214</v>
      </c>
      <c r="Q7" s="181">
        <f t="shared" si="4"/>
        <v>6.5818970421110814</v>
      </c>
      <c r="R7" s="181">
        <f t="shared" si="4"/>
        <v>6.620635305706565</v>
      </c>
      <c r="S7" s="181">
        <f t="shared" si="4"/>
        <v>6.6523453201087657</v>
      </c>
      <c r="T7" s="181">
        <f t="shared" si="4"/>
        <v>6.6795861833014891</v>
      </c>
      <c r="U7" s="181">
        <f t="shared" si="4"/>
        <v>6.7040101393607019</v>
      </c>
      <c r="V7" s="181">
        <f t="shared" si="4"/>
        <v>6.7243218685495068</v>
      </c>
      <c r="W7" s="181">
        <f t="shared" si="4"/>
        <v>6.7224734249006488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0.97625412549686219</v>
      </c>
      <c r="C8" s="55">
        <f t="shared" si="3"/>
        <v>1.0691760221178179</v>
      </c>
      <c r="D8" s="55">
        <f t="shared" si="4"/>
        <v>1.1565083284219477</v>
      </c>
      <c r="E8" s="55">
        <f t="shared" si="4"/>
        <v>1.2348436565595269</v>
      </c>
      <c r="F8" s="55">
        <f t="shared" si="4"/>
        <v>1.3204027136601733</v>
      </c>
      <c r="G8" s="55">
        <f t="shared" si="4"/>
        <v>1.4614358177106139</v>
      </c>
      <c r="H8" s="55">
        <f t="shared" si="4"/>
        <v>1.5719994816029905</v>
      </c>
      <c r="I8" s="55">
        <f t="shared" si="4"/>
        <v>1.6826757970216892</v>
      </c>
      <c r="J8" s="55">
        <f t="shared" si="4"/>
        <v>1.8406986651751136</v>
      </c>
      <c r="K8" s="55">
        <f t="shared" si="4"/>
        <v>1.8966295722480417</v>
      </c>
      <c r="L8" s="55">
        <f t="shared" si="4"/>
        <v>1.9337597323023079</v>
      </c>
      <c r="M8" s="55">
        <f t="shared" si="4"/>
        <v>1.9876051021040564</v>
      </c>
      <c r="N8" s="55">
        <f t="shared" si="4"/>
        <v>2.0721295075257089</v>
      </c>
      <c r="O8" s="55">
        <f t="shared" si="4"/>
        <v>2.1194829823019194</v>
      </c>
      <c r="P8" s="55">
        <f t="shared" si="4"/>
        <v>2.1826142522656582</v>
      </c>
      <c r="Q8" s="55">
        <f t="shared" si="4"/>
        <v>2.2235951753074579</v>
      </c>
      <c r="R8" s="55">
        <f t="shared" si="4"/>
        <v>2.2654394734085663</v>
      </c>
      <c r="S8" s="55">
        <f t="shared" si="4"/>
        <v>2.3119387264440849</v>
      </c>
      <c r="T8" s="55">
        <f t="shared" si="4"/>
        <v>2.3801889888584649</v>
      </c>
      <c r="U8" s="55">
        <f t="shared" si="4"/>
        <v>2.4845504493950066</v>
      </c>
      <c r="V8" s="55">
        <f t="shared" si="4"/>
        <v>2.2204799204558414</v>
      </c>
      <c r="W8" s="55">
        <f t="shared" si="4"/>
        <v>2.3703183242840136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1.686145867322365</v>
      </c>
      <c r="C9" s="63">
        <f t="shared" si="3"/>
        <v>2.1501156187271051</v>
      </c>
      <c r="D9" s="63">
        <f t="shared" si="4"/>
        <v>2.587105763754185</v>
      </c>
      <c r="E9" s="63">
        <f t="shared" si="4"/>
        <v>3.0229046174435297</v>
      </c>
      <c r="F9" s="63">
        <f t="shared" si="4"/>
        <v>3.3947505612009081</v>
      </c>
      <c r="G9" s="63">
        <f t="shared" si="4"/>
        <v>3.6216695214050878</v>
      </c>
      <c r="H9" s="63">
        <f t="shared" si="4"/>
        <v>4.1062282570326394</v>
      </c>
      <c r="I9" s="63">
        <f t="shared" si="4"/>
        <v>4.3592595899028614</v>
      </c>
      <c r="J9" s="63">
        <f t="shared" si="4"/>
        <v>4.5212837812923574</v>
      </c>
      <c r="K9" s="63">
        <f t="shared" si="4"/>
        <v>4.6371467253606342</v>
      </c>
      <c r="L9" s="63">
        <f t="shared" si="4"/>
        <v>5.2397223336440311</v>
      </c>
      <c r="M9" s="63">
        <f t="shared" si="4"/>
        <v>5.4601331334322536</v>
      </c>
      <c r="N9" s="63">
        <f t="shared" si="4"/>
        <v>5.805682720630176</v>
      </c>
      <c r="O9" s="63">
        <f t="shared" si="4"/>
        <v>6.2930198711080401</v>
      </c>
      <c r="P9" s="63">
        <f t="shared" si="4"/>
        <v>6.9164692620061814</v>
      </c>
      <c r="Q9" s="63">
        <f t="shared" si="4"/>
        <v>7.5117492978128153</v>
      </c>
      <c r="R9" s="63">
        <f t="shared" si="4"/>
        <v>7.8443398925502352</v>
      </c>
      <c r="S9" s="63">
        <f t="shared" si="4"/>
        <v>8.3530924650263625</v>
      </c>
      <c r="T9" s="63">
        <f t="shared" si="4"/>
        <v>8.898713406201086</v>
      </c>
      <c r="U9" s="63">
        <f t="shared" si="4"/>
        <v>9.271541031108498</v>
      </c>
      <c r="V9" s="63">
        <f t="shared" si="4"/>
        <v>8.4723203689678765</v>
      </c>
      <c r="W9" s="63">
        <f t="shared" si="4"/>
        <v>8.6362586976035605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59.549706863589321</v>
      </c>
      <c r="C11" s="180">
        <f t="shared" ref="C11:W11" si="6">SUM(C12:C17)</f>
        <v>65.349806004065925</v>
      </c>
      <c r="D11" s="180">
        <f t="shared" si="6"/>
        <v>70.133534781174689</v>
      </c>
      <c r="E11" s="180">
        <f t="shared" si="6"/>
        <v>74.396070827575855</v>
      </c>
      <c r="F11" s="180">
        <f t="shared" si="6"/>
        <v>77.985768841185944</v>
      </c>
      <c r="G11" s="180">
        <f t="shared" si="6"/>
        <v>81.89891797905841</v>
      </c>
      <c r="H11" s="180">
        <f t="shared" si="6"/>
        <v>86.819650790701999</v>
      </c>
      <c r="I11" s="180">
        <f t="shared" si="6"/>
        <v>90.357265709803443</v>
      </c>
      <c r="J11" s="180">
        <f t="shared" si="6"/>
        <v>94.703665295929895</v>
      </c>
      <c r="K11" s="180">
        <f t="shared" si="6"/>
        <v>96.354507563990154</v>
      </c>
      <c r="L11" s="180">
        <f t="shared" si="6"/>
        <v>101.00738215856137</v>
      </c>
      <c r="M11" s="180">
        <f t="shared" si="6"/>
        <v>103.43971183772669</v>
      </c>
      <c r="N11" s="180">
        <f t="shared" si="6"/>
        <v>107.87569974959631</v>
      </c>
      <c r="O11" s="180">
        <f t="shared" si="6"/>
        <v>112.00260973623794</v>
      </c>
      <c r="P11" s="180">
        <f t="shared" si="6"/>
        <v>117.16250707301464</v>
      </c>
      <c r="Q11" s="180">
        <f t="shared" si="6"/>
        <v>122.1507158781869</v>
      </c>
      <c r="R11" s="180">
        <f t="shared" si="6"/>
        <v>124.97488133554435</v>
      </c>
      <c r="S11" s="180">
        <f t="shared" si="6"/>
        <v>128.323581966532</v>
      </c>
      <c r="T11" s="180">
        <f t="shared" si="6"/>
        <v>131.05824491804572</v>
      </c>
      <c r="U11" s="180">
        <f t="shared" si="6"/>
        <v>131.74451102732377</v>
      </c>
      <c r="V11" s="180">
        <f t="shared" si="6"/>
        <v>130.17337437039501</v>
      </c>
      <c r="W11" s="180">
        <f t="shared" si="6"/>
        <v>129.17307151694109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0.6580008875918657</v>
      </c>
      <c r="C12" s="181">
        <f t="shared" ref="C12:W12" si="7">C20*C52</f>
        <v>0.70278768692033322</v>
      </c>
      <c r="D12" s="181">
        <f t="shared" si="7"/>
        <v>0.73160793561270321</v>
      </c>
      <c r="E12" s="181">
        <f t="shared" si="7"/>
        <v>0.75572928739816769</v>
      </c>
      <c r="F12" s="181">
        <f t="shared" si="7"/>
        <v>0.77329759013136246</v>
      </c>
      <c r="G12" s="181">
        <f t="shared" si="7"/>
        <v>0.81082488036657974</v>
      </c>
      <c r="H12" s="181">
        <f t="shared" si="7"/>
        <v>0.84383168501066874</v>
      </c>
      <c r="I12" s="181">
        <f t="shared" si="7"/>
        <v>0.87429069465237108</v>
      </c>
      <c r="J12" s="181">
        <f t="shared" si="7"/>
        <v>0.93322929394755061</v>
      </c>
      <c r="K12" s="181">
        <f t="shared" si="7"/>
        <v>0.95370108333634529</v>
      </c>
      <c r="L12" s="181">
        <f t="shared" si="7"/>
        <v>0.97400591192260244</v>
      </c>
      <c r="M12" s="181">
        <f t="shared" si="7"/>
        <v>1.0055136850592024</v>
      </c>
      <c r="N12" s="181">
        <f t="shared" si="7"/>
        <v>1.0525976732531832</v>
      </c>
      <c r="O12" s="181">
        <f t="shared" si="7"/>
        <v>1.0854206606216017</v>
      </c>
      <c r="P12" s="181">
        <f t="shared" si="7"/>
        <v>1.1317580639083153</v>
      </c>
      <c r="Q12" s="181">
        <f t="shared" si="7"/>
        <v>1.1818124987555954</v>
      </c>
      <c r="R12" s="181">
        <f t="shared" si="7"/>
        <v>1.2258651002465086</v>
      </c>
      <c r="S12" s="181">
        <f t="shared" si="7"/>
        <v>1.2722129603858763</v>
      </c>
      <c r="T12" s="181">
        <f t="shared" si="7"/>
        <v>1.3177086606986981</v>
      </c>
      <c r="U12" s="181">
        <f t="shared" si="7"/>
        <v>1.357436163016245</v>
      </c>
      <c r="V12" s="181">
        <f t="shared" si="7"/>
        <v>1.4007253377946447</v>
      </c>
      <c r="W12" s="181">
        <f t="shared" si="7"/>
        <v>1.4437589835690832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6.5065155692730672</v>
      </c>
      <c r="C13" s="181">
        <f t="shared" ref="C13:W13" si="8">C21*C53/1000</f>
        <v>6.5578165785705442</v>
      </c>
      <c r="D13" s="181">
        <f t="shared" si="8"/>
        <v>6.5979672005796326</v>
      </c>
      <c r="E13" s="181">
        <f t="shared" si="8"/>
        <v>6.6490977914229159</v>
      </c>
      <c r="F13" s="181">
        <f t="shared" si="8"/>
        <v>6.6870473953644751</v>
      </c>
      <c r="G13" s="181">
        <f t="shared" si="8"/>
        <v>6.7070417731664751</v>
      </c>
      <c r="H13" s="181">
        <f t="shared" si="8"/>
        <v>6.7209344734467864</v>
      </c>
      <c r="I13" s="181">
        <f t="shared" si="8"/>
        <v>6.7218952152891749</v>
      </c>
      <c r="J13" s="181">
        <f t="shared" si="8"/>
        <v>6.8227135738530196</v>
      </c>
      <c r="K13" s="181">
        <f t="shared" si="8"/>
        <v>6.9244912964154457</v>
      </c>
      <c r="L13" s="181">
        <f t="shared" si="8"/>
        <v>7.0090038684839246</v>
      </c>
      <c r="M13" s="181">
        <f t="shared" si="8"/>
        <v>7.1226058932135103</v>
      </c>
      <c r="N13" s="181">
        <f t="shared" si="8"/>
        <v>7.2843499433544663</v>
      </c>
      <c r="O13" s="181">
        <f t="shared" si="8"/>
        <v>7.4349501208577538</v>
      </c>
      <c r="P13" s="181">
        <f t="shared" si="8"/>
        <v>7.6172576420804763</v>
      </c>
      <c r="Q13" s="181">
        <f t="shared" si="8"/>
        <v>7.8446742611889864</v>
      </c>
      <c r="R13" s="181">
        <f t="shared" si="8"/>
        <v>7.9876668477604067</v>
      </c>
      <c r="S13" s="181">
        <f t="shared" si="8"/>
        <v>8.0815831993239211</v>
      </c>
      <c r="T13" s="181">
        <f t="shared" si="8"/>
        <v>8.1271609666517808</v>
      </c>
      <c r="U13" s="181">
        <f t="shared" si="8"/>
        <v>8.1103664662226365</v>
      </c>
      <c r="V13" s="181">
        <f t="shared" si="8"/>
        <v>8.0439311533298543</v>
      </c>
      <c r="W13" s="181">
        <f t="shared" si="8"/>
        <v>7.9522869689682922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18.296927884280464</v>
      </c>
      <c r="C14" s="181">
        <f t="shared" ref="C14:W14" si="9">C22*C54</f>
        <v>19.127140272685754</v>
      </c>
      <c r="D14" s="181">
        <f t="shared" si="9"/>
        <v>19.633431797060314</v>
      </c>
      <c r="E14" s="181">
        <f t="shared" si="9"/>
        <v>19.833429193165184</v>
      </c>
      <c r="F14" s="181">
        <f t="shared" si="9"/>
        <v>19.877513084931724</v>
      </c>
      <c r="G14" s="181">
        <f t="shared" si="9"/>
        <v>20.434572550678823</v>
      </c>
      <c r="H14" s="181">
        <f t="shared" si="9"/>
        <v>20.784903486061065</v>
      </c>
      <c r="I14" s="181">
        <f t="shared" si="9"/>
        <v>21.305225396368058</v>
      </c>
      <c r="J14" s="181">
        <f t="shared" si="9"/>
        <v>22.409963609064587</v>
      </c>
      <c r="K14" s="181">
        <f t="shared" si="9"/>
        <v>22.62464920562546</v>
      </c>
      <c r="L14" s="181">
        <f t="shared" si="9"/>
        <v>23.100640037314367</v>
      </c>
      <c r="M14" s="181">
        <f t="shared" si="9"/>
        <v>23.653978043977911</v>
      </c>
      <c r="N14" s="181">
        <f t="shared" si="9"/>
        <v>24.747166870219292</v>
      </c>
      <c r="O14" s="181">
        <f t="shared" si="9"/>
        <v>25.213277886176275</v>
      </c>
      <c r="P14" s="181">
        <f t="shared" si="9"/>
        <v>25.683424981657424</v>
      </c>
      <c r="Q14" s="181">
        <f t="shared" si="9"/>
        <v>26.447477842719032</v>
      </c>
      <c r="R14" s="181">
        <f t="shared" si="9"/>
        <v>26.19555272970851</v>
      </c>
      <c r="S14" s="181">
        <f t="shared" si="9"/>
        <v>25.626573324768948</v>
      </c>
      <c r="T14" s="181">
        <f t="shared" si="9"/>
        <v>24.662078473284303</v>
      </c>
      <c r="U14" s="181">
        <f t="shared" si="9"/>
        <v>23.494799890290238</v>
      </c>
      <c r="V14" s="181">
        <f t="shared" si="9"/>
        <v>22.06093514432958</v>
      </c>
      <c r="W14" s="181">
        <f t="shared" si="9"/>
        <v>20.846893728709937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7.0025376541127544</v>
      </c>
      <c r="C15" s="181">
        <f t="shared" ref="C15:W15" si="10">C23*C55/1000</f>
        <v>7.2748824674246722</v>
      </c>
      <c r="D15" s="181">
        <f t="shared" si="10"/>
        <v>7.4093069293911169</v>
      </c>
      <c r="E15" s="181">
        <f t="shared" si="10"/>
        <v>7.5354890591933446</v>
      </c>
      <c r="F15" s="181">
        <f t="shared" si="10"/>
        <v>7.6438494129582439</v>
      </c>
      <c r="G15" s="181">
        <f t="shared" si="10"/>
        <v>7.7661731007437558</v>
      </c>
      <c r="H15" s="181">
        <f t="shared" si="10"/>
        <v>7.8716129335608942</v>
      </c>
      <c r="I15" s="181">
        <f t="shared" si="10"/>
        <v>7.9560462421174316</v>
      </c>
      <c r="J15" s="181">
        <f t="shared" si="10"/>
        <v>8.0599222931914269</v>
      </c>
      <c r="K15" s="181">
        <f t="shared" si="10"/>
        <v>8.1589711342012947</v>
      </c>
      <c r="L15" s="181">
        <f t="shared" si="10"/>
        <v>8.241526642253179</v>
      </c>
      <c r="M15" s="181">
        <f t="shared" si="10"/>
        <v>8.2513403575937829</v>
      </c>
      <c r="N15" s="181">
        <f t="shared" si="10"/>
        <v>8.313754810301301</v>
      </c>
      <c r="O15" s="181">
        <f t="shared" si="10"/>
        <v>8.4232745229656576</v>
      </c>
      <c r="P15" s="181">
        <f t="shared" si="10"/>
        <v>8.5584534793956095</v>
      </c>
      <c r="Q15" s="181">
        <f t="shared" si="10"/>
        <v>8.7382948173232773</v>
      </c>
      <c r="R15" s="181">
        <f t="shared" si="10"/>
        <v>8.7897247266401113</v>
      </c>
      <c r="S15" s="181">
        <f t="shared" si="10"/>
        <v>8.8318237526101537</v>
      </c>
      <c r="T15" s="181">
        <f t="shared" si="10"/>
        <v>8.8679894191548332</v>
      </c>
      <c r="U15" s="181">
        <f t="shared" si="10"/>
        <v>8.9004152877585589</v>
      </c>
      <c r="V15" s="181">
        <f t="shared" si="10"/>
        <v>8.9273816588162962</v>
      </c>
      <c r="W15" s="181">
        <f t="shared" si="10"/>
        <v>8.9249276177619361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14.636980207420764</v>
      </c>
      <c r="C16" s="55">
        <f t="shared" ref="C16:W16" si="11">C24*C56</f>
        <v>15.953948273977055</v>
      </c>
      <c r="D16" s="55">
        <f t="shared" si="11"/>
        <v>17.182181636316749</v>
      </c>
      <c r="E16" s="55">
        <f t="shared" si="11"/>
        <v>18.272728898105207</v>
      </c>
      <c r="F16" s="55">
        <f t="shared" si="11"/>
        <v>19.466532978348166</v>
      </c>
      <c r="G16" s="55">
        <f t="shared" si="11"/>
        <v>21.471569325476732</v>
      </c>
      <c r="H16" s="55">
        <f t="shared" si="11"/>
        <v>23.02157344152663</v>
      </c>
      <c r="I16" s="55">
        <f t="shared" si="11"/>
        <v>24.56781908767443</v>
      </c>
      <c r="J16" s="55">
        <f t="shared" si="11"/>
        <v>26.79832658975474</v>
      </c>
      <c r="K16" s="55">
        <f t="shared" si="11"/>
        <v>27.538066297976975</v>
      </c>
      <c r="L16" s="55">
        <f t="shared" si="11"/>
        <v>28.00526045653989</v>
      </c>
      <c r="M16" s="55">
        <f t="shared" si="11"/>
        <v>28.738288252697654</v>
      </c>
      <c r="N16" s="55">
        <f t="shared" si="11"/>
        <v>29.913983010804099</v>
      </c>
      <c r="O16" s="55">
        <f t="shared" si="11"/>
        <v>30.552290598338391</v>
      </c>
      <c r="P16" s="55">
        <f t="shared" si="11"/>
        <v>31.417723665441166</v>
      </c>
      <c r="Q16" s="55">
        <f t="shared" si="11"/>
        <v>31.964100899602865</v>
      </c>
      <c r="R16" s="55">
        <f t="shared" si="11"/>
        <v>32.919595831114378</v>
      </c>
      <c r="S16" s="55">
        <f t="shared" si="11"/>
        <v>33.947432170237789</v>
      </c>
      <c r="T16" s="55">
        <f t="shared" si="11"/>
        <v>34.974848756176492</v>
      </c>
      <c r="U16" s="55">
        <f t="shared" si="11"/>
        <v>35.897396462731599</v>
      </c>
      <c r="V16" s="55">
        <f t="shared" si="11"/>
        <v>36.525525095996244</v>
      </c>
      <c r="W16" s="55">
        <f t="shared" si="11"/>
        <v>37.202860483048191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12.448744660910407</v>
      </c>
      <c r="C17" s="63">
        <f t="shared" ref="C17:W17" si="12">C25*C57/1000</f>
        <v>15.733230724487568</v>
      </c>
      <c r="D17" s="63">
        <f t="shared" si="12"/>
        <v>18.579039282214168</v>
      </c>
      <c r="E17" s="63">
        <f t="shared" si="12"/>
        <v>21.34959659829104</v>
      </c>
      <c r="F17" s="63">
        <f t="shared" si="12"/>
        <v>23.537528379451974</v>
      </c>
      <c r="G17" s="63">
        <f t="shared" si="12"/>
        <v>24.708736348626054</v>
      </c>
      <c r="H17" s="63">
        <f t="shared" si="12"/>
        <v>27.576794771095944</v>
      </c>
      <c r="I17" s="63">
        <f t="shared" si="12"/>
        <v>28.931989073701985</v>
      </c>
      <c r="J17" s="63">
        <f t="shared" si="12"/>
        <v>29.679509936118581</v>
      </c>
      <c r="K17" s="63">
        <f t="shared" si="12"/>
        <v>30.15462854643463</v>
      </c>
      <c r="L17" s="63">
        <f t="shared" si="12"/>
        <v>33.67694524204741</v>
      </c>
      <c r="M17" s="63">
        <f t="shared" si="12"/>
        <v>34.667985605184626</v>
      </c>
      <c r="N17" s="63">
        <f t="shared" si="12"/>
        <v>36.563847441663967</v>
      </c>
      <c r="O17" s="63">
        <f t="shared" si="12"/>
        <v>39.29339594727827</v>
      </c>
      <c r="P17" s="63">
        <f t="shared" si="12"/>
        <v>42.753889240531649</v>
      </c>
      <c r="Q17" s="63">
        <f t="shared" si="12"/>
        <v>45.974355558597132</v>
      </c>
      <c r="R17" s="63">
        <f t="shared" si="12"/>
        <v>47.856476100074438</v>
      </c>
      <c r="S17" s="63">
        <f t="shared" si="12"/>
        <v>50.563956559205309</v>
      </c>
      <c r="T17" s="63">
        <f t="shared" si="12"/>
        <v>53.108458642079611</v>
      </c>
      <c r="U17" s="63">
        <f t="shared" si="12"/>
        <v>53.984096757304485</v>
      </c>
      <c r="V17" s="63">
        <f t="shared" si="12"/>
        <v>53.214875980128404</v>
      </c>
      <c r="W17" s="63">
        <f t="shared" si="12"/>
        <v>52.802343734883642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0.81921241562048031</v>
      </c>
      <c r="C20" s="182">
        <v>0.88608784534280771</v>
      </c>
      <c r="D20" s="182">
        <v>0.93213056677672201</v>
      </c>
      <c r="E20" s="182">
        <v>0.97268842297944724</v>
      </c>
      <c r="F20" s="182">
        <v>1.0048050994853135</v>
      </c>
      <c r="G20" s="182">
        <v>1.0678183202054001</v>
      </c>
      <c r="H20" s="182">
        <v>1.1258460387706435</v>
      </c>
      <c r="I20" s="182">
        <v>1.1817116589140391</v>
      </c>
      <c r="J20" s="182">
        <v>1.284085768404601</v>
      </c>
      <c r="K20" s="182">
        <v>1.3285065366286448</v>
      </c>
      <c r="L20" s="182">
        <v>1.3748263347707776</v>
      </c>
      <c r="M20" s="182">
        <v>1.4423825232438281</v>
      </c>
      <c r="N20" s="182">
        <v>1.5403238131763723</v>
      </c>
      <c r="O20" s="182">
        <v>1.617957287439074</v>
      </c>
      <c r="P20" s="182">
        <v>1.7242296646148811</v>
      </c>
      <c r="Q20" s="182">
        <v>1.8436436476980373</v>
      </c>
      <c r="R20" s="182">
        <v>1.9537370700248207</v>
      </c>
      <c r="S20" s="182">
        <v>2.0707674450866937</v>
      </c>
      <c r="T20" s="182">
        <v>2.188867469574336</v>
      </c>
      <c r="U20" s="182">
        <v>2.3053774471552599</v>
      </c>
      <c r="V20" s="182">
        <v>2.4211614822646048</v>
      </c>
      <c r="W20" s="182">
        <v>2.5341807777045395</v>
      </c>
      <c r="DA20" s="191" t="s">
        <v>921</v>
      </c>
    </row>
    <row r="21" spans="1:105" ht="12" customHeight="1" x14ac:dyDescent="0.25">
      <c r="A21" s="132" t="s">
        <v>163</v>
      </c>
      <c r="B21" s="182">
        <v>32.178558983597426</v>
      </c>
      <c r="C21" s="182">
        <v>32.740863346257335</v>
      </c>
      <c r="D21" s="182">
        <v>33.308378335010985</v>
      </c>
      <c r="E21" s="182">
        <v>34.011951764746328</v>
      </c>
      <c r="F21" s="182">
        <v>34.711538239767343</v>
      </c>
      <c r="G21" s="182">
        <v>35.421706618415612</v>
      </c>
      <c r="H21" s="182">
        <v>36.227299435474997</v>
      </c>
      <c r="I21" s="182">
        <v>37.096019924553218</v>
      </c>
      <c r="J21" s="182">
        <v>38.171026659458995</v>
      </c>
      <c r="K21" s="182">
        <v>39.350652747031894</v>
      </c>
      <c r="L21" s="182">
        <v>40.51269274979277</v>
      </c>
      <c r="M21" s="182">
        <v>42.001197421358775</v>
      </c>
      <c r="N21" s="182">
        <v>43.933856677627539</v>
      </c>
      <c r="O21" s="182">
        <v>46.037097502796627</v>
      </c>
      <c r="P21" s="182">
        <v>48.665996028125534</v>
      </c>
      <c r="Q21" s="182">
        <v>51.919272282700135</v>
      </c>
      <c r="R21" s="182">
        <v>54.976581288116158</v>
      </c>
      <c r="S21" s="182">
        <v>58.028055033918456</v>
      </c>
      <c r="T21" s="182">
        <v>61.103606160532813</v>
      </c>
      <c r="U21" s="182">
        <v>64.140025162215792</v>
      </c>
      <c r="V21" s="182">
        <v>67.066303268423155</v>
      </c>
      <c r="W21" s="182">
        <v>69.806752319558456</v>
      </c>
      <c r="DA21" s="191" t="s">
        <v>922</v>
      </c>
    </row>
    <row r="22" spans="1:105" ht="12" customHeight="1" x14ac:dyDescent="0.25">
      <c r="A22" s="132" t="s">
        <v>167</v>
      </c>
      <c r="B22" s="182">
        <v>0.3535420141464643</v>
      </c>
      <c r="C22" s="182">
        <v>0.37514877670949182</v>
      </c>
      <c r="D22" s="182">
        <v>0.39253965827983367</v>
      </c>
      <c r="E22" s="182">
        <v>0.40538215896566315</v>
      </c>
      <c r="F22" s="182">
        <v>0.41703496663691048</v>
      </c>
      <c r="G22" s="182">
        <v>0.44306922660297465</v>
      </c>
      <c r="H22" s="182">
        <v>0.46639630450374137</v>
      </c>
      <c r="I22" s="182">
        <v>0.49271325799728294</v>
      </c>
      <c r="J22" s="182">
        <v>0.53371055515170285</v>
      </c>
      <c r="K22" s="182">
        <v>0.55218482803463398</v>
      </c>
      <c r="L22" s="182">
        <v>0.57935676388392932</v>
      </c>
      <c r="M22" s="182">
        <v>0.6136194481097621</v>
      </c>
      <c r="N22" s="182">
        <v>0.66908738173038818</v>
      </c>
      <c r="O22" s="182">
        <v>0.71557866671553594</v>
      </c>
      <c r="P22" s="182">
        <v>0.77409586088339999</v>
      </c>
      <c r="Q22" s="182">
        <v>0.8433832750760456</v>
      </c>
      <c r="R22" s="182">
        <v>0.89009583424898142</v>
      </c>
      <c r="S22" s="182">
        <v>0.93994540667329973</v>
      </c>
      <c r="T22" s="182">
        <v>0.9894895597551131</v>
      </c>
      <c r="U22" s="182">
        <v>1.0369863695078823</v>
      </c>
      <c r="V22" s="182">
        <v>1.0817905732310071</v>
      </c>
      <c r="W22" s="182">
        <v>1.1212809743750849</v>
      </c>
      <c r="DA22" s="191" t="s">
        <v>923</v>
      </c>
    </row>
    <row r="23" spans="1:105" ht="12" customHeight="1" x14ac:dyDescent="0.25">
      <c r="A23" s="132" t="s">
        <v>180</v>
      </c>
      <c r="B23" s="182">
        <v>9.2676396191369115</v>
      </c>
      <c r="C23" s="182">
        <v>9.7738542981105727</v>
      </c>
      <c r="D23" s="182">
        <v>10.117508238360395</v>
      </c>
      <c r="E23" s="182">
        <v>10.475460544985815</v>
      </c>
      <c r="F23" s="182">
        <v>10.835739355004074</v>
      </c>
      <c r="G23" s="182">
        <v>11.250503861667125</v>
      </c>
      <c r="H23" s="182">
        <v>11.658746294023489</v>
      </c>
      <c r="I23" s="182">
        <v>12.060765073347305</v>
      </c>
      <c r="J23" s="182">
        <v>12.541260033922111</v>
      </c>
      <c r="K23" s="182">
        <v>13.067898990058398</v>
      </c>
      <c r="L23" s="182">
        <v>13.627777833639312</v>
      </c>
      <c r="M23" s="182">
        <v>14.047980860941292</v>
      </c>
      <c r="N23" s="182">
        <v>14.500152306628033</v>
      </c>
      <c r="O23" s="182">
        <v>15.080050654269199</v>
      </c>
      <c r="P23" s="182">
        <v>15.751357037796264</v>
      </c>
      <c r="Q23" s="182">
        <v>16.554483681121326</v>
      </c>
      <c r="R23" s="182">
        <v>17.092167137016116</v>
      </c>
      <c r="S23" s="182">
        <v>17.61802764067825</v>
      </c>
      <c r="T23" s="182">
        <v>18.145960893717898</v>
      </c>
      <c r="U23" s="182">
        <v>18.659318477141177</v>
      </c>
      <c r="V23" s="182">
        <v>19.14153994033153</v>
      </c>
      <c r="W23" s="182">
        <v>19.573490041391754</v>
      </c>
      <c r="DA23" s="191" t="s">
        <v>924</v>
      </c>
    </row>
    <row r="24" spans="1:105" ht="12" customHeight="1" x14ac:dyDescent="0.25">
      <c r="A24" s="60" t="s">
        <v>166</v>
      </c>
      <c r="B24" s="36">
        <v>0.27578118980299632</v>
      </c>
      <c r="C24" s="36">
        <v>0.30273792257963861</v>
      </c>
      <c r="D24" s="36">
        <v>0.32837443133821842</v>
      </c>
      <c r="E24" s="36">
        <v>0.35165159119679201</v>
      </c>
      <c r="F24" s="36">
        <v>0.37759307388226043</v>
      </c>
      <c r="G24" s="36">
        <v>0.42142015181760129</v>
      </c>
      <c r="H24" s="36">
        <v>0.45648279474949482</v>
      </c>
      <c r="I24" s="36">
        <v>0.49233621546538303</v>
      </c>
      <c r="J24" s="36">
        <v>0.54448502770802631</v>
      </c>
      <c r="K24" s="36">
        <v>0.56490600941527502</v>
      </c>
      <c r="L24" s="36">
        <v>0.58041904650978138</v>
      </c>
      <c r="M24" s="36">
        <v>0.6040299279952871</v>
      </c>
      <c r="N24" s="36">
        <v>0.64088322039693402</v>
      </c>
      <c r="O24" s="36">
        <v>0.66715123333950643</v>
      </c>
      <c r="P24" s="36">
        <v>0.70256822734245017</v>
      </c>
      <c r="Q24" s="36">
        <v>0.73346516462391487</v>
      </c>
      <c r="R24" s="36">
        <v>0.77335320229980142</v>
      </c>
      <c r="S24" s="36">
        <v>0.81575834885667198</v>
      </c>
      <c r="T24" s="36">
        <v>0.85828101949397262</v>
      </c>
      <c r="U24" s="36">
        <v>0.89983361417684304</v>
      </c>
      <c r="V24" s="36">
        <v>0.94065921754897108</v>
      </c>
      <c r="W24" s="36">
        <v>0.97973487449120622</v>
      </c>
      <c r="DA24" s="89" t="s">
        <v>925</v>
      </c>
    </row>
    <row r="25" spans="1:105" ht="12" customHeight="1" x14ac:dyDescent="0.25">
      <c r="A25" s="62" t="s">
        <v>164</v>
      </c>
      <c r="B25" s="38">
        <v>33.042106447992182</v>
      </c>
      <c r="C25" s="38">
        <v>42.967049287550992</v>
      </c>
      <c r="D25" s="38">
        <v>52.2176240741207</v>
      </c>
      <c r="E25" s="38">
        <v>61.808498635131372</v>
      </c>
      <c r="F25" s="38">
        <v>70.297240018916142</v>
      </c>
      <c r="G25" s="38">
        <v>76.052376417943265</v>
      </c>
      <c r="H25" s="38">
        <v>90.17956948976672</v>
      </c>
      <c r="I25" s="38">
        <v>99.292513268322679</v>
      </c>
      <c r="J25" s="38">
        <v>106.93417730260711</v>
      </c>
      <c r="K25" s="38">
        <v>114.007084996693</v>
      </c>
      <c r="L25" s="38">
        <v>135.315481112366</v>
      </c>
      <c r="M25" s="38">
        <v>152.99053705690963</v>
      </c>
      <c r="N25" s="38">
        <v>173.02167261237977</v>
      </c>
      <c r="O25" s="38">
        <v>196.42458405581036</v>
      </c>
      <c r="P25" s="38">
        <v>221.43310440969003</v>
      </c>
      <c r="Q25" s="38">
        <v>245.06387936658402</v>
      </c>
      <c r="R25" s="38">
        <v>260.94644386465734</v>
      </c>
      <c r="S25" s="38">
        <v>280.65545419971414</v>
      </c>
      <c r="T25" s="38">
        <v>299.85770505839093</v>
      </c>
      <c r="U25" s="38">
        <v>310.08113075365014</v>
      </c>
      <c r="V25" s="38">
        <v>312.671658643559</v>
      </c>
      <c r="W25" s="38">
        <v>318.85489471333574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0.10240739782730046</v>
      </c>
      <c r="D28" s="183">
        <v>8.2579732373310177E-2</v>
      </c>
      <c r="E28" s="183">
        <v>7.8128338210410431E-2</v>
      </c>
      <c r="F28" s="183">
        <v>7.0749861925197055E-2</v>
      </c>
      <c r="G28" s="183">
        <v>0.10273916874862377</v>
      </c>
      <c r="H28" s="183">
        <v>9.8877338642814783E-2</v>
      </c>
      <c r="I28" s="183">
        <v>9.787069600170395E-2</v>
      </c>
      <c r="J28" s="183">
        <v>0.1455673238830506</v>
      </c>
      <c r="K28" s="183">
        <v>8.8835728355260102E-2</v>
      </c>
      <c r="L28" s="183">
        <v>9.1991061816377728E-2</v>
      </c>
      <c r="M28" s="183">
        <v>0.1145192909826569</v>
      </c>
      <c r="N28" s="183">
        <v>0.14623277170670779</v>
      </c>
      <c r="O28" s="183">
        <v>0.12729090929837295</v>
      </c>
      <c r="P28" s="183">
        <v>0.1573344022727714</v>
      </c>
      <c r="Q28" s="183">
        <v>0.17192032790604173</v>
      </c>
      <c r="R28" s="183">
        <v>0.16408494031739407</v>
      </c>
      <c r="S28" s="183">
        <v>0.17254907522589358</v>
      </c>
      <c r="T28" s="183">
        <v>0.1751891040804483</v>
      </c>
      <c r="U28" s="183">
        <v>0.21891737540822431</v>
      </c>
      <c r="V28" s="183">
        <v>0.19836376748265483</v>
      </c>
      <c r="W28" s="183">
        <v>0.19114763365034504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4.5989253383571125</v>
      </c>
      <c r="D29" s="183">
        <v>4.7778918360530724</v>
      </c>
      <c r="E29" s="183">
        <v>5.09518544954188</v>
      </c>
      <c r="F29" s="183">
        <v>5.2802349138607951</v>
      </c>
      <c r="G29" s="183">
        <v>5.4879902867797696</v>
      </c>
      <c r="H29" s="183">
        <v>5.7890755031053089</v>
      </c>
      <c r="I29" s="183">
        <v>6.066716596855283</v>
      </c>
      <c r="J29" s="183">
        <v>5.6739320732628897</v>
      </c>
      <c r="K29" s="183">
        <v>5.9575179236259714</v>
      </c>
      <c r="L29" s="183">
        <v>6.2572254523027553</v>
      </c>
      <c r="M29" s="183">
        <v>6.7687395854268004</v>
      </c>
      <c r="N29" s="183">
        <v>7.4206495430485333</v>
      </c>
      <c r="O29" s="183">
        <v>7.8923163282743971</v>
      </c>
      <c r="P29" s="183">
        <v>8.6956151221841935</v>
      </c>
      <c r="Q29" s="183">
        <v>8.9272083278374907</v>
      </c>
      <c r="R29" s="183">
        <v>9.0148269290419947</v>
      </c>
      <c r="S29" s="183">
        <v>9.3086991981050531</v>
      </c>
      <c r="T29" s="183">
        <v>9.8442907120411576</v>
      </c>
      <c r="U29" s="183">
        <v>10.457068544731513</v>
      </c>
      <c r="V29" s="183">
        <v>10.81859443448176</v>
      </c>
      <c r="W29" s="183">
        <v>11.436064173319494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7.6818039123031423E-2</v>
      </c>
      <c r="D30" s="183">
        <v>7.4036456111892357E-2</v>
      </c>
      <c r="E30" s="183">
        <v>7.0959633906886255E-2</v>
      </c>
      <c r="F30" s="183">
        <v>7.1279728241300466E-2</v>
      </c>
      <c r="G30" s="183">
        <v>8.7210189672439709E-2</v>
      </c>
      <c r="H30" s="183">
        <v>8.6092257448191101E-2</v>
      </c>
      <c r="I30" s="183">
        <v>0.103134992616573</v>
      </c>
      <c r="J30" s="183">
        <v>0.11503375326631227</v>
      </c>
      <c r="K30" s="183">
        <v>8.9433906789817386E-2</v>
      </c>
      <c r="L30" s="183">
        <v>9.8451664090595803E-2</v>
      </c>
      <c r="M30" s="183">
        <v>0.12147287389827249</v>
      </c>
      <c r="N30" s="183">
        <v>0.14156019106881712</v>
      </c>
      <c r="O30" s="183">
        <v>0.14962627760172076</v>
      </c>
      <c r="P30" s="183">
        <v>0.17355094743417632</v>
      </c>
      <c r="Q30" s="183">
        <v>0.15872132098246305</v>
      </c>
      <c r="R30" s="183">
        <v>0.14516422326353162</v>
      </c>
      <c r="S30" s="183">
        <v>0.17132244632259086</v>
      </c>
      <c r="T30" s="183">
        <v>0.19110434415063049</v>
      </c>
      <c r="U30" s="183">
        <v>0.19712308735448991</v>
      </c>
      <c r="V30" s="183">
        <v>0.2183551511573012</v>
      </c>
      <c r="W30" s="183">
        <v>0.19821172212654081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1.3484865193075546</v>
      </c>
      <c r="D31" s="183">
        <v>1.2036675506119892</v>
      </c>
      <c r="E31" s="183">
        <v>1.2360814029453984</v>
      </c>
      <c r="F31" s="183">
        <v>1.2569049802471408</v>
      </c>
      <c r="G31" s="183">
        <v>1.3302773765911962</v>
      </c>
      <c r="H31" s="183">
        <v>1.3430398349239354</v>
      </c>
      <c r="I31" s="183">
        <v>1.3565069274977049</v>
      </c>
      <c r="J31" s="183">
        <v>1.4550886238670682</v>
      </c>
      <c r="K31" s="183">
        <v>1.5217616408407917</v>
      </c>
      <c r="L31" s="183">
        <v>1.5759629768065349</v>
      </c>
      <c r="M31" s="183">
        <v>1.7686895466095347</v>
      </c>
      <c r="N31" s="183">
        <v>1.6558389962987299</v>
      </c>
      <c r="O31" s="183">
        <v>1.815979750586564</v>
      </c>
      <c r="P31" s="183">
        <v>1.9282113637742064</v>
      </c>
      <c r="Q31" s="183">
        <v>2.1334040199162576</v>
      </c>
      <c r="R31" s="183">
        <v>1.8807232908187252</v>
      </c>
      <c r="S31" s="183">
        <v>1.8823674311598388</v>
      </c>
      <c r="T31" s="183">
        <v>1.9830218769067187</v>
      </c>
      <c r="U31" s="183">
        <v>2.0351192242640721</v>
      </c>
      <c r="V31" s="183">
        <v>2.0581844399968894</v>
      </c>
      <c r="W31" s="183">
        <v>2.2006396476697567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3.4811657979574417E-2</v>
      </c>
      <c r="D32" s="41">
        <v>3.4375360289225387E-2</v>
      </c>
      <c r="E32" s="41">
        <v>3.299940725135081E-2</v>
      </c>
      <c r="F32" s="41">
        <v>3.6757788928330037E-2</v>
      </c>
      <c r="G32" s="41">
        <v>5.5860559085623374E-2</v>
      </c>
      <c r="H32" s="41">
        <v>4.8450269478596597E-2</v>
      </c>
      <c r="I32" s="41">
        <v>5.0747576639320224E-2</v>
      </c>
      <c r="J32" s="41">
        <v>6.8719029517350372E-2</v>
      </c>
      <c r="K32" s="41">
        <v>3.8855869991118119E-2</v>
      </c>
      <c r="L32" s="41">
        <v>3.6022430568633412E-2</v>
      </c>
      <c r="M32" s="41">
        <v>4.6428227281119949E-2</v>
      </c>
      <c r="N32" s="41">
        <v>6.2238307800245529E-2</v>
      </c>
      <c r="O32" s="41">
        <v>5.4509641594707392E-2</v>
      </c>
      <c r="P32" s="41">
        <v>6.6836694814672248E-2</v>
      </c>
      <c r="Q32" s="41">
        <v>6.5852343404047109E-2</v>
      </c>
      <c r="R32" s="41">
        <v>7.4699695655460974E-2</v>
      </c>
      <c r="S32" s="41">
        <v>7.6780506846095942E-2</v>
      </c>
      <c r="T32" s="41">
        <v>7.5522077888651507E-2</v>
      </c>
      <c r="U32" s="41">
        <v>7.8310383611200463E-2</v>
      </c>
      <c r="V32" s="41">
        <v>9.6686162457751412E-2</v>
      </c>
      <c r="W32" s="41">
        <v>8.7525926420831679E-2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16.533364129157246</v>
      </c>
      <c r="D33" s="42">
        <v>15.858996076168147</v>
      </c>
      <c r="E33" s="42">
        <v>16.199295850609111</v>
      </c>
      <c r="F33" s="42">
        <v>15.09716267338321</v>
      </c>
      <c r="G33" s="42">
        <v>12.363557688625562</v>
      </c>
      <c r="H33" s="42">
        <v>30.660557200980705</v>
      </c>
      <c r="I33" s="42">
        <v>24.971939854724113</v>
      </c>
      <c r="J33" s="42">
        <v>23.84095988489355</v>
      </c>
      <c r="K33" s="42">
        <v>22.170070367469094</v>
      </c>
      <c r="L33" s="42">
        <v>33.671953804298568</v>
      </c>
      <c r="M33" s="42">
        <v>48.335613145524334</v>
      </c>
      <c r="N33" s="42">
        <v>45.00307541019427</v>
      </c>
      <c r="O33" s="42">
        <v>47.243871328324133</v>
      </c>
      <c r="P33" s="42">
        <v>47.178590721348769</v>
      </c>
      <c r="Q33" s="42">
        <v>57.302728761192554</v>
      </c>
      <c r="R33" s="42">
        <v>64.218177643597642</v>
      </c>
      <c r="S33" s="42">
        <v>64.712085745251073</v>
      </c>
      <c r="T33" s="42">
        <v>66.446122187000924</v>
      </c>
      <c r="U33" s="42">
        <v>57.402016416607978</v>
      </c>
      <c r="V33" s="42">
        <v>59.89325665110141</v>
      </c>
      <c r="W33" s="42">
        <v>70.401413713374382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3.5531968104973055E-2</v>
      </c>
      <c r="D36" s="183">
        <v>3.6537010939395875E-2</v>
      </c>
      <c r="E36" s="183">
        <v>3.7570482007685202E-2</v>
      </c>
      <c r="F36" s="183">
        <v>3.8633185419330918E-2</v>
      </c>
      <c r="G36" s="183">
        <v>3.9725948028537017E-2</v>
      </c>
      <c r="H36" s="183">
        <v>4.0849620077571425E-2</v>
      </c>
      <c r="I36" s="183">
        <v>4.2005075858308372E-2</v>
      </c>
      <c r="J36" s="183">
        <v>4.3193214392488688E-2</v>
      </c>
      <c r="K36" s="183">
        <v>4.4414960131216263E-2</v>
      </c>
      <c r="L36" s="183">
        <v>4.56712636742449E-2</v>
      </c>
      <c r="M36" s="183">
        <v>4.6963102509606447E-2</v>
      </c>
      <c r="N36" s="183">
        <v>4.8291481774163536E-2</v>
      </c>
      <c r="O36" s="183">
        <v>4.9657435035671327E-2</v>
      </c>
      <c r="P36" s="183">
        <v>5.1062025096964225E-2</v>
      </c>
      <c r="Q36" s="183">
        <v>5.250634482288552E-2</v>
      </c>
      <c r="R36" s="183">
        <v>5.3991517990610527E-2</v>
      </c>
      <c r="S36" s="183">
        <v>5.5518700164020274E-2</v>
      </c>
      <c r="T36" s="183">
        <v>5.7089079592806069E-2</v>
      </c>
      <c r="U36" s="183">
        <v>0.10240739782730035</v>
      </c>
      <c r="V36" s="183">
        <v>8.2579732373309955E-2</v>
      </c>
      <c r="W36" s="183">
        <v>7.812833821041032E-2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4.036620975697204</v>
      </c>
      <c r="D37" s="183">
        <v>4.2103768472994219</v>
      </c>
      <c r="E37" s="183">
        <v>4.3916120198065371</v>
      </c>
      <c r="F37" s="183">
        <v>4.5806484388397806</v>
      </c>
      <c r="G37" s="183">
        <v>4.7778219081315001</v>
      </c>
      <c r="H37" s="183">
        <v>4.9834826860459245</v>
      </c>
      <c r="I37" s="183">
        <v>5.1979961077770582</v>
      </c>
      <c r="J37" s="183">
        <v>4.5989253383571125</v>
      </c>
      <c r="K37" s="183">
        <v>4.7778918360530724</v>
      </c>
      <c r="L37" s="183">
        <v>5.09518544954188</v>
      </c>
      <c r="M37" s="183">
        <v>5.2802349138607951</v>
      </c>
      <c r="N37" s="183">
        <v>5.4879902867797696</v>
      </c>
      <c r="O37" s="183">
        <v>5.7890755031053089</v>
      </c>
      <c r="P37" s="183">
        <v>6.0667165968552865</v>
      </c>
      <c r="Q37" s="183">
        <v>5.6739320732628897</v>
      </c>
      <c r="R37" s="183">
        <v>5.9575179236259714</v>
      </c>
      <c r="S37" s="183">
        <v>6.2572254523027553</v>
      </c>
      <c r="T37" s="183">
        <v>6.7687395854268075</v>
      </c>
      <c r="U37" s="183">
        <v>7.4206495430485262</v>
      </c>
      <c r="V37" s="183">
        <v>7.8923163282744042</v>
      </c>
      <c r="W37" s="183">
        <v>8.6956151221841935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5.5211276560003908E-2</v>
      </c>
      <c r="D38" s="183">
        <v>5.6645574541550503E-2</v>
      </c>
      <c r="E38" s="183">
        <v>5.8117133221056771E-2</v>
      </c>
      <c r="F38" s="183">
        <v>5.9626920570053143E-2</v>
      </c>
      <c r="G38" s="183">
        <v>6.1175929706375531E-2</v>
      </c>
      <c r="H38" s="183">
        <v>6.2765179547424443E-2</v>
      </c>
      <c r="I38" s="183">
        <v>7.6818039123031423E-2</v>
      </c>
      <c r="J38" s="183">
        <v>7.4036456111892357E-2</v>
      </c>
      <c r="K38" s="183">
        <v>7.095963390688631E-2</v>
      </c>
      <c r="L38" s="183">
        <v>7.1279728241300466E-2</v>
      </c>
      <c r="M38" s="183">
        <v>8.7210189672439764E-2</v>
      </c>
      <c r="N38" s="183">
        <v>8.6092257448191045E-2</v>
      </c>
      <c r="O38" s="183">
        <v>0.103134992616573</v>
      </c>
      <c r="P38" s="183">
        <v>0.11503375326631227</v>
      </c>
      <c r="Q38" s="183">
        <v>8.9433906789817441E-2</v>
      </c>
      <c r="R38" s="183">
        <v>9.8451664090595803E-2</v>
      </c>
      <c r="S38" s="183">
        <v>0.12147287389827266</v>
      </c>
      <c r="T38" s="183">
        <v>0.14156019106881701</v>
      </c>
      <c r="U38" s="183">
        <v>0.14962627760172076</v>
      </c>
      <c r="V38" s="183">
        <v>0.17355094743417632</v>
      </c>
      <c r="W38" s="183">
        <v>0.15872132098246294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0.84227184033389335</v>
      </c>
      <c r="D39" s="183">
        <v>0.8600136103621665</v>
      </c>
      <c r="E39" s="183">
        <v>0.87812909631997904</v>
      </c>
      <c r="F39" s="183">
        <v>0.89662617022888114</v>
      </c>
      <c r="G39" s="183">
        <v>0.91551286992814518</v>
      </c>
      <c r="H39" s="183">
        <v>0.93479740256757182</v>
      </c>
      <c r="I39" s="183">
        <v>0.95448814817388872</v>
      </c>
      <c r="J39" s="183">
        <v>0.97459366329226249</v>
      </c>
      <c r="K39" s="183">
        <v>0.99512268470450493</v>
      </c>
      <c r="L39" s="183">
        <v>1.0160841332256201</v>
      </c>
      <c r="M39" s="183">
        <v>1.3484865193075546</v>
      </c>
      <c r="N39" s="183">
        <v>1.2036675506119892</v>
      </c>
      <c r="O39" s="183">
        <v>1.2360814029453966</v>
      </c>
      <c r="P39" s="183">
        <v>1.256904980247139</v>
      </c>
      <c r="Q39" s="183">
        <v>1.3302773765911979</v>
      </c>
      <c r="R39" s="183">
        <v>1.3430398349239354</v>
      </c>
      <c r="S39" s="183">
        <v>1.3565069274977049</v>
      </c>
      <c r="T39" s="183">
        <v>1.4550886238670699</v>
      </c>
      <c r="U39" s="183">
        <v>1.5217616408407935</v>
      </c>
      <c r="V39" s="183">
        <v>1.5759629768065366</v>
      </c>
      <c r="W39" s="183">
        <v>1.7686895466095329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7.8549252029321281E-3</v>
      </c>
      <c r="D40" s="41">
        <v>8.738851530645575E-3</v>
      </c>
      <c r="E40" s="41">
        <v>9.7222473927772168E-3</v>
      </c>
      <c r="F40" s="41">
        <v>1.0816306242861617E-2</v>
      </c>
      <c r="G40" s="41">
        <v>1.2033481150282521E-2</v>
      </c>
      <c r="H40" s="41">
        <v>1.3387626546703058E-2</v>
      </c>
      <c r="I40" s="41">
        <v>1.4894155923432073E-2</v>
      </c>
      <c r="J40" s="41">
        <v>1.6570217274707089E-2</v>
      </c>
      <c r="K40" s="41">
        <v>1.8434888283869411E-2</v>
      </c>
      <c r="L40" s="41">
        <v>2.0509393474127058E-2</v>
      </c>
      <c r="M40" s="41">
        <v>2.281734579561423E-2</v>
      </c>
      <c r="N40" s="41">
        <v>2.5385015398598609E-2</v>
      </c>
      <c r="O40" s="41">
        <v>2.8241628652134976E-2</v>
      </c>
      <c r="P40" s="41">
        <v>3.1419700811728513E-2</v>
      </c>
      <c r="Q40" s="41">
        <v>3.4955406122582411E-2</v>
      </c>
      <c r="R40" s="41">
        <v>3.4811657979574417E-2</v>
      </c>
      <c r="S40" s="41">
        <v>3.4375360289225387E-2</v>
      </c>
      <c r="T40" s="41">
        <v>3.2999407251350865E-2</v>
      </c>
      <c r="U40" s="41">
        <v>3.6757788928330037E-2</v>
      </c>
      <c r="V40" s="41">
        <v>5.5860559085623374E-2</v>
      </c>
      <c r="W40" s="41">
        <v>4.8450269478596653E-2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6.6084212895984393</v>
      </c>
      <c r="D41" s="42">
        <v>6.6084212895984393</v>
      </c>
      <c r="E41" s="42">
        <v>6.6084212895984393</v>
      </c>
      <c r="F41" s="42">
        <v>6.6084212895984393</v>
      </c>
      <c r="G41" s="42">
        <v>6.6084212895984393</v>
      </c>
      <c r="H41" s="42">
        <v>16.533364129157249</v>
      </c>
      <c r="I41" s="42">
        <v>15.858996076168154</v>
      </c>
      <c r="J41" s="42">
        <v>16.199295850609118</v>
      </c>
      <c r="K41" s="42">
        <v>15.09716267338321</v>
      </c>
      <c r="L41" s="42">
        <v>12.363557688625576</v>
      </c>
      <c r="M41" s="42">
        <v>30.660557200980719</v>
      </c>
      <c r="N41" s="42">
        <v>24.971939854724127</v>
      </c>
      <c r="O41" s="42">
        <v>23.84095988489355</v>
      </c>
      <c r="P41" s="42">
        <v>22.170070367469094</v>
      </c>
      <c r="Q41" s="42">
        <v>33.671953804298568</v>
      </c>
      <c r="R41" s="42">
        <v>48.335613145524349</v>
      </c>
      <c r="S41" s="42">
        <v>45.003075410194299</v>
      </c>
      <c r="T41" s="42">
        <v>47.243871328324133</v>
      </c>
      <c r="U41" s="42">
        <v>47.178590721348769</v>
      </c>
      <c r="V41" s="42">
        <v>57.302728761192554</v>
      </c>
      <c r="W41" s="42">
        <v>64.218177643597642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8759.9999999999964</v>
      </c>
      <c r="D44" s="185">
        <v>8760.0000000000018</v>
      </c>
      <c r="E44" s="185">
        <v>8759.9999999999964</v>
      </c>
      <c r="F44" s="185">
        <v>8759.9999999999982</v>
      </c>
      <c r="G44" s="185">
        <v>8760</v>
      </c>
      <c r="H44" s="185">
        <v>8759.9999999999982</v>
      </c>
      <c r="I44" s="185">
        <v>8759.9999999999964</v>
      </c>
      <c r="J44" s="185">
        <v>8759.9999999999982</v>
      </c>
      <c r="K44" s="185">
        <v>8760.0000000000018</v>
      </c>
      <c r="L44" s="185">
        <v>8760.0000000000018</v>
      </c>
      <c r="M44" s="185">
        <v>8760</v>
      </c>
      <c r="N44" s="185">
        <v>8759.9999999999982</v>
      </c>
      <c r="O44" s="185">
        <v>8759.9999999999964</v>
      </c>
      <c r="P44" s="185">
        <v>8760</v>
      </c>
      <c r="Q44" s="185">
        <v>8759.9999999999982</v>
      </c>
      <c r="R44" s="185">
        <v>8760</v>
      </c>
      <c r="S44" s="185">
        <v>8760</v>
      </c>
      <c r="T44" s="185">
        <v>8760</v>
      </c>
      <c r="U44" s="185">
        <v>8759.9999999999982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3674.1237279033226</v>
      </c>
      <c r="C45" s="185">
        <v>3678.1673814563082</v>
      </c>
      <c r="D45" s="185">
        <v>3681.3322459441401</v>
      </c>
      <c r="E45" s="185">
        <v>3689.2517388447473</v>
      </c>
      <c r="F45" s="185">
        <v>3695.221820825906</v>
      </c>
      <c r="G45" s="185">
        <v>3698.7407643920214</v>
      </c>
      <c r="H45" s="185">
        <v>3701.127009726903</v>
      </c>
      <c r="I45" s="185">
        <v>3708.340508030496</v>
      </c>
      <c r="J45" s="185">
        <v>3712.1894966164687</v>
      </c>
      <c r="K45" s="185">
        <v>3714.0748114710436</v>
      </c>
      <c r="L45" s="185">
        <v>3713.4963970242393</v>
      </c>
      <c r="M45" s="185">
        <v>3701.9094648770269</v>
      </c>
      <c r="N45" s="185">
        <v>3689.0490178237342</v>
      </c>
      <c r="O45" s="185">
        <v>3687.5339632858213</v>
      </c>
      <c r="P45" s="185">
        <v>3675.2520920537017</v>
      </c>
      <c r="Q45" s="185">
        <v>3659.5678904358874</v>
      </c>
      <c r="R45" s="185">
        <v>3620.0461513970085</v>
      </c>
      <c r="S45" s="185">
        <v>3614.8984130870458</v>
      </c>
      <c r="T45" s="185">
        <v>3630.6203133801305</v>
      </c>
      <c r="U45" s="185">
        <v>3649.8843284658547</v>
      </c>
      <c r="V45" s="185">
        <v>3624.917230756866</v>
      </c>
      <c r="W45" s="185">
        <v>3616.2211118206164</v>
      </c>
      <c r="DA45" s="194" t="s">
        <v>940</v>
      </c>
    </row>
    <row r="46" spans="1:105" ht="12" customHeight="1" x14ac:dyDescent="0.25">
      <c r="A46" s="132" t="s">
        <v>5</v>
      </c>
      <c r="B46" s="185">
        <v>2238.2718060861298</v>
      </c>
      <c r="C46" s="185">
        <v>2249.1908031112607</v>
      </c>
      <c r="D46" s="185">
        <v>2265.2703361662866</v>
      </c>
      <c r="E46" s="185">
        <v>2280.6416365654668</v>
      </c>
      <c r="F46" s="185">
        <v>2286.9298230389268</v>
      </c>
      <c r="G46" s="185">
        <v>2301.6239433525589</v>
      </c>
      <c r="H46" s="185">
        <v>2313.4600091860734</v>
      </c>
      <c r="I46" s="185">
        <v>2325.2663419421228</v>
      </c>
      <c r="J46" s="185">
        <v>2336.4578861798659</v>
      </c>
      <c r="K46" s="185">
        <v>2350.3687187290961</v>
      </c>
      <c r="L46" s="185">
        <v>2360.8885776518591</v>
      </c>
      <c r="M46" s="185">
        <v>2368.8064598161641</v>
      </c>
      <c r="N46" s="185">
        <v>2380.5997892909809</v>
      </c>
      <c r="O46" s="185">
        <v>2395.0422521408577</v>
      </c>
      <c r="P46" s="185">
        <v>2415.3352105743706</v>
      </c>
      <c r="Q46" s="185">
        <v>2428.9423900355118</v>
      </c>
      <c r="R46" s="185">
        <v>2427.3048204909833</v>
      </c>
      <c r="S46" s="185">
        <v>2387.8574247812849</v>
      </c>
      <c r="T46" s="185">
        <v>2406.7484598769515</v>
      </c>
      <c r="U46" s="185">
        <v>2484.2956326421149</v>
      </c>
      <c r="V46" s="185">
        <v>2182.0705600067722</v>
      </c>
      <c r="W46" s="185">
        <v>2286.9082868979394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8759.9999999999982</v>
      </c>
      <c r="D47" s="185">
        <v>8759.9999999999964</v>
      </c>
      <c r="E47" s="185">
        <v>8759.9999999999945</v>
      </c>
      <c r="F47" s="185">
        <v>8759.9999999999982</v>
      </c>
      <c r="G47" s="185">
        <v>8759.9999999999964</v>
      </c>
      <c r="H47" s="185">
        <v>8760</v>
      </c>
      <c r="I47" s="185">
        <v>8760.0000000000018</v>
      </c>
      <c r="J47" s="185">
        <v>8760</v>
      </c>
      <c r="K47" s="185">
        <v>8760.0000000000018</v>
      </c>
      <c r="L47" s="185">
        <v>8760</v>
      </c>
      <c r="M47" s="185">
        <v>8759.9999999999964</v>
      </c>
      <c r="N47" s="185">
        <v>8759.9999999999982</v>
      </c>
      <c r="O47" s="185">
        <v>8759.9999999999982</v>
      </c>
      <c r="P47" s="185">
        <v>8759.9999999999945</v>
      </c>
      <c r="Q47" s="185">
        <v>8759.9999999999964</v>
      </c>
      <c r="R47" s="185">
        <v>8759.9999999999982</v>
      </c>
      <c r="S47" s="185">
        <v>8760</v>
      </c>
      <c r="T47" s="185">
        <v>8759.9999999999982</v>
      </c>
      <c r="U47" s="185">
        <v>8759.9999999999982</v>
      </c>
      <c r="V47" s="185">
        <v>8760.0000000000018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775.69521299019425</v>
      </c>
      <c r="C48" s="44">
        <v>779.40061755825809</v>
      </c>
      <c r="D48" s="44">
        <v>782.79884034740644</v>
      </c>
      <c r="E48" s="44">
        <v>785.93798473508173</v>
      </c>
      <c r="F48" s="44">
        <v>788.85560037567984</v>
      </c>
      <c r="G48" s="44">
        <v>791.58157013737821</v>
      </c>
      <c r="H48" s="44">
        <v>794.14007115885568</v>
      </c>
      <c r="I48" s="44">
        <v>796.55094534541695</v>
      </c>
      <c r="J48" s="44">
        <v>798.8306808743348</v>
      </c>
      <c r="K48" s="44">
        <v>800.99313025712172</v>
      </c>
      <c r="L48" s="44">
        <v>803.05004560041436</v>
      </c>
      <c r="M48" s="44">
        <v>804.35713965323941</v>
      </c>
      <c r="N48" s="44">
        <v>805.6053974430672</v>
      </c>
      <c r="O48" s="44">
        <v>806.79996823255885</v>
      </c>
      <c r="P48" s="44">
        <v>807.94535034284661</v>
      </c>
      <c r="Q48" s="44">
        <v>809.04549669804828</v>
      </c>
      <c r="R48" s="44">
        <v>800.34582474549597</v>
      </c>
      <c r="S48" s="44">
        <v>792.04362950661334</v>
      </c>
      <c r="T48" s="44">
        <v>791.47155527114126</v>
      </c>
      <c r="U48" s="44">
        <v>804.94198949672659</v>
      </c>
      <c r="V48" s="44">
        <v>707.01739145516524</v>
      </c>
      <c r="W48" s="44">
        <v>740.98608960416186</v>
      </c>
      <c r="DA48" s="95" t="s">
        <v>943</v>
      </c>
    </row>
    <row r="49" spans="1:105" ht="12" customHeight="1" x14ac:dyDescent="0.25">
      <c r="A49" s="62" t="s">
        <v>3</v>
      </c>
      <c r="B49" s="186">
        <v>1575.2493099593376</v>
      </c>
      <c r="C49" s="186">
        <v>1589.3648980102068</v>
      </c>
      <c r="D49" s="186">
        <v>1619.4615650156165</v>
      </c>
      <c r="E49" s="186">
        <v>1646.699999178551</v>
      </c>
      <c r="F49" s="186">
        <v>1677.3617174364422</v>
      </c>
      <c r="G49" s="186">
        <v>1704.6608915831214</v>
      </c>
      <c r="H49" s="186">
        <v>1731.7253519014287</v>
      </c>
      <c r="I49" s="186">
        <v>1752.3229703087679</v>
      </c>
      <c r="J49" s="186">
        <v>1771.6778508003472</v>
      </c>
      <c r="K49" s="186">
        <v>1788.4490380273865</v>
      </c>
      <c r="L49" s="186">
        <v>1809.486291060505</v>
      </c>
      <c r="M49" s="186">
        <v>1831.6999742932981</v>
      </c>
      <c r="N49" s="186">
        <v>1846.6352631148657</v>
      </c>
      <c r="O49" s="186">
        <v>1862.5985190790311</v>
      </c>
      <c r="P49" s="186">
        <v>1881.432050885194</v>
      </c>
      <c r="Q49" s="186">
        <v>1900.2255338242921</v>
      </c>
      <c r="R49" s="186">
        <v>1906.3182328674914</v>
      </c>
      <c r="S49" s="186">
        <v>1921.2591731129239</v>
      </c>
      <c r="T49" s="186">
        <v>1948.6921586558421</v>
      </c>
      <c r="U49" s="186">
        <v>1997.4034700729121</v>
      </c>
      <c r="V49" s="186">
        <v>1851.6079212115576</v>
      </c>
      <c r="W49" s="186">
        <v>1902.1823947328755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0.80321156643297298</v>
      </c>
      <c r="C52" s="181">
        <v>0.79313545560309573</v>
      </c>
      <c r="D52" s="181">
        <v>0.78487709950611351</v>
      </c>
      <c r="E52" s="181">
        <v>0.77694898956778902</v>
      </c>
      <c r="F52" s="181">
        <v>0.76959958754933167</v>
      </c>
      <c r="G52" s="181">
        <v>0.75932849720223339</v>
      </c>
      <c r="H52" s="181">
        <v>0.74950895233604276</v>
      </c>
      <c r="I52" s="181">
        <v>0.73985112024351229</v>
      </c>
      <c r="J52" s="181">
        <v>0.72676554550326622</v>
      </c>
      <c r="K52" s="181">
        <v>0.71787458852596653</v>
      </c>
      <c r="L52" s="181">
        <v>0.70845741552150054</v>
      </c>
      <c r="M52" s="181">
        <v>0.69711998644982542</v>
      </c>
      <c r="N52" s="181">
        <v>0.68336129341698182</v>
      </c>
      <c r="O52" s="181">
        <v>0.67085866175096687</v>
      </c>
      <c r="P52" s="181">
        <v>0.65638475380314343</v>
      </c>
      <c r="Q52" s="181">
        <v>0.64102002587712625</v>
      </c>
      <c r="R52" s="181">
        <v>0.62744630229641651</v>
      </c>
      <c r="S52" s="181">
        <v>0.61436785835341079</v>
      </c>
      <c r="T52" s="181">
        <v>0.60200477142407793</v>
      </c>
      <c r="U52" s="181">
        <v>0.58881297927645859</v>
      </c>
      <c r="V52" s="181">
        <v>0.57853445466367359</v>
      </c>
      <c r="W52" s="181">
        <v>0.56971428252914136</v>
      </c>
      <c r="DA52" s="190" t="s">
        <v>945</v>
      </c>
    </row>
    <row r="53" spans="1:105" ht="12" customHeight="1" x14ac:dyDescent="0.25">
      <c r="A53" s="132" t="s">
        <v>100</v>
      </c>
      <c r="B53" s="181">
        <v>202.20034006462728</v>
      </c>
      <c r="C53" s="181">
        <v>200.29455268839695</v>
      </c>
      <c r="D53" s="181">
        <v>198.08731407510166</v>
      </c>
      <c r="E53" s="181">
        <v>195.4929795682811</v>
      </c>
      <c r="F53" s="181">
        <v>192.64624198369424</v>
      </c>
      <c r="G53" s="181">
        <v>189.34835199836218</v>
      </c>
      <c r="H53" s="181">
        <v>185.5212665083564</v>
      </c>
      <c r="I53" s="181">
        <v>181.20259879524349</v>
      </c>
      <c r="J53" s="181">
        <v>178.74063578958814</v>
      </c>
      <c r="K53" s="181">
        <v>175.96890554598843</v>
      </c>
      <c r="L53" s="181">
        <v>173.00760311766186</v>
      </c>
      <c r="M53" s="181">
        <v>169.58101983995979</v>
      </c>
      <c r="N53" s="181">
        <v>165.80265185468863</v>
      </c>
      <c r="O53" s="181">
        <v>161.4991066803484</v>
      </c>
      <c r="P53" s="181">
        <v>156.52114954512049</v>
      </c>
      <c r="Q53" s="181">
        <v>151.0936867233959</v>
      </c>
      <c r="R53" s="181">
        <v>145.29217096820526</v>
      </c>
      <c r="S53" s="181">
        <v>139.27027529356428</v>
      </c>
      <c r="T53" s="181">
        <v>133.00624099500632</v>
      </c>
      <c r="U53" s="181">
        <v>126.44782171055908</v>
      </c>
      <c r="V53" s="181">
        <v>119.93998120241078</v>
      </c>
      <c r="W53" s="181">
        <v>113.91859246745419</v>
      </c>
      <c r="DA53" s="190" t="s">
        <v>946</v>
      </c>
    </row>
    <row r="54" spans="1:105" ht="12" customHeight="1" x14ac:dyDescent="0.25">
      <c r="A54" s="132" t="s">
        <v>140</v>
      </c>
      <c r="B54" s="181">
        <v>51.753192413223253</v>
      </c>
      <c r="C54" s="181">
        <v>50.985479522161562</v>
      </c>
      <c r="D54" s="181">
        <v>50.016428615383454</v>
      </c>
      <c r="E54" s="181">
        <v>48.925264110710714</v>
      </c>
      <c r="F54" s="181">
        <v>47.663900332458184</v>
      </c>
      <c r="G54" s="181">
        <v>46.120496129580737</v>
      </c>
      <c r="H54" s="181">
        <v>44.564897460276363</v>
      </c>
      <c r="I54" s="181">
        <v>43.240617236416128</v>
      </c>
      <c r="J54" s="181">
        <v>41.988983340782418</v>
      </c>
      <c r="K54" s="181">
        <v>40.972964226765036</v>
      </c>
      <c r="L54" s="181">
        <v>39.872909884491214</v>
      </c>
      <c r="M54" s="181">
        <v>38.548286102800915</v>
      </c>
      <c r="N54" s="181">
        <v>36.986449820976112</v>
      </c>
      <c r="O54" s="181">
        <v>35.234809335364538</v>
      </c>
      <c r="P54" s="181">
        <v>33.178610401491412</v>
      </c>
      <c r="Q54" s="181">
        <v>31.358788612845487</v>
      </c>
      <c r="R54" s="181">
        <v>29.430036319416114</v>
      </c>
      <c r="S54" s="181">
        <v>27.263895480342583</v>
      </c>
      <c r="T54" s="181">
        <v>24.92404111811738</v>
      </c>
      <c r="U54" s="181">
        <v>22.656806859901209</v>
      </c>
      <c r="V54" s="181">
        <v>20.392981497740095</v>
      </c>
      <c r="W54" s="181">
        <v>18.592033758825149</v>
      </c>
      <c r="DA54" s="190" t="s">
        <v>947</v>
      </c>
    </row>
    <row r="55" spans="1:105" ht="12" customHeight="1" x14ac:dyDescent="0.25">
      <c r="A55" s="132" t="s">
        <v>181</v>
      </c>
      <c r="B55" s="181">
        <v>755.59019792408537</v>
      </c>
      <c r="C55" s="181">
        <v>744.32074036861923</v>
      </c>
      <c r="D55" s="181">
        <v>732.32526772736685</v>
      </c>
      <c r="E55" s="181">
        <v>719.3468035923521</v>
      </c>
      <c r="F55" s="181">
        <v>705.42942779702639</v>
      </c>
      <c r="G55" s="181">
        <v>690.29558108990739</v>
      </c>
      <c r="H55" s="181">
        <v>675.16804423439964</v>
      </c>
      <c r="I55" s="181">
        <v>659.66347853829279</v>
      </c>
      <c r="J55" s="181">
        <v>642.67244849326312</v>
      </c>
      <c r="K55" s="181">
        <v>624.35217324593316</v>
      </c>
      <c r="L55" s="181">
        <v>604.7593923867388</v>
      </c>
      <c r="M55" s="181">
        <v>587.36842249946642</v>
      </c>
      <c r="N55" s="181">
        <v>573.35637822928777</v>
      </c>
      <c r="O55" s="181">
        <v>558.57070483917823</v>
      </c>
      <c r="P55" s="181">
        <v>543.34705631134648</v>
      </c>
      <c r="Q55" s="181">
        <v>527.85064068705435</v>
      </c>
      <c r="R55" s="181">
        <v>514.25455041358714</v>
      </c>
      <c r="S55" s="181">
        <v>501.29469272816686</v>
      </c>
      <c r="T55" s="181">
        <v>488.70321451122032</v>
      </c>
      <c r="U55" s="181">
        <v>476.99573265026368</v>
      </c>
      <c r="V55" s="181">
        <v>466.38785001859543</v>
      </c>
      <c r="W55" s="181">
        <v>455.97017184408764</v>
      </c>
      <c r="DA55" s="190" t="s">
        <v>948</v>
      </c>
    </row>
    <row r="56" spans="1:105" ht="12" customHeight="1" x14ac:dyDescent="0.25">
      <c r="A56" s="60" t="s">
        <v>99</v>
      </c>
      <c r="B56" s="55">
        <v>53.074614036862556</v>
      </c>
      <c r="C56" s="55">
        <v>52.698876103902016</v>
      </c>
      <c r="D56" s="55">
        <v>52.324968074689956</v>
      </c>
      <c r="E56" s="55">
        <v>51.962594100361635</v>
      </c>
      <c r="F56" s="55">
        <v>51.554263901615272</v>
      </c>
      <c r="G56" s="55">
        <v>50.95050446180381</v>
      </c>
      <c r="H56" s="55">
        <v>50.432510724002718</v>
      </c>
      <c r="I56" s="55">
        <v>49.900491403931333</v>
      </c>
      <c r="J56" s="55">
        <v>49.217747460495879</v>
      </c>
      <c r="K56" s="55">
        <v>48.748049833070773</v>
      </c>
      <c r="L56" s="55">
        <v>48.250071435358969</v>
      </c>
      <c r="M56" s="55">
        <v>47.577589984782811</v>
      </c>
      <c r="N56" s="55">
        <v>46.676183833111956</v>
      </c>
      <c r="O56" s="55">
        <v>45.795149692529527</v>
      </c>
      <c r="P56" s="55">
        <v>44.718395228720389</v>
      </c>
      <c r="Q56" s="55">
        <v>43.579576019799788</v>
      </c>
      <c r="R56" s="55">
        <v>42.567349217948447</v>
      </c>
      <c r="S56" s="55">
        <v>41.614569091222776</v>
      </c>
      <c r="T56" s="55">
        <v>40.749880239454725</v>
      </c>
      <c r="U56" s="55">
        <v>39.893371282389914</v>
      </c>
      <c r="V56" s="55">
        <v>38.829710499376155</v>
      </c>
      <c r="W56" s="55">
        <v>37.972375437149054</v>
      </c>
      <c r="DA56" s="101" t="s">
        <v>949</v>
      </c>
    </row>
    <row r="57" spans="1:105" ht="12" customHeight="1" x14ac:dyDescent="0.25">
      <c r="A57" s="62" t="s">
        <v>98</v>
      </c>
      <c r="B57" s="63">
        <v>376.7539663521319</v>
      </c>
      <c r="C57" s="63">
        <v>366.16968084531737</v>
      </c>
      <c r="D57" s="63">
        <v>355.80016539707003</v>
      </c>
      <c r="E57" s="63">
        <v>345.41522718942292</v>
      </c>
      <c r="F57" s="63">
        <v>334.82862731336689</v>
      </c>
      <c r="G57" s="63">
        <v>324.89104893764306</v>
      </c>
      <c r="H57" s="63">
        <v>305.79869616948292</v>
      </c>
      <c r="I57" s="63">
        <v>291.3813753058879</v>
      </c>
      <c r="J57" s="63">
        <v>277.5493362812357</v>
      </c>
      <c r="K57" s="63">
        <v>264.49784719352596</v>
      </c>
      <c r="L57" s="63">
        <v>248.87725310662771</v>
      </c>
      <c r="M57" s="63">
        <v>226.60215639539055</v>
      </c>
      <c r="N57" s="63">
        <v>211.32524550018601</v>
      </c>
      <c r="O57" s="63">
        <v>200.04316738740704</v>
      </c>
      <c r="P57" s="63">
        <v>193.07812783688146</v>
      </c>
      <c r="Q57" s="63">
        <v>187.60151711230122</v>
      </c>
      <c r="R57" s="63">
        <v>183.39577804285278</v>
      </c>
      <c r="S57" s="63">
        <v>180.16381225651881</v>
      </c>
      <c r="T57" s="63">
        <v>177.11220270874102</v>
      </c>
      <c r="U57" s="63">
        <v>174.09668439384393</v>
      </c>
      <c r="V57" s="63">
        <v>170.19411420589469</v>
      </c>
      <c r="W57" s="63">
        <v>165.59991585625562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0.7160272465097387</v>
      </c>
      <c r="D60" s="181">
        <v>0.70437620479114782</v>
      </c>
      <c r="E60" s="181">
        <v>0.69498979159477381</v>
      </c>
      <c r="F60" s="181">
        <v>0.68691192869794993</v>
      </c>
      <c r="G60" s="181">
        <v>0.6758438093765835</v>
      </c>
      <c r="H60" s="181">
        <v>0.66564991410769259</v>
      </c>
      <c r="I60" s="181">
        <v>0.65594682619680622</v>
      </c>
      <c r="J60" s="181">
        <v>0.64322051260535484</v>
      </c>
      <c r="K60" s="181">
        <v>0.63202497608072505</v>
      </c>
      <c r="L60" s="181">
        <v>0.6195005764448589</v>
      </c>
      <c r="M60" s="181">
        <v>0.60451893889543662</v>
      </c>
      <c r="N60" s="181">
        <v>0.58722996160809771</v>
      </c>
      <c r="O60" s="181">
        <v>0.57119879140806085</v>
      </c>
      <c r="P60" s="181">
        <v>0.55519334098746631</v>
      </c>
      <c r="Q60" s="181">
        <v>0.53645859941905538</v>
      </c>
      <c r="R60" s="181">
        <v>0.53276804721474436</v>
      </c>
      <c r="S60" s="181">
        <v>0.52704497051274646</v>
      </c>
      <c r="T60" s="181">
        <v>0.52143830427277815</v>
      </c>
      <c r="U60" s="181">
        <v>0.51642309887572901</v>
      </c>
      <c r="V60" s="181">
        <v>0.51146625488978104</v>
      </c>
      <c r="W60" s="181">
        <v>0.50919826422220482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188.63257815039032</v>
      </c>
      <c r="D61" s="181">
        <v>186.58652872931287</v>
      </c>
      <c r="E61" s="181">
        <v>184.31439718538761</v>
      </c>
      <c r="F61" s="181">
        <v>182.59761009127052</v>
      </c>
      <c r="G61" s="181">
        <v>179.6780863059835</v>
      </c>
      <c r="H61" s="181">
        <v>176.46247549492324</v>
      </c>
      <c r="I61" s="181">
        <v>173.40472489432418</v>
      </c>
      <c r="J61" s="181">
        <v>170.66215974320809</v>
      </c>
      <c r="K61" s="181">
        <v>166.72513412954208</v>
      </c>
      <c r="L61" s="181">
        <v>163.59145352063953</v>
      </c>
      <c r="M61" s="181">
        <v>159.2261435262611</v>
      </c>
      <c r="N61" s="181">
        <v>154.67859462661337</v>
      </c>
      <c r="O61" s="181">
        <v>148.51847326608009</v>
      </c>
      <c r="P61" s="181">
        <v>141.94566185010817</v>
      </c>
      <c r="Q61" s="181">
        <v>133.94356634863783</v>
      </c>
      <c r="R61" s="181">
        <v>126.04352478543515</v>
      </c>
      <c r="S61" s="181">
        <v>120.05382648303417</v>
      </c>
      <c r="T61" s="181">
        <v>114.1106150669532</v>
      </c>
      <c r="U61" s="181">
        <v>108.15852810643158</v>
      </c>
      <c r="V61" s="181">
        <v>102.20546351116202</v>
      </c>
      <c r="W61" s="181">
        <v>99.917300395753941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48.003987731174121</v>
      </c>
      <c r="D62" s="181">
        <v>46.434973032546083</v>
      </c>
      <c r="E62" s="181">
        <v>45.205201853329349</v>
      </c>
      <c r="F62" s="181">
        <v>43.911045429925387</v>
      </c>
      <c r="G62" s="181">
        <v>42.691216942457302</v>
      </c>
      <c r="H62" s="181">
        <v>41.799686243750727</v>
      </c>
      <c r="I62" s="181">
        <v>40.799868319626661</v>
      </c>
      <c r="J62" s="181">
        <v>39.489444851555923</v>
      </c>
      <c r="K62" s="181">
        <v>38.267702861323379</v>
      </c>
      <c r="L62" s="181">
        <v>36.626686303719147</v>
      </c>
      <c r="M62" s="181">
        <v>35.204955611273583</v>
      </c>
      <c r="N62" s="181">
        <v>33.143627033613839</v>
      </c>
      <c r="O62" s="181">
        <v>31.2378628191247</v>
      </c>
      <c r="P62" s="181">
        <v>28.883542413733579</v>
      </c>
      <c r="Q62" s="181">
        <v>26.376311675759023</v>
      </c>
      <c r="R62" s="181">
        <v>23.105094549542926</v>
      </c>
      <c r="S62" s="181">
        <v>21.640291790148694</v>
      </c>
      <c r="T62" s="181">
        <v>19.504126610379032</v>
      </c>
      <c r="U62" s="181">
        <v>17.789527335063216</v>
      </c>
      <c r="V62" s="181">
        <v>16.390276969558709</v>
      </c>
      <c r="W62" s="181">
        <v>14.996295800832359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673.90896893973695</v>
      </c>
      <c r="D63" s="181">
        <v>651.54395467308393</v>
      </c>
      <c r="E63" s="181">
        <v>638.86396608818006</v>
      </c>
      <c r="F63" s="181">
        <v>625.22013321765667</v>
      </c>
      <c r="G63" s="181">
        <v>611.95977072286837</v>
      </c>
      <c r="H63" s="181">
        <v>604.42256896130425</v>
      </c>
      <c r="I63" s="181">
        <v>593.90422637764345</v>
      </c>
      <c r="J63" s="181">
        <v>577.46961678762977</v>
      </c>
      <c r="K63" s="181">
        <v>559.18993123938151</v>
      </c>
      <c r="L63" s="181">
        <v>539.54231913896911</v>
      </c>
      <c r="M63" s="181">
        <v>519.35110769277583</v>
      </c>
      <c r="N63" s="181">
        <v>511.31587710969256</v>
      </c>
      <c r="O63" s="181">
        <v>495.16388047138128</v>
      </c>
      <c r="P63" s="181">
        <v>477.65575544541736</v>
      </c>
      <c r="Q63" s="181">
        <v>465.88342715471634</v>
      </c>
      <c r="R63" s="181">
        <v>458.96889817489028</v>
      </c>
      <c r="S63" s="181">
        <v>450.35533939255544</v>
      </c>
      <c r="T63" s="181">
        <v>441.96947435011202</v>
      </c>
      <c r="U63" s="181">
        <v>434.06776633818981</v>
      </c>
      <c r="V63" s="181">
        <v>426.23249568557264</v>
      </c>
      <c r="W63" s="181">
        <v>416.29570525642646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49.807027031222638</v>
      </c>
      <c r="D64" s="55">
        <v>49.222597820582102</v>
      </c>
      <c r="E64" s="55">
        <v>48.684262038229221</v>
      </c>
      <c r="F64" s="55">
        <v>48.095258472546661</v>
      </c>
      <c r="G64" s="55">
        <v>47.326929017079436</v>
      </c>
      <c r="H64" s="55">
        <v>46.657062018704302</v>
      </c>
      <c r="I64" s="55">
        <v>46.046479022965791</v>
      </c>
      <c r="J64" s="55">
        <v>45.256247218350609</v>
      </c>
      <c r="K64" s="55">
        <v>44.218911816773783</v>
      </c>
      <c r="L64" s="55">
        <v>43.187599414432803</v>
      </c>
      <c r="M64" s="55">
        <v>41.872148291049832</v>
      </c>
      <c r="N64" s="55">
        <v>40.537648626380587</v>
      </c>
      <c r="O64" s="55">
        <v>39.208130259037951</v>
      </c>
      <c r="P64" s="55">
        <v>37.898665813182888</v>
      </c>
      <c r="Q64" s="55">
        <v>36.469801961093822</v>
      </c>
      <c r="R64" s="55">
        <v>36.00229020886578</v>
      </c>
      <c r="S64" s="55">
        <v>35.424106785716752</v>
      </c>
      <c r="T64" s="55">
        <v>34.87679959697585</v>
      </c>
      <c r="U64" s="55">
        <v>34.355891797185087</v>
      </c>
      <c r="V64" s="55">
        <v>33.839768430089414</v>
      </c>
      <c r="W64" s="55">
        <v>33.565855685002361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349.2474338949657</v>
      </c>
      <c r="D65" s="63">
        <v>336.43727914950472</v>
      </c>
      <c r="E65" s="63">
        <v>324.72437671179102</v>
      </c>
      <c r="F65" s="63">
        <v>309.83839907812074</v>
      </c>
      <c r="G65" s="63">
        <v>296.1086924618981</v>
      </c>
      <c r="H65" s="63">
        <v>281.87007044844898</v>
      </c>
      <c r="I65" s="63">
        <v>267.93079878610183</v>
      </c>
      <c r="J65" s="63">
        <v>251.99602447560463</v>
      </c>
      <c r="K65" s="63">
        <v>232.42142394008573</v>
      </c>
      <c r="L65" s="63">
        <v>213.33105998891952</v>
      </c>
      <c r="M65" s="63">
        <v>199.30095336461761</v>
      </c>
      <c r="N65" s="63">
        <v>190.80059641988348</v>
      </c>
      <c r="O65" s="63">
        <v>184.94199079429654</v>
      </c>
      <c r="P65" s="63">
        <v>182.56782335413959</v>
      </c>
      <c r="Q65" s="63">
        <v>181.55749542734176</v>
      </c>
      <c r="R65" s="63">
        <v>179.31767523446237</v>
      </c>
      <c r="S65" s="63">
        <v>174.52835831294092</v>
      </c>
      <c r="T65" s="63">
        <v>169.78985872814812</v>
      </c>
      <c r="U65" s="63">
        <v>165.30657500372971</v>
      </c>
      <c r="V65" s="63">
        <v>160.86150055226904</v>
      </c>
      <c r="W65" s="63">
        <v>157.70879435464579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370.57433869163572</v>
      </c>
      <c r="C68" s="188">
        <f>1000000*C20/SER_summary!C$8</f>
        <v>382.58137976073982</v>
      </c>
      <c r="D68" s="188">
        <f>1000000*D20/SER_summary!D$8</f>
        <v>393.09507593127671</v>
      </c>
      <c r="E68" s="188">
        <f>1000000*E20/SER_summary!E$8</f>
        <v>404.65468185678657</v>
      </c>
      <c r="F68" s="188">
        <f>1000000*F20/SER_summary!F$8</f>
        <v>414.97934160918049</v>
      </c>
      <c r="G68" s="188">
        <f>1000000*G20/SER_summary!G$8</f>
        <v>423.64447793746524</v>
      </c>
      <c r="H68" s="188">
        <f>1000000*H20/SER_summary!H$8</f>
        <v>433.38177748307919</v>
      </c>
      <c r="I68" s="188">
        <f>1000000*I20/SER_summary!I$8</f>
        <v>439.94486177455769</v>
      </c>
      <c r="J68" s="188">
        <f>1000000*J20/SER_summary!J$8</f>
        <v>449.3207068252101</v>
      </c>
      <c r="K68" s="188">
        <f>1000000*K20/SER_summary!K$8</f>
        <v>460.86187912526685</v>
      </c>
      <c r="L68" s="188">
        <f>1000000*L20/SER_summary!L$8</f>
        <v>470.20701570606963</v>
      </c>
      <c r="M68" s="188">
        <f>1000000*M20/SER_summary!M$8</f>
        <v>481.45876385100581</v>
      </c>
      <c r="N68" s="188">
        <f>1000000*N20/SER_summary!N$8</f>
        <v>492.77248941134502</v>
      </c>
      <c r="O68" s="188">
        <f>1000000*O20/SER_summary!O$8</f>
        <v>504.94773951800971</v>
      </c>
      <c r="P68" s="188">
        <f>1000000*P20/SER_summary!P$8</f>
        <v>520.42012294226674</v>
      </c>
      <c r="Q68" s="188">
        <f>1000000*Q20/SER_summary!Q$8</f>
        <v>539.3091716993963</v>
      </c>
      <c r="R68" s="188">
        <f>1000000*R20/SER_summary!R$8</f>
        <v>553.79912074521621</v>
      </c>
      <c r="S68" s="188">
        <f>1000000*S20/SER_summary!S$8</f>
        <v>568.33587957776024</v>
      </c>
      <c r="T68" s="188">
        <f>1000000*T20/SER_summary!T$8</f>
        <v>582.67188404027354</v>
      </c>
      <c r="U68" s="188">
        <f>1000000*U20/SER_summary!U$8</f>
        <v>596.6569830451175</v>
      </c>
      <c r="V68" s="188">
        <f>1000000*V20/SER_summary!V$8</f>
        <v>610.01169161153234</v>
      </c>
      <c r="W68" s="188">
        <f>1000000*W20/SER_summary!W$8</f>
        <v>622.51133385712524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8.2772511976822213E-2</v>
      </c>
      <c r="C69" s="188">
        <f>1000*C21/SER_summary!C$3</f>
        <v>8.3647441580566237E-2</v>
      </c>
      <c r="D69" s="188">
        <f>1000*D21/SER_summary!D$3</f>
        <v>8.4401717852455746E-2</v>
      </c>
      <c r="E69" s="188">
        <f>1000*E21/SER_summary!E$3</f>
        <v>8.5608593503952543E-2</v>
      </c>
      <c r="F69" s="188">
        <f>1000*F21/SER_summary!F$3</f>
        <v>8.6807709162714963E-2</v>
      </c>
      <c r="G69" s="188">
        <f>1000*G21/SER_summary!G$3</f>
        <v>8.796752316651836E-2</v>
      </c>
      <c r="H69" s="188">
        <f>1000*H21/SER_summary!H$3</f>
        <v>8.94503429279455E-2</v>
      </c>
      <c r="I69" s="188">
        <f>1000*I21/SER_summary!I$3</f>
        <v>9.145600746655265E-2</v>
      </c>
      <c r="J69" s="188">
        <f>1000*J21/SER_summary!J$3</f>
        <v>9.3594976999006929E-2</v>
      </c>
      <c r="K69" s="188">
        <f>1000*K21/SER_summary!K$3</f>
        <v>9.5760922275621149E-2</v>
      </c>
      <c r="L69" s="188">
        <f>1000*L21/SER_summary!L$3</f>
        <v>9.7850364226953243E-2</v>
      </c>
      <c r="M69" s="188">
        <f>1000*M21/SER_summary!M$3</f>
        <v>0.10121038731474515</v>
      </c>
      <c r="N69" s="188">
        <f>1000*N21/SER_summary!N$3</f>
        <v>0.10521920142362169</v>
      </c>
      <c r="O69" s="188">
        <f>1000*O21/SER_summary!O$3</f>
        <v>0.1089612233178385</v>
      </c>
      <c r="P69" s="188">
        <f>1000*P21/SER_summary!P$3</f>
        <v>0.11332854248510921</v>
      </c>
      <c r="Q69" s="188">
        <f>1000*Q21/SER_summary!Q$3</f>
        <v>0.11808127135351902</v>
      </c>
      <c r="R69" s="188">
        <f>1000*R21/SER_summary!R$3</f>
        <v>0.12205761639402807</v>
      </c>
      <c r="S69" s="188">
        <f>1000*S21/SER_summary!S$3</f>
        <v>0.12606655058346775</v>
      </c>
      <c r="T69" s="188">
        <f>1000*T21/SER_summary!T$3</f>
        <v>0.12844960628742175</v>
      </c>
      <c r="U69" s="188">
        <f>1000*U21/SER_summary!U$3</f>
        <v>0.12995411928911396</v>
      </c>
      <c r="V69" s="188">
        <f>1000*V21/SER_summary!V$3</f>
        <v>0.13033617444753842</v>
      </c>
      <c r="W69" s="188">
        <f>1000*W21/SER_summary!W$3</f>
        <v>0.1352581908923822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159.92628479977787</v>
      </c>
      <c r="C70" s="188">
        <f>1000000*C22/SER_summary!C$8</f>
        <v>161.97596814291529</v>
      </c>
      <c r="D70" s="188">
        <f>1000000*D22/SER_summary!D$8</f>
        <v>165.54055008745379</v>
      </c>
      <c r="E70" s="188">
        <f>1000000*E22/SER_summary!E$8</f>
        <v>168.64577051734258</v>
      </c>
      <c r="F70" s="188">
        <f>1000000*F22/SER_summary!F$8</f>
        <v>172.23329775260675</v>
      </c>
      <c r="G70" s="188">
        <f>1000000*G22/SER_summary!G$8</f>
        <v>175.78255368222929</v>
      </c>
      <c r="H70" s="188">
        <f>1000000*H22/SER_summary!H$8</f>
        <v>179.53401486235384</v>
      </c>
      <c r="I70" s="188">
        <f>1000000*I22/SER_summary!I$8</f>
        <v>183.43448213357672</v>
      </c>
      <c r="J70" s="188">
        <f>1000000*J22/SER_summary!J$8</f>
        <v>186.75326039847351</v>
      </c>
      <c r="K70" s="188">
        <f>1000000*K22/SER_summary!K$8</f>
        <v>191.55414780141078</v>
      </c>
      <c r="L70" s="188">
        <f>1000000*L22/SER_summary!L$8</f>
        <v>198.14692815031663</v>
      </c>
      <c r="M70" s="188">
        <f>1000000*M22/SER_summary!M$8</f>
        <v>204.82254616996696</v>
      </c>
      <c r="N70" s="188">
        <f>1000000*N22/SER_summary!N$8</f>
        <v>214.05100142488649</v>
      </c>
      <c r="O70" s="188">
        <f>1000000*O22/SER_summary!O$8</f>
        <v>223.32470270413577</v>
      </c>
      <c r="P70" s="188">
        <f>1000000*P22/SER_summary!P$8</f>
        <v>233.64350547815178</v>
      </c>
      <c r="Q70" s="188">
        <f>1000000*Q22/SER_summary!Q$8</f>
        <v>246.70946366143059</v>
      </c>
      <c r="R70" s="188">
        <f>1000000*R22/SER_summary!R$8</f>
        <v>252.30328990983585</v>
      </c>
      <c r="S70" s="188">
        <f>1000000*S22/SER_summary!S$8</f>
        <v>257.97426008615884</v>
      </c>
      <c r="T70" s="188">
        <f>1000000*T22/SER_summary!T$8</f>
        <v>263.40002491462513</v>
      </c>
      <c r="U70" s="188">
        <f>1000000*U22/SER_summary!U$8</f>
        <v>268.38345254611716</v>
      </c>
      <c r="V70" s="188">
        <f>1000000*V22/SER_summary!V$8</f>
        <v>272.55716001595306</v>
      </c>
      <c r="W70" s="188">
        <f>1000000*W22/SER_summary!W$8</f>
        <v>275.43816965540577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2.3839035544223827E-2</v>
      </c>
      <c r="C71" s="188">
        <f>1000*C23/SER_summary!C$3</f>
        <v>2.4970566529413981E-2</v>
      </c>
      <c r="D71" s="188">
        <f>1000*D23/SER_summary!D$3</f>
        <v>2.5637245593743162E-2</v>
      </c>
      <c r="E71" s="188">
        <f>1000*E23/SER_summary!E$3</f>
        <v>2.6366891549338065E-2</v>
      </c>
      <c r="F71" s="188">
        <f>1000*F23/SER_summary!F$3</f>
        <v>2.709835859174194E-2</v>
      </c>
      <c r="G71" s="188">
        <f>1000*G23/SER_summary!G$3</f>
        <v>2.7939900517714656E-2</v>
      </c>
      <c r="H71" s="188">
        <f>1000*H23/SER_summary!H$3</f>
        <v>2.8787098965734455E-2</v>
      </c>
      <c r="I71" s="188">
        <f>1000*I23/SER_summary!I$3</f>
        <v>2.9734441129904407E-2</v>
      </c>
      <c r="J71" s="188">
        <f>1000*J23/SER_summary!J$3</f>
        <v>3.0751044630931635E-2</v>
      </c>
      <c r="K71" s="188">
        <f>1000*K23/SER_summary!K$3</f>
        <v>3.1801100417248845E-2</v>
      </c>
      <c r="L71" s="188">
        <f>1000*L23/SER_summary!L$3</f>
        <v>3.29151911195147E-2</v>
      </c>
      <c r="M71" s="188">
        <f>1000*M23/SER_summary!M$3</f>
        <v>3.3851453558868531E-2</v>
      </c>
      <c r="N71" s="188">
        <f>1000*N23/SER_summary!N$3</f>
        <v>3.4727077511526955E-2</v>
      </c>
      <c r="O71" s="188">
        <f>1000*O23/SER_summary!O$3</f>
        <v>3.5691667288197879E-2</v>
      </c>
      <c r="P71" s="188">
        <f>1000*P23/SER_summary!P$3</f>
        <v>3.6680197282397499E-2</v>
      </c>
      <c r="Q71" s="188">
        <f>1000*Q23/SER_summary!Q$3</f>
        <v>3.7650267303905069E-2</v>
      </c>
      <c r="R71" s="188">
        <f>1000*R23/SER_summary!R$3</f>
        <v>3.7947597520100608E-2</v>
      </c>
      <c r="S71" s="188">
        <f>1000*S23/SER_summary!S$3</f>
        <v>3.8275347527092836E-2</v>
      </c>
      <c r="T71" s="188">
        <f>1000*T23/SER_summary!T$3</f>
        <v>3.814572787048566E-2</v>
      </c>
      <c r="U71" s="188">
        <f>1000*U23/SER_summary!U$3</f>
        <v>3.7805649328937728E-2</v>
      </c>
      <c r="V71" s="188">
        <f>1000*V23/SER_summary!V$3</f>
        <v>3.7199531915041724E-2</v>
      </c>
      <c r="W71" s="188">
        <f>1000*W23/SER_summary!W$3</f>
        <v>3.7925770279774756E-2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124.75083395486919</v>
      </c>
      <c r="C72" s="188">
        <f>1000000*C24/SER_summary!C$8</f>
        <v>130.71152339484945</v>
      </c>
      <c r="D72" s="188">
        <f>1000000*D24/SER_summary!D$8</f>
        <v>138.48099893038543</v>
      </c>
      <c r="E72" s="188">
        <f>1000000*E24/SER_summary!E$8</f>
        <v>146.29295404205439</v>
      </c>
      <c r="F72" s="188">
        <f>1000000*F24/SER_summary!F$8</f>
        <v>155.943998767631</v>
      </c>
      <c r="G72" s="188">
        <f>1000000*G24/SER_summary!G$8</f>
        <v>167.19353548340831</v>
      </c>
      <c r="H72" s="188">
        <f>1000000*H24/SER_summary!H$8</f>
        <v>175.71792071587305</v>
      </c>
      <c r="I72" s="188">
        <f>1000000*I24/SER_summary!I$8</f>
        <v>183.29411123740374</v>
      </c>
      <c r="J72" s="188">
        <f>1000000*J24/SER_summary!J$8</f>
        <v>190.52340858000116</v>
      </c>
      <c r="K72" s="188">
        <f>1000000*K24/SER_summary!K$8</f>
        <v>195.96715398100656</v>
      </c>
      <c r="L72" s="188">
        <f>1000000*L24/SER_summary!L$8</f>
        <v>198.5102414872128</v>
      </c>
      <c r="M72" s="188">
        <f>1000000*M24/SER_summary!M$8</f>
        <v>201.62162101603747</v>
      </c>
      <c r="N72" s="188">
        <f>1000000*N24/SER_summary!N$8</f>
        <v>205.02807087407896</v>
      </c>
      <c r="O72" s="188">
        <f>1000000*O24/SER_summary!O$8</f>
        <v>208.21100149352458</v>
      </c>
      <c r="P72" s="188">
        <f>1000000*P24/SER_summary!P$8</f>
        <v>212.0544906241098</v>
      </c>
      <c r="Q72" s="188">
        <f>1000000*Q24/SER_summary!Q$8</f>
        <v>214.55582856132983</v>
      </c>
      <c r="R72" s="188">
        <f>1000000*R24/SER_summary!R$8</f>
        <v>219.21185303285787</v>
      </c>
      <c r="S72" s="188">
        <f>1000000*S24/SER_summary!S$8</f>
        <v>223.89029720377323</v>
      </c>
      <c r="T72" s="188">
        <f>1000000*T24/SER_summary!T$8</f>
        <v>228.47258941712553</v>
      </c>
      <c r="U72" s="188">
        <f>1000000*U24/SER_summary!U$8</f>
        <v>232.88681432181178</v>
      </c>
      <c r="V72" s="188">
        <f>1000000*V24/SER_summary!V$8</f>
        <v>236.99911167854816</v>
      </c>
      <c r="W72" s="188">
        <f>1000000*W24/SER_summary!W$8</f>
        <v>240.66793849581151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8.4993804511258098E-2</v>
      </c>
      <c r="C73" s="52">
        <f>1000*C25/SER_summary!C$3</f>
        <v>0.10977363996666196</v>
      </c>
      <c r="D73" s="52">
        <f>1000*D25/SER_summary!D$3</f>
        <v>0.13231677416720691</v>
      </c>
      <c r="E73" s="52">
        <f>1000*E25/SER_summary!E$3</f>
        <v>0.15557291952380939</v>
      </c>
      <c r="F73" s="52">
        <f>1000*F25/SER_summary!F$3</f>
        <v>0.17580155406401665</v>
      </c>
      <c r="G73" s="52">
        <f>1000*G25/SER_summary!G$3</f>
        <v>0.18887117033869905</v>
      </c>
      <c r="H73" s="52">
        <f>1000*H25/SER_summary!H$3</f>
        <v>0.22266615347140789</v>
      </c>
      <c r="I73" s="52">
        <f>1000*I25/SER_summary!I$3</f>
        <v>0.24479437021301598</v>
      </c>
      <c r="J73" s="52">
        <f>1000*J25/SER_summary!J$3</f>
        <v>0.26220153715894562</v>
      </c>
      <c r="K73" s="52">
        <f>1000*K25/SER_summary!K$3</f>
        <v>0.27743945381088808</v>
      </c>
      <c r="L73" s="52">
        <f>1000*L25/SER_summary!L$3</f>
        <v>0.32682767334585905</v>
      </c>
      <c r="M73" s="52">
        <f>1000*M25/SER_summary!M$3</f>
        <v>0.36866166827773661</v>
      </c>
      <c r="N73" s="52">
        <f>1000*N25/SER_summary!N$3</f>
        <v>0.41437751196845324</v>
      </c>
      <c r="O73" s="52">
        <f>1000*O25/SER_summary!O$3</f>
        <v>0.46490035491743453</v>
      </c>
      <c r="P73" s="52">
        <f>1000*P25/SER_summary!P$3</f>
        <v>0.51565144102260252</v>
      </c>
      <c r="Q73" s="52">
        <f>1000*Q25/SER_summary!Q$3</f>
        <v>0.55735477725626403</v>
      </c>
      <c r="R73" s="52">
        <f>1000*R25/SER_summary!R$3</f>
        <v>0.57934669996482657</v>
      </c>
      <c r="S73" s="52">
        <f>1000*S25/SER_summary!S$3</f>
        <v>0.60972688112178464</v>
      </c>
      <c r="T73" s="52">
        <f>1000*T25/SER_summary!T$3</f>
        <v>0.63034911647945013</v>
      </c>
      <c r="U73" s="52">
        <f>1000*U25/SER_summary!U$3</f>
        <v>0.6282554481908954</v>
      </c>
      <c r="V73" s="52">
        <f>1000*V25/SER_summary!V$3</f>
        <v>0.60764386673680815</v>
      </c>
      <c r="W73" s="52">
        <f>1000*W25/SER_summary!W$3</f>
        <v>0.61781611066331277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0.49562233665560984</v>
      </c>
      <c r="C3" s="199">
        <f>'SER_se-appl'!C4</f>
        <v>0.52935684758573665</v>
      </c>
      <c r="D3" s="199">
        <f>'SER_se-appl'!D4</f>
        <v>0.55106496267990379</v>
      </c>
      <c r="E3" s="199">
        <f>'SER_se-appl'!E4</f>
        <v>0.56923375387858521</v>
      </c>
      <c r="F3" s="199">
        <f>'SER_se-appl'!F4</f>
        <v>0.58246662850823161</v>
      </c>
      <c r="G3" s="199">
        <f>'SER_se-appl'!G4</f>
        <v>0.61073309991498181</v>
      </c>
      <c r="H3" s="199">
        <f>'SER_se-appl'!H4</f>
        <v>0.63559463118602377</v>
      </c>
      <c r="I3" s="199">
        <f>'SER_se-appl'!I4</f>
        <v>0.65853710104512186</v>
      </c>
      <c r="J3" s="199">
        <f>'SER_se-appl'!J4</f>
        <v>0.70293109329153414</v>
      </c>
      <c r="K3" s="199">
        <f>'SER_se-appl'!K4</f>
        <v>0.71835094497217433</v>
      </c>
      <c r="L3" s="199">
        <f>'SER_se-appl'!L4</f>
        <v>0.73364503769922607</v>
      </c>
      <c r="M3" s="199">
        <f>'SER_se-appl'!M4</f>
        <v>0.75737746183307075</v>
      </c>
      <c r="N3" s="199">
        <f>'SER_se-appl'!N4</f>
        <v>0.79284227151314557</v>
      </c>
      <c r="O3" s="199">
        <f>'SER_se-appl'!O4</f>
        <v>0.81756534712340723</v>
      </c>
      <c r="P3" s="199">
        <f>'SER_se-appl'!P4</f>
        <v>0.85246781082002088</v>
      </c>
      <c r="Q3" s="199">
        <f>'SER_se-appl'!Q4</f>
        <v>0.89017003345649293</v>
      </c>
      <c r="R3" s="199">
        <f>'SER_se-appl'!R4</f>
        <v>0.92335152864655334</v>
      </c>
      <c r="S3" s="199">
        <f>'SER_se-appl'!S4</f>
        <v>0.95826186869993779</v>
      </c>
      <c r="T3" s="199">
        <f>'SER_se-appl'!T4</f>
        <v>0.992530341162562</v>
      </c>
      <c r="U3" s="199">
        <f>'SER_se-appl'!U4</f>
        <v>1.0224540660380312</v>
      </c>
      <c r="V3" s="199">
        <f>'SER_se-appl'!V4</f>
        <v>1.0550605295856481</v>
      </c>
      <c r="W3" s="199">
        <f>'SER_se-appl'!W4</f>
        <v>1.0874745224475639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0.6580008875918657</v>
      </c>
      <c r="C5" s="59">
        <f>'SER_se-appl'!C12</f>
        <v>0.70278768692033322</v>
      </c>
      <c r="D5" s="59">
        <f>'SER_se-appl'!D12</f>
        <v>0.73160793561270321</v>
      </c>
      <c r="E5" s="59">
        <f>'SER_se-appl'!E12</f>
        <v>0.75572928739816769</v>
      </c>
      <c r="F5" s="59">
        <f>'SER_se-appl'!F12</f>
        <v>0.77329759013136246</v>
      </c>
      <c r="G5" s="59">
        <f>'SER_se-appl'!G12</f>
        <v>0.81082488036657974</v>
      </c>
      <c r="H5" s="59">
        <f>'SER_se-appl'!H12</f>
        <v>0.84383168501066874</v>
      </c>
      <c r="I5" s="59">
        <f>'SER_se-appl'!I12</f>
        <v>0.87429069465237108</v>
      </c>
      <c r="J5" s="59">
        <f>'SER_se-appl'!J12</f>
        <v>0.93322929394755061</v>
      </c>
      <c r="K5" s="59">
        <f>'SER_se-appl'!K12</f>
        <v>0.95370108333634529</v>
      </c>
      <c r="L5" s="59">
        <f>'SER_se-appl'!L12</f>
        <v>0.97400591192260244</v>
      </c>
      <c r="M5" s="59">
        <f>'SER_se-appl'!M12</f>
        <v>1.0055136850592024</v>
      </c>
      <c r="N5" s="59">
        <f>'SER_se-appl'!N12</f>
        <v>1.0525976732531832</v>
      </c>
      <c r="O5" s="59">
        <f>'SER_se-appl'!O12</f>
        <v>1.0854206606216017</v>
      </c>
      <c r="P5" s="59">
        <f>'SER_se-appl'!P12</f>
        <v>1.1317580639083153</v>
      </c>
      <c r="Q5" s="59">
        <f>'SER_se-appl'!Q12</f>
        <v>1.1818124987555954</v>
      </c>
      <c r="R5" s="59">
        <f>'SER_se-appl'!R12</f>
        <v>1.2258651002465086</v>
      </c>
      <c r="S5" s="59">
        <f>'SER_se-appl'!S12</f>
        <v>1.2722129603858763</v>
      </c>
      <c r="T5" s="59">
        <f>'SER_se-appl'!T12</f>
        <v>1.3177086606986981</v>
      </c>
      <c r="U5" s="59">
        <f>'SER_se-appl'!U12</f>
        <v>1.357436163016245</v>
      </c>
      <c r="V5" s="59">
        <f>'SER_se-appl'!V12</f>
        <v>1.4007253377946447</v>
      </c>
      <c r="W5" s="59">
        <f>'SER_se-appl'!W12</f>
        <v>1.4437589835690832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370.57433869163572</v>
      </c>
      <c r="C6" s="202">
        <f>'SER_se-appl'!C68</f>
        <v>382.58137976073982</v>
      </c>
      <c r="D6" s="202">
        <f>'SER_se-appl'!D68</f>
        <v>393.09507593127671</v>
      </c>
      <c r="E6" s="202">
        <f>'SER_se-appl'!E68</f>
        <v>404.65468185678657</v>
      </c>
      <c r="F6" s="202">
        <f>'SER_se-appl'!F68</f>
        <v>414.97934160918049</v>
      </c>
      <c r="G6" s="202">
        <f>'SER_se-appl'!G68</f>
        <v>423.64447793746524</v>
      </c>
      <c r="H6" s="202">
        <f>'SER_se-appl'!H68</f>
        <v>433.38177748307919</v>
      </c>
      <c r="I6" s="202">
        <f>'SER_se-appl'!I68</f>
        <v>439.94486177455769</v>
      </c>
      <c r="J6" s="202">
        <f>'SER_se-appl'!J68</f>
        <v>449.3207068252101</v>
      </c>
      <c r="K6" s="202">
        <f>'SER_se-appl'!K68</f>
        <v>460.86187912526685</v>
      </c>
      <c r="L6" s="202">
        <f>'SER_se-appl'!L68</f>
        <v>470.20701570606963</v>
      </c>
      <c r="M6" s="202">
        <f>'SER_se-appl'!M68</f>
        <v>481.45876385100581</v>
      </c>
      <c r="N6" s="202">
        <f>'SER_se-appl'!N68</f>
        <v>492.77248941134502</v>
      </c>
      <c r="O6" s="202">
        <f>'SER_se-appl'!O68</f>
        <v>504.94773951800971</v>
      </c>
      <c r="P6" s="202">
        <f>'SER_se-appl'!P68</f>
        <v>520.42012294226674</v>
      </c>
      <c r="Q6" s="202">
        <f>'SER_se-appl'!Q68</f>
        <v>539.3091716993963</v>
      </c>
      <c r="R6" s="202">
        <f>'SER_se-appl'!R68</f>
        <v>553.79912074521621</v>
      </c>
      <c r="S6" s="202">
        <f>'SER_se-appl'!S68</f>
        <v>568.33587957776024</v>
      </c>
      <c r="T6" s="202">
        <f>'SER_se-appl'!T68</f>
        <v>582.67188404027354</v>
      </c>
      <c r="U6" s="202">
        <f>'SER_se-appl'!U68</f>
        <v>596.6569830451175</v>
      </c>
      <c r="V6" s="202">
        <f>'SER_se-appl'!V68</f>
        <v>610.01169161153234</v>
      </c>
      <c r="W6" s="202">
        <f>'SER_se-appl'!W68</f>
        <v>622.51133385712524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0.81921241562048031</v>
      </c>
      <c r="C8" s="34">
        <f>'SER_se-appl'!C20</f>
        <v>0.88608784534280771</v>
      </c>
      <c r="D8" s="34">
        <f>'SER_se-appl'!D20</f>
        <v>0.93213056677672201</v>
      </c>
      <c r="E8" s="34">
        <f>'SER_se-appl'!E20</f>
        <v>0.97268842297944724</v>
      </c>
      <c r="F8" s="34">
        <f>'SER_se-appl'!F20</f>
        <v>1.0048050994853135</v>
      </c>
      <c r="G8" s="34">
        <f>'SER_se-appl'!G20</f>
        <v>1.0678183202054001</v>
      </c>
      <c r="H8" s="34">
        <f>'SER_se-appl'!H20</f>
        <v>1.1258460387706435</v>
      </c>
      <c r="I8" s="34">
        <f>'SER_se-appl'!I20</f>
        <v>1.1817116589140391</v>
      </c>
      <c r="J8" s="34">
        <f>'SER_se-appl'!J20</f>
        <v>1.284085768404601</v>
      </c>
      <c r="K8" s="34">
        <f>'SER_se-appl'!K20</f>
        <v>1.3285065366286448</v>
      </c>
      <c r="L8" s="34">
        <f>'SER_se-appl'!L20</f>
        <v>1.3748263347707776</v>
      </c>
      <c r="M8" s="34">
        <f>'SER_se-appl'!M20</f>
        <v>1.4423825232438281</v>
      </c>
      <c r="N8" s="34">
        <f>'SER_se-appl'!N20</f>
        <v>1.5403238131763723</v>
      </c>
      <c r="O8" s="34">
        <f>'SER_se-appl'!O20</f>
        <v>1.617957287439074</v>
      </c>
      <c r="P8" s="34">
        <f>'SER_se-appl'!P20</f>
        <v>1.7242296646148811</v>
      </c>
      <c r="Q8" s="34">
        <f>'SER_se-appl'!Q20</f>
        <v>1.8436436476980373</v>
      </c>
      <c r="R8" s="34">
        <f>'SER_se-appl'!R20</f>
        <v>1.9537370700248207</v>
      </c>
      <c r="S8" s="34">
        <f>'SER_se-appl'!S20</f>
        <v>2.0707674450866937</v>
      </c>
      <c r="T8" s="34">
        <f>'SER_se-appl'!T20</f>
        <v>2.188867469574336</v>
      </c>
      <c r="U8" s="34">
        <f>'SER_se-appl'!U20</f>
        <v>2.3053774471552599</v>
      </c>
      <c r="V8" s="34">
        <f>'SER_se-appl'!V20</f>
        <v>2.4211614822646048</v>
      </c>
      <c r="W8" s="34">
        <f>'SER_se-appl'!W20</f>
        <v>2.5341807777045395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0.10240739782730046</v>
      </c>
      <c r="D9" s="36">
        <f>'SER_se-appl'!D28</f>
        <v>8.2579732373310177E-2</v>
      </c>
      <c r="E9" s="36">
        <f>'SER_se-appl'!E28</f>
        <v>7.8128338210410431E-2</v>
      </c>
      <c r="F9" s="36">
        <f>'SER_se-appl'!F28</f>
        <v>7.0749861925197055E-2</v>
      </c>
      <c r="G9" s="36">
        <f>'SER_se-appl'!G28</f>
        <v>0.10273916874862377</v>
      </c>
      <c r="H9" s="36">
        <f>'SER_se-appl'!H28</f>
        <v>9.8877338642814783E-2</v>
      </c>
      <c r="I9" s="36">
        <f>'SER_se-appl'!I28</f>
        <v>9.787069600170395E-2</v>
      </c>
      <c r="J9" s="36">
        <f>'SER_se-appl'!J28</f>
        <v>0.1455673238830506</v>
      </c>
      <c r="K9" s="36">
        <f>'SER_se-appl'!K28</f>
        <v>8.8835728355260102E-2</v>
      </c>
      <c r="L9" s="36">
        <f>'SER_se-appl'!L28</f>
        <v>9.1991061816377728E-2</v>
      </c>
      <c r="M9" s="36">
        <f>'SER_se-appl'!M28</f>
        <v>0.1145192909826569</v>
      </c>
      <c r="N9" s="36">
        <f>'SER_se-appl'!N28</f>
        <v>0.14623277170670779</v>
      </c>
      <c r="O9" s="36">
        <f>'SER_se-appl'!O28</f>
        <v>0.12729090929837295</v>
      </c>
      <c r="P9" s="36">
        <f>'SER_se-appl'!P28</f>
        <v>0.1573344022727714</v>
      </c>
      <c r="Q9" s="36">
        <f>'SER_se-appl'!Q28</f>
        <v>0.17192032790604173</v>
      </c>
      <c r="R9" s="36">
        <f>'SER_se-appl'!R28</f>
        <v>0.16408494031739407</v>
      </c>
      <c r="S9" s="36">
        <f>'SER_se-appl'!S28</f>
        <v>0.17254907522589358</v>
      </c>
      <c r="T9" s="36">
        <f>'SER_se-appl'!T28</f>
        <v>0.1751891040804483</v>
      </c>
      <c r="U9" s="36">
        <f>'SER_se-appl'!U28</f>
        <v>0.21891737540822431</v>
      </c>
      <c r="V9" s="36">
        <f>'SER_se-appl'!V28</f>
        <v>0.19836376748265483</v>
      </c>
      <c r="W9" s="36">
        <f>'SER_se-appl'!W28</f>
        <v>0.19114763365034504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3.5531968104973055E-2</v>
      </c>
      <c r="D10" s="38">
        <f>'SER_se-appl'!D36</f>
        <v>3.6537010939395875E-2</v>
      </c>
      <c r="E10" s="38">
        <f>'SER_se-appl'!E36</f>
        <v>3.7570482007685202E-2</v>
      </c>
      <c r="F10" s="38">
        <f>'SER_se-appl'!F36</f>
        <v>3.8633185419330918E-2</v>
      </c>
      <c r="G10" s="38">
        <f>'SER_se-appl'!G36</f>
        <v>3.9725948028537017E-2</v>
      </c>
      <c r="H10" s="38">
        <f>'SER_se-appl'!H36</f>
        <v>4.0849620077571425E-2</v>
      </c>
      <c r="I10" s="38">
        <f>'SER_se-appl'!I36</f>
        <v>4.2005075858308372E-2</v>
      </c>
      <c r="J10" s="38">
        <f>'SER_se-appl'!J36</f>
        <v>4.3193214392488688E-2</v>
      </c>
      <c r="K10" s="38">
        <f>'SER_se-appl'!K36</f>
        <v>4.4414960131216263E-2</v>
      </c>
      <c r="L10" s="38">
        <f>'SER_se-appl'!L36</f>
        <v>4.56712636742449E-2</v>
      </c>
      <c r="M10" s="38">
        <f>'SER_se-appl'!M36</f>
        <v>4.6963102509606447E-2</v>
      </c>
      <c r="N10" s="38">
        <f>'SER_se-appl'!N36</f>
        <v>4.8291481774163536E-2</v>
      </c>
      <c r="O10" s="38">
        <f>'SER_se-appl'!O36</f>
        <v>4.9657435035671327E-2</v>
      </c>
      <c r="P10" s="38">
        <f>'SER_se-appl'!P36</f>
        <v>5.1062025096964225E-2</v>
      </c>
      <c r="Q10" s="38">
        <f>'SER_se-appl'!Q36</f>
        <v>5.250634482288552E-2</v>
      </c>
      <c r="R10" s="38">
        <f>'SER_se-appl'!R36</f>
        <v>5.3991517990610527E-2</v>
      </c>
      <c r="S10" s="38">
        <f>'SER_se-appl'!S36</f>
        <v>5.5518700164020274E-2</v>
      </c>
      <c r="T10" s="38">
        <f>'SER_se-appl'!T36</f>
        <v>5.7089079592806069E-2</v>
      </c>
      <c r="U10" s="38">
        <f>'SER_se-appl'!U36</f>
        <v>0.10240739782730035</v>
      </c>
      <c r="V10" s="38">
        <f>'SER_se-appl'!V36</f>
        <v>8.2579732373309955E-2</v>
      </c>
      <c r="W10" s="38">
        <f>'SER_se-appl'!W36</f>
        <v>7.812833821041032E-2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8759.9999999999964</v>
      </c>
      <c r="D12" s="205">
        <f>'SER_se-appl'!D44</f>
        <v>8760.0000000000018</v>
      </c>
      <c r="E12" s="205">
        <f>'SER_se-appl'!E44</f>
        <v>8759.9999999999964</v>
      </c>
      <c r="F12" s="205">
        <f>'SER_se-appl'!F44</f>
        <v>8759.9999999999982</v>
      </c>
      <c r="G12" s="205">
        <f>'SER_se-appl'!G44</f>
        <v>8760</v>
      </c>
      <c r="H12" s="205">
        <f>'SER_se-appl'!H44</f>
        <v>8759.9999999999982</v>
      </c>
      <c r="I12" s="205">
        <f>'SER_se-appl'!I44</f>
        <v>8759.9999999999964</v>
      </c>
      <c r="J12" s="205">
        <f>'SER_se-appl'!J44</f>
        <v>8759.9999999999982</v>
      </c>
      <c r="K12" s="205">
        <f>'SER_se-appl'!K44</f>
        <v>8760.0000000000018</v>
      </c>
      <c r="L12" s="205">
        <f>'SER_se-appl'!L44</f>
        <v>8760.0000000000018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8759.9999999999964</v>
      </c>
      <c r="P12" s="205">
        <f>'SER_se-appl'!P44</f>
        <v>8760</v>
      </c>
      <c r="Q12" s="205">
        <f>'SER_se-appl'!Q44</f>
        <v>8759.9999999999982</v>
      </c>
      <c r="R12" s="205">
        <f>'SER_se-appl'!R44</f>
        <v>8760</v>
      </c>
      <c r="S12" s="205">
        <f>'SER_se-appl'!S44</f>
        <v>8760</v>
      </c>
      <c r="T12" s="205">
        <f>'SER_se-appl'!T44</f>
        <v>8760</v>
      </c>
      <c r="U12" s="205">
        <f>'SER_se-appl'!U44</f>
        <v>8759.9999999999982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0.80321156643297298</v>
      </c>
      <c r="C14" s="59">
        <f>'SER_se-appl'!C52</f>
        <v>0.79313545560309573</v>
      </c>
      <c r="D14" s="59">
        <f>'SER_se-appl'!D52</f>
        <v>0.78487709950611351</v>
      </c>
      <c r="E14" s="59">
        <f>'SER_se-appl'!E52</f>
        <v>0.77694898956778902</v>
      </c>
      <c r="F14" s="59">
        <f>'SER_se-appl'!F52</f>
        <v>0.76959958754933167</v>
      </c>
      <c r="G14" s="59">
        <f>'SER_se-appl'!G52</f>
        <v>0.75932849720223339</v>
      </c>
      <c r="H14" s="59">
        <f>'SER_se-appl'!H52</f>
        <v>0.74950895233604276</v>
      </c>
      <c r="I14" s="59">
        <f>'SER_se-appl'!I52</f>
        <v>0.73985112024351229</v>
      </c>
      <c r="J14" s="59">
        <f>'SER_se-appl'!J52</f>
        <v>0.72676554550326622</v>
      </c>
      <c r="K14" s="59">
        <f>'SER_se-appl'!K52</f>
        <v>0.71787458852596653</v>
      </c>
      <c r="L14" s="59">
        <f>'SER_se-appl'!L52</f>
        <v>0.70845741552150054</v>
      </c>
      <c r="M14" s="59">
        <f>'SER_se-appl'!M52</f>
        <v>0.69711998644982542</v>
      </c>
      <c r="N14" s="59">
        <f>'SER_se-appl'!N52</f>
        <v>0.68336129341698182</v>
      </c>
      <c r="O14" s="59">
        <f>'SER_se-appl'!O52</f>
        <v>0.67085866175096687</v>
      </c>
      <c r="P14" s="59">
        <f>'SER_se-appl'!P52</f>
        <v>0.65638475380314343</v>
      </c>
      <c r="Q14" s="59">
        <f>'SER_se-appl'!Q52</f>
        <v>0.64102002587712625</v>
      </c>
      <c r="R14" s="59">
        <f>'SER_se-appl'!R52</f>
        <v>0.62744630229641651</v>
      </c>
      <c r="S14" s="59">
        <f>'SER_se-appl'!S52</f>
        <v>0.61436785835341079</v>
      </c>
      <c r="T14" s="59">
        <f>'SER_se-appl'!T52</f>
        <v>0.60200477142407793</v>
      </c>
      <c r="U14" s="59">
        <f>'SER_se-appl'!U52</f>
        <v>0.58881297927645859</v>
      </c>
      <c r="V14" s="59">
        <f>'SER_se-appl'!V52</f>
        <v>0.57853445466367359</v>
      </c>
      <c r="W14" s="59">
        <f>'SER_se-appl'!W52</f>
        <v>0.56971428252914136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0.7160272465097387</v>
      </c>
      <c r="D15" s="63">
        <f>'SER_se-appl'!D60</f>
        <v>0.70437620479114782</v>
      </c>
      <c r="E15" s="63">
        <f>'SER_se-appl'!E60</f>
        <v>0.69498979159477381</v>
      </c>
      <c r="F15" s="63">
        <f>'SER_se-appl'!F60</f>
        <v>0.68691192869794993</v>
      </c>
      <c r="G15" s="63">
        <f>'SER_se-appl'!G60</f>
        <v>0.6758438093765835</v>
      </c>
      <c r="H15" s="63">
        <f>'SER_se-appl'!H60</f>
        <v>0.66564991410769259</v>
      </c>
      <c r="I15" s="63">
        <f>'SER_se-appl'!I60</f>
        <v>0.65594682619680622</v>
      </c>
      <c r="J15" s="63">
        <f>'SER_se-appl'!J60</f>
        <v>0.64322051260535484</v>
      </c>
      <c r="K15" s="63">
        <f>'SER_se-appl'!K60</f>
        <v>0.63202497608072505</v>
      </c>
      <c r="L15" s="63">
        <f>'SER_se-appl'!L60</f>
        <v>0.6195005764448589</v>
      </c>
      <c r="M15" s="63">
        <f>'SER_se-appl'!M60</f>
        <v>0.60451893889543662</v>
      </c>
      <c r="N15" s="63">
        <f>'SER_se-appl'!N60</f>
        <v>0.58722996160809771</v>
      </c>
      <c r="O15" s="63">
        <f>'SER_se-appl'!O60</f>
        <v>0.57119879140806085</v>
      </c>
      <c r="P15" s="63">
        <f>'SER_se-appl'!P60</f>
        <v>0.55519334098746631</v>
      </c>
      <c r="Q15" s="63">
        <f>'SER_se-appl'!Q60</f>
        <v>0.53645859941905538</v>
      </c>
      <c r="R15" s="63">
        <f>'SER_se-appl'!R60</f>
        <v>0.53276804721474436</v>
      </c>
      <c r="S15" s="63">
        <f>'SER_se-appl'!S60</f>
        <v>0.52704497051274646</v>
      </c>
      <c r="T15" s="63">
        <f>'SER_se-appl'!T60</f>
        <v>0.52143830427277815</v>
      </c>
      <c r="U15" s="63">
        <f>'SER_se-appl'!U60</f>
        <v>0.51642309887572901</v>
      </c>
      <c r="V15" s="63">
        <f>'SER_se-appl'!V60</f>
        <v>0.51146625488978104</v>
      </c>
      <c r="W15" s="63">
        <f>'SER_se-appl'!W60</f>
        <v>0.50919826422220482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2.0555239242509518</v>
      </c>
      <c r="C3" s="199">
        <f>'SER_se-appl'!C5</f>
        <v>2.0740109228608414</v>
      </c>
      <c r="D3" s="199">
        <f>'SER_se-appl'!D5</f>
        <v>2.0885046786909363</v>
      </c>
      <c r="E3" s="199">
        <f>'SER_se-appl'!E5</f>
        <v>2.1092171615439175</v>
      </c>
      <c r="F3" s="199">
        <f>'SER_se-appl'!F5</f>
        <v>2.1246881730221707</v>
      </c>
      <c r="G3" s="199">
        <f>'SER_se-appl'!G5</f>
        <v>2.1330704054076515</v>
      </c>
      <c r="H3" s="199">
        <f>'SER_se-appl'!H5</f>
        <v>2.1388677652862045</v>
      </c>
      <c r="I3" s="199">
        <f>'SER_se-appl'!I5</f>
        <v>2.143342761615926</v>
      </c>
      <c r="J3" s="199">
        <f>'SER_se-appl'!J5</f>
        <v>2.1777476928013577</v>
      </c>
      <c r="K3" s="199">
        <f>'SER_se-appl'!K5</f>
        <v>2.2113567245285535</v>
      </c>
      <c r="L3" s="199">
        <f>'SER_se-appl'!L5</f>
        <v>2.2379974731164238</v>
      </c>
      <c r="M3" s="199">
        <f>'SER_se-appl'!M5</f>
        <v>2.2671747352257943</v>
      </c>
      <c r="N3" s="199">
        <f>'SER_se-appl'!N5</f>
        <v>2.3106039556333764</v>
      </c>
      <c r="O3" s="199">
        <f>'SER_se-appl'!O5</f>
        <v>2.3574059403266543</v>
      </c>
      <c r="P3" s="199">
        <f>'SER_se-appl'!P5</f>
        <v>2.4071661293867859</v>
      </c>
      <c r="Q3" s="199">
        <f>'SER_se-appl'!Q5</f>
        <v>2.4684538295078315</v>
      </c>
      <c r="R3" s="199">
        <f>'SER_se-appl'!R5</f>
        <v>2.4863046114253256</v>
      </c>
      <c r="S3" s="199">
        <f>'SER_se-appl'!S5</f>
        <v>2.5119606433763519</v>
      </c>
      <c r="T3" s="199">
        <f>'SER_se-appl'!T5</f>
        <v>2.5371139893066257</v>
      </c>
      <c r="U3" s="199">
        <f>'SER_se-appl'!U5</f>
        <v>2.545305198897764</v>
      </c>
      <c r="V3" s="199">
        <f>'SER_se-appl'!V5</f>
        <v>2.5071869854451712</v>
      </c>
      <c r="W3" s="199">
        <f>'SER_se-appl'!W5</f>
        <v>2.4726765283266654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6.5065155692730672</v>
      </c>
      <c r="C5" s="59">
        <f>'SER_se-appl'!C13</f>
        <v>6.5578165785705442</v>
      </c>
      <c r="D5" s="59">
        <f>'SER_se-appl'!D13</f>
        <v>6.5979672005796326</v>
      </c>
      <c r="E5" s="59">
        <f>'SER_se-appl'!E13</f>
        <v>6.6490977914229159</v>
      </c>
      <c r="F5" s="59">
        <f>'SER_se-appl'!F13</f>
        <v>6.6870473953644751</v>
      </c>
      <c r="G5" s="59">
        <f>'SER_se-appl'!G13</f>
        <v>6.7070417731664751</v>
      </c>
      <c r="H5" s="59">
        <f>'SER_se-appl'!H13</f>
        <v>6.7209344734467864</v>
      </c>
      <c r="I5" s="59">
        <f>'SER_se-appl'!I13</f>
        <v>6.7218952152891749</v>
      </c>
      <c r="J5" s="59">
        <f>'SER_se-appl'!J13</f>
        <v>6.8227135738530196</v>
      </c>
      <c r="K5" s="59">
        <f>'SER_se-appl'!K13</f>
        <v>6.9244912964154457</v>
      </c>
      <c r="L5" s="59">
        <f>'SER_se-appl'!L13</f>
        <v>7.0090038684839246</v>
      </c>
      <c r="M5" s="59">
        <f>'SER_se-appl'!M13</f>
        <v>7.1226058932135103</v>
      </c>
      <c r="N5" s="59">
        <f>'SER_se-appl'!N13</f>
        <v>7.2843499433544663</v>
      </c>
      <c r="O5" s="59">
        <f>'SER_se-appl'!O13</f>
        <v>7.4349501208577538</v>
      </c>
      <c r="P5" s="59">
        <f>'SER_se-appl'!P13</f>
        <v>7.6172576420804763</v>
      </c>
      <c r="Q5" s="59">
        <f>'SER_se-appl'!Q13</f>
        <v>7.8446742611889864</v>
      </c>
      <c r="R5" s="59">
        <f>'SER_se-appl'!R13</f>
        <v>7.9876668477604067</v>
      </c>
      <c r="S5" s="59">
        <f>'SER_se-appl'!S13</f>
        <v>8.0815831993239211</v>
      </c>
      <c r="T5" s="59">
        <f>'SER_se-appl'!T13</f>
        <v>8.1271609666517808</v>
      </c>
      <c r="U5" s="59">
        <f>'SER_se-appl'!U13</f>
        <v>8.1103664662226365</v>
      </c>
      <c r="V5" s="59">
        <f>'SER_se-appl'!V13</f>
        <v>8.0439311533298543</v>
      </c>
      <c r="W5" s="59">
        <f>'SER_se-appl'!W13</f>
        <v>7.9522869689682922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8.2772511976822213E-2</v>
      </c>
      <c r="C6" s="202">
        <f>'SER_se-appl'!C69</f>
        <v>8.3647441580566237E-2</v>
      </c>
      <c r="D6" s="202">
        <f>'SER_se-appl'!D69</f>
        <v>8.4401717852455746E-2</v>
      </c>
      <c r="E6" s="202">
        <f>'SER_se-appl'!E69</f>
        <v>8.5608593503952543E-2</v>
      </c>
      <c r="F6" s="202">
        <f>'SER_se-appl'!F69</f>
        <v>8.6807709162714963E-2</v>
      </c>
      <c r="G6" s="202">
        <f>'SER_se-appl'!G69</f>
        <v>8.796752316651836E-2</v>
      </c>
      <c r="H6" s="202">
        <f>'SER_se-appl'!H69</f>
        <v>8.94503429279455E-2</v>
      </c>
      <c r="I6" s="202">
        <f>'SER_se-appl'!I69</f>
        <v>9.145600746655265E-2</v>
      </c>
      <c r="J6" s="202">
        <f>'SER_se-appl'!J69</f>
        <v>9.3594976999006929E-2</v>
      </c>
      <c r="K6" s="202">
        <f>'SER_se-appl'!K69</f>
        <v>9.5760922275621149E-2</v>
      </c>
      <c r="L6" s="202">
        <f>'SER_se-appl'!L69</f>
        <v>9.7850364226953243E-2</v>
      </c>
      <c r="M6" s="202">
        <f>'SER_se-appl'!M69</f>
        <v>0.10121038731474515</v>
      </c>
      <c r="N6" s="202">
        <f>'SER_se-appl'!N69</f>
        <v>0.10521920142362169</v>
      </c>
      <c r="O6" s="202">
        <f>'SER_se-appl'!O69</f>
        <v>0.1089612233178385</v>
      </c>
      <c r="P6" s="202">
        <f>'SER_se-appl'!P69</f>
        <v>0.11332854248510921</v>
      </c>
      <c r="Q6" s="202">
        <f>'SER_se-appl'!Q69</f>
        <v>0.11808127135351902</v>
      </c>
      <c r="R6" s="202">
        <f>'SER_se-appl'!R69</f>
        <v>0.12205761639402807</v>
      </c>
      <c r="S6" s="202">
        <f>'SER_se-appl'!S69</f>
        <v>0.12606655058346775</v>
      </c>
      <c r="T6" s="202">
        <f>'SER_se-appl'!T69</f>
        <v>0.12844960628742175</v>
      </c>
      <c r="U6" s="202">
        <f>'SER_se-appl'!U69</f>
        <v>0.12995411928911396</v>
      </c>
      <c r="V6" s="202">
        <f>'SER_se-appl'!V69</f>
        <v>0.13033617444753842</v>
      </c>
      <c r="W6" s="202">
        <f>'SER_se-appl'!W69</f>
        <v>0.1352581908923822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32.178558983597426</v>
      </c>
      <c r="C8" s="34">
        <f>'SER_se-appl'!C21</f>
        <v>32.740863346257335</v>
      </c>
      <c r="D8" s="34">
        <f>'SER_se-appl'!D21</f>
        <v>33.308378335010985</v>
      </c>
      <c r="E8" s="34">
        <f>'SER_se-appl'!E21</f>
        <v>34.011951764746328</v>
      </c>
      <c r="F8" s="34">
        <f>'SER_se-appl'!F21</f>
        <v>34.711538239767343</v>
      </c>
      <c r="G8" s="34">
        <f>'SER_se-appl'!G21</f>
        <v>35.421706618415612</v>
      </c>
      <c r="H8" s="34">
        <f>'SER_se-appl'!H21</f>
        <v>36.227299435474997</v>
      </c>
      <c r="I8" s="34">
        <f>'SER_se-appl'!I21</f>
        <v>37.096019924553218</v>
      </c>
      <c r="J8" s="34">
        <f>'SER_se-appl'!J21</f>
        <v>38.171026659458995</v>
      </c>
      <c r="K8" s="34">
        <f>'SER_se-appl'!K21</f>
        <v>39.350652747031894</v>
      </c>
      <c r="L8" s="34">
        <f>'SER_se-appl'!L21</f>
        <v>40.51269274979277</v>
      </c>
      <c r="M8" s="34">
        <f>'SER_se-appl'!M21</f>
        <v>42.001197421358775</v>
      </c>
      <c r="N8" s="34">
        <f>'SER_se-appl'!N21</f>
        <v>43.933856677627539</v>
      </c>
      <c r="O8" s="34">
        <f>'SER_se-appl'!O21</f>
        <v>46.037097502796627</v>
      </c>
      <c r="P8" s="34">
        <f>'SER_se-appl'!P21</f>
        <v>48.665996028125534</v>
      </c>
      <c r="Q8" s="34">
        <f>'SER_se-appl'!Q21</f>
        <v>51.919272282700135</v>
      </c>
      <c r="R8" s="34">
        <f>'SER_se-appl'!R21</f>
        <v>54.976581288116158</v>
      </c>
      <c r="S8" s="34">
        <f>'SER_se-appl'!S21</f>
        <v>58.028055033918456</v>
      </c>
      <c r="T8" s="34">
        <f>'SER_se-appl'!T21</f>
        <v>61.103606160532813</v>
      </c>
      <c r="U8" s="34">
        <f>'SER_se-appl'!U21</f>
        <v>64.140025162215792</v>
      </c>
      <c r="V8" s="34">
        <f>'SER_se-appl'!V21</f>
        <v>67.066303268423155</v>
      </c>
      <c r="W8" s="34">
        <f>'SER_se-appl'!W21</f>
        <v>69.806752319558456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4.5989253383571125</v>
      </c>
      <c r="D9" s="36">
        <f>'SER_se-appl'!D29</f>
        <v>4.7778918360530724</v>
      </c>
      <c r="E9" s="36">
        <f>'SER_se-appl'!E29</f>
        <v>5.09518544954188</v>
      </c>
      <c r="F9" s="36">
        <f>'SER_se-appl'!F29</f>
        <v>5.2802349138607951</v>
      </c>
      <c r="G9" s="36">
        <f>'SER_se-appl'!G29</f>
        <v>5.4879902867797696</v>
      </c>
      <c r="H9" s="36">
        <f>'SER_se-appl'!H29</f>
        <v>5.7890755031053089</v>
      </c>
      <c r="I9" s="36">
        <f>'SER_se-appl'!I29</f>
        <v>6.066716596855283</v>
      </c>
      <c r="J9" s="36">
        <f>'SER_se-appl'!J29</f>
        <v>5.6739320732628897</v>
      </c>
      <c r="K9" s="36">
        <f>'SER_se-appl'!K29</f>
        <v>5.9575179236259714</v>
      </c>
      <c r="L9" s="36">
        <f>'SER_se-appl'!L29</f>
        <v>6.2572254523027553</v>
      </c>
      <c r="M9" s="36">
        <f>'SER_se-appl'!M29</f>
        <v>6.7687395854268004</v>
      </c>
      <c r="N9" s="36">
        <f>'SER_se-appl'!N29</f>
        <v>7.4206495430485333</v>
      </c>
      <c r="O9" s="36">
        <f>'SER_se-appl'!O29</f>
        <v>7.8923163282743971</v>
      </c>
      <c r="P9" s="36">
        <f>'SER_se-appl'!P29</f>
        <v>8.6956151221841935</v>
      </c>
      <c r="Q9" s="36">
        <f>'SER_se-appl'!Q29</f>
        <v>8.9272083278374907</v>
      </c>
      <c r="R9" s="36">
        <f>'SER_se-appl'!R29</f>
        <v>9.0148269290419947</v>
      </c>
      <c r="S9" s="36">
        <f>'SER_se-appl'!S29</f>
        <v>9.3086991981050531</v>
      </c>
      <c r="T9" s="36">
        <f>'SER_se-appl'!T29</f>
        <v>9.8442907120411576</v>
      </c>
      <c r="U9" s="36">
        <f>'SER_se-appl'!U29</f>
        <v>10.457068544731513</v>
      </c>
      <c r="V9" s="36">
        <f>'SER_se-appl'!V29</f>
        <v>10.81859443448176</v>
      </c>
      <c r="W9" s="36">
        <f>'SER_se-appl'!W29</f>
        <v>11.436064173319494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4.036620975697204</v>
      </c>
      <c r="D10" s="38">
        <f>'SER_se-appl'!D37</f>
        <v>4.2103768472994219</v>
      </c>
      <c r="E10" s="38">
        <f>'SER_se-appl'!E37</f>
        <v>4.3916120198065371</v>
      </c>
      <c r="F10" s="38">
        <f>'SER_se-appl'!F37</f>
        <v>4.5806484388397806</v>
      </c>
      <c r="G10" s="38">
        <f>'SER_se-appl'!G37</f>
        <v>4.7778219081315001</v>
      </c>
      <c r="H10" s="38">
        <f>'SER_se-appl'!H37</f>
        <v>4.9834826860459245</v>
      </c>
      <c r="I10" s="38">
        <f>'SER_se-appl'!I37</f>
        <v>5.1979961077770582</v>
      </c>
      <c r="J10" s="38">
        <f>'SER_se-appl'!J37</f>
        <v>4.5989253383571125</v>
      </c>
      <c r="K10" s="38">
        <f>'SER_se-appl'!K37</f>
        <v>4.7778918360530724</v>
      </c>
      <c r="L10" s="38">
        <f>'SER_se-appl'!L37</f>
        <v>5.09518544954188</v>
      </c>
      <c r="M10" s="38">
        <f>'SER_se-appl'!M37</f>
        <v>5.2802349138607951</v>
      </c>
      <c r="N10" s="38">
        <f>'SER_se-appl'!N37</f>
        <v>5.4879902867797696</v>
      </c>
      <c r="O10" s="38">
        <f>'SER_se-appl'!O37</f>
        <v>5.7890755031053089</v>
      </c>
      <c r="P10" s="38">
        <f>'SER_se-appl'!P37</f>
        <v>6.0667165968552865</v>
      </c>
      <c r="Q10" s="38">
        <f>'SER_se-appl'!Q37</f>
        <v>5.6739320732628897</v>
      </c>
      <c r="R10" s="38">
        <f>'SER_se-appl'!R37</f>
        <v>5.9575179236259714</v>
      </c>
      <c r="S10" s="38">
        <f>'SER_se-appl'!S37</f>
        <v>6.2572254523027553</v>
      </c>
      <c r="T10" s="38">
        <f>'SER_se-appl'!T37</f>
        <v>6.7687395854268075</v>
      </c>
      <c r="U10" s="38">
        <f>'SER_se-appl'!U37</f>
        <v>7.4206495430485262</v>
      </c>
      <c r="V10" s="38">
        <f>'SER_se-appl'!V37</f>
        <v>7.8923163282744042</v>
      </c>
      <c r="W10" s="38">
        <f>'SER_se-appl'!W37</f>
        <v>8.6956151221841935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3674.1237279033226</v>
      </c>
      <c r="C12" s="205">
        <f>'SER_se-appl'!C45</f>
        <v>3678.1673814563082</v>
      </c>
      <c r="D12" s="205">
        <f>'SER_se-appl'!D45</f>
        <v>3681.3322459441401</v>
      </c>
      <c r="E12" s="205">
        <f>'SER_se-appl'!E45</f>
        <v>3689.2517388447473</v>
      </c>
      <c r="F12" s="205">
        <f>'SER_se-appl'!F45</f>
        <v>3695.221820825906</v>
      </c>
      <c r="G12" s="205">
        <f>'SER_se-appl'!G45</f>
        <v>3698.7407643920214</v>
      </c>
      <c r="H12" s="205">
        <f>'SER_se-appl'!H45</f>
        <v>3701.127009726903</v>
      </c>
      <c r="I12" s="205">
        <f>'SER_se-appl'!I45</f>
        <v>3708.340508030496</v>
      </c>
      <c r="J12" s="205">
        <f>'SER_se-appl'!J45</f>
        <v>3712.1894966164687</v>
      </c>
      <c r="K12" s="205">
        <f>'SER_se-appl'!K45</f>
        <v>3714.0748114710436</v>
      </c>
      <c r="L12" s="205">
        <f>'SER_se-appl'!L45</f>
        <v>3713.4963970242393</v>
      </c>
      <c r="M12" s="205">
        <f>'SER_se-appl'!M45</f>
        <v>3701.9094648770269</v>
      </c>
      <c r="N12" s="205">
        <f>'SER_se-appl'!N45</f>
        <v>3689.0490178237342</v>
      </c>
      <c r="O12" s="205">
        <f>'SER_se-appl'!O45</f>
        <v>3687.5339632858213</v>
      </c>
      <c r="P12" s="205">
        <f>'SER_se-appl'!P45</f>
        <v>3675.2520920537017</v>
      </c>
      <c r="Q12" s="205">
        <f>'SER_se-appl'!Q45</f>
        <v>3659.5678904358874</v>
      </c>
      <c r="R12" s="205">
        <f>'SER_se-appl'!R45</f>
        <v>3620.0461513970085</v>
      </c>
      <c r="S12" s="205">
        <f>'SER_se-appl'!S45</f>
        <v>3614.8984130870458</v>
      </c>
      <c r="T12" s="205">
        <f>'SER_se-appl'!T45</f>
        <v>3630.6203133801305</v>
      </c>
      <c r="U12" s="205">
        <f>'SER_se-appl'!U45</f>
        <v>3649.8843284658547</v>
      </c>
      <c r="V12" s="205">
        <f>'SER_se-appl'!V45</f>
        <v>3624.917230756866</v>
      </c>
      <c r="W12" s="205">
        <f>'SER_se-appl'!W45</f>
        <v>3616.2211118206164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202.20034006462728</v>
      </c>
      <c r="C14" s="59">
        <f>'SER_se-appl'!C53</f>
        <v>200.29455268839695</v>
      </c>
      <c r="D14" s="59">
        <f>'SER_se-appl'!D53</f>
        <v>198.08731407510166</v>
      </c>
      <c r="E14" s="59">
        <f>'SER_se-appl'!E53</f>
        <v>195.4929795682811</v>
      </c>
      <c r="F14" s="59">
        <f>'SER_se-appl'!F53</f>
        <v>192.64624198369424</v>
      </c>
      <c r="G14" s="59">
        <f>'SER_se-appl'!G53</f>
        <v>189.34835199836218</v>
      </c>
      <c r="H14" s="59">
        <f>'SER_se-appl'!H53</f>
        <v>185.5212665083564</v>
      </c>
      <c r="I14" s="59">
        <f>'SER_se-appl'!I53</f>
        <v>181.20259879524349</v>
      </c>
      <c r="J14" s="59">
        <f>'SER_se-appl'!J53</f>
        <v>178.74063578958814</v>
      </c>
      <c r="K14" s="59">
        <f>'SER_se-appl'!K53</f>
        <v>175.96890554598843</v>
      </c>
      <c r="L14" s="59">
        <f>'SER_se-appl'!L53</f>
        <v>173.00760311766186</v>
      </c>
      <c r="M14" s="59">
        <f>'SER_se-appl'!M53</f>
        <v>169.58101983995979</v>
      </c>
      <c r="N14" s="59">
        <f>'SER_se-appl'!N53</f>
        <v>165.80265185468863</v>
      </c>
      <c r="O14" s="59">
        <f>'SER_se-appl'!O53</f>
        <v>161.4991066803484</v>
      </c>
      <c r="P14" s="59">
        <f>'SER_se-appl'!P53</f>
        <v>156.52114954512049</v>
      </c>
      <c r="Q14" s="59">
        <f>'SER_se-appl'!Q53</f>
        <v>151.0936867233959</v>
      </c>
      <c r="R14" s="59">
        <f>'SER_se-appl'!R53</f>
        <v>145.29217096820526</v>
      </c>
      <c r="S14" s="59">
        <f>'SER_se-appl'!S53</f>
        <v>139.27027529356428</v>
      </c>
      <c r="T14" s="59">
        <f>'SER_se-appl'!T53</f>
        <v>133.00624099500632</v>
      </c>
      <c r="U14" s="59">
        <f>'SER_se-appl'!U53</f>
        <v>126.44782171055908</v>
      </c>
      <c r="V14" s="59">
        <f>'SER_se-appl'!V53</f>
        <v>119.93998120241078</v>
      </c>
      <c r="W14" s="59">
        <f>'SER_se-appl'!W53</f>
        <v>113.91859246745419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188.63257815039032</v>
      </c>
      <c r="D15" s="63">
        <f>'SER_se-appl'!D61</f>
        <v>186.58652872931287</v>
      </c>
      <c r="E15" s="63">
        <f>'SER_se-appl'!E61</f>
        <v>184.31439718538761</v>
      </c>
      <c r="F15" s="63">
        <f>'SER_se-appl'!F61</f>
        <v>182.59761009127052</v>
      </c>
      <c r="G15" s="63">
        <f>'SER_se-appl'!G61</f>
        <v>179.6780863059835</v>
      </c>
      <c r="H15" s="63">
        <f>'SER_se-appl'!H61</f>
        <v>176.46247549492324</v>
      </c>
      <c r="I15" s="63">
        <f>'SER_se-appl'!I61</f>
        <v>173.40472489432418</v>
      </c>
      <c r="J15" s="63">
        <f>'SER_se-appl'!J61</f>
        <v>170.66215974320809</v>
      </c>
      <c r="K15" s="63">
        <f>'SER_se-appl'!K61</f>
        <v>166.72513412954208</v>
      </c>
      <c r="L15" s="63">
        <f>'SER_se-appl'!L61</f>
        <v>163.59145352063953</v>
      </c>
      <c r="M15" s="63">
        <f>'SER_se-appl'!M61</f>
        <v>159.2261435262611</v>
      </c>
      <c r="N15" s="63">
        <f>'SER_se-appl'!N61</f>
        <v>154.67859462661337</v>
      </c>
      <c r="O15" s="63">
        <f>'SER_se-appl'!O61</f>
        <v>148.51847326608009</v>
      </c>
      <c r="P15" s="63">
        <f>'SER_se-appl'!P61</f>
        <v>141.94566185010817</v>
      </c>
      <c r="Q15" s="63">
        <f>'SER_se-appl'!Q61</f>
        <v>133.94356634863783</v>
      </c>
      <c r="R15" s="63">
        <f>'SER_se-appl'!R61</f>
        <v>126.04352478543515</v>
      </c>
      <c r="S15" s="63">
        <f>'SER_se-appl'!S61</f>
        <v>120.05382648303417</v>
      </c>
      <c r="T15" s="63">
        <f>'SER_se-appl'!T61</f>
        <v>114.1106150669532</v>
      </c>
      <c r="U15" s="63">
        <f>'SER_se-appl'!U61</f>
        <v>108.15852810643158</v>
      </c>
      <c r="V15" s="63">
        <f>'SER_se-appl'!V61</f>
        <v>102.20546351116202</v>
      </c>
      <c r="W15" s="63">
        <f>'SER_se-appl'!W61</f>
        <v>99.917300395753941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3.5213669665843601</v>
      </c>
      <c r="C3" s="199">
        <f>'SER_se-appl'!C6</f>
        <v>3.6991047283872578</v>
      </c>
      <c r="D3" s="199">
        <f>'SER_se-appl'!D6</f>
        <v>3.8241642860726293</v>
      </c>
      <c r="E3" s="199">
        <f>'SER_se-appl'!E6</f>
        <v>3.8893331396221451</v>
      </c>
      <c r="F3" s="199">
        <f>'SER_se-appl'!F6</f>
        <v>3.9087254928440984</v>
      </c>
      <c r="G3" s="199">
        <f>'SER_se-appl'!G6</f>
        <v>4.0440843899241052</v>
      </c>
      <c r="H3" s="199">
        <f>'SER_se-appl'!H6</f>
        <v>4.1345694763365852</v>
      </c>
      <c r="I3" s="199">
        <f>'SER_se-appl'!I6</f>
        <v>4.2597010766694039</v>
      </c>
      <c r="J3" s="199">
        <f>'SER_se-appl'!J6</f>
        <v>4.5021441275496787</v>
      </c>
      <c r="K3" s="199">
        <f>'SER_se-appl'!K6</f>
        <v>4.5723360073191035</v>
      </c>
      <c r="L3" s="199">
        <f>'SER_se-appl'!L6</f>
        <v>4.6894271023682466</v>
      </c>
      <c r="M3" s="199">
        <f>'SER_se-appl'!M6</f>
        <v>4.8178586406641957</v>
      </c>
      <c r="N3" s="199">
        <f>'SER_se-appl'!N6</f>
        <v>5.0656148096984337</v>
      </c>
      <c r="O3" s="199">
        <f>'SER_se-appl'!O6</f>
        <v>5.1923358428513255</v>
      </c>
      <c r="P3" s="199">
        <f>'SER_se-appl'!P6</f>
        <v>5.3339708242770927</v>
      </c>
      <c r="Q3" s="199">
        <f>'SER_se-appl'!Q6</f>
        <v>5.5235941566384534</v>
      </c>
      <c r="R3" s="199">
        <f>'SER_se-appl'!R6</f>
        <v>5.4672907494623564</v>
      </c>
      <c r="S3" s="199">
        <f>'SER_se-appl'!S6</f>
        <v>5.261616800107614</v>
      </c>
      <c r="T3" s="199">
        <f>'SER_se-appl'!T6</f>
        <v>5.1036474103990983</v>
      </c>
      <c r="U3" s="199">
        <f>'SER_se-appl'!U6</f>
        <v>5.0187470986456129</v>
      </c>
      <c r="V3" s="199">
        <f>'SER_se-appl'!V6</f>
        <v>4.1391674208650322</v>
      </c>
      <c r="W3" s="199">
        <f>'SER_se-appl'!W6</f>
        <v>4.099306450925833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18.296927884280464</v>
      </c>
      <c r="C5" s="59">
        <f>'SER_se-appl'!C14</f>
        <v>19.127140272685754</v>
      </c>
      <c r="D5" s="59">
        <f>'SER_se-appl'!D14</f>
        <v>19.633431797060314</v>
      </c>
      <c r="E5" s="59">
        <f>'SER_se-appl'!E14</f>
        <v>19.833429193165184</v>
      </c>
      <c r="F5" s="59">
        <f>'SER_se-appl'!F14</f>
        <v>19.877513084931724</v>
      </c>
      <c r="G5" s="59">
        <f>'SER_se-appl'!G14</f>
        <v>20.434572550678823</v>
      </c>
      <c r="H5" s="59">
        <f>'SER_se-appl'!H14</f>
        <v>20.784903486061065</v>
      </c>
      <c r="I5" s="59">
        <f>'SER_se-appl'!I14</f>
        <v>21.305225396368058</v>
      </c>
      <c r="J5" s="59">
        <f>'SER_se-appl'!J14</f>
        <v>22.409963609064587</v>
      </c>
      <c r="K5" s="59">
        <f>'SER_se-appl'!K14</f>
        <v>22.62464920562546</v>
      </c>
      <c r="L5" s="59">
        <f>'SER_se-appl'!L14</f>
        <v>23.100640037314367</v>
      </c>
      <c r="M5" s="59">
        <f>'SER_se-appl'!M14</f>
        <v>23.653978043977911</v>
      </c>
      <c r="N5" s="59">
        <f>'SER_se-appl'!N14</f>
        <v>24.747166870219292</v>
      </c>
      <c r="O5" s="59">
        <f>'SER_se-appl'!O14</f>
        <v>25.213277886176275</v>
      </c>
      <c r="P5" s="59">
        <f>'SER_se-appl'!P14</f>
        <v>25.683424981657424</v>
      </c>
      <c r="Q5" s="59">
        <f>'SER_se-appl'!Q14</f>
        <v>26.447477842719032</v>
      </c>
      <c r="R5" s="59">
        <f>'SER_se-appl'!R14</f>
        <v>26.19555272970851</v>
      </c>
      <c r="S5" s="59">
        <f>'SER_se-appl'!S14</f>
        <v>25.626573324768948</v>
      </c>
      <c r="T5" s="59">
        <f>'SER_se-appl'!T14</f>
        <v>24.662078473284303</v>
      </c>
      <c r="U5" s="59">
        <f>'SER_se-appl'!U14</f>
        <v>23.494799890290238</v>
      </c>
      <c r="V5" s="59">
        <f>'SER_se-appl'!V14</f>
        <v>22.06093514432958</v>
      </c>
      <c r="W5" s="59">
        <f>'SER_se-appl'!W14</f>
        <v>20.846893728709937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159.92628479977787</v>
      </c>
      <c r="C6" s="202">
        <f>'SER_se-appl'!C70</f>
        <v>161.97596814291529</v>
      </c>
      <c r="D6" s="202">
        <f>'SER_se-appl'!D70</f>
        <v>165.54055008745379</v>
      </c>
      <c r="E6" s="202">
        <f>'SER_se-appl'!E70</f>
        <v>168.64577051734258</v>
      </c>
      <c r="F6" s="202">
        <f>'SER_se-appl'!F70</f>
        <v>172.23329775260675</v>
      </c>
      <c r="G6" s="202">
        <f>'SER_se-appl'!G70</f>
        <v>175.78255368222929</v>
      </c>
      <c r="H6" s="202">
        <f>'SER_se-appl'!H70</f>
        <v>179.53401486235384</v>
      </c>
      <c r="I6" s="202">
        <f>'SER_se-appl'!I70</f>
        <v>183.43448213357672</v>
      </c>
      <c r="J6" s="202">
        <f>'SER_se-appl'!J70</f>
        <v>186.75326039847351</v>
      </c>
      <c r="K6" s="202">
        <f>'SER_se-appl'!K70</f>
        <v>191.55414780141078</v>
      </c>
      <c r="L6" s="202">
        <f>'SER_se-appl'!L70</f>
        <v>198.14692815031663</v>
      </c>
      <c r="M6" s="202">
        <f>'SER_se-appl'!M70</f>
        <v>204.82254616996696</v>
      </c>
      <c r="N6" s="202">
        <f>'SER_se-appl'!N70</f>
        <v>214.05100142488649</v>
      </c>
      <c r="O6" s="202">
        <f>'SER_se-appl'!O70</f>
        <v>223.32470270413577</v>
      </c>
      <c r="P6" s="202">
        <f>'SER_se-appl'!P70</f>
        <v>233.64350547815178</v>
      </c>
      <c r="Q6" s="202">
        <f>'SER_se-appl'!Q70</f>
        <v>246.70946366143059</v>
      </c>
      <c r="R6" s="202">
        <f>'SER_se-appl'!R70</f>
        <v>252.30328990983585</v>
      </c>
      <c r="S6" s="202">
        <f>'SER_se-appl'!S70</f>
        <v>257.97426008615884</v>
      </c>
      <c r="T6" s="202">
        <f>'SER_se-appl'!T70</f>
        <v>263.40002491462513</v>
      </c>
      <c r="U6" s="202">
        <f>'SER_se-appl'!U70</f>
        <v>268.38345254611716</v>
      </c>
      <c r="V6" s="202">
        <f>'SER_se-appl'!V70</f>
        <v>272.55716001595306</v>
      </c>
      <c r="W6" s="202">
        <f>'SER_se-appl'!W70</f>
        <v>275.43816965540577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0.3535420141464643</v>
      </c>
      <c r="C8" s="34">
        <f>'SER_se-appl'!C22</f>
        <v>0.37514877670949182</v>
      </c>
      <c r="D8" s="34">
        <f>'SER_se-appl'!D22</f>
        <v>0.39253965827983367</v>
      </c>
      <c r="E8" s="34">
        <f>'SER_se-appl'!E22</f>
        <v>0.40538215896566315</v>
      </c>
      <c r="F8" s="34">
        <f>'SER_se-appl'!F22</f>
        <v>0.41703496663691048</v>
      </c>
      <c r="G8" s="34">
        <f>'SER_se-appl'!G22</f>
        <v>0.44306922660297465</v>
      </c>
      <c r="H8" s="34">
        <f>'SER_se-appl'!H22</f>
        <v>0.46639630450374137</v>
      </c>
      <c r="I8" s="34">
        <f>'SER_se-appl'!I22</f>
        <v>0.49271325799728294</v>
      </c>
      <c r="J8" s="34">
        <f>'SER_se-appl'!J22</f>
        <v>0.53371055515170285</v>
      </c>
      <c r="K8" s="34">
        <f>'SER_se-appl'!K22</f>
        <v>0.55218482803463398</v>
      </c>
      <c r="L8" s="34">
        <f>'SER_se-appl'!L22</f>
        <v>0.57935676388392932</v>
      </c>
      <c r="M8" s="34">
        <f>'SER_se-appl'!M22</f>
        <v>0.6136194481097621</v>
      </c>
      <c r="N8" s="34">
        <f>'SER_se-appl'!N22</f>
        <v>0.66908738173038818</v>
      </c>
      <c r="O8" s="34">
        <f>'SER_se-appl'!O22</f>
        <v>0.71557866671553594</v>
      </c>
      <c r="P8" s="34">
        <f>'SER_se-appl'!P22</f>
        <v>0.77409586088339999</v>
      </c>
      <c r="Q8" s="34">
        <f>'SER_se-appl'!Q22</f>
        <v>0.8433832750760456</v>
      </c>
      <c r="R8" s="34">
        <f>'SER_se-appl'!R22</f>
        <v>0.89009583424898142</v>
      </c>
      <c r="S8" s="34">
        <f>'SER_se-appl'!S22</f>
        <v>0.93994540667329973</v>
      </c>
      <c r="T8" s="34">
        <f>'SER_se-appl'!T22</f>
        <v>0.9894895597551131</v>
      </c>
      <c r="U8" s="34">
        <f>'SER_se-appl'!U22</f>
        <v>1.0369863695078823</v>
      </c>
      <c r="V8" s="34">
        <f>'SER_se-appl'!V22</f>
        <v>1.0817905732310071</v>
      </c>
      <c r="W8" s="34">
        <f>'SER_se-appl'!W22</f>
        <v>1.1212809743750849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7.6818039123031423E-2</v>
      </c>
      <c r="D9" s="36">
        <f>'SER_se-appl'!D30</f>
        <v>7.4036456111892357E-2</v>
      </c>
      <c r="E9" s="36">
        <f>'SER_se-appl'!E30</f>
        <v>7.0959633906886255E-2</v>
      </c>
      <c r="F9" s="36">
        <f>'SER_se-appl'!F30</f>
        <v>7.1279728241300466E-2</v>
      </c>
      <c r="G9" s="36">
        <f>'SER_se-appl'!G30</f>
        <v>8.7210189672439709E-2</v>
      </c>
      <c r="H9" s="36">
        <f>'SER_se-appl'!H30</f>
        <v>8.6092257448191101E-2</v>
      </c>
      <c r="I9" s="36">
        <f>'SER_se-appl'!I30</f>
        <v>0.103134992616573</v>
      </c>
      <c r="J9" s="36">
        <f>'SER_se-appl'!J30</f>
        <v>0.11503375326631227</v>
      </c>
      <c r="K9" s="36">
        <f>'SER_se-appl'!K30</f>
        <v>8.9433906789817386E-2</v>
      </c>
      <c r="L9" s="36">
        <f>'SER_se-appl'!L30</f>
        <v>9.8451664090595803E-2</v>
      </c>
      <c r="M9" s="36">
        <f>'SER_se-appl'!M30</f>
        <v>0.12147287389827249</v>
      </c>
      <c r="N9" s="36">
        <f>'SER_se-appl'!N30</f>
        <v>0.14156019106881712</v>
      </c>
      <c r="O9" s="36">
        <f>'SER_se-appl'!O30</f>
        <v>0.14962627760172076</v>
      </c>
      <c r="P9" s="36">
        <f>'SER_se-appl'!P30</f>
        <v>0.17355094743417632</v>
      </c>
      <c r="Q9" s="36">
        <f>'SER_se-appl'!Q30</f>
        <v>0.15872132098246305</v>
      </c>
      <c r="R9" s="36">
        <f>'SER_se-appl'!R30</f>
        <v>0.14516422326353162</v>
      </c>
      <c r="S9" s="36">
        <f>'SER_se-appl'!S30</f>
        <v>0.17132244632259086</v>
      </c>
      <c r="T9" s="36">
        <f>'SER_se-appl'!T30</f>
        <v>0.19110434415063049</v>
      </c>
      <c r="U9" s="36">
        <f>'SER_se-appl'!U30</f>
        <v>0.19712308735448991</v>
      </c>
      <c r="V9" s="36">
        <f>'SER_se-appl'!V30</f>
        <v>0.2183551511573012</v>
      </c>
      <c r="W9" s="36">
        <f>'SER_se-appl'!W30</f>
        <v>0.19821172212654081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5.5211276560003908E-2</v>
      </c>
      <c r="D10" s="38">
        <f>'SER_se-appl'!D38</f>
        <v>5.6645574541550503E-2</v>
      </c>
      <c r="E10" s="38">
        <f>'SER_se-appl'!E38</f>
        <v>5.8117133221056771E-2</v>
      </c>
      <c r="F10" s="38">
        <f>'SER_se-appl'!F38</f>
        <v>5.9626920570053143E-2</v>
      </c>
      <c r="G10" s="38">
        <f>'SER_se-appl'!G38</f>
        <v>6.1175929706375531E-2</v>
      </c>
      <c r="H10" s="38">
        <f>'SER_se-appl'!H38</f>
        <v>6.2765179547424443E-2</v>
      </c>
      <c r="I10" s="38">
        <f>'SER_se-appl'!I38</f>
        <v>7.6818039123031423E-2</v>
      </c>
      <c r="J10" s="38">
        <f>'SER_se-appl'!J38</f>
        <v>7.4036456111892357E-2</v>
      </c>
      <c r="K10" s="38">
        <f>'SER_se-appl'!K38</f>
        <v>7.095963390688631E-2</v>
      </c>
      <c r="L10" s="38">
        <f>'SER_se-appl'!L38</f>
        <v>7.1279728241300466E-2</v>
      </c>
      <c r="M10" s="38">
        <f>'SER_se-appl'!M38</f>
        <v>8.7210189672439764E-2</v>
      </c>
      <c r="N10" s="38">
        <f>'SER_se-appl'!N38</f>
        <v>8.6092257448191045E-2</v>
      </c>
      <c r="O10" s="38">
        <f>'SER_se-appl'!O38</f>
        <v>0.103134992616573</v>
      </c>
      <c r="P10" s="38">
        <f>'SER_se-appl'!P38</f>
        <v>0.11503375326631227</v>
      </c>
      <c r="Q10" s="38">
        <f>'SER_se-appl'!Q38</f>
        <v>8.9433906789817441E-2</v>
      </c>
      <c r="R10" s="38">
        <f>'SER_se-appl'!R38</f>
        <v>9.8451664090595803E-2</v>
      </c>
      <c r="S10" s="38">
        <f>'SER_se-appl'!S38</f>
        <v>0.12147287389827266</v>
      </c>
      <c r="T10" s="38">
        <f>'SER_se-appl'!T38</f>
        <v>0.14156019106881701</v>
      </c>
      <c r="U10" s="38">
        <f>'SER_se-appl'!U38</f>
        <v>0.14962627760172076</v>
      </c>
      <c r="V10" s="38">
        <f>'SER_se-appl'!V38</f>
        <v>0.17355094743417632</v>
      </c>
      <c r="W10" s="38">
        <f>'SER_se-appl'!W38</f>
        <v>0.15872132098246294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2238.2718060861298</v>
      </c>
      <c r="C12" s="205">
        <f>'SER_se-appl'!C46</f>
        <v>2249.1908031112607</v>
      </c>
      <c r="D12" s="205">
        <f>'SER_se-appl'!D46</f>
        <v>2265.2703361662866</v>
      </c>
      <c r="E12" s="205">
        <f>'SER_se-appl'!E46</f>
        <v>2280.6416365654668</v>
      </c>
      <c r="F12" s="205">
        <f>'SER_se-appl'!F46</f>
        <v>2286.9298230389268</v>
      </c>
      <c r="G12" s="205">
        <f>'SER_se-appl'!G46</f>
        <v>2301.6239433525589</v>
      </c>
      <c r="H12" s="205">
        <f>'SER_se-appl'!H46</f>
        <v>2313.4600091860734</v>
      </c>
      <c r="I12" s="205">
        <f>'SER_se-appl'!I46</f>
        <v>2325.2663419421228</v>
      </c>
      <c r="J12" s="205">
        <f>'SER_se-appl'!J46</f>
        <v>2336.4578861798659</v>
      </c>
      <c r="K12" s="205">
        <f>'SER_se-appl'!K46</f>
        <v>2350.3687187290961</v>
      </c>
      <c r="L12" s="205">
        <f>'SER_se-appl'!L46</f>
        <v>2360.8885776518591</v>
      </c>
      <c r="M12" s="205">
        <f>'SER_se-appl'!M46</f>
        <v>2368.8064598161641</v>
      </c>
      <c r="N12" s="205">
        <f>'SER_se-appl'!N46</f>
        <v>2380.5997892909809</v>
      </c>
      <c r="O12" s="205">
        <f>'SER_se-appl'!O46</f>
        <v>2395.0422521408577</v>
      </c>
      <c r="P12" s="205">
        <f>'SER_se-appl'!P46</f>
        <v>2415.3352105743706</v>
      </c>
      <c r="Q12" s="205">
        <f>'SER_se-appl'!Q46</f>
        <v>2428.9423900355118</v>
      </c>
      <c r="R12" s="205">
        <f>'SER_se-appl'!R46</f>
        <v>2427.3048204909833</v>
      </c>
      <c r="S12" s="205">
        <f>'SER_se-appl'!S46</f>
        <v>2387.8574247812849</v>
      </c>
      <c r="T12" s="205">
        <f>'SER_se-appl'!T46</f>
        <v>2406.7484598769515</v>
      </c>
      <c r="U12" s="205">
        <f>'SER_se-appl'!U46</f>
        <v>2484.2956326421149</v>
      </c>
      <c r="V12" s="205">
        <f>'SER_se-appl'!V46</f>
        <v>2182.0705600067722</v>
      </c>
      <c r="W12" s="205">
        <f>'SER_se-appl'!W46</f>
        <v>2286.9082868979394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51.753192413223253</v>
      </c>
      <c r="C14" s="59">
        <f>'SER_se-appl'!C54</f>
        <v>50.985479522161562</v>
      </c>
      <c r="D14" s="59">
        <f>'SER_se-appl'!D54</f>
        <v>50.016428615383454</v>
      </c>
      <c r="E14" s="59">
        <f>'SER_se-appl'!E54</f>
        <v>48.925264110710714</v>
      </c>
      <c r="F14" s="59">
        <f>'SER_se-appl'!F54</f>
        <v>47.663900332458184</v>
      </c>
      <c r="G14" s="59">
        <f>'SER_se-appl'!G54</f>
        <v>46.120496129580737</v>
      </c>
      <c r="H14" s="59">
        <f>'SER_se-appl'!H54</f>
        <v>44.564897460276363</v>
      </c>
      <c r="I14" s="59">
        <f>'SER_se-appl'!I54</f>
        <v>43.240617236416128</v>
      </c>
      <c r="J14" s="59">
        <f>'SER_se-appl'!J54</f>
        <v>41.988983340782418</v>
      </c>
      <c r="K14" s="59">
        <f>'SER_se-appl'!K54</f>
        <v>40.972964226765036</v>
      </c>
      <c r="L14" s="59">
        <f>'SER_se-appl'!L54</f>
        <v>39.872909884491214</v>
      </c>
      <c r="M14" s="59">
        <f>'SER_se-appl'!M54</f>
        <v>38.548286102800915</v>
      </c>
      <c r="N14" s="59">
        <f>'SER_se-appl'!N54</f>
        <v>36.986449820976112</v>
      </c>
      <c r="O14" s="59">
        <f>'SER_se-appl'!O54</f>
        <v>35.234809335364538</v>
      </c>
      <c r="P14" s="59">
        <f>'SER_se-appl'!P54</f>
        <v>33.178610401491412</v>
      </c>
      <c r="Q14" s="59">
        <f>'SER_se-appl'!Q54</f>
        <v>31.358788612845487</v>
      </c>
      <c r="R14" s="59">
        <f>'SER_se-appl'!R54</f>
        <v>29.430036319416114</v>
      </c>
      <c r="S14" s="59">
        <f>'SER_se-appl'!S54</f>
        <v>27.263895480342583</v>
      </c>
      <c r="T14" s="59">
        <f>'SER_se-appl'!T54</f>
        <v>24.92404111811738</v>
      </c>
      <c r="U14" s="59">
        <f>'SER_se-appl'!U54</f>
        <v>22.656806859901209</v>
      </c>
      <c r="V14" s="59">
        <f>'SER_se-appl'!V54</f>
        <v>20.392981497740095</v>
      </c>
      <c r="W14" s="59">
        <f>'SER_se-appl'!W54</f>
        <v>18.592033758825149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48.003987731174121</v>
      </c>
      <c r="D15" s="63">
        <f>'SER_se-appl'!D62</f>
        <v>46.434973032546083</v>
      </c>
      <c r="E15" s="63">
        <f>'SER_se-appl'!E62</f>
        <v>45.205201853329349</v>
      </c>
      <c r="F15" s="63">
        <f>'SER_se-appl'!F62</f>
        <v>43.911045429925387</v>
      </c>
      <c r="G15" s="63">
        <f>'SER_se-appl'!G62</f>
        <v>42.691216942457302</v>
      </c>
      <c r="H15" s="63">
        <f>'SER_se-appl'!H62</f>
        <v>41.799686243750727</v>
      </c>
      <c r="I15" s="63">
        <f>'SER_se-appl'!I62</f>
        <v>40.799868319626661</v>
      </c>
      <c r="J15" s="63">
        <f>'SER_se-appl'!J62</f>
        <v>39.489444851555923</v>
      </c>
      <c r="K15" s="63">
        <f>'SER_se-appl'!K62</f>
        <v>38.267702861323379</v>
      </c>
      <c r="L15" s="63">
        <f>'SER_se-appl'!L62</f>
        <v>36.626686303719147</v>
      </c>
      <c r="M15" s="63">
        <f>'SER_se-appl'!M62</f>
        <v>35.204955611273583</v>
      </c>
      <c r="N15" s="63">
        <f>'SER_se-appl'!N62</f>
        <v>33.143627033613839</v>
      </c>
      <c r="O15" s="63">
        <f>'SER_se-appl'!O62</f>
        <v>31.2378628191247</v>
      </c>
      <c r="P15" s="63">
        <f>'SER_se-appl'!P62</f>
        <v>28.883542413733579</v>
      </c>
      <c r="Q15" s="63">
        <f>'SER_se-appl'!Q62</f>
        <v>26.376311675759023</v>
      </c>
      <c r="R15" s="63">
        <f>'SER_se-appl'!R62</f>
        <v>23.105094549542926</v>
      </c>
      <c r="S15" s="63">
        <f>'SER_se-appl'!S62</f>
        <v>21.640291790148694</v>
      </c>
      <c r="T15" s="63">
        <f>'SER_se-appl'!T62</f>
        <v>19.504126610379032</v>
      </c>
      <c r="U15" s="63">
        <f>'SER_se-appl'!U62</f>
        <v>17.789527335063216</v>
      </c>
      <c r="V15" s="63">
        <f>'SER_se-appl'!V62</f>
        <v>16.390276969558709</v>
      </c>
      <c r="W15" s="63">
        <f>'SER_se-appl'!W62</f>
        <v>14.996295800832359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5.2744823602775348</v>
      </c>
      <c r="C3" s="199">
        <f>'SER_se-appl'!C7</f>
        <v>5.4796191242166907</v>
      </c>
      <c r="D3" s="199">
        <f>'SER_se-appl'!D7</f>
        <v>5.5808709115620081</v>
      </c>
      <c r="E3" s="199">
        <f>'SER_se-appl'!E7</f>
        <v>5.675914373046747</v>
      </c>
      <c r="F3" s="199">
        <f>'SER_se-appl'!F7</f>
        <v>5.7575340376194504</v>
      </c>
      <c r="G3" s="199">
        <f>'SER_se-appl'!G7</f>
        <v>5.8496712263555688</v>
      </c>
      <c r="H3" s="199">
        <f>'SER_se-appl'!H7</f>
        <v>5.9290910832324535</v>
      </c>
      <c r="I3" s="199">
        <f>'SER_se-appl'!I7</f>
        <v>5.992688313065238</v>
      </c>
      <c r="J3" s="199">
        <f>'SER_se-appl'!J7</f>
        <v>6.0709302913462517</v>
      </c>
      <c r="K3" s="199">
        <f>'SER_se-appl'!K7</f>
        <v>6.1455362971284062</v>
      </c>
      <c r="L3" s="199">
        <f>'SER_se-appl'!L7</f>
        <v>6.2077191217659378</v>
      </c>
      <c r="M3" s="199">
        <f>'SER_se-appl'!M7</f>
        <v>6.2151110518075248</v>
      </c>
      <c r="N3" s="199">
        <f>'SER_se-appl'!N7</f>
        <v>6.2621231417230767</v>
      </c>
      <c r="O3" s="199">
        <f>'SER_se-appl'!O7</f>
        <v>6.3446160637299354</v>
      </c>
      <c r="P3" s="199">
        <f>'SER_se-appl'!P7</f>
        <v>6.4464361547296214</v>
      </c>
      <c r="Q3" s="199">
        <f>'SER_se-appl'!Q7</f>
        <v>6.5818970421110814</v>
      </c>
      <c r="R3" s="199">
        <f>'SER_se-appl'!R7</f>
        <v>6.620635305706565</v>
      </c>
      <c r="S3" s="199">
        <f>'SER_se-appl'!S7</f>
        <v>6.6523453201087657</v>
      </c>
      <c r="T3" s="199">
        <f>'SER_se-appl'!T7</f>
        <v>6.6795861833014891</v>
      </c>
      <c r="U3" s="199">
        <f>'SER_se-appl'!U7</f>
        <v>6.7040101393607019</v>
      </c>
      <c r="V3" s="199">
        <f>'SER_se-appl'!V7</f>
        <v>6.7243218685495068</v>
      </c>
      <c r="W3" s="199">
        <f>'SER_se-appl'!W7</f>
        <v>6.7224734249006488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7.0025376541127544</v>
      </c>
      <c r="C5" s="59">
        <f>'SER_se-appl'!C15</f>
        <v>7.2748824674246722</v>
      </c>
      <c r="D5" s="59">
        <f>'SER_se-appl'!D15</f>
        <v>7.4093069293911169</v>
      </c>
      <c r="E5" s="59">
        <f>'SER_se-appl'!E15</f>
        <v>7.5354890591933446</v>
      </c>
      <c r="F5" s="59">
        <f>'SER_se-appl'!F15</f>
        <v>7.6438494129582439</v>
      </c>
      <c r="G5" s="59">
        <f>'SER_se-appl'!G15</f>
        <v>7.7661731007437558</v>
      </c>
      <c r="H5" s="59">
        <f>'SER_se-appl'!H15</f>
        <v>7.8716129335608942</v>
      </c>
      <c r="I5" s="59">
        <f>'SER_se-appl'!I15</f>
        <v>7.9560462421174316</v>
      </c>
      <c r="J5" s="59">
        <f>'SER_se-appl'!J15</f>
        <v>8.0599222931914269</v>
      </c>
      <c r="K5" s="59">
        <f>'SER_se-appl'!K15</f>
        <v>8.1589711342012947</v>
      </c>
      <c r="L5" s="59">
        <f>'SER_se-appl'!L15</f>
        <v>8.241526642253179</v>
      </c>
      <c r="M5" s="59">
        <f>'SER_se-appl'!M15</f>
        <v>8.2513403575937829</v>
      </c>
      <c r="N5" s="59">
        <f>'SER_se-appl'!N15</f>
        <v>8.313754810301301</v>
      </c>
      <c r="O5" s="59">
        <f>'SER_se-appl'!O15</f>
        <v>8.4232745229656576</v>
      </c>
      <c r="P5" s="59">
        <f>'SER_se-appl'!P15</f>
        <v>8.5584534793956095</v>
      </c>
      <c r="Q5" s="59">
        <f>'SER_se-appl'!Q15</f>
        <v>8.7382948173232773</v>
      </c>
      <c r="R5" s="59">
        <f>'SER_se-appl'!R15</f>
        <v>8.7897247266401113</v>
      </c>
      <c r="S5" s="59">
        <f>'SER_se-appl'!S15</f>
        <v>8.8318237526101537</v>
      </c>
      <c r="T5" s="59">
        <f>'SER_se-appl'!T15</f>
        <v>8.8679894191548332</v>
      </c>
      <c r="U5" s="59">
        <f>'SER_se-appl'!U15</f>
        <v>8.9004152877585589</v>
      </c>
      <c r="V5" s="59">
        <f>'SER_se-appl'!V15</f>
        <v>8.9273816588162962</v>
      </c>
      <c r="W5" s="59">
        <f>'SER_se-appl'!W15</f>
        <v>8.9249276177619361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2.3839035544223827E-2</v>
      </c>
      <c r="C6" s="202">
        <f>'SER_se-appl'!C71</f>
        <v>2.4970566529413981E-2</v>
      </c>
      <c r="D6" s="202">
        <f>'SER_se-appl'!D71</f>
        <v>2.5637245593743162E-2</v>
      </c>
      <c r="E6" s="202">
        <f>'SER_se-appl'!E71</f>
        <v>2.6366891549338065E-2</v>
      </c>
      <c r="F6" s="202">
        <f>'SER_se-appl'!F71</f>
        <v>2.709835859174194E-2</v>
      </c>
      <c r="G6" s="202">
        <f>'SER_se-appl'!G71</f>
        <v>2.7939900517714656E-2</v>
      </c>
      <c r="H6" s="202">
        <f>'SER_se-appl'!H71</f>
        <v>2.8787098965734455E-2</v>
      </c>
      <c r="I6" s="202">
        <f>'SER_se-appl'!I71</f>
        <v>2.9734441129904407E-2</v>
      </c>
      <c r="J6" s="202">
        <f>'SER_se-appl'!J71</f>
        <v>3.0751044630931635E-2</v>
      </c>
      <c r="K6" s="202">
        <f>'SER_se-appl'!K71</f>
        <v>3.1801100417248845E-2</v>
      </c>
      <c r="L6" s="202">
        <f>'SER_se-appl'!L71</f>
        <v>3.29151911195147E-2</v>
      </c>
      <c r="M6" s="202">
        <f>'SER_se-appl'!M71</f>
        <v>3.3851453558868531E-2</v>
      </c>
      <c r="N6" s="202">
        <f>'SER_se-appl'!N71</f>
        <v>3.4727077511526955E-2</v>
      </c>
      <c r="O6" s="202">
        <f>'SER_se-appl'!O71</f>
        <v>3.5691667288197879E-2</v>
      </c>
      <c r="P6" s="202">
        <f>'SER_se-appl'!P71</f>
        <v>3.6680197282397499E-2</v>
      </c>
      <c r="Q6" s="202">
        <f>'SER_se-appl'!Q71</f>
        <v>3.7650267303905069E-2</v>
      </c>
      <c r="R6" s="202">
        <f>'SER_se-appl'!R71</f>
        <v>3.7947597520100608E-2</v>
      </c>
      <c r="S6" s="202">
        <f>'SER_se-appl'!S71</f>
        <v>3.8275347527092836E-2</v>
      </c>
      <c r="T6" s="202">
        <f>'SER_se-appl'!T71</f>
        <v>3.814572787048566E-2</v>
      </c>
      <c r="U6" s="202">
        <f>'SER_se-appl'!U71</f>
        <v>3.7805649328937728E-2</v>
      </c>
      <c r="V6" s="202">
        <f>'SER_se-appl'!V71</f>
        <v>3.7199531915041724E-2</v>
      </c>
      <c r="W6" s="202">
        <f>'SER_se-appl'!W71</f>
        <v>3.7925770279774756E-2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9.2676396191369115</v>
      </c>
      <c r="C8" s="34">
        <f>'SER_se-appl'!C23</f>
        <v>9.7738542981105727</v>
      </c>
      <c r="D8" s="34">
        <f>'SER_se-appl'!D23</f>
        <v>10.117508238360395</v>
      </c>
      <c r="E8" s="34">
        <f>'SER_se-appl'!E23</f>
        <v>10.475460544985815</v>
      </c>
      <c r="F8" s="34">
        <f>'SER_se-appl'!F23</f>
        <v>10.835739355004074</v>
      </c>
      <c r="G8" s="34">
        <f>'SER_se-appl'!G23</f>
        <v>11.250503861667125</v>
      </c>
      <c r="H8" s="34">
        <f>'SER_se-appl'!H23</f>
        <v>11.658746294023489</v>
      </c>
      <c r="I8" s="34">
        <f>'SER_se-appl'!I23</f>
        <v>12.060765073347305</v>
      </c>
      <c r="J8" s="34">
        <f>'SER_se-appl'!J23</f>
        <v>12.541260033922111</v>
      </c>
      <c r="K8" s="34">
        <f>'SER_se-appl'!K23</f>
        <v>13.067898990058398</v>
      </c>
      <c r="L8" s="34">
        <f>'SER_se-appl'!L23</f>
        <v>13.627777833639312</v>
      </c>
      <c r="M8" s="34">
        <f>'SER_se-appl'!M23</f>
        <v>14.047980860941292</v>
      </c>
      <c r="N8" s="34">
        <f>'SER_se-appl'!N23</f>
        <v>14.500152306628033</v>
      </c>
      <c r="O8" s="34">
        <f>'SER_se-appl'!O23</f>
        <v>15.080050654269199</v>
      </c>
      <c r="P8" s="34">
        <f>'SER_se-appl'!P23</f>
        <v>15.751357037796264</v>
      </c>
      <c r="Q8" s="34">
        <f>'SER_se-appl'!Q23</f>
        <v>16.554483681121326</v>
      </c>
      <c r="R8" s="34">
        <f>'SER_se-appl'!R23</f>
        <v>17.092167137016116</v>
      </c>
      <c r="S8" s="34">
        <f>'SER_se-appl'!S23</f>
        <v>17.61802764067825</v>
      </c>
      <c r="T8" s="34">
        <f>'SER_se-appl'!T23</f>
        <v>18.145960893717898</v>
      </c>
      <c r="U8" s="34">
        <f>'SER_se-appl'!U23</f>
        <v>18.659318477141177</v>
      </c>
      <c r="V8" s="34">
        <f>'SER_se-appl'!V23</f>
        <v>19.14153994033153</v>
      </c>
      <c r="W8" s="34">
        <f>'SER_se-appl'!W23</f>
        <v>19.573490041391754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1.3484865193075546</v>
      </c>
      <c r="D9" s="36">
        <f>'SER_se-appl'!D31</f>
        <v>1.2036675506119892</v>
      </c>
      <c r="E9" s="36">
        <f>'SER_se-appl'!E31</f>
        <v>1.2360814029453984</v>
      </c>
      <c r="F9" s="36">
        <f>'SER_se-appl'!F31</f>
        <v>1.2569049802471408</v>
      </c>
      <c r="G9" s="36">
        <f>'SER_se-appl'!G31</f>
        <v>1.3302773765911962</v>
      </c>
      <c r="H9" s="36">
        <f>'SER_se-appl'!H31</f>
        <v>1.3430398349239354</v>
      </c>
      <c r="I9" s="36">
        <f>'SER_se-appl'!I31</f>
        <v>1.3565069274977049</v>
      </c>
      <c r="J9" s="36">
        <f>'SER_se-appl'!J31</f>
        <v>1.4550886238670682</v>
      </c>
      <c r="K9" s="36">
        <f>'SER_se-appl'!K31</f>
        <v>1.5217616408407917</v>
      </c>
      <c r="L9" s="36">
        <f>'SER_se-appl'!L31</f>
        <v>1.5759629768065349</v>
      </c>
      <c r="M9" s="36">
        <f>'SER_se-appl'!M31</f>
        <v>1.7686895466095347</v>
      </c>
      <c r="N9" s="36">
        <f>'SER_se-appl'!N31</f>
        <v>1.6558389962987299</v>
      </c>
      <c r="O9" s="36">
        <f>'SER_se-appl'!O31</f>
        <v>1.815979750586564</v>
      </c>
      <c r="P9" s="36">
        <f>'SER_se-appl'!P31</f>
        <v>1.9282113637742064</v>
      </c>
      <c r="Q9" s="36">
        <f>'SER_se-appl'!Q31</f>
        <v>2.1334040199162576</v>
      </c>
      <c r="R9" s="36">
        <f>'SER_se-appl'!R31</f>
        <v>1.8807232908187252</v>
      </c>
      <c r="S9" s="36">
        <f>'SER_se-appl'!S31</f>
        <v>1.8823674311598388</v>
      </c>
      <c r="T9" s="36">
        <f>'SER_se-appl'!T31</f>
        <v>1.9830218769067187</v>
      </c>
      <c r="U9" s="36">
        <f>'SER_se-appl'!U31</f>
        <v>2.0351192242640721</v>
      </c>
      <c r="V9" s="36">
        <f>'SER_se-appl'!V31</f>
        <v>2.0581844399968894</v>
      </c>
      <c r="W9" s="36">
        <f>'SER_se-appl'!W31</f>
        <v>2.2006396476697567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0.84227184033389335</v>
      </c>
      <c r="D10" s="38">
        <f>'SER_se-appl'!D39</f>
        <v>0.8600136103621665</v>
      </c>
      <c r="E10" s="38">
        <f>'SER_se-appl'!E39</f>
        <v>0.87812909631997904</v>
      </c>
      <c r="F10" s="38">
        <f>'SER_se-appl'!F39</f>
        <v>0.89662617022888114</v>
      </c>
      <c r="G10" s="38">
        <f>'SER_se-appl'!G39</f>
        <v>0.91551286992814518</v>
      </c>
      <c r="H10" s="38">
        <f>'SER_se-appl'!H39</f>
        <v>0.93479740256757182</v>
      </c>
      <c r="I10" s="38">
        <f>'SER_se-appl'!I39</f>
        <v>0.95448814817388872</v>
      </c>
      <c r="J10" s="38">
        <f>'SER_se-appl'!J39</f>
        <v>0.97459366329226249</v>
      </c>
      <c r="K10" s="38">
        <f>'SER_se-appl'!K39</f>
        <v>0.99512268470450493</v>
      </c>
      <c r="L10" s="38">
        <f>'SER_se-appl'!L39</f>
        <v>1.0160841332256201</v>
      </c>
      <c r="M10" s="38">
        <f>'SER_se-appl'!M39</f>
        <v>1.3484865193075546</v>
      </c>
      <c r="N10" s="38">
        <f>'SER_se-appl'!N39</f>
        <v>1.2036675506119892</v>
      </c>
      <c r="O10" s="38">
        <f>'SER_se-appl'!O39</f>
        <v>1.2360814029453966</v>
      </c>
      <c r="P10" s="38">
        <f>'SER_se-appl'!P39</f>
        <v>1.256904980247139</v>
      </c>
      <c r="Q10" s="38">
        <f>'SER_se-appl'!Q39</f>
        <v>1.3302773765911979</v>
      </c>
      <c r="R10" s="38">
        <f>'SER_se-appl'!R39</f>
        <v>1.3430398349239354</v>
      </c>
      <c r="S10" s="38">
        <f>'SER_se-appl'!S39</f>
        <v>1.3565069274977049</v>
      </c>
      <c r="T10" s="38">
        <f>'SER_se-appl'!T39</f>
        <v>1.4550886238670699</v>
      </c>
      <c r="U10" s="38">
        <f>'SER_se-appl'!U39</f>
        <v>1.5217616408407935</v>
      </c>
      <c r="V10" s="38">
        <f>'SER_se-appl'!V39</f>
        <v>1.5759629768065366</v>
      </c>
      <c r="W10" s="38">
        <f>'SER_se-appl'!W39</f>
        <v>1.7686895466095329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8759.9999999999982</v>
      </c>
      <c r="D12" s="205">
        <f>'SER_se-appl'!D47</f>
        <v>8759.9999999999964</v>
      </c>
      <c r="E12" s="205">
        <f>'SER_se-appl'!E47</f>
        <v>8759.9999999999945</v>
      </c>
      <c r="F12" s="205">
        <f>'SER_se-appl'!F47</f>
        <v>8759.9999999999982</v>
      </c>
      <c r="G12" s="205">
        <f>'SER_se-appl'!G47</f>
        <v>8759.9999999999964</v>
      </c>
      <c r="H12" s="205">
        <f>'SER_se-appl'!H47</f>
        <v>8760</v>
      </c>
      <c r="I12" s="205">
        <f>'SER_se-appl'!I47</f>
        <v>8760.0000000000018</v>
      </c>
      <c r="J12" s="205">
        <f>'SER_se-appl'!J47</f>
        <v>8760</v>
      </c>
      <c r="K12" s="205">
        <f>'SER_se-appl'!K47</f>
        <v>8760.0000000000018</v>
      </c>
      <c r="L12" s="205">
        <f>'SER_se-appl'!L47</f>
        <v>8760</v>
      </c>
      <c r="M12" s="205">
        <f>'SER_se-appl'!M47</f>
        <v>8759.9999999999964</v>
      </c>
      <c r="N12" s="205">
        <f>'SER_se-appl'!N47</f>
        <v>8759.9999999999982</v>
      </c>
      <c r="O12" s="205">
        <f>'SER_se-appl'!O47</f>
        <v>8759.9999999999982</v>
      </c>
      <c r="P12" s="205">
        <f>'SER_se-appl'!P47</f>
        <v>8759.9999999999945</v>
      </c>
      <c r="Q12" s="205">
        <f>'SER_se-appl'!Q47</f>
        <v>8759.9999999999964</v>
      </c>
      <c r="R12" s="205">
        <f>'SER_se-appl'!R47</f>
        <v>8759.9999999999982</v>
      </c>
      <c r="S12" s="205">
        <f>'SER_se-appl'!S47</f>
        <v>8760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8760.0000000000018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755.59019792408537</v>
      </c>
      <c r="C14" s="59">
        <f>'SER_se-appl'!C55</f>
        <v>744.32074036861923</v>
      </c>
      <c r="D14" s="59">
        <f>'SER_se-appl'!D55</f>
        <v>732.32526772736685</v>
      </c>
      <c r="E14" s="59">
        <f>'SER_se-appl'!E55</f>
        <v>719.3468035923521</v>
      </c>
      <c r="F14" s="59">
        <f>'SER_se-appl'!F55</f>
        <v>705.42942779702639</v>
      </c>
      <c r="G14" s="59">
        <f>'SER_se-appl'!G55</f>
        <v>690.29558108990739</v>
      </c>
      <c r="H14" s="59">
        <f>'SER_se-appl'!H55</f>
        <v>675.16804423439964</v>
      </c>
      <c r="I14" s="59">
        <f>'SER_se-appl'!I55</f>
        <v>659.66347853829279</v>
      </c>
      <c r="J14" s="59">
        <f>'SER_se-appl'!J55</f>
        <v>642.67244849326312</v>
      </c>
      <c r="K14" s="59">
        <f>'SER_se-appl'!K55</f>
        <v>624.35217324593316</v>
      </c>
      <c r="L14" s="59">
        <f>'SER_se-appl'!L55</f>
        <v>604.7593923867388</v>
      </c>
      <c r="M14" s="59">
        <f>'SER_se-appl'!M55</f>
        <v>587.36842249946642</v>
      </c>
      <c r="N14" s="59">
        <f>'SER_se-appl'!N55</f>
        <v>573.35637822928777</v>
      </c>
      <c r="O14" s="59">
        <f>'SER_se-appl'!O55</f>
        <v>558.57070483917823</v>
      </c>
      <c r="P14" s="59">
        <f>'SER_se-appl'!P55</f>
        <v>543.34705631134648</v>
      </c>
      <c r="Q14" s="59">
        <f>'SER_se-appl'!Q55</f>
        <v>527.85064068705435</v>
      </c>
      <c r="R14" s="59">
        <f>'SER_se-appl'!R55</f>
        <v>514.25455041358714</v>
      </c>
      <c r="S14" s="59">
        <f>'SER_se-appl'!S55</f>
        <v>501.29469272816686</v>
      </c>
      <c r="T14" s="59">
        <f>'SER_se-appl'!T55</f>
        <v>488.70321451122032</v>
      </c>
      <c r="U14" s="59">
        <f>'SER_se-appl'!U55</f>
        <v>476.99573265026368</v>
      </c>
      <c r="V14" s="59">
        <f>'SER_se-appl'!V55</f>
        <v>466.38785001859543</v>
      </c>
      <c r="W14" s="59">
        <f>'SER_se-appl'!W55</f>
        <v>455.97017184408764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673.90896893973695</v>
      </c>
      <c r="D15" s="63">
        <f>'SER_se-appl'!D63</f>
        <v>651.54395467308393</v>
      </c>
      <c r="E15" s="63">
        <f>'SER_se-appl'!E63</f>
        <v>638.86396608818006</v>
      </c>
      <c r="F15" s="63">
        <f>'SER_se-appl'!F63</f>
        <v>625.22013321765667</v>
      </c>
      <c r="G15" s="63">
        <f>'SER_se-appl'!G63</f>
        <v>611.95977072286837</v>
      </c>
      <c r="H15" s="63">
        <f>'SER_se-appl'!H63</f>
        <v>604.42256896130425</v>
      </c>
      <c r="I15" s="63">
        <f>'SER_se-appl'!I63</f>
        <v>593.90422637764345</v>
      </c>
      <c r="J15" s="63">
        <f>'SER_se-appl'!J63</f>
        <v>577.46961678762977</v>
      </c>
      <c r="K15" s="63">
        <f>'SER_se-appl'!K63</f>
        <v>559.18993123938151</v>
      </c>
      <c r="L15" s="63">
        <f>'SER_se-appl'!L63</f>
        <v>539.54231913896911</v>
      </c>
      <c r="M15" s="63">
        <f>'SER_se-appl'!M63</f>
        <v>519.35110769277583</v>
      </c>
      <c r="N15" s="63">
        <f>'SER_se-appl'!N63</f>
        <v>511.31587710969256</v>
      </c>
      <c r="O15" s="63">
        <f>'SER_se-appl'!O63</f>
        <v>495.16388047138128</v>
      </c>
      <c r="P15" s="63">
        <f>'SER_se-appl'!P63</f>
        <v>477.65575544541736</v>
      </c>
      <c r="Q15" s="63">
        <f>'SER_se-appl'!Q63</f>
        <v>465.88342715471634</v>
      </c>
      <c r="R15" s="63">
        <f>'SER_se-appl'!R63</f>
        <v>458.96889817489028</v>
      </c>
      <c r="S15" s="63">
        <f>'SER_se-appl'!S63</f>
        <v>450.35533939255544</v>
      </c>
      <c r="T15" s="63">
        <f>'SER_se-appl'!T63</f>
        <v>441.96947435011202</v>
      </c>
      <c r="U15" s="63">
        <f>'SER_se-appl'!U63</f>
        <v>434.06776633818981</v>
      </c>
      <c r="V15" s="63">
        <f>'SER_se-appl'!V63</f>
        <v>426.23249568557264</v>
      </c>
      <c r="W15" s="63">
        <f>'SER_se-appl'!W63</f>
        <v>416.29570525642646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0.97625412549686219</v>
      </c>
      <c r="C3" s="199">
        <f>'SER_se-appl'!C8</f>
        <v>1.0691760221178179</v>
      </c>
      <c r="D3" s="199">
        <f>'SER_se-appl'!D8</f>
        <v>1.1565083284219477</v>
      </c>
      <c r="E3" s="199">
        <f>'SER_se-appl'!E8</f>
        <v>1.2348436565595269</v>
      </c>
      <c r="F3" s="199">
        <f>'SER_se-appl'!F8</f>
        <v>1.3204027136601733</v>
      </c>
      <c r="G3" s="199">
        <f>'SER_se-appl'!G8</f>
        <v>1.4614358177106139</v>
      </c>
      <c r="H3" s="199">
        <f>'SER_se-appl'!H8</f>
        <v>1.5719994816029905</v>
      </c>
      <c r="I3" s="199">
        <f>'SER_se-appl'!I8</f>
        <v>1.6826757970216892</v>
      </c>
      <c r="J3" s="199">
        <f>'SER_se-appl'!J8</f>
        <v>1.8406986651751136</v>
      </c>
      <c r="K3" s="199">
        <f>'SER_se-appl'!K8</f>
        <v>1.8966295722480417</v>
      </c>
      <c r="L3" s="199">
        <f>'SER_se-appl'!L8</f>
        <v>1.9337597323023079</v>
      </c>
      <c r="M3" s="199">
        <f>'SER_se-appl'!M8</f>
        <v>1.9876051021040564</v>
      </c>
      <c r="N3" s="199">
        <f>'SER_se-appl'!N8</f>
        <v>2.0721295075257089</v>
      </c>
      <c r="O3" s="199">
        <f>'SER_se-appl'!O8</f>
        <v>2.1194829823019194</v>
      </c>
      <c r="P3" s="199">
        <f>'SER_se-appl'!P8</f>
        <v>2.1826142522656582</v>
      </c>
      <c r="Q3" s="199">
        <f>'SER_se-appl'!Q8</f>
        <v>2.2235951753074579</v>
      </c>
      <c r="R3" s="199">
        <f>'SER_se-appl'!R8</f>
        <v>2.2654394734085663</v>
      </c>
      <c r="S3" s="199">
        <f>'SER_se-appl'!S8</f>
        <v>2.3119387264440849</v>
      </c>
      <c r="T3" s="199">
        <f>'SER_se-appl'!T8</f>
        <v>2.3801889888584649</v>
      </c>
      <c r="U3" s="199">
        <f>'SER_se-appl'!U8</f>
        <v>2.4845504493950066</v>
      </c>
      <c r="V3" s="199">
        <f>'SER_se-appl'!V8</f>
        <v>2.2204799204558414</v>
      </c>
      <c r="W3" s="199">
        <f>'SER_se-appl'!W8</f>
        <v>2.3703183242840136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14.636980207420764</v>
      </c>
      <c r="C5" s="59">
        <f>'SER_se-appl'!C16</f>
        <v>15.953948273977055</v>
      </c>
      <c r="D5" s="59">
        <f>'SER_se-appl'!D16</f>
        <v>17.182181636316749</v>
      </c>
      <c r="E5" s="59">
        <f>'SER_se-appl'!E16</f>
        <v>18.272728898105207</v>
      </c>
      <c r="F5" s="59">
        <f>'SER_se-appl'!F16</f>
        <v>19.466532978348166</v>
      </c>
      <c r="G5" s="59">
        <f>'SER_se-appl'!G16</f>
        <v>21.471569325476732</v>
      </c>
      <c r="H5" s="59">
        <f>'SER_se-appl'!H16</f>
        <v>23.02157344152663</v>
      </c>
      <c r="I5" s="59">
        <f>'SER_se-appl'!I16</f>
        <v>24.56781908767443</v>
      </c>
      <c r="J5" s="59">
        <f>'SER_se-appl'!J16</f>
        <v>26.79832658975474</v>
      </c>
      <c r="K5" s="59">
        <f>'SER_se-appl'!K16</f>
        <v>27.538066297976975</v>
      </c>
      <c r="L5" s="59">
        <f>'SER_se-appl'!L16</f>
        <v>28.00526045653989</v>
      </c>
      <c r="M5" s="59">
        <f>'SER_se-appl'!M16</f>
        <v>28.738288252697654</v>
      </c>
      <c r="N5" s="59">
        <f>'SER_se-appl'!N16</f>
        <v>29.913983010804099</v>
      </c>
      <c r="O5" s="59">
        <f>'SER_se-appl'!O16</f>
        <v>30.552290598338391</v>
      </c>
      <c r="P5" s="59">
        <f>'SER_se-appl'!P16</f>
        <v>31.417723665441166</v>
      </c>
      <c r="Q5" s="59">
        <f>'SER_se-appl'!Q16</f>
        <v>31.964100899602865</v>
      </c>
      <c r="R5" s="59">
        <f>'SER_se-appl'!R16</f>
        <v>32.919595831114378</v>
      </c>
      <c r="S5" s="59">
        <f>'SER_se-appl'!S16</f>
        <v>33.947432170237789</v>
      </c>
      <c r="T5" s="59">
        <f>'SER_se-appl'!T16</f>
        <v>34.974848756176492</v>
      </c>
      <c r="U5" s="59">
        <f>'SER_se-appl'!U16</f>
        <v>35.897396462731599</v>
      </c>
      <c r="V5" s="59">
        <f>'SER_se-appl'!V16</f>
        <v>36.525525095996244</v>
      </c>
      <c r="W5" s="59">
        <f>'SER_se-appl'!W16</f>
        <v>37.202860483048191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124.75083395486919</v>
      </c>
      <c r="C6" s="202">
        <f>'SER_se-appl'!C72</f>
        <v>130.71152339484945</v>
      </c>
      <c r="D6" s="202">
        <f>'SER_se-appl'!D72</f>
        <v>138.48099893038543</v>
      </c>
      <c r="E6" s="202">
        <f>'SER_se-appl'!E72</f>
        <v>146.29295404205439</v>
      </c>
      <c r="F6" s="202">
        <f>'SER_se-appl'!F72</f>
        <v>155.943998767631</v>
      </c>
      <c r="G6" s="202">
        <f>'SER_se-appl'!G72</f>
        <v>167.19353548340831</v>
      </c>
      <c r="H6" s="202">
        <f>'SER_se-appl'!H72</f>
        <v>175.71792071587305</v>
      </c>
      <c r="I6" s="202">
        <f>'SER_se-appl'!I72</f>
        <v>183.29411123740374</v>
      </c>
      <c r="J6" s="202">
        <f>'SER_se-appl'!J72</f>
        <v>190.52340858000116</v>
      </c>
      <c r="K6" s="202">
        <f>'SER_se-appl'!K72</f>
        <v>195.96715398100656</v>
      </c>
      <c r="L6" s="202">
        <f>'SER_se-appl'!L72</f>
        <v>198.5102414872128</v>
      </c>
      <c r="M6" s="202">
        <f>'SER_se-appl'!M72</f>
        <v>201.62162101603747</v>
      </c>
      <c r="N6" s="202">
        <f>'SER_se-appl'!N72</f>
        <v>205.02807087407896</v>
      </c>
      <c r="O6" s="202">
        <f>'SER_se-appl'!O72</f>
        <v>208.21100149352458</v>
      </c>
      <c r="P6" s="202">
        <f>'SER_se-appl'!P72</f>
        <v>212.0544906241098</v>
      </c>
      <c r="Q6" s="202">
        <f>'SER_se-appl'!Q72</f>
        <v>214.55582856132983</v>
      </c>
      <c r="R6" s="202">
        <f>'SER_se-appl'!R72</f>
        <v>219.21185303285787</v>
      </c>
      <c r="S6" s="202">
        <f>'SER_se-appl'!S72</f>
        <v>223.89029720377323</v>
      </c>
      <c r="T6" s="202">
        <f>'SER_se-appl'!T72</f>
        <v>228.47258941712553</v>
      </c>
      <c r="U6" s="202">
        <f>'SER_se-appl'!U72</f>
        <v>232.88681432181178</v>
      </c>
      <c r="V6" s="202">
        <f>'SER_se-appl'!V72</f>
        <v>236.99911167854816</v>
      </c>
      <c r="W6" s="202">
        <f>'SER_se-appl'!W72</f>
        <v>240.66793849581151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0.27578118980299632</v>
      </c>
      <c r="C8" s="34">
        <f>'SER_se-appl'!C24</f>
        <v>0.30273792257963861</v>
      </c>
      <c r="D8" s="34">
        <f>'SER_se-appl'!D24</f>
        <v>0.32837443133821842</v>
      </c>
      <c r="E8" s="34">
        <f>'SER_se-appl'!E24</f>
        <v>0.35165159119679201</v>
      </c>
      <c r="F8" s="34">
        <f>'SER_se-appl'!F24</f>
        <v>0.37759307388226043</v>
      </c>
      <c r="G8" s="34">
        <f>'SER_se-appl'!G24</f>
        <v>0.42142015181760129</v>
      </c>
      <c r="H8" s="34">
        <f>'SER_se-appl'!H24</f>
        <v>0.45648279474949482</v>
      </c>
      <c r="I8" s="34">
        <f>'SER_se-appl'!I24</f>
        <v>0.49233621546538303</v>
      </c>
      <c r="J8" s="34">
        <f>'SER_se-appl'!J24</f>
        <v>0.54448502770802631</v>
      </c>
      <c r="K8" s="34">
        <f>'SER_se-appl'!K24</f>
        <v>0.56490600941527502</v>
      </c>
      <c r="L8" s="34">
        <f>'SER_se-appl'!L24</f>
        <v>0.58041904650978138</v>
      </c>
      <c r="M8" s="34">
        <f>'SER_se-appl'!M24</f>
        <v>0.6040299279952871</v>
      </c>
      <c r="N8" s="34">
        <f>'SER_se-appl'!N24</f>
        <v>0.64088322039693402</v>
      </c>
      <c r="O8" s="34">
        <f>'SER_se-appl'!O24</f>
        <v>0.66715123333950643</v>
      </c>
      <c r="P8" s="34">
        <f>'SER_se-appl'!P24</f>
        <v>0.70256822734245017</v>
      </c>
      <c r="Q8" s="34">
        <f>'SER_se-appl'!Q24</f>
        <v>0.73346516462391487</v>
      </c>
      <c r="R8" s="34">
        <f>'SER_se-appl'!R24</f>
        <v>0.77335320229980142</v>
      </c>
      <c r="S8" s="34">
        <f>'SER_se-appl'!S24</f>
        <v>0.81575834885667198</v>
      </c>
      <c r="T8" s="34">
        <f>'SER_se-appl'!T24</f>
        <v>0.85828101949397262</v>
      </c>
      <c r="U8" s="34">
        <f>'SER_se-appl'!U24</f>
        <v>0.89983361417684304</v>
      </c>
      <c r="V8" s="34">
        <f>'SER_se-appl'!V24</f>
        <v>0.94065921754897108</v>
      </c>
      <c r="W8" s="34">
        <f>'SER_se-appl'!W24</f>
        <v>0.97973487449120622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3.4811657979574417E-2</v>
      </c>
      <c r="D9" s="36">
        <f>'SER_se-appl'!D32</f>
        <v>3.4375360289225387E-2</v>
      </c>
      <c r="E9" s="36">
        <f>'SER_se-appl'!E32</f>
        <v>3.299940725135081E-2</v>
      </c>
      <c r="F9" s="36">
        <f>'SER_se-appl'!F32</f>
        <v>3.6757788928330037E-2</v>
      </c>
      <c r="G9" s="36">
        <f>'SER_se-appl'!G32</f>
        <v>5.5860559085623374E-2</v>
      </c>
      <c r="H9" s="36">
        <f>'SER_se-appl'!H32</f>
        <v>4.8450269478596597E-2</v>
      </c>
      <c r="I9" s="36">
        <f>'SER_se-appl'!I32</f>
        <v>5.0747576639320224E-2</v>
      </c>
      <c r="J9" s="36">
        <f>'SER_se-appl'!J32</f>
        <v>6.8719029517350372E-2</v>
      </c>
      <c r="K9" s="36">
        <f>'SER_se-appl'!K32</f>
        <v>3.8855869991118119E-2</v>
      </c>
      <c r="L9" s="36">
        <f>'SER_se-appl'!L32</f>
        <v>3.6022430568633412E-2</v>
      </c>
      <c r="M9" s="36">
        <f>'SER_se-appl'!M32</f>
        <v>4.6428227281119949E-2</v>
      </c>
      <c r="N9" s="36">
        <f>'SER_se-appl'!N32</f>
        <v>6.2238307800245529E-2</v>
      </c>
      <c r="O9" s="36">
        <f>'SER_se-appl'!O32</f>
        <v>5.4509641594707392E-2</v>
      </c>
      <c r="P9" s="36">
        <f>'SER_se-appl'!P32</f>
        <v>6.6836694814672248E-2</v>
      </c>
      <c r="Q9" s="36">
        <f>'SER_se-appl'!Q32</f>
        <v>6.5852343404047109E-2</v>
      </c>
      <c r="R9" s="36">
        <f>'SER_se-appl'!R32</f>
        <v>7.4699695655460974E-2</v>
      </c>
      <c r="S9" s="36">
        <f>'SER_se-appl'!S32</f>
        <v>7.6780506846095942E-2</v>
      </c>
      <c r="T9" s="36">
        <f>'SER_se-appl'!T32</f>
        <v>7.5522077888651507E-2</v>
      </c>
      <c r="U9" s="36">
        <f>'SER_se-appl'!U32</f>
        <v>7.8310383611200463E-2</v>
      </c>
      <c r="V9" s="36">
        <f>'SER_se-appl'!V32</f>
        <v>9.6686162457751412E-2</v>
      </c>
      <c r="W9" s="36">
        <f>'SER_se-appl'!W32</f>
        <v>8.7525926420831679E-2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7.8549252029321281E-3</v>
      </c>
      <c r="D10" s="38">
        <f>'SER_se-appl'!D40</f>
        <v>8.738851530645575E-3</v>
      </c>
      <c r="E10" s="38">
        <f>'SER_se-appl'!E40</f>
        <v>9.7222473927772168E-3</v>
      </c>
      <c r="F10" s="38">
        <f>'SER_se-appl'!F40</f>
        <v>1.0816306242861617E-2</v>
      </c>
      <c r="G10" s="38">
        <f>'SER_se-appl'!G40</f>
        <v>1.2033481150282521E-2</v>
      </c>
      <c r="H10" s="38">
        <f>'SER_se-appl'!H40</f>
        <v>1.3387626546703058E-2</v>
      </c>
      <c r="I10" s="38">
        <f>'SER_se-appl'!I40</f>
        <v>1.4894155923432073E-2</v>
      </c>
      <c r="J10" s="38">
        <f>'SER_se-appl'!J40</f>
        <v>1.6570217274707089E-2</v>
      </c>
      <c r="K10" s="38">
        <f>'SER_se-appl'!K40</f>
        <v>1.8434888283869411E-2</v>
      </c>
      <c r="L10" s="38">
        <f>'SER_se-appl'!L40</f>
        <v>2.0509393474127058E-2</v>
      </c>
      <c r="M10" s="38">
        <f>'SER_se-appl'!M40</f>
        <v>2.281734579561423E-2</v>
      </c>
      <c r="N10" s="38">
        <f>'SER_se-appl'!N40</f>
        <v>2.5385015398598609E-2</v>
      </c>
      <c r="O10" s="38">
        <f>'SER_se-appl'!O40</f>
        <v>2.8241628652134976E-2</v>
      </c>
      <c r="P10" s="38">
        <f>'SER_se-appl'!P40</f>
        <v>3.1419700811728513E-2</v>
      </c>
      <c r="Q10" s="38">
        <f>'SER_se-appl'!Q40</f>
        <v>3.4955406122582411E-2</v>
      </c>
      <c r="R10" s="38">
        <f>'SER_se-appl'!R40</f>
        <v>3.4811657979574417E-2</v>
      </c>
      <c r="S10" s="38">
        <f>'SER_se-appl'!S40</f>
        <v>3.4375360289225387E-2</v>
      </c>
      <c r="T10" s="38">
        <f>'SER_se-appl'!T40</f>
        <v>3.2999407251350865E-2</v>
      </c>
      <c r="U10" s="38">
        <f>'SER_se-appl'!U40</f>
        <v>3.6757788928330037E-2</v>
      </c>
      <c r="V10" s="38">
        <f>'SER_se-appl'!V40</f>
        <v>5.5860559085623374E-2</v>
      </c>
      <c r="W10" s="38">
        <f>'SER_se-appl'!W40</f>
        <v>4.8450269478596653E-2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775.69521299019425</v>
      </c>
      <c r="C12" s="205">
        <f>'SER_se-appl'!C48</f>
        <v>779.40061755825809</v>
      </c>
      <c r="D12" s="205">
        <f>'SER_se-appl'!D48</f>
        <v>782.79884034740644</v>
      </c>
      <c r="E12" s="205">
        <f>'SER_se-appl'!E48</f>
        <v>785.93798473508173</v>
      </c>
      <c r="F12" s="205">
        <f>'SER_se-appl'!F48</f>
        <v>788.85560037567984</v>
      </c>
      <c r="G12" s="205">
        <f>'SER_se-appl'!G48</f>
        <v>791.58157013737821</v>
      </c>
      <c r="H12" s="205">
        <f>'SER_se-appl'!H48</f>
        <v>794.14007115885568</v>
      </c>
      <c r="I12" s="205">
        <f>'SER_se-appl'!I48</f>
        <v>796.55094534541695</v>
      </c>
      <c r="J12" s="205">
        <f>'SER_se-appl'!J48</f>
        <v>798.8306808743348</v>
      </c>
      <c r="K12" s="205">
        <f>'SER_se-appl'!K48</f>
        <v>800.99313025712172</v>
      </c>
      <c r="L12" s="205">
        <f>'SER_se-appl'!L48</f>
        <v>803.05004560041436</v>
      </c>
      <c r="M12" s="205">
        <f>'SER_se-appl'!M48</f>
        <v>804.35713965323941</v>
      </c>
      <c r="N12" s="205">
        <f>'SER_se-appl'!N48</f>
        <v>805.6053974430672</v>
      </c>
      <c r="O12" s="205">
        <f>'SER_se-appl'!O48</f>
        <v>806.79996823255885</v>
      </c>
      <c r="P12" s="205">
        <f>'SER_se-appl'!P48</f>
        <v>807.94535034284661</v>
      </c>
      <c r="Q12" s="205">
        <f>'SER_se-appl'!Q48</f>
        <v>809.04549669804828</v>
      </c>
      <c r="R12" s="205">
        <f>'SER_se-appl'!R48</f>
        <v>800.34582474549597</v>
      </c>
      <c r="S12" s="205">
        <f>'SER_se-appl'!S48</f>
        <v>792.04362950661334</v>
      </c>
      <c r="T12" s="205">
        <f>'SER_se-appl'!T48</f>
        <v>791.47155527114126</v>
      </c>
      <c r="U12" s="205">
        <f>'SER_se-appl'!U48</f>
        <v>804.94198949672659</v>
      </c>
      <c r="V12" s="205">
        <f>'SER_se-appl'!V48</f>
        <v>707.01739145516524</v>
      </c>
      <c r="W12" s="205">
        <f>'SER_se-appl'!W48</f>
        <v>740.98608960416186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53.074614036862556</v>
      </c>
      <c r="C14" s="59">
        <f>'SER_se-appl'!C56</f>
        <v>52.698876103902016</v>
      </c>
      <c r="D14" s="59">
        <f>'SER_se-appl'!D56</f>
        <v>52.324968074689956</v>
      </c>
      <c r="E14" s="59">
        <f>'SER_se-appl'!E56</f>
        <v>51.962594100361635</v>
      </c>
      <c r="F14" s="59">
        <f>'SER_se-appl'!F56</f>
        <v>51.554263901615272</v>
      </c>
      <c r="G14" s="59">
        <f>'SER_se-appl'!G56</f>
        <v>50.95050446180381</v>
      </c>
      <c r="H14" s="59">
        <f>'SER_se-appl'!H56</f>
        <v>50.432510724002718</v>
      </c>
      <c r="I14" s="59">
        <f>'SER_se-appl'!I56</f>
        <v>49.900491403931333</v>
      </c>
      <c r="J14" s="59">
        <f>'SER_se-appl'!J56</f>
        <v>49.217747460495879</v>
      </c>
      <c r="K14" s="59">
        <f>'SER_se-appl'!K56</f>
        <v>48.748049833070773</v>
      </c>
      <c r="L14" s="59">
        <f>'SER_se-appl'!L56</f>
        <v>48.250071435358969</v>
      </c>
      <c r="M14" s="59">
        <f>'SER_se-appl'!M56</f>
        <v>47.577589984782811</v>
      </c>
      <c r="N14" s="59">
        <f>'SER_se-appl'!N56</f>
        <v>46.676183833111956</v>
      </c>
      <c r="O14" s="59">
        <f>'SER_se-appl'!O56</f>
        <v>45.795149692529527</v>
      </c>
      <c r="P14" s="59">
        <f>'SER_se-appl'!P56</f>
        <v>44.718395228720389</v>
      </c>
      <c r="Q14" s="59">
        <f>'SER_se-appl'!Q56</f>
        <v>43.579576019799788</v>
      </c>
      <c r="R14" s="59">
        <f>'SER_se-appl'!R56</f>
        <v>42.567349217948447</v>
      </c>
      <c r="S14" s="59">
        <f>'SER_se-appl'!S56</f>
        <v>41.614569091222776</v>
      </c>
      <c r="T14" s="59">
        <f>'SER_se-appl'!T56</f>
        <v>40.749880239454725</v>
      </c>
      <c r="U14" s="59">
        <f>'SER_se-appl'!U56</f>
        <v>39.893371282389914</v>
      </c>
      <c r="V14" s="59">
        <f>'SER_se-appl'!V56</f>
        <v>38.829710499376155</v>
      </c>
      <c r="W14" s="59">
        <f>'SER_se-appl'!W56</f>
        <v>37.972375437149054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49.807027031222638</v>
      </c>
      <c r="D15" s="63">
        <f>'SER_se-appl'!D64</f>
        <v>49.222597820582102</v>
      </c>
      <c r="E15" s="63">
        <f>'SER_se-appl'!E64</f>
        <v>48.684262038229221</v>
      </c>
      <c r="F15" s="63">
        <f>'SER_se-appl'!F64</f>
        <v>48.095258472546661</v>
      </c>
      <c r="G15" s="63">
        <f>'SER_se-appl'!G64</f>
        <v>47.326929017079436</v>
      </c>
      <c r="H15" s="63">
        <f>'SER_se-appl'!H64</f>
        <v>46.657062018704302</v>
      </c>
      <c r="I15" s="63">
        <f>'SER_se-appl'!I64</f>
        <v>46.046479022965791</v>
      </c>
      <c r="J15" s="63">
        <f>'SER_se-appl'!J64</f>
        <v>45.256247218350609</v>
      </c>
      <c r="K15" s="63">
        <f>'SER_se-appl'!K64</f>
        <v>44.218911816773783</v>
      </c>
      <c r="L15" s="63">
        <f>'SER_se-appl'!L64</f>
        <v>43.187599414432803</v>
      </c>
      <c r="M15" s="63">
        <f>'SER_se-appl'!M64</f>
        <v>41.872148291049832</v>
      </c>
      <c r="N15" s="63">
        <f>'SER_se-appl'!N64</f>
        <v>40.537648626380587</v>
      </c>
      <c r="O15" s="63">
        <f>'SER_se-appl'!O64</f>
        <v>39.208130259037951</v>
      </c>
      <c r="P15" s="63">
        <f>'SER_se-appl'!P64</f>
        <v>37.898665813182888</v>
      </c>
      <c r="Q15" s="63">
        <f>'SER_se-appl'!Q64</f>
        <v>36.469801961093822</v>
      </c>
      <c r="R15" s="63">
        <f>'SER_se-appl'!R64</f>
        <v>36.00229020886578</v>
      </c>
      <c r="S15" s="63">
        <f>'SER_se-appl'!S64</f>
        <v>35.424106785716752</v>
      </c>
      <c r="T15" s="63">
        <f>'SER_se-appl'!T64</f>
        <v>34.87679959697585</v>
      </c>
      <c r="U15" s="63">
        <f>'SER_se-appl'!U64</f>
        <v>34.355891797185087</v>
      </c>
      <c r="V15" s="63">
        <f>'SER_se-appl'!V64</f>
        <v>33.839768430089414</v>
      </c>
      <c r="W15" s="63">
        <f>'SER_se-appl'!W64</f>
        <v>33.565855685002361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1.686145867322365</v>
      </c>
      <c r="C3" s="199">
        <f>'SER_se-appl'!C9</f>
        <v>2.1501156187271051</v>
      </c>
      <c r="D3" s="199">
        <f>'SER_se-appl'!D9</f>
        <v>2.587105763754185</v>
      </c>
      <c r="E3" s="199">
        <f>'SER_se-appl'!E9</f>
        <v>3.0229046174435297</v>
      </c>
      <c r="F3" s="199">
        <f>'SER_se-appl'!F9</f>
        <v>3.3947505612009081</v>
      </c>
      <c r="G3" s="199">
        <f>'SER_se-appl'!G9</f>
        <v>3.6216695214050878</v>
      </c>
      <c r="H3" s="199">
        <f>'SER_se-appl'!H9</f>
        <v>4.1062282570326394</v>
      </c>
      <c r="I3" s="199">
        <f>'SER_se-appl'!I9</f>
        <v>4.3592595899028614</v>
      </c>
      <c r="J3" s="199">
        <f>'SER_se-appl'!J9</f>
        <v>4.5212837812923574</v>
      </c>
      <c r="K3" s="199">
        <f>'SER_se-appl'!K9</f>
        <v>4.6371467253606342</v>
      </c>
      <c r="L3" s="199">
        <f>'SER_se-appl'!L9</f>
        <v>5.2397223336440311</v>
      </c>
      <c r="M3" s="199">
        <f>'SER_se-appl'!M9</f>
        <v>5.4601331334322536</v>
      </c>
      <c r="N3" s="199">
        <f>'SER_se-appl'!N9</f>
        <v>5.805682720630176</v>
      </c>
      <c r="O3" s="199">
        <f>'SER_se-appl'!O9</f>
        <v>6.2930198711080401</v>
      </c>
      <c r="P3" s="199">
        <f>'SER_se-appl'!P9</f>
        <v>6.9164692620061814</v>
      </c>
      <c r="Q3" s="199">
        <f>'SER_se-appl'!Q9</f>
        <v>7.5117492978128153</v>
      </c>
      <c r="R3" s="199">
        <f>'SER_se-appl'!R9</f>
        <v>7.8443398925502352</v>
      </c>
      <c r="S3" s="199">
        <f>'SER_se-appl'!S9</f>
        <v>8.3530924650263625</v>
      </c>
      <c r="T3" s="199">
        <f>'SER_se-appl'!T9</f>
        <v>8.898713406201086</v>
      </c>
      <c r="U3" s="199">
        <f>'SER_se-appl'!U9</f>
        <v>9.271541031108498</v>
      </c>
      <c r="V3" s="199">
        <f>'SER_se-appl'!V9</f>
        <v>8.4723203689678765</v>
      </c>
      <c r="W3" s="199">
        <f>'SER_se-appl'!W9</f>
        <v>8.6362586976035605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12.448744660910407</v>
      </c>
      <c r="C5" s="59">
        <f>'SER_se-appl'!C17</f>
        <v>15.733230724487568</v>
      </c>
      <c r="D5" s="59">
        <f>'SER_se-appl'!D17</f>
        <v>18.579039282214168</v>
      </c>
      <c r="E5" s="59">
        <f>'SER_se-appl'!E17</f>
        <v>21.34959659829104</v>
      </c>
      <c r="F5" s="59">
        <f>'SER_se-appl'!F17</f>
        <v>23.537528379451974</v>
      </c>
      <c r="G5" s="59">
        <f>'SER_se-appl'!G17</f>
        <v>24.708736348626054</v>
      </c>
      <c r="H5" s="59">
        <f>'SER_se-appl'!H17</f>
        <v>27.576794771095944</v>
      </c>
      <c r="I5" s="59">
        <f>'SER_se-appl'!I17</f>
        <v>28.931989073701985</v>
      </c>
      <c r="J5" s="59">
        <f>'SER_se-appl'!J17</f>
        <v>29.679509936118581</v>
      </c>
      <c r="K5" s="59">
        <f>'SER_se-appl'!K17</f>
        <v>30.15462854643463</v>
      </c>
      <c r="L5" s="59">
        <f>'SER_se-appl'!L17</f>
        <v>33.67694524204741</v>
      </c>
      <c r="M5" s="59">
        <f>'SER_se-appl'!M17</f>
        <v>34.667985605184626</v>
      </c>
      <c r="N5" s="59">
        <f>'SER_se-appl'!N17</f>
        <v>36.563847441663967</v>
      </c>
      <c r="O5" s="59">
        <f>'SER_se-appl'!O17</f>
        <v>39.29339594727827</v>
      </c>
      <c r="P5" s="59">
        <f>'SER_se-appl'!P17</f>
        <v>42.753889240531649</v>
      </c>
      <c r="Q5" s="59">
        <f>'SER_se-appl'!Q17</f>
        <v>45.974355558597132</v>
      </c>
      <c r="R5" s="59">
        <f>'SER_se-appl'!R17</f>
        <v>47.856476100074438</v>
      </c>
      <c r="S5" s="59">
        <f>'SER_se-appl'!S17</f>
        <v>50.563956559205309</v>
      </c>
      <c r="T5" s="59">
        <f>'SER_se-appl'!T17</f>
        <v>53.108458642079611</v>
      </c>
      <c r="U5" s="59">
        <f>'SER_se-appl'!U17</f>
        <v>53.984096757304485</v>
      </c>
      <c r="V5" s="59">
        <f>'SER_se-appl'!V17</f>
        <v>53.214875980128404</v>
      </c>
      <c r="W5" s="59">
        <f>'SER_se-appl'!W17</f>
        <v>52.802343734883642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8.4993804511258098E-2</v>
      </c>
      <c r="C6" s="202">
        <f>'SER_se-appl'!C73</f>
        <v>0.10977363996666196</v>
      </c>
      <c r="D6" s="202">
        <f>'SER_se-appl'!D73</f>
        <v>0.13231677416720691</v>
      </c>
      <c r="E6" s="202">
        <f>'SER_se-appl'!E73</f>
        <v>0.15557291952380939</v>
      </c>
      <c r="F6" s="202">
        <f>'SER_se-appl'!F73</f>
        <v>0.17580155406401665</v>
      </c>
      <c r="G6" s="202">
        <f>'SER_se-appl'!G73</f>
        <v>0.18887117033869905</v>
      </c>
      <c r="H6" s="202">
        <f>'SER_se-appl'!H73</f>
        <v>0.22266615347140789</v>
      </c>
      <c r="I6" s="202">
        <f>'SER_se-appl'!I73</f>
        <v>0.24479437021301598</v>
      </c>
      <c r="J6" s="202">
        <f>'SER_se-appl'!J73</f>
        <v>0.26220153715894562</v>
      </c>
      <c r="K6" s="202">
        <f>'SER_se-appl'!K73</f>
        <v>0.27743945381088808</v>
      </c>
      <c r="L6" s="202">
        <f>'SER_se-appl'!L73</f>
        <v>0.32682767334585905</v>
      </c>
      <c r="M6" s="202">
        <f>'SER_se-appl'!M73</f>
        <v>0.36866166827773661</v>
      </c>
      <c r="N6" s="202">
        <f>'SER_se-appl'!N73</f>
        <v>0.41437751196845324</v>
      </c>
      <c r="O6" s="202">
        <f>'SER_se-appl'!O73</f>
        <v>0.46490035491743453</v>
      </c>
      <c r="P6" s="202">
        <f>'SER_se-appl'!P73</f>
        <v>0.51565144102260252</v>
      </c>
      <c r="Q6" s="202">
        <f>'SER_se-appl'!Q73</f>
        <v>0.55735477725626403</v>
      </c>
      <c r="R6" s="202">
        <f>'SER_se-appl'!R73</f>
        <v>0.57934669996482657</v>
      </c>
      <c r="S6" s="202">
        <f>'SER_se-appl'!S73</f>
        <v>0.60972688112178464</v>
      </c>
      <c r="T6" s="202">
        <f>'SER_se-appl'!T73</f>
        <v>0.63034911647945013</v>
      </c>
      <c r="U6" s="202">
        <f>'SER_se-appl'!U73</f>
        <v>0.6282554481908954</v>
      </c>
      <c r="V6" s="202">
        <f>'SER_se-appl'!V73</f>
        <v>0.60764386673680815</v>
      </c>
      <c r="W6" s="202">
        <f>'SER_se-appl'!W73</f>
        <v>0.61781611066331277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33.042106447992182</v>
      </c>
      <c r="C8" s="34">
        <f>'SER_se-appl'!C25</f>
        <v>42.967049287550992</v>
      </c>
      <c r="D8" s="34">
        <f>'SER_se-appl'!D25</f>
        <v>52.2176240741207</v>
      </c>
      <c r="E8" s="34">
        <f>'SER_se-appl'!E25</f>
        <v>61.808498635131372</v>
      </c>
      <c r="F8" s="34">
        <f>'SER_se-appl'!F25</f>
        <v>70.297240018916142</v>
      </c>
      <c r="G8" s="34">
        <f>'SER_se-appl'!G25</f>
        <v>76.052376417943265</v>
      </c>
      <c r="H8" s="34">
        <f>'SER_se-appl'!H25</f>
        <v>90.17956948976672</v>
      </c>
      <c r="I8" s="34">
        <f>'SER_se-appl'!I25</f>
        <v>99.292513268322679</v>
      </c>
      <c r="J8" s="34">
        <f>'SER_se-appl'!J25</f>
        <v>106.93417730260711</v>
      </c>
      <c r="K8" s="34">
        <f>'SER_se-appl'!K25</f>
        <v>114.007084996693</v>
      </c>
      <c r="L8" s="34">
        <f>'SER_se-appl'!L25</f>
        <v>135.315481112366</v>
      </c>
      <c r="M8" s="34">
        <f>'SER_se-appl'!M25</f>
        <v>152.99053705690963</v>
      </c>
      <c r="N8" s="34">
        <f>'SER_se-appl'!N25</f>
        <v>173.02167261237977</v>
      </c>
      <c r="O8" s="34">
        <f>'SER_se-appl'!O25</f>
        <v>196.42458405581036</v>
      </c>
      <c r="P8" s="34">
        <f>'SER_se-appl'!P25</f>
        <v>221.43310440969003</v>
      </c>
      <c r="Q8" s="34">
        <f>'SER_se-appl'!Q25</f>
        <v>245.06387936658402</v>
      </c>
      <c r="R8" s="34">
        <f>'SER_se-appl'!R25</f>
        <v>260.94644386465734</v>
      </c>
      <c r="S8" s="34">
        <f>'SER_se-appl'!S25</f>
        <v>280.65545419971414</v>
      </c>
      <c r="T8" s="34">
        <f>'SER_se-appl'!T25</f>
        <v>299.85770505839093</v>
      </c>
      <c r="U8" s="34">
        <f>'SER_se-appl'!U25</f>
        <v>310.08113075365014</v>
      </c>
      <c r="V8" s="34">
        <f>'SER_se-appl'!V25</f>
        <v>312.671658643559</v>
      </c>
      <c r="W8" s="34">
        <f>'SER_se-appl'!W25</f>
        <v>318.85489471333574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16.533364129157246</v>
      </c>
      <c r="D9" s="36">
        <f>'SER_se-appl'!D33</f>
        <v>15.858996076168147</v>
      </c>
      <c r="E9" s="36">
        <f>'SER_se-appl'!E33</f>
        <v>16.199295850609111</v>
      </c>
      <c r="F9" s="36">
        <f>'SER_se-appl'!F33</f>
        <v>15.09716267338321</v>
      </c>
      <c r="G9" s="36">
        <f>'SER_se-appl'!G33</f>
        <v>12.363557688625562</v>
      </c>
      <c r="H9" s="36">
        <f>'SER_se-appl'!H33</f>
        <v>30.660557200980705</v>
      </c>
      <c r="I9" s="36">
        <f>'SER_se-appl'!I33</f>
        <v>24.971939854724113</v>
      </c>
      <c r="J9" s="36">
        <f>'SER_se-appl'!J33</f>
        <v>23.84095988489355</v>
      </c>
      <c r="K9" s="36">
        <f>'SER_se-appl'!K33</f>
        <v>22.170070367469094</v>
      </c>
      <c r="L9" s="36">
        <f>'SER_se-appl'!L33</f>
        <v>33.671953804298568</v>
      </c>
      <c r="M9" s="36">
        <f>'SER_se-appl'!M33</f>
        <v>48.335613145524334</v>
      </c>
      <c r="N9" s="36">
        <f>'SER_se-appl'!N33</f>
        <v>45.00307541019427</v>
      </c>
      <c r="O9" s="36">
        <f>'SER_se-appl'!O33</f>
        <v>47.243871328324133</v>
      </c>
      <c r="P9" s="36">
        <f>'SER_se-appl'!P33</f>
        <v>47.178590721348769</v>
      </c>
      <c r="Q9" s="36">
        <f>'SER_se-appl'!Q33</f>
        <v>57.302728761192554</v>
      </c>
      <c r="R9" s="36">
        <f>'SER_se-appl'!R33</f>
        <v>64.218177643597642</v>
      </c>
      <c r="S9" s="36">
        <f>'SER_se-appl'!S33</f>
        <v>64.712085745251073</v>
      </c>
      <c r="T9" s="36">
        <f>'SER_se-appl'!T33</f>
        <v>66.446122187000924</v>
      </c>
      <c r="U9" s="36">
        <f>'SER_se-appl'!U33</f>
        <v>57.402016416607978</v>
      </c>
      <c r="V9" s="36">
        <f>'SER_se-appl'!V33</f>
        <v>59.89325665110141</v>
      </c>
      <c r="W9" s="36">
        <f>'SER_se-appl'!W33</f>
        <v>70.401413713374382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6.6084212895984393</v>
      </c>
      <c r="D10" s="38">
        <f>'SER_se-appl'!D41</f>
        <v>6.6084212895984393</v>
      </c>
      <c r="E10" s="38">
        <f>'SER_se-appl'!E41</f>
        <v>6.6084212895984393</v>
      </c>
      <c r="F10" s="38">
        <f>'SER_se-appl'!F41</f>
        <v>6.6084212895984393</v>
      </c>
      <c r="G10" s="38">
        <f>'SER_se-appl'!G41</f>
        <v>6.6084212895984393</v>
      </c>
      <c r="H10" s="38">
        <f>'SER_se-appl'!H41</f>
        <v>16.533364129157249</v>
      </c>
      <c r="I10" s="38">
        <f>'SER_se-appl'!I41</f>
        <v>15.858996076168154</v>
      </c>
      <c r="J10" s="38">
        <f>'SER_se-appl'!J41</f>
        <v>16.199295850609118</v>
      </c>
      <c r="K10" s="38">
        <f>'SER_se-appl'!K41</f>
        <v>15.09716267338321</v>
      </c>
      <c r="L10" s="38">
        <f>'SER_se-appl'!L41</f>
        <v>12.363557688625576</v>
      </c>
      <c r="M10" s="38">
        <f>'SER_se-appl'!M41</f>
        <v>30.660557200980719</v>
      </c>
      <c r="N10" s="38">
        <f>'SER_se-appl'!N41</f>
        <v>24.971939854724127</v>
      </c>
      <c r="O10" s="38">
        <f>'SER_se-appl'!O41</f>
        <v>23.84095988489355</v>
      </c>
      <c r="P10" s="38">
        <f>'SER_se-appl'!P41</f>
        <v>22.170070367469094</v>
      </c>
      <c r="Q10" s="38">
        <f>'SER_se-appl'!Q41</f>
        <v>33.671953804298568</v>
      </c>
      <c r="R10" s="38">
        <f>'SER_se-appl'!R41</f>
        <v>48.335613145524349</v>
      </c>
      <c r="S10" s="38">
        <f>'SER_se-appl'!S41</f>
        <v>45.003075410194299</v>
      </c>
      <c r="T10" s="38">
        <f>'SER_se-appl'!T41</f>
        <v>47.243871328324133</v>
      </c>
      <c r="U10" s="38">
        <f>'SER_se-appl'!U41</f>
        <v>47.178590721348769</v>
      </c>
      <c r="V10" s="38">
        <f>'SER_se-appl'!V41</f>
        <v>57.302728761192554</v>
      </c>
      <c r="W10" s="38">
        <f>'SER_se-appl'!W41</f>
        <v>64.218177643597642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1575.2493099593376</v>
      </c>
      <c r="C12" s="205">
        <f>'SER_se-appl'!C49</f>
        <v>1589.3648980102068</v>
      </c>
      <c r="D12" s="205">
        <f>'SER_se-appl'!D49</f>
        <v>1619.4615650156165</v>
      </c>
      <c r="E12" s="205">
        <f>'SER_se-appl'!E49</f>
        <v>1646.699999178551</v>
      </c>
      <c r="F12" s="205">
        <f>'SER_se-appl'!F49</f>
        <v>1677.3617174364422</v>
      </c>
      <c r="G12" s="205">
        <f>'SER_se-appl'!G49</f>
        <v>1704.6608915831214</v>
      </c>
      <c r="H12" s="205">
        <f>'SER_se-appl'!H49</f>
        <v>1731.7253519014287</v>
      </c>
      <c r="I12" s="205">
        <f>'SER_se-appl'!I49</f>
        <v>1752.3229703087679</v>
      </c>
      <c r="J12" s="205">
        <f>'SER_se-appl'!J49</f>
        <v>1771.6778508003472</v>
      </c>
      <c r="K12" s="205">
        <f>'SER_se-appl'!K49</f>
        <v>1788.4490380273865</v>
      </c>
      <c r="L12" s="205">
        <f>'SER_se-appl'!L49</f>
        <v>1809.486291060505</v>
      </c>
      <c r="M12" s="205">
        <f>'SER_se-appl'!M49</f>
        <v>1831.6999742932981</v>
      </c>
      <c r="N12" s="205">
        <f>'SER_se-appl'!N49</f>
        <v>1846.6352631148657</v>
      </c>
      <c r="O12" s="205">
        <f>'SER_se-appl'!O49</f>
        <v>1862.5985190790311</v>
      </c>
      <c r="P12" s="205">
        <f>'SER_se-appl'!P49</f>
        <v>1881.432050885194</v>
      </c>
      <c r="Q12" s="205">
        <f>'SER_se-appl'!Q49</f>
        <v>1900.2255338242921</v>
      </c>
      <c r="R12" s="205">
        <f>'SER_se-appl'!R49</f>
        <v>1906.3182328674914</v>
      </c>
      <c r="S12" s="205">
        <f>'SER_se-appl'!S49</f>
        <v>1921.2591731129239</v>
      </c>
      <c r="T12" s="205">
        <f>'SER_se-appl'!T49</f>
        <v>1948.6921586558421</v>
      </c>
      <c r="U12" s="205">
        <f>'SER_se-appl'!U49</f>
        <v>1997.4034700729121</v>
      </c>
      <c r="V12" s="205">
        <f>'SER_se-appl'!V49</f>
        <v>1851.6079212115576</v>
      </c>
      <c r="W12" s="205">
        <f>'SER_se-appl'!W49</f>
        <v>1902.1823947328755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376.7539663521319</v>
      </c>
      <c r="C14" s="59">
        <f>'SER_se-appl'!C57</f>
        <v>366.16968084531737</v>
      </c>
      <c r="D14" s="59">
        <f>'SER_se-appl'!D57</f>
        <v>355.80016539707003</v>
      </c>
      <c r="E14" s="59">
        <f>'SER_se-appl'!E57</f>
        <v>345.41522718942292</v>
      </c>
      <c r="F14" s="59">
        <f>'SER_se-appl'!F57</f>
        <v>334.82862731336689</v>
      </c>
      <c r="G14" s="59">
        <f>'SER_se-appl'!G57</f>
        <v>324.89104893764306</v>
      </c>
      <c r="H14" s="59">
        <f>'SER_se-appl'!H57</f>
        <v>305.79869616948292</v>
      </c>
      <c r="I14" s="59">
        <f>'SER_se-appl'!I57</f>
        <v>291.3813753058879</v>
      </c>
      <c r="J14" s="59">
        <f>'SER_se-appl'!J57</f>
        <v>277.5493362812357</v>
      </c>
      <c r="K14" s="59">
        <f>'SER_se-appl'!K57</f>
        <v>264.49784719352596</v>
      </c>
      <c r="L14" s="59">
        <f>'SER_se-appl'!L57</f>
        <v>248.87725310662771</v>
      </c>
      <c r="M14" s="59">
        <f>'SER_se-appl'!M57</f>
        <v>226.60215639539055</v>
      </c>
      <c r="N14" s="59">
        <f>'SER_se-appl'!N57</f>
        <v>211.32524550018601</v>
      </c>
      <c r="O14" s="59">
        <f>'SER_se-appl'!O57</f>
        <v>200.04316738740704</v>
      </c>
      <c r="P14" s="59">
        <f>'SER_se-appl'!P57</f>
        <v>193.07812783688146</v>
      </c>
      <c r="Q14" s="59">
        <f>'SER_se-appl'!Q57</f>
        <v>187.60151711230122</v>
      </c>
      <c r="R14" s="59">
        <f>'SER_se-appl'!R57</f>
        <v>183.39577804285278</v>
      </c>
      <c r="S14" s="59">
        <f>'SER_se-appl'!S57</f>
        <v>180.16381225651881</v>
      </c>
      <c r="T14" s="59">
        <f>'SER_se-appl'!T57</f>
        <v>177.11220270874102</v>
      </c>
      <c r="U14" s="59">
        <f>'SER_se-appl'!U57</f>
        <v>174.09668439384393</v>
      </c>
      <c r="V14" s="59">
        <f>'SER_se-appl'!V57</f>
        <v>170.19411420589469</v>
      </c>
      <c r="W14" s="59">
        <f>'SER_se-appl'!W57</f>
        <v>165.59991585625562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349.2474338949657</v>
      </c>
      <c r="D15" s="63">
        <f>'SER_se-appl'!D65</f>
        <v>336.43727914950472</v>
      </c>
      <c r="E15" s="63">
        <f>'SER_se-appl'!E65</f>
        <v>324.72437671179102</v>
      </c>
      <c r="F15" s="63">
        <f>'SER_se-appl'!F65</f>
        <v>309.83839907812074</v>
      </c>
      <c r="G15" s="63">
        <f>'SER_se-appl'!G65</f>
        <v>296.1086924618981</v>
      </c>
      <c r="H15" s="63">
        <f>'SER_se-appl'!H65</f>
        <v>281.87007044844898</v>
      </c>
      <c r="I15" s="63">
        <f>'SER_se-appl'!I65</f>
        <v>267.93079878610183</v>
      </c>
      <c r="J15" s="63">
        <f>'SER_se-appl'!J65</f>
        <v>251.99602447560463</v>
      </c>
      <c r="K15" s="63">
        <f>'SER_se-appl'!K65</f>
        <v>232.42142394008573</v>
      </c>
      <c r="L15" s="63">
        <f>'SER_se-appl'!L65</f>
        <v>213.33105998891952</v>
      </c>
      <c r="M15" s="63">
        <f>'SER_se-appl'!M65</f>
        <v>199.30095336461761</v>
      </c>
      <c r="N15" s="63">
        <f>'SER_se-appl'!N65</f>
        <v>190.80059641988348</v>
      </c>
      <c r="O15" s="63">
        <f>'SER_se-appl'!O65</f>
        <v>184.94199079429654</v>
      </c>
      <c r="P15" s="63">
        <f>'SER_se-appl'!P65</f>
        <v>182.56782335413959</v>
      </c>
      <c r="Q15" s="63">
        <f>'SER_se-appl'!Q65</f>
        <v>181.55749542734176</v>
      </c>
      <c r="R15" s="63">
        <f>'SER_se-appl'!R65</f>
        <v>179.31767523446237</v>
      </c>
      <c r="S15" s="63">
        <f>'SER_se-appl'!S65</f>
        <v>174.52835831294092</v>
      </c>
      <c r="T15" s="63">
        <f>'SER_se-appl'!T65</f>
        <v>169.78985872814812</v>
      </c>
      <c r="U15" s="63">
        <f>'SER_se-appl'!U65</f>
        <v>165.30657500372971</v>
      </c>
      <c r="V15" s="63">
        <f>'SER_se-appl'!V65</f>
        <v>160.86150055226904</v>
      </c>
      <c r="W15" s="63">
        <f>'SER_se-appl'!W65</f>
        <v>157.70879435464579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0</v>
      </c>
      <c r="C3" s="220">
        <v>0</v>
      </c>
      <c r="D3" s="220">
        <v>0</v>
      </c>
      <c r="E3" s="220">
        <v>0</v>
      </c>
      <c r="F3" s="220">
        <v>0</v>
      </c>
      <c r="G3" s="220">
        <v>119.9574834235967</v>
      </c>
      <c r="H3" s="220">
        <v>124.9907185110017</v>
      </c>
      <c r="I3" s="220">
        <v>127.5157289448675</v>
      </c>
      <c r="J3" s="220">
        <v>76.67478471631496</v>
      </c>
      <c r="K3" s="220">
        <v>103.5203823705133</v>
      </c>
      <c r="L3" s="220">
        <v>95.810111685947106</v>
      </c>
      <c r="M3" s="220">
        <v>75.342991566410404</v>
      </c>
      <c r="N3" s="220">
        <v>83.413848631239929</v>
      </c>
      <c r="O3" s="220">
        <v>89.746703128464489</v>
      </c>
      <c r="P3" s="220">
        <v>91.281998026896517</v>
      </c>
      <c r="Q3" s="220">
        <v>92.3</v>
      </c>
      <c r="R3" s="220">
        <v>95.911255092524428</v>
      </c>
      <c r="S3" s="220">
        <v>76.296367296079737</v>
      </c>
      <c r="T3" s="220">
        <v>81.940904370810912</v>
      </c>
      <c r="U3" s="220">
        <v>61.508009915276183</v>
      </c>
      <c r="V3" s="220">
        <v>92.553944431337669</v>
      </c>
      <c r="W3" s="220">
        <v>123.0845850786621</v>
      </c>
      <c r="DA3" s="211" t="s">
        <v>972</v>
      </c>
    </row>
    <row r="5" spans="1:105" x14ac:dyDescent="0.25">
      <c r="A5" s="219" t="s">
        <v>120</v>
      </c>
      <c r="B5" s="220">
        <v>0</v>
      </c>
      <c r="C5" s="220">
        <v>0</v>
      </c>
      <c r="D5" s="220">
        <v>0</v>
      </c>
      <c r="E5" s="220">
        <v>0</v>
      </c>
      <c r="F5" s="220">
        <v>0</v>
      </c>
      <c r="G5" s="220">
        <v>53.204910368033943</v>
      </c>
      <c r="H5" s="220">
        <v>34.949122952928867</v>
      </c>
      <c r="I5" s="220">
        <v>44.901148676172589</v>
      </c>
      <c r="J5" s="220">
        <v>44.228014536307192</v>
      </c>
      <c r="K5" s="220">
        <v>33.391266365858073</v>
      </c>
      <c r="L5" s="220">
        <v>56.283147182849703</v>
      </c>
      <c r="M5" s="220">
        <v>45.249264502413112</v>
      </c>
      <c r="N5" s="220">
        <v>52.785958205832877</v>
      </c>
      <c r="O5" s="220">
        <v>38.212122939559848</v>
      </c>
      <c r="P5" s="220">
        <v>39.727728959543157</v>
      </c>
      <c r="Q5" s="220">
        <v>31.127447031134579</v>
      </c>
      <c r="R5" s="220">
        <v>37.975721366743883</v>
      </c>
      <c r="S5" s="220">
        <v>51.399839478860997</v>
      </c>
      <c r="T5" s="220">
        <v>93.194220300268384</v>
      </c>
      <c r="U5" s="220">
        <v>117.23484656454291</v>
      </c>
      <c r="V5" s="220">
        <v>100.8920633855698</v>
      </c>
      <c r="W5" s="220">
        <v>110.3151256144148</v>
      </c>
      <c r="DA5" s="211" t="s">
        <v>973</v>
      </c>
    </row>
    <row r="6" spans="1:105" x14ac:dyDescent="0.25">
      <c r="A6" s="221" t="s">
        <v>119</v>
      </c>
      <c r="B6" s="222">
        <v>0</v>
      </c>
      <c r="C6" s="222">
        <v>0</v>
      </c>
      <c r="D6" s="222">
        <v>0</v>
      </c>
      <c r="E6" s="222">
        <v>0</v>
      </c>
      <c r="F6" s="222">
        <v>0</v>
      </c>
      <c r="G6" s="222">
        <v>56.530217266036047</v>
      </c>
      <c r="H6" s="222">
        <v>56.530217266036047</v>
      </c>
      <c r="I6" s="222">
        <v>56.530217266036047</v>
      </c>
      <c r="J6" s="222">
        <v>56.530217266036047</v>
      </c>
      <c r="K6" s="222">
        <v>56.530217266036047</v>
      </c>
      <c r="L6" s="222">
        <v>59.855524164038172</v>
      </c>
      <c r="M6" s="222">
        <v>59.855524164038172</v>
      </c>
      <c r="N6" s="222">
        <v>59.855524164038172</v>
      </c>
      <c r="O6" s="222">
        <v>59.855524164038172</v>
      </c>
      <c r="P6" s="222">
        <v>59.855524164038172</v>
      </c>
      <c r="Q6" s="222">
        <v>59.855524164038172</v>
      </c>
      <c r="R6" s="222">
        <v>59.855524164038172</v>
      </c>
      <c r="S6" s="222">
        <v>59.855524164038172</v>
      </c>
      <c r="T6" s="222">
        <v>99.759206940063621</v>
      </c>
      <c r="U6" s="222">
        <v>126.3616621240806</v>
      </c>
      <c r="V6" s="222">
        <v>126.3616621240806</v>
      </c>
      <c r="W6" s="222">
        <v>126.3616621240806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56.530217266036047</v>
      </c>
      <c r="H7" s="226">
        <v>0</v>
      </c>
      <c r="I7" s="226">
        <v>0</v>
      </c>
      <c r="J7" s="226">
        <v>0</v>
      </c>
      <c r="K7" s="226">
        <v>0</v>
      </c>
      <c r="L7" s="226">
        <v>3.3253068980021254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39.903682776025448</v>
      </c>
      <c r="U7" s="226">
        <v>26.602455184016975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0</v>
      </c>
      <c r="D8" s="228">
        <f t="shared" ref="D8" si="1">IF(C6=0,0,C6+D7-D6)</f>
        <v>0</v>
      </c>
      <c r="E8" s="228">
        <f t="shared" ref="E8" si="2">IF(D6=0,0,D6+E7-E6)</f>
        <v>0</v>
      </c>
      <c r="F8" s="228">
        <f t="shared" ref="F8" si="3">IF(E6=0,0,E6+F7-F6)</f>
        <v>0</v>
      </c>
      <c r="G8" s="228">
        <f t="shared" ref="G8" si="4">IF(F6=0,0,F6+G7-G6)</f>
        <v>0</v>
      </c>
      <c r="H8" s="228">
        <f t="shared" ref="H8" si="5">IF(G6=0,0,G6+H7-H6)</f>
        <v>0</v>
      </c>
      <c r="I8" s="228">
        <f t="shared" ref="I8" si="6">IF(H6=0,0,H6+I7-I6)</f>
        <v>0</v>
      </c>
      <c r="J8" s="228">
        <f t="shared" ref="J8" si="7">IF(I6=0,0,I6+J7-J6)</f>
        <v>0</v>
      </c>
      <c r="K8" s="228">
        <f t="shared" ref="K8" si="8">IF(J6=0,0,J6+K7-K6)</f>
        <v>0</v>
      </c>
      <c r="L8" s="228">
        <f t="shared" ref="L8" si="9">IF(K6=0,0,K6+L7-L6)</f>
        <v>0</v>
      </c>
      <c r="M8" s="228">
        <f t="shared" ref="M8" si="10">IF(L6=0,0,L6+M7-M6)</f>
        <v>0</v>
      </c>
      <c r="N8" s="228">
        <f t="shared" ref="N8" si="11">IF(M6=0,0,M6+N7-N6)</f>
        <v>0</v>
      </c>
      <c r="O8" s="228">
        <f t="shared" ref="O8" si="12">IF(N6=0,0,N6+O7-O6)</f>
        <v>0</v>
      </c>
      <c r="P8" s="228">
        <f t="shared" ref="P8" si="13">IF(O6=0,0,O6+P7-P6)</f>
        <v>0</v>
      </c>
      <c r="Q8" s="228">
        <f t="shared" ref="Q8" si="14">IF(P6=0,0,P6+Q7-Q6)</f>
        <v>0</v>
      </c>
      <c r="R8" s="228">
        <f t="shared" ref="R8" si="15">IF(Q6=0,0,Q6+R7-R6)</f>
        <v>0</v>
      </c>
      <c r="S8" s="228">
        <f t="shared" ref="S8" si="16">IF(R6=0,0,R6+S7-S6)</f>
        <v>0</v>
      </c>
      <c r="T8" s="228">
        <f t="shared" ref="T8" si="17">IF(S6=0,0,S6+T7-T6)</f>
        <v>0</v>
      </c>
      <c r="U8" s="228">
        <f t="shared" ref="U8" si="18">IF(T6=0,0,T6+U7-U6)</f>
        <v>0</v>
      </c>
      <c r="V8" s="228">
        <f t="shared" ref="V8" si="19">IF(U6=0,0,U6+V7-V6)</f>
        <v>0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0</v>
      </c>
      <c r="C9" s="224">
        <f t="shared" ref="C9:W9" si="21">C6-C5</f>
        <v>0</v>
      </c>
      <c r="D9" s="224">
        <f t="shared" si="21"/>
        <v>0</v>
      </c>
      <c r="E9" s="224">
        <f t="shared" si="21"/>
        <v>0</v>
      </c>
      <c r="F9" s="224">
        <f t="shared" si="21"/>
        <v>0</v>
      </c>
      <c r="G9" s="224">
        <f t="shared" si="21"/>
        <v>3.3253068980021041</v>
      </c>
      <c r="H9" s="224">
        <f t="shared" si="21"/>
        <v>21.58109431310718</v>
      </c>
      <c r="I9" s="224">
        <f t="shared" si="21"/>
        <v>11.629068589863458</v>
      </c>
      <c r="J9" s="224">
        <f t="shared" si="21"/>
        <v>12.302202729728855</v>
      </c>
      <c r="K9" s="224">
        <f t="shared" si="21"/>
        <v>23.138950900177974</v>
      </c>
      <c r="L9" s="224">
        <f t="shared" si="21"/>
        <v>3.5723769811884694</v>
      </c>
      <c r="M9" s="224">
        <f t="shared" si="21"/>
        <v>14.60625966162506</v>
      </c>
      <c r="N9" s="224">
        <f t="shared" si="21"/>
        <v>7.0695659582052954</v>
      </c>
      <c r="O9" s="224">
        <f t="shared" si="21"/>
        <v>21.643401224478325</v>
      </c>
      <c r="P9" s="224">
        <f t="shared" si="21"/>
        <v>20.127795204495015</v>
      </c>
      <c r="Q9" s="224">
        <f t="shared" si="21"/>
        <v>28.728077132903593</v>
      </c>
      <c r="R9" s="224">
        <f t="shared" si="21"/>
        <v>21.879802797294289</v>
      </c>
      <c r="S9" s="224">
        <f t="shared" si="21"/>
        <v>8.4556846851771752</v>
      </c>
      <c r="T9" s="224">
        <f t="shared" si="21"/>
        <v>6.5649866397952366</v>
      </c>
      <c r="U9" s="224">
        <f t="shared" si="21"/>
        <v>9.1268155595376896</v>
      </c>
      <c r="V9" s="224">
        <f t="shared" si="21"/>
        <v>25.469598738510797</v>
      </c>
      <c r="W9" s="224">
        <f t="shared" si="21"/>
        <v>16.046536509665799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0</v>
      </c>
      <c r="C12" s="230">
        <f t="shared" ref="C12:W12" si="22">SUM(C13,C14,C18,C19,C26,C27)</f>
        <v>0</v>
      </c>
      <c r="D12" s="230">
        <f t="shared" si="22"/>
        <v>0</v>
      </c>
      <c r="E12" s="230">
        <f t="shared" si="22"/>
        <v>0</v>
      </c>
      <c r="F12" s="230">
        <f t="shared" si="22"/>
        <v>0</v>
      </c>
      <c r="G12" s="230">
        <f t="shared" si="22"/>
        <v>8.216251074806534</v>
      </c>
      <c r="H12" s="230">
        <f t="shared" si="22"/>
        <v>5.1350816852966465</v>
      </c>
      <c r="I12" s="230">
        <f t="shared" si="22"/>
        <v>6.1621668099742042</v>
      </c>
      <c r="J12" s="230">
        <f t="shared" si="22"/>
        <v>6.1621668099742042</v>
      </c>
      <c r="K12" s="230">
        <f t="shared" si="22"/>
        <v>5.2210662080825454</v>
      </c>
      <c r="L12" s="230">
        <f t="shared" si="22"/>
        <v>8.1377472055030076</v>
      </c>
      <c r="M12" s="230">
        <f t="shared" si="22"/>
        <v>6.0091143594153049</v>
      </c>
      <c r="N12" s="230">
        <f t="shared" si="22"/>
        <v>7.1283748925193464</v>
      </c>
      <c r="O12" s="230">
        <f t="shared" si="22"/>
        <v>5.080309544282029</v>
      </c>
      <c r="P12" s="230">
        <f t="shared" si="22"/>
        <v>5.1709372312983666</v>
      </c>
      <c r="Q12" s="230">
        <f t="shared" si="22"/>
        <v>4.1374032674118659</v>
      </c>
      <c r="R12" s="230">
        <f t="shared" si="22"/>
        <v>5.141358555460017</v>
      </c>
      <c r="S12" s="230">
        <f t="shared" si="22"/>
        <v>6.4199484092863282</v>
      </c>
      <c r="T12" s="230">
        <f t="shared" si="22"/>
        <v>13.166466036113496</v>
      </c>
      <c r="U12" s="230">
        <f t="shared" si="22"/>
        <v>16.6487532244196</v>
      </c>
      <c r="V12" s="230">
        <f t="shared" si="22"/>
        <v>14.995184866723989</v>
      </c>
      <c r="W12" s="230">
        <f t="shared" si="22"/>
        <v>15.724333619948409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0</v>
      </c>
      <c r="C14" s="55">
        <f t="shared" ref="C14:W14" si="23">SUM(C15:C17)</f>
        <v>0</v>
      </c>
      <c r="D14" s="55">
        <f t="shared" si="23"/>
        <v>0</v>
      </c>
      <c r="E14" s="55">
        <f t="shared" si="23"/>
        <v>0</v>
      </c>
      <c r="F14" s="55">
        <f t="shared" si="23"/>
        <v>0</v>
      </c>
      <c r="G14" s="55">
        <f t="shared" si="23"/>
        <v>8.216251074806534</v>
      </c>
      <c r="H14" s="55">
        <f t="shared" si="23"/>
        <v>5.1350816852966465</v>
      </c>
      <c r="I14" s="55">
        <f t="shared" si="23"/>
        <v>6.1621668099742042</v>
      </c>
      <c r="J14" s="55">
        <f t="shared" si="23"/>
        <v>6.1621668099742042</v>
      </c>
      <c r="K14" s="55">
        <f t="shared" si="23"/>
        <v>5.1350816852966465</v>
      </c>
      <c r="L14" s="55">
        <f t="shared" si="23"/>
        <v>7.1892519346517618</v>
      </c>
      <c r="M14" s="55">
        <f t="shared" si="23"/>
        <v>5.1350816852966465</v>
      </c>
      <c r="N14" s="55">
        <f t="shared" si="23"/>
        <v>6.1621668099742042</v>
      </c>
      <c r="O14" s="55">
        <f t="shared" si="23"/>
        <v>4.1080825451418743</v>
      </c>
      <c r="P14" s="55">
        <f t="shared" si="23"/>
        <v>4.1080825451418743</v>
      </c>
      <c r="Q14" s="55">
        <f t="shared" si="23"/>
        <v>3.0810834049871021</v>
      </c>
      <c r="R14" s="55">
        <f t="shared" si="23"/>
        <v>4.1080825451418743</v>
      </c>
      <c r="S14" s="55">
        <f t="shared" si="23"/>
        <v>5.3357695614789336</v>
      </c>
      <c r="T14" s="55">
        <f t="shared" si="23"/>
        <v>11.377300085984521</v>
      </c>
      <c r="U14" s="55">
        <f t="shared" si="23"/>
        <v>14.872570937231297</v>
      </c>
      <c r="V14" s="55">
        <f t="shared" si="23"/>
        <v>12.985898538263113</v>
      </c>
      <c r="W14" s="55">
        <f t="shared" si="23"/>
        <v>13.876010318142733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5.1676698194325014E-2</v>
      </c>
      <c r="T15" s="55">
        <v>0.18125537403267411</v>
      </c>
      <c r="U15" s="55">
        <v>0.19226139294926911</v>
      </c>
      <c r="V15" s="55">
        <v>0.13955288048151329</v>
      </c>
      <c r="W15" s="55">
        <v>0.15055889939810829</v>
      </c>
      <c r="DA15" s="10" t="s">
        <v>980</v>
      </c>
    </row>
    <row r="16" spans="1:105" x14ac:dyDescent="0.25">
      <c r="A16" s="61" t="s">
        <v>172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7.1892519346517618</v>
      </c>
      <c r="H16" s="55">
        <v>4.1080825451418743</v>
      </c>
      <c r="I16" s="55">
        <v>5.135167669819432</v>
      </c>
      <c r="J16" s="55">
        <v>5.135167669819432</v>
      </c>
      <c r="K16" s="55">
        <v>4.1080825451418743</v>
      </c>
      <c r="L16" s="55">
        <v>6.1622527944969896</v>
      </c>
      <c r="M16" s="55">
        <v>4.1080825451418743</v>
      </c>
      <c r="N16" s="55">
        <v>5.135167669819432</v>
      </c>
      <c r="O16" s="55">
        <v>3.0810834049871021</v>
      </c>
      <c r="P16" s="55">
        <v>3.0810834049871021</v>
      </c>
      <c r="Q16" s="55">
        <v>3.0810834049871021</v>
      </c>
      <c r="R16" s="55">
        <v>3.0810834049871021</v>
      </c>
      <c r="S16" s="55">
        <v>4.4891659501289762</v>
      </c>
      <c r="T16" s="55">
        <v>10.245743766122096</v>
      </c>
      <c r="U16" s="55">
        <v>13.712037833190024</v>
      </c>
      <c r="V16" s="55">
        <v>11.936199484092864</v>
      </c>
      <c r="W16" s="55">
        <v>12.761994840928631</v>
      </c>
      <c r="DA16" s="10" t="s">
        <v>981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1.026999140154772</v>
      </c>
      <c r="H17" s="55">
        <v>1.026999140154772</v>
      </c>
      <c r="I17" s="55">
        <v>1.026999140154772</v>
      </c>
      <c r="J17" s="55">
        <v>1.026999140154772</v>
      </c>
      <c r="K17" s="55">
        <v>1.026999140154772</v>
      </c>
      <c r="L17" s="55">
        <v>1.026999140154772</v>
      </c>
      <c r="M17" s="55">
        <v>1.026999140154772</v>
      </c>
      <c r="N17" s="55">
        <v>1.026999140154772</v>
      </c>
      <c r="O17" s="55">
        <v>1.026999140154772</v>
      </c>
      <c r="P17" s="55">
        <v>1.026999140154772</v>
      </c>
      <c r="Q17" s="55">
        <v>0</v>
      </c>
      <c r="R17" s="55">
        <v>1.026999140154772</v>
      </c>
      <c r="S17" s="55">
        <v>0.79492691315563191</v>
      </c>
      <c r="T17" s="55">
        <v>0.95030094582975055</v>
      </c>
      <c r="U17" s="55">
        <v>0.96827171109200338</v>
      </c>
      <c r="V17" s="55">
        <v>0.91014617368873596</v>
      </c>
      <c r="W17" s="55">
        <v>0.96345657781599292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0</v>
      </c>
      <c r="J19" s="55">
        <f t="shared" si="24"/>
        <v>0</v>
      </c>
      <c r="K19" s="55">
        <f t="shared" si="24"/>
        <v>0</v>
      </c>
      <c r="L19" s="55">
        <f t="shared" si="24"/>
        <v>2.665520206362855E-3</v>
      </c>
      <c r="M19" s="55">
        <f t="shared" si="24"/>
        <v>1.4187446259673258E-2</v>
      </c>
      <c r="N19" s="55">
        <f t="shared" si="24"/>
        <v>2.0378331900257955E-2</v>
      </c>
      <c r="O19" s="55">
        <f t="shared" si="24"/>
        <v>2.6397248495270854E-2</v>
      </c>
      <c r="P19" s="55">
        <f t="shared" si="24"/>
        <v>3.1040412725709374E-2</v>
      </c>
      <c r="Q19" s="55">
        <f t="shared" si="24"/>
        <v>2.4505588993981083E-2</v>
      </c>
      <c r="R19" s="55">
        <f t="shared" si="24"/>
        <v>0</v>
      </c>
      <c r="S19" s="55">
        <f t="shared" si="24"/>
        <v>0</v>
      </c>
      <c r="T19" s="55">
        <f t="shared" si="24"/>
        <v>0.38710232158211522</v>
      </c>
      <c r="U19" s="55">
        <f t="shared" si="24"/>
        <v>0.41203783319002568</v>
      </c>
      <c r="V19" s="55">
        <f t="shared" si="24"/>
        <v>0.54600171969045563</v>
      </c>
      <c r="W19" s="55">
        <f t="shared" si="24"/>
        <v>0.41401547721410148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2.665520206362855E-3</v>
      </c>
      <c r="M22" s="55">
        <v>1.4187446259673258E-2</v>
      </c>
      <c r="N22" s="55">
        <v>2.0378331900257955E-2</v>
      </c>
      <c r="O22" s="55">
        <v>2.6397248495270854E-2</v>
      </c>
      <c r="P22" s="55">
        <v>3.1040412725709374E-2</v>
      </c>
      <c r="Q22" s="55">
        <v>2.4505588993981083E-2</v>
      </c>
      <c r="R22" s="55">
        <v>0</v>
      </c>
      <c r="S22" s="55">
        <v>0</v>
      </c>
      <c r="T22" s="55">
        <v>0.38710232158211522</v>
      </c>
      <c r="U22" s="55">
        <v>0.41203783319002568</v>
      </c>
      <c r="V22" s="55">
        <v>0.54600171969045563</v>
      </c>
      <c r="W22" s="55">
        <v>0.41401547721410148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8.5984522785898534E-2</v>
      </c>
      <c r="L27" s="63">
        <v>0.94582975064488384</v>
      </c>
      <c r="M27" s="63">
        <v>0.85984522785898532</v>
      </c>
      <c r="N27" s="63">
        <v>0.94582975064488384</v>
      </c>
      <c r="O27" s="63">
        <v>0.94582975064488384</v>
      </c>
      <c r="P27" s="63">
        <v>1.0318142734307825</v>
      </c>
      <c r="Q27" s="63">
        <v>1.0318142734307825</v>
      </c>
      <c r="R27" s="63">
        <v>1.0332760103181426</v>
      </c>
      <c r="S27" s="63">
        <v>1.0841788478073946</v>
      </c>
      <c r="T27" s="63">
        <v>1.4020636285468611</v>
      </c>
      <c r="U27" s="63">
        <v>1.3641444539982801</v>
      </c>
      <c r="V27" s="63">
        <v>1.4632846087704214</v>
      </c>
      <c r="W27" s="63">
        <v>1.4343078245915735</v>
      </c>
      <c r="DA27" s="11" t="s">
        <v>991</v>
      </c>
    </row>
    <row r="29" spans="1:105" x14ac:dyDescent="0.25">
      <c r="A29" s="219" t="s">
        <v>84</v>
      </c>
      <c r="B29" s="220">
        <v>0</v>
      </c>
      <c r="C29" s="220">
        <v>0</v>
      </c>
      <c r="D29" s="220">
        <v>0</v>
      </c>
      <c r="E29" s="220">
        <v>0</v>
      </c>
      <c r="F29" s="220">
        <v>0</v>
      </c>
      <c r="G29" s="220">
        <v>25.283859479999997</v>
      </c>
      <c r="H29" s="220">
        <v>15.72478164</v>
      </c>
      <c r="I29" s="220">
        <v>18.911229839999997</v>
      </c>
      <c r="J29" s="220">
        <v>18.911229839999997</v>
      </c>
      <c r="K29" s="220">
        <v>15.72478164</v>
      </c>
      <c r="L29" s="220">
        <v>22.097678039999998</v>
      </c>
      <c r="M29" s="220">
        <v>15.72478164</v>
      </c>
      <c r="N29" s="220">
        <v>18.911229839999997</v>
      </c>
      <c r="O29" s="220">
        <v>12.538600199999999</v>
      </c>
      <c r="P29" s="220">
        <v>12.538600199999999</v>
      </c>
      <c r="Q29" s="220">
        <v>9.5588110799999999</v>
      </c>
      <c r="R29" s="220">
        <v>12.538600199999999</v>
      </c>
      <c r="S29" s="220">
        <v>16.410809159999999</v>
      </c>
      <c r="T29" s="220">
        <v>35.093396519999999</v>
      </c>
      <c r="U29" s="220">
        <v>45.929408759999994</v>
      </c>
      <c r="V29" s="220">
        <v>40.159164960000005</v>
      </c>
      <c r="W29" s="220">
        <v>42.91524072</v>
      </c>
      <c r="DA29" s="8"/>
    </row>
    <row r="31" spans="1:105" x14ac:dyDescent="0.25">
      <c r="A31" s="33" t="s">
        <v>154</v>
      </c>
      <c r="B31" s="59" t="str">
        <f t="shared" ref="B31:W31" si="25">IF(B$12=0,"",B$12/B$3*1000)</f>
        <v/>
      </c>
      <c r="C31" s="59" t="str">
        <f t="shared" si="25"/>
        <v/>
      </c>
      <c r="D31" s="59" t="str">
        <f t="shared" si="25"/>
        <v/>
      </c>
      <c r="E31" s="59" t="str">
        <f t="shared" si="25"/>
        <v/>
      </c>
      <c r="F31" s="59" t="str">
        <f t="shared" si="25"/>
        <v/>
      </c>
      <c r="G31" s="59">
        <f t="shared" si="25"/>
        <v>68.493026364958936</v>
      </c>
      <c r="H31" s="59">
        <f t="shared" si="25"/>
        <v>41.083704025948585</v>
      </c>
      <c r="I31" s="59">
        <f t="shared" si="25"/>
        <v>48.324758529502418</v>
      </c>
      <c r="J31" s="59">
        <f t="shared" si="25"/>
        <v>80.367578895373285</v>
      </c>
      <c r="K31" s="59">
        <f t="shared" si="25"/>
        <v>50.435151885313282</v>
      </c>
      <c r="L31" s="59">
        <f t="shared" si="25"/>
        <v>84.936204146984707</v>
      </c>
      <c r="M31" s="59">
        <f t="shared" si="25"/>
        <v>79.756779422789776</v>
      </c>
      <c r="N31" s="59">
        <f t="shared" si="25"/>
        <v>85.457930661284053</v>
      </c>
      <c r="O31" s="59">
        <f t="shared" si="25"/>
        <v>56.607199676293561</v>
      </c>
      <c r="P31" s="59">
        <f t="shared" si="25"/>
        <v>56.647940920122437</v>
      </c>
      <c r="Q31" s="59">
        <f t="shared" si="25"/>
        <v>44.825604197311655</v>
      </c>
      <c r="R31" s="59">
        <f t="shared" si="25"/>
        <v>53.605372492521454</v>
      </c>
      <c r="S31" s="59">
        <f t="shared" si="25"/>
        <v>84.144876575482755</v>
      </c>
      <c r="T31" s="59">
        <f t="shared" si="25"/>
        <v>160.68245935547264</v>
      </c>
      <c r="U31" s="59">
        <f t="shared" si="25"/>
        <v>270.67618099418786</v>
      </c>
      <c r="V31" s="59">
        <f t="shared" si="25"/>
        <v>162.01562190413568</v>
      </c>
      <c r="W31" s="59">
        <f t="shared" si="25"/>
        <v>127.75225760316897</v>
      </c>
      <c r="DA31" s="212"/>
    </row>
    <row r="32" spans="1:105" x14ac:dyDescent="0.25">
      <c r="A32" s="35" t="s">
        <v>112</v>
      </c>
      <c r="B32" s="55" t="str">
        <f t="shared" ref="B32:W32" si="26">IF(B$12=0,"",B$12/B$5*1000)</f>
        <v/>
      </c>
      <c r="C32" s="55" t="str">
        <f t="shared" si="26"/>
        <v/>
      </c>
      <c r="D32" s="55" t="str">
        <f t="shared" si="26"/>
        <v/>
      </c>
      <c r="E32" s="55" t="str">
        <f t="shared" si="26"/>
        <v/>
      </c>
      <c r="F32" s="55" t="str">
        <f t="shared" si="26"/>
        <v/>
      </c>
      <c r="G32" s="55">
        <f t="shared" si="26"/>
        <v>154.42655608236757</v>
      </c>
      <c r="H32" s="55">
        <f t="shared" si="26"/>
        <v>146.93020171673027</v>
      </c>
      <c r="I32" s="55">
        <f t="shared" si="26"/>
        <v>137.2385115226293</v>
      </c>
      <c r="J32" s="55">
        <f t="shared" si="26"/>
        <v>139.32723127138397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132.80026593791027</v>
      </c>
      <c r="N32" s="55">
        <f t="shared" si="26"/>
        <v>135.04301399101357</v>
      </c>
      <c r="O32" s="55">
        <f t="shared" si="26"/>
        <v>132.95020410976798</v>
      </c>
      <c r="P32" s="55">
        <f t="shared" si="26"/>
        <v>130.15939664117738</v>
      </c>
      <c r="Q32" s="55">
        <f t="shared" si="26"/>
        <v>132.91816907674809</v>
      </c>
      <c r="R32" s="55">
        <f t="shared" si="26"/>
        <v>135.38540863538171</v>
      </c>
      <c r="S32" s="55">
        <f t="shared" si="26"/>
        <v>124.90211009173743</v>
      </c>
      <c r="T32" s="55">
        <f t="shared" si="26"/>
        <v>141.27985612939966</v>
      </c>
      <c r="U32" s="55">
        <f t="shared" si="26"/>
        <v>142.01198459584057</v>
      </c>
      <c r="V32" s="55">
        <f t="shared" si="26"/>
        <v>148.6260104466125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 t="str">
        <f>IF(AGR_ued!B$5=0,"",AGR_ued!B$5/B$5*1000)</f>
        <v/>
      </c>
      <c r="C33" s="55" t="str">
        <f>IF(AGR_ued!C$5=0,"",AGR_ued!C$5/C$5*1000)</f>
        <v/>
      </c>
      <c r="D33" s="55" t="str">
        <f>IF(AGR_ued!D$5=0,"",AGR_ued!D$5/D$5*1000)</f>
        <v/>
      </c>
      <c r="E33" s="55" t="str">
        <f>IF(AGR_ued!E$5=0,"",AGR_ued!E$5/E$5*1000)</f>
        <v/>
      </c>
      <c r="F33" s="55" t="str">
        <f>IF(AGR_ued!F$5=0,"",AGR_ued!F$5/F$5*1000)</f>
        <v/>
      </c>
      <c r="G33" s="55">
        <f>IF(AGR_ued!G$5=0,"",AGR_ued!G$5/G$5*1000)</f>
        <v>58.162268424349897</v>
      </c>
      <c r="H33" s="55">
        <f>IF(AGR_ued!H$5=0,"",AGR_ued!H$5/H$5*1000)</f>
        <v>54.665980040770272</v>
      </c>
      <c r="I33" s="55">
        <f>IF(AGR_ued!I$5=0,"",AGR_ued!I$5/I$5*1000)</f>
        <v>51.348922695213282</v>
      </c>
      <c r="J33" s="55">
        <f>IF(AGR_ued!J$5=0,"",AGR_ued!J$5/J$5*1000)</f>
        <v>52.130434442322859</v>
      </c>
      <c r="K33" s="55">
        <f>IF(AGR_ued!K$5=0,"",AGR_ued!K$5/K$5*1000)</f>
        <v>58.513457699065711</v>
      </c>
      <c r="L33" s="55">
        <f>IF(AGR_ued!L$5=0,"",AGR_ued!L$5/L$5*1000)</f>
        <v>56.918136454534739</v>
      </c>
      <c r="M33" s="55">
        <f>IF(AGR_ued!M$5=0,"",AGR_ued!M$5/M$5*1000)</f>
        <v>52.656416366867354</v>
      </c>
      <c r="N33" s="55">
        <f>IF(AGR_ued!N$5=0,"",AGR_ued!N$5/N$5*1000)</f>
        <v>53.463077649309042</v>
      </c>
      <c r="O33" s="55">
        <f>IF(AGR_ued!O$5=0,"",AGR_ued!O$5/O$5*1000)</f>
        <v>53.800766382217823</v>
      </c>
      <c r="P33" s="55">
        <f>IF(AGR_ued!P$5=0,"",AGR_ued!P$5/P$5*1000)</f>
        <v>53.139780256497936</v>
      </c>
      <c r="Q33" s="55">
        <f>IF(AGR_ued!Q$5=0,"",AGR_ued!Q$5/Q$5*1000)</f>
        <v>57.292724141525078</v>
      </c>
      <c r="R33" s="55">
        <f>IF(AGR_ued!R$5=0,"",AGR_ued!R$5/R$5*1000)</f>
        <v>55.314335673143091</v>
      </c>
      <c r="S33" s="55">
        <f>IF(AGR_ued!S$5=0,"",AGR_ued!S$5/S$5*1000)</f>
        <v>50.558044037987671</v>
      </c>
      <c r="T33" s="55">
        <f>IF(AGR_ued!T$5=0,"",AGR_ued!T$5/T$5*1000)</f>
        <v>55.740322072313269</v>
      </c>
      <c r="U33" s="55">
        <f>IF(AGR_ued!U$5=0,"",AGR_ued!U$5/U$5*1000)</f>
        <v>55.549792698476828</v>
      </c>
      <c r="V33" s="55">
        <f>IF(AGR_ued!V$5=0,"",AGR_ued!V$5/V$5*1000)</f>
        <v>58.510235878041904</v>
      </c>
      <c r="W33" s="55">
        <f>IF(AGR_ued!W$5=0,"",AGR_ued!W$5/W$5*1000)</f>
        <v>55.954968337726434</v>
      </c>
      <c r="DA33" s="217"/>
    </row>
    <row r="34" spans="1:105" x14ac:dyDescent="0.25">
      <c r="A34" s="37" t="s">
        <v>110</v>
      </c>
      <c r="B34" s="218" t="str">
        <f t="shared" ref="B34:W34" si="27">IF(B$12=0,"",B$29/B$12)</f>
        <v/>
      </c>
      <c r="C34" s="218" t="str">
        <f t="shared" si="27"/>
        <v/>
      </c>
      <c r="D34" s="218" t="str">
        <f t="shared" si="27"/>
        <v/>
      </c>
      <c r="E34" s="218" t="str">
        <f t="shared" si="27"/>
        <v/>
      </c>
      <c r="F34" s="218" t="str">
        <f t="shared" si="27"/>
        <v/>
      </c>
      <c r="G34" s="218">
        <f t="shared" si="27"/>
        <v>3.0772987886808645</v>
      </c>
      <c r="H34" s="218">
        <f t="shared" si="27"/>
        <v>3.0622261930175316</v>
      </c>
      <c r="I34" s="218">
        <f t="shared" si="27"/>
        <v>3.0689253347361367</v>
      </c>
      <c r="J34" s="218">
        <f t="shared" si="27"/>
        <v>3.0689253347361367</v>
      </c>
      <c r="K34" s="218">
        <f t="shared" si="27"/>
        <v>3.0117951033942125</v>
      </c>
      <c r="L34" s="218">
        <f t="shared" si="27"/>
        <v>2.7154539803174069</v>
      </c>
      <c r="M34" s="218">
        <f t="shared" si="27"/>
        <v>2.6168218308845836</v>
      </c>
      <c r="N34" s="218">
        <f t="shared" si="27"/>
        <v>2.6529510758259649</v>
      </c>
      <c r="O34" s="218">
        <f t="shared" si="27"/>
        <v>2.4680779961749373</v>
      </c>
      <c r="P34" s="218">
        <f t="shared" si="27"/>
        <v>2.424821582460341</v>
      </c>
      <c r="Q34" s="218">
        <f t="shared" si="27"/>
        <v>2.3103406804189701</v>
      </c>
      <c r="R34" s="218">
        <f t="shared" si="27"/>
        <v>2.4387717885741043</v>
      </c>
      <c r="S34" s="218">
        <f t="shared" si="27"/>
        <v>2.5562213453712634</v>
      </c>
      <c r="T34" s="218">
        <f t="shared" si="27"/>
        <v>2.6653618688374285</v>
      </c>
      <c r="U34" s="218">
        <f t="shared" si="27"/>
        <v>2.7587296262300844</v>
      </c>
      <c r="V34" s="218">
        <f t="shared" si="27"/>
        <v>2.6781373698911666</v>
      </c>
      <c r="W34" s="218">
        <f t="shared" si="27"/>
        <v>2.7292247644476526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0</v>
      </c>
      <c r="C5" s="80">
        <f t="shared" ref="C5:W5" si="1">SUM(C6:C9,C16:C17,C25:C27)</f>
        <v>0</v>
      </c>
      <c r="D5" s="80">
        <f t="shared" si="1"/>
        <v>0</v>
      </c>
      <c r="E5" s="80">
        <f t="shared" si="1"/>
        <v>0</v>
      </c>
      <c r="F5" s="80">
        <f t="shared" si="1"/>
        <v>0</v>
      </c>
      <c r="G5" s="80">
        <f t="shared" si="1"/>
        <v>8.2162510748065358</v>
      </c>
      <c r="H5" s="80">
        <f t="shared" si="1"/>
        <v>5.1350816852966439</v>
      </c>
      <c r="I5" s="80">
        <f t="shared" si="1"/>
        <v>6.1621668099742042</v>
      </c>
      <c r="J5" s="80">
        <f t="shared" si="1"/>
        <v>6.1621668099742042</v>
      </c>
      <c r="K5" s="80">
        <f t="shared" si="1"/>
        <v>5.2210662080825463</v>
      </c>
      <c r="L5" s="80">
        <f t="shared" si="1"/>
        <v>8.1377472055030076</v>
      </c>
      <c r="M5" s="80">
        <f t="shared" si="1"/>
        <v>6.0091143594153049</v>
      </c>
      <c r="N5" s="80">
        <f t="shared" si="1"/>
        <v>7.1283748925193446</v>
      </c>
      <c r="O5" s="80">
        <f t="shared" si="1"/>
        <v>5.0803095442820281</v>
      </c>
      <c r="P5" s="80">
        <f t="shared" si="1"/>
        <v>5.1709372312983675</v>
      </c>
      <c r="Q5" s="80">
        <f t="shared" si="1"/>
        <v>4.1374032674118641</v>
      </c>
      <c r="R5" s="80">
        <f t="shared" si="1"/>
        <v>5.1413585554600152</v>
      </c>
      <c r="S5" s="80">
        <f t="shared" si="1"/>
        <v>6.4199484092863273</v>
      </c>
      <c r="T5" s="80">
        <f t="shared" si="1"/>
        <v>13.166466036113496</v>
      </c>
      <c r="U5" s="80">
        <f t="shared" si="1"/>
        <v>16.6487532244196</v>
      </c>
      <c r="V5" s="80">
        <f t="shared" si="1"/>
        <v>14.995184866723987</v>
      </c>
      <c r="W5" s="80">
        <f t="shared" si="1"/>
        <v>15.7243336199484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1.7146992055697158E-2</v>
      </c>
      <c r="L6" s="240">
        <v>0.16759273268278391</v>
      </c>
      <c r="M6" s="240">
        <v>0.14329081795987861</v>
      </c>
      <c r="N6" s="240">
        <v>0.16190926984403251</v>
      </c>
      <c r="O6" s="240">
        <v>0.14284386737125351</v>
      </c>
      <c r="P6" s="240">
        <v>0.15183317863223661</v>
      </c>
      <c r="Q6" s="240">
        <v>0.14754476831632579</v>
      </c>
      <c r="R6" s="240">
        <v>0.1515478469180323</v>
      </c>
      <c r="S6" s="240">
        <v>0.1732534585716495</v>
      </c>
      <c r="T6" s="240">
        <v>0.25420193230345922</v>
      </c>
      <c r="U6" s="240">
        <v>0.25724323181843523</v>
      </c>
      <c r="V6" s="240">
        <v>0.26965500269924042</v>
      </c>
      <c r="W6" s="240">
        <v>0.26687119291626688</v>
      </c>
      <c r="DA6" s="268" t="s">
        <v>993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1.114554483620315E-2</v>
      </c>
      <c r="L7" s="242">
        <v>0.1089352762438095</v>
      </c>
      <c r="M7" s="242">
        <v>9.3139031673921041E-2</v>
      </c>
      <c r="N7" s="242">
        <v>0.1052410253986211</v>
      </c>
      <c r="O7" s="242">
        <v>9.284851379131473E-2</v>
      </c>
      <c r="P7" s="242">
        <v>9.8691566110953755E-2</v>
      </c>
      <c r="Q7" s="242">
        <v>9.5904099405611704E-2</v>
      </c>
      <c r="R7" s="242">
        <v>9.8506100496720955E-2</v>
      </c>
      <c r="S7" s="242">
        <v>0.1126147480715721</v>
      </c>
      <c r="T7" s="242">
        <v>0.16523125599724839</v>
      </c>
      <c r="U7" s="242">
        <v>0.1672081006819828</v>
      </c>
      <c r="V7" s="242">
        <v>0.17527575175450619</v>
      </c>
      <c r="W7" s="242">
        <v>0.17346627539557341</v>
      </c>
      <c r="DA7" s="269" t="s">
        <v>994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1.5432292850127439E-2</v>
      </c>
      <c r="L8" s="242">
        <v>0.15083345941450549</v>
      </c>
      <c r="M8" s="242">
        <v>0.1289617361638907</v>
      </c>
      <c r="N8" s="242">
        <v>0.1457183428596292</v>
      </c>
      <c r="O8" s="242">
        <v>0.12855948063412809</v>
      </c>
      <c r="P8" s="242">
        <v>0.13664986076901289</v>
      </c>
      <c r="Q8" s="242">
        <v>0.13279029148469321</v>
      </c>
      <c r="R8" s="242">
        <v>0.13639306222622899</v>
      </c>
      <c r="S8" s="242">
        <v>0.15592811271448459</v>
      </c>
      <c r="T8" s="242">
        <v>0.22878173907311319</v>
      </c>
      <c r="U8" s="242">
        <v>0.23151890863659161</v>
      </c>
      <c r="V8" s="242">
        <v>0.24268950242931631</v>
      </c>
      <c r="W8" s="242">
        <v>0.2401840736246402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0</v>
      </c>
      <c r="C9" s="244">
        <f t="shared" ref="C9:W9" si="3">SUM(C10:C15)</f>
        <v>0</v>
      </c>
      <c r="D9" s="244">
        <f t="shared" si="3"/>
        <v>0</v>
      </c>
      <c r="E9" s="244">
        <f t="shared" si="3"/>
        <v>0</v>
      </c>
      <c r="F9" s="244">
        <f t="shared" si="3"/>
        <v>0</v>
      </c>
      <c r="G9" s="244">
        <f t="shared" si="3"/>
        <v>1.805758007685198</v>
      </c>
      <c r="H9" s="244">
        <f t="shared" si="3"/>
        <v>1.090717953461859</v>
      </c>
      <c r="I9" s="244">
        <f t="shared" si="3"/>
        <v>1.3300694528266961</v>
      </c>
      <c r="J9" s="244">
        <f t="shared" si="3"/>
        <v>1.3300694528266961</v>
      </c>
      <c r="K9" s="244">
        <f t="shared" si="3"/>
        <v>1.0823518201751301</v>
      </c>
      <c r="L9" s="244">
        <f t="shared" si="3"/>
        <v>1.5520694200591334</v>
      </c>
      <c r="M9" s="244">
        <f t="shared" si="3"/>
        <v>1.1074113119150852</v>
      </c>
      <c r="N9" s="244">
        <f t="shared" si="3"/>
        <v>1.3362068325344842</v>
      </c>
      <c r="O9" s="244">
        <f t="shared" si="3"/>
        <v>0.92120492397705944</v>
      </c>
      <c r="P9" s="244">
        <f t="shared" si="3"/>
        <v>0.94342362058337248</v>
      </c>
      <c r="Q9" s="244">
        <f t="shared" si="3"/>
        <v>0.82723412378457528</v>
      </c>
      <c r="R9" s="244">
        <f t="shared" si="3"/>
        <v>0.93804163479476854</v>
      </c>
      <c r="S9" s="244">
        <f t="shared" si="3"/>
        <v>1.2007611027316218</v>
      </c>
      <c r="T9" s="244">
        <f t="shared" si="3"/>
        <v>2.5740704898204227</v>
      </c>
      <c r="U9" s="244">
        <f t="shared" si="3"/>
        <v>3.3515030156858052</v>
      </c>
      <c r="V9" s="244">
        <f t="shared" si="3"/>
        <v>2.9728025766285699</v>
      </c>
      <c r="W9" s="244">
        <f t="shared" si="3"/>
        <v>3.1346079659582475</v>
      </c>
      <c r="DA9" s="270"/>
    </row>
    <row r="10" spans="1:105" x14ac:dyDescent="0.25">
      <c r="A10" s="254" t="s">
        <v>173</v>
      </c>
      <c r="B10" s="255">
        <v>0</v>
      </c>
      <c r="C10" s="255">
        <v>0</v>
      </c>
      <c r="D10" s="255">
        <v>0</v>
      </c>
      <c r="E10" s="255">
        <v>0</v>
      </c>
      <c r="F10" s="255">
        <v>0</v>
      </c>
      <c r="G10" s="255">
        <v>1.805758007685198</v>
      </c>
      <c r="H10" s="255">
        <v>1.090717953461859</v>
      </c>
      <c r="I10" s="255">
        <v>1.3300694528266961</v>
      </c>
      <c r="J10" s="255">
        <v>1.3300694528266961</v>
      </c>
      <c r="K10" s="255">
        <v>1.082102257068585</v>
      </c>
      <c r="L10" s="255">
        <v>1.4442033320052581</v>
      </c>
      <c r="M10" s="255">
        <v>0.96402017314291244</v>
      </c>
      <c r="N10" s="255">
        <v>1.1999234304574551</v>
      </c>
      <c r="O10" s="255">
        <v>0.68959450973266256</v>
      </c>
      <c r="P10" s="255">
        <v>0.67077523982701048</v>
      </c>
      <c r="Q10" s="255">
        <v>0.53314369253570282</v>
      </c>
      <c r="R10" s="255">
        <v>0.66250485862654673</v>
      </c>
      <c r="S10" s="255">
        <v>0.98284954733740992</v>
      </c>
      <c r="T10" s="255">
        <v>2.4430165222910292</v>
      </c>
      <c r="U10" s="255">
        <v>3.2735747202961312</v>
      </c>
      <c r="V10" s="255">
        <v>2.8577929804090791</v>
      </c>
      <c r="W10" s="255">
        <v>3.0346561053218819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2.4956310654520512E-4</v>
      </c>
      <c r="L15" s="256">
        <v>0.10786608805387531</v>
      </c>
      <c r="M15" s="256">
        <v>0.14339113877217269</v>
      </c>
      <c r="N15" s="256">
        <v>0.13628340207702919</v>
      </c>
      <c r="O15" s="256">
        <v>0.23161041424439691</v>
      </c>
      <c r="P15" s="256">
        <v>0.272648380756362</v>
      </c>
      <c r="Q15" s="256">
        <v>0.29409043124887241</v>
      </c>
      <c r="R15" s="256">
        <v>0.27553677616822181</v>
      </c>
      <c r="S15" s="256">
        <v>0.21791155539421189</v>
      </c>
      <c r="T15" s="256">
        <v>0.13105396752939369</v>
      </c>
      <c r="U15" s="256">
        <v>7.7928295389674246E-2</v>
      </c>
      <c r="V15" s="256">
        <v>0.1150095962194907</v>
      </c>
      <c r="W15" s="256">
        <v>9.9951860636365741E-2</v>
      </c>
      <c r="DA15" s="272" t="s">
        <v>1001</v>
      </c>
    </row>
    <row r="16" spans="1:105" x14ac:dyDescent="0.25">
      <c r="A16" s="257" t="s">
        <v>175</v>
      </c>
      <c r="B16" s="258">
        <v>0</v>
      </c>
      <c r="C16" s="258">
        <v>0</v>
      </c>
      <c r="D16" s="258">
        <v>0</v>
      </c>
      <c r="E16" s="258">
        <v>0</v>
      </c>
      <c r="F16" s="258">
        <v>0</v>
      </c>
      <c r="G16" s="258">
        <v>2.3976548903453772</v>
      </c>
      <c r="H16" s="258">
        <v>1.4482368202025631</v>
      </c>
      <c r="I16" s="258">
        <v>1.7660436860844759</v>
      </c>
      <c r="J16" s="258">
        <v>1.7660436860844759</v>
      </c>
      <c r="K16" s="258">
        <v>1.4519230677296291</v>
      </c>
      <c r="L16" s="258">
        <v>2.1349654346574298</v>
      </c>
      <c r="M16" s="258">
        <v>1.5082152540687619</v>
      </c>
      <c r="N16" s="258">
        <v>1.82901508229048</v>
      </c>
      <c r="O16" s="258">
        <v>1.2086564137344149</v>
      </c>
      <c r="P16" s="258">
        <v>1.2188414160869721</v>
      </c>
      <c r="Q16" s="258">
        <v>1.0177835292389841</v>
      </c>
      <c r="R16" s="258">
        <v>1.20957304630429</v>
      </c>
      <c r="S16" s="258">
        <v>1.607215363995653</v>
      </c>
      <c r="T16" s="258">
        <v>3.5423967242582441</v>
      </c>
      <c r="U16" s="258">
        <v>4.6055213278167688</v>
      </c>
      <c r="V16" s="258">
        <v>4.0906919365020036</v>
      </c>
      <c r="W16" s="258">
        <v>4.3123237103588616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0</v>
      </c>
      <c r="C17" s="258">
        <f t="shared" ref="C17:W17" si="5">SUM(C18:C24)</f>
        <v>0</v>
      </c>
      <c r="D17" s="258">
        <f t="shared" si="5"/>
        <v>0</v>
      </c>
      <c r="E17" s="258">
        <f t="shared" si="5"/>
        <v>0</v>
      </c>
      <c r="F17" s="258">
        <f t="shared" si="5"/>
        <v>0</v>
      </c>
      <c r="G17" s="258">
        <f t="shared" si="5"/>
        <v>3.552108808199097</v>
      </c>
      <c r="H17" s="258">
        <f t="shared" si="5"/>
        <v>2.3178361374226037</v>
      </c>
      <c r="I17" s="258">
        <f t="shared" si="5"/>
        <v>2.7266936590591149</v>
      </c>
      <c r="J17" s="258">
        <f t="shared" si="5"/>
        <v>2.7266936590591149</v>
      </c>
      <c r="K17" s="258">
        <f t="shared" si="5"/>
        <v>2.3220572425071833</v>
      </c>
      <c r="L17" s="258">
        <f t="shared" si="5"/>
        <v>3.2024972868878381</v>
      </c>
      <c r="M17" s="258">
        <f t="shared" si="5"/>
        <v>2.3872175735112702</v>
      </c>
      <c r="N17" s="258">
        <f t="shared" si="5"/>
        <v>2.802146137903005</v>
      </c>
      <c r="O17" s="258">
        <f t="shared" si="5"/>
        <v>2.0039754672047962</v>
      </c>
      <c r="P17" s="258">
        <f t="shared" si="5"/>
        <v>2.0152957658762944</v>
      </c>
      <c r="Q17" s="258">
        <f t="shared" si="5"/>
        <v>1.3590861857351511</v>
      </c>
      <c r="R17" s="258">
        <f t="shared" si="5"/>
        <v>2.0035750986740397</v>
      </c>
      <c r="S17" s="258">
        <f t="shared" si="5"/>
        <v>2.4368648234178454</v>
      </c>
      <c r="T17" s="258">
        <f t="shared" si="5"/>
        <v>5.0982881085904319</v>
      </c>
      <c r="U17" s="258">
        <f t="shared" si="5"/>
        <v>6.5205234175356752</v>
      </c>
      <c r="V17" s="258">
        <f t="shared" si="5"/>
        <v>5.797354793795841</v>
      </c>
      <c r="W17" s="258">
        <f t="shared" si="5"/>
        <v>6.114397040383694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5.1676698188558898E-2</v>
      </c>
      <c r="T19" s="55">
        <v>0.18125537402397079</v>
      </c>
      <c r="U19" s="55">
        <v>0.19226139294274061</v>
      </c>
      <c r="V19" s="55">
        <v>0.13955288047075071</v>
      </c>
      <c r="W19" s="55">
        <v>0.1505588993909093</v>
      </c>
      <c r="DA19" s="101" t="s">
        <v>1004</v>
      </c>
    </row>
    <row r="20" spans="1:105" x14ac:dyDescent="0.25">
      <c r="A20" s="61" t="s">
        <v>173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2.525109668217616</v>
      </c>
      <c r="H20" s="55">
        <v>1.2908369975776479</v>
      </c>
      <c r="I20" s="55">
        <v>1.699694519217037</v>
      </c>
      <c r="J20" s="55">
        <v>1.699694519217037</v>
      </c>
      <c r="K20" s="55">
        <v>1.2950581024727441</v>
      </c>
      <c r="L20" s="55">
        <v>2.175498146871476</v>
      </c>
      <c r="M20" s="55">
        <v>1.360218433542377</v>
      </c>
      <c r="N20" s="55">
        <v>1.775146997882858</v>
      </c>
      <c r="O20" s="55">
        <v>0.97697632722063754</v>
      </c>
      <c r="P20" s="55">
        <v>0.98829662590654843</v>
      </c>
      <c r="Q20" s="55">
        <v>1.3590861857351511</v>
      </c>
      <c r="R20" s="55">
        <v>0.97657595868849068</v>
      </c>
      <c r="S20" s="55">
        <v>1.5902612121623529</v>
      </c>
      <c r="T20" s="55">
        <v>3.966731788782341</v>
      </c>
      <c r="U20" s="55">
        <v>5.3599903135338103</v>
      </c>
      <c r="V20" s="55">
        <v>4.7476557397065466</v>
      </c>
      <c r="W20" s="55">
        <v>5.0003815632228594</v>
      </c>
      <c r="DA20" s="101" t="s">
        <v>1005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1.0269991399814811</v>
      </c>
      <c r="H21" s="55">
        <v>1.0269991398449561</v>
      </c>
      <c r="I21" s="55">
        <v>1.0269991398420779</v>
      </c>
      <c r="J21" s="55">
        <v>1.0269991398420779</v>
      </c>
      <c r="K21" s="55">
        <v>1.0269991400344389</v>
      </c>
      <c r="L21" s="55">
        <v>1.0269991400163621</v>
      </c>
      <c r="M21" s="55">
        <v>1.0269991399688929</v>
      </c>
      <c r="N21" s="55">
        <v>1.026999140020147</v>
      </c>
      <c r="O21" s="55">
        <v>1.0269991399841589</v>
      </c>
      <c r="P21" s="55">
        <v>1.026999139969746</v>
      </c>
      <c r="Q21" s="55">
        <v>0</v>
      </c>
      <c r="R21" s="55">
        <v>1.0269991399855489</v>
      </c>
      <c r="S21" s="55">
        <v>0.79492691306693353</v>
      </c>
      <c r="T21" s="55">
        <v>0.95030094578412017</v>
      </c>
      <c r="U21" s="55">
        <v>0.96827171105912435</v>
      </c>
      <c r="V21" s="55">
        <v>0.91014617361854333</v>
      </c>
      <c r="W21" s="55">
        <v>0.96345657776992533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0</v>
      </c>
      <c r="C25" s="258">
        <v>0</v>
      </c>
      <c r="D25" s="258">
        <v>0</v>
      </c>
      <c r="E25" s="258">
        <v>0</v>
      </c>
      <c r="F25" s="258">
        <v>0</v>
      </c>
      <c r="G25" s="258">
        <v>0.46072936857686408</v>
      </c>
      <c r="H25" s="258">
        <v>0.27829077420961829</v>
      </c>
      <c r="I25" s="258">
        <v>0.33936001200391752</v>
      </c>
      <c r="J25" s="258">
        <v>0.33936001200391752</v>
      </c>
      <c r="K25" s="258">
        <v>0.27899911739211808</v>
      </c>
      <c r="L25" s="258">
        <v>0.4102514004846865</v>
      </c>
      <c r="M25" s="258">
        <v>0.28981613012079471</v>
      </c>
      <c r="N25" s="258">
        <v>0.35146049057121309</v>
      </c>
      <c r="O25" s="258">
        <v>0.232253402509491</v>
      </c>
      <c r="P25" s="258">
        <v>0.23421053559054561</v>
      </c>
      <c r="Q25" s="258">
        <v>0.19557558707152481</v>
      </c>
      <c r="R25" s="258">
        <v>0.2324295410967564</v>
      </c>
      <c r="S25" s="258">
        <v>0.30883982628295881</v>
      </c>
      <c r="T25" s="258">
        <v>0.68070105192709984</v>
      </c>
      <c r="U25" s="258">
        <v>0.88498930428917877</v>
      </c>
      <c r="V25" s="258">
        <v>0.78606054630137034</v>
      </c>
      <c r="W25" s="258">
        <v>0.82864893866626621</v>
      </c>
      <c r="DA25" s="273" t="s">
        <v>1010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1.7146992055697158E-2</v>
      </c>
      <c r="L26" s="258">
        <v>0.16759273268278391</v>
      </c>
      <c r="M26" s="258">
        <v>0.14329081795987861</v>
      </c>
      <c r="N26" s="258">
        <v>0.16190926984403251</v>
      </c>
      <c r="O26" s="258">
        <v>0.14284386737125351</v>
      </c>
      <c r="P26" s="258">
        <v>0.15183317863223661</v>
      </c>
      <c r="Q26" s="258">
        <v>0.14754476831632579</v>
      </c>
      <c r="R26" s="258">
        <v>0.1515478469180323</v>
      </c>
      <c r="S26" s="258">
        <v>0.1732534585716495</v>
      </c>
      <c r="T26" s="258">
        <v>0.25420193230345922</v>
      </c>
      <c r="U26" s="258">
        <v>0.25724323181843523</v>
      </c>
      <c r="V26" s="258">
        <v>0.26965500269924042</v>
      </c>
      <c r="W26" s="258">
        <v>0.26687119291626688</v>
      </c>
      <c r="DA26" s="273" t="s">
        <v>1011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2.4863138480760879E-2</v>
      </c>
      <c r="L27" s="259">
        <v>0.24300946239003671</v>
      </c>
      <c r="M27" s="259">
        <v>0.20777168604182381</v>
      </c>
      <c r="N27" s="259">
        <v>0.23476844127384711</v>
      </c>
      <c r="O27" s="259">
        <v>0.2071236076883175</v>
      </c>
      <c r="P27" s="259">
        <v>0.22015810901674299</v>
      </c>
      <c r="Q27" s="259">
        <v>0.21393991405867241</v>
      </c>
      <c r="R27" s="259">
        <v>0.21974437803114669</v>
      </c>
      <c r="S27" s="259">
        <v>0.25121751492889183</v>
      </c>
      <c r="T27" s="259">
        <v>0.36859280184001592</v>
      </c>
      <c r="U27" s="259">
        <v>0.37300268613673099</v>
      </c>
      <c r="V27" s="259">
        <v>0.39099975391389857</v>
      </c>
      <c r="W27" s="259">
        <v>0.38696322972858699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</v>
      </c>
      <c r="C31" s="236">
        <f t="shared" si="6"/>
        <v>0</v>
      </c>
      <c r="D31" s="236">
        <f t="shared" si="6"/>
        <v>0</v>
      </c>
      <c r="E31" s="236">
        <f t="shared" si="6"/>
        <v>0</v>
      </c>
      <c r="F31" s="236">
        <f t="shared" si="6"/>
        <v>0</v>
      </c>
      <c r="G31" s="236">
        <f t="shared" si="6"/>
        <v>1.0000000000000002</v>
      </c>
      <c r="H31" s="236">
        <f t="shared" si="6"/>
        <v>1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1</v>
      </c>
      <c r="L31" s="236">
        <f t="shared" si="6"/>
        <v>1</v>
      </c>
      <c r="M31" s="236">
        <f t="shared" si="6"/>
        <v>0.99999999999999989</v>
      </c>
      <c r="N31" s="236">
        <f t="shared" si="6"/>
        <v>1.0000000000000002</v>
      </c>
      <c r="O31" s="236">
        <f t="shared" si="6"/>
        <v>1.0000000000000002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0.99999999999999978</v>
      </c>
      <c r="T31" s="236">
        <f t="shared" si="7"/>
        <v>0.99999999999999989</v>
      </c>
      <c r="U31" s="236">
        <f t="shared" si="7"/>
        <v>1.0000000000000002</v>
      </c>
      <c r="V31" s="236">
        <f t="shared" si="7"/>
        <v>0.99999999999999989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0</v>
      </c>
      <c r="C32" s="245">
        <f t="shared" si="8"/>
        <v>0</v>
      </c>
      <c r="D32" s="245">
        <f t="shared" si="8"/>
        <v>0</v>
      </c>
      <c r="E32" s="245">
        <f t="shared" si="8"/>
        <v>0</v>
      </c>
      <c r="F32" s="245">
        <f t="shared" si="8"/>
        <v>0</v>
      </c>
      <c r="G32" s="245">
        <f t="shared" si="8"/>
        <v>0</v>
      </c>
      <c r="H32" s="245">
        <f t="shared" si="8"/>
        <v>0</v>
      </c>
      <c r="I32" s="245">
        <f t="shared" si="8"/>
        <v>0</v>
      </c>
      <c r="J32" s="245">
        <f t="shared" si="8"/>
        <v>0</v>
      </c>
      <c r="K32" s="245">
        <f t="shared" si="8"/>
        <v>3.2841935674273793E-3</v>
      </c>
      <c r="L32" s="245">
        <f t="shared" si="8"/>
        <v>2.0594487448498313E-2</v>
      </c>
      <c r="M32" s="245">
        <f t="shared" si="8"/>
        <v>2.3845580128686553E-2</v>
      </c>
      <c r="N32" s="245">
        <f t="shared" si="8"/>
        <v>2.2713349435920276E-2</v>
      </c>
      <c r="O32" s="245">
        <f t="shared" si="8"/>
        <v>2.811715824127816E-2</v>
      </c>
      <c r="P32" s="245">
        <f t="shared" si="8"/>
        <v>2.9362796692489132E-2</v>
      </c>
      <c r="Q32" s="245">
        <f t="shared" si="8"/>
        <v>3.5661200704910211E-2</v>
      </c>
      <c r="R32" s="245">
        <f t="shared" si="8"/>
        <v>2.947622603700566E-2</v>
      </c>
      <c r="S32" s="245">
        <f t="shared" si="8"/>
        <v>2.6986736890446322E-2</v>
      </c>
      <c r="T32" s="245">
        <f t="shared" si="8"/>
        <v>1.930677006314559E-2</v>
      </c>
      <c r="U32" s="245">
        <f t="shared" si="8"/>
        <v>1.5451200960869734E-2</v>
      </c>
      <c r="V32" s="245">
        <f t="shared" si="8"/>
        <v>1.7982772809799458E-2</v>
      </c>
      <c r="W32" s="245">
        <f t="shared" si="8"/>
        <v>1.6971860262345581E-2</v>
      </c>
      <c r="DA32" s="276"/>
    </row>
    <row r="33" spans="1:105" x14ac:dyDescent="0.25">
      <c r="A33" s="241" t="s">
        <v>124</v>
      </c>
      <c r="B33" s="246">
        <f t="shared" ref="B33:W33" si="9">IF(B$7=0,0,B$7/B$5)</f>
        <v>0</v>
      </c>
      <c r="C33" s="246">
        <f t="shared" si="9"/>
        <v>0</v>
      </c>
      <c r="D33" s="246">
        <f t="shared" si="9"/>
        <v>0</v>
      </c>
      <c r="E33" s="246">
        <f t="shared" si="9"/>
        <v>0</v>
      </c>
      <c r="F33" s="246">
        <f t="shared" si="9"/>
        <v>0</v>
      </c>
      <c r="G33" s="246">
        <f t="shared" si="9"/>
        <v>0</v>
      </c>
      <c r="H33" s="246">
        <f t="shared" si="9"/>
        <v>0</v>
      </c>
      <c r="I33" s="246">
        <f t="shared" si="9"/>
        <v>0</v>
      </c>
      <c r="J33" s="246">
        <f t="shared" si="9"/>
        <v>0</v>
      </c>
      <c r="K33" s="246">
        <f t="shared" si="9"/>
        <v>2.134725818827796E-3</v>
      </c>
      <c r="L33" s="246">
        <f t="shared" si="9"/>
        <v>1.3386416841523897E-2</v>
      </c>
      <c r="M33" s="246">
        <f t="shared" si="9"/>
        <v>1.549962708364625E-2</v>
      </c>
      <c r="N33" s="246">
        <f t="shared" si="9"/>
        <v>1.4763677133348174E-2</v>
      </c>
      <c r="O33" s="246">
        <f t="shared" si="9"/>
        <v>1.8276152856830794E-2</v>
      </c>
      <c r="P33" s="246">
        <f t="shared" si="9"/>
        <v>1.9085817850117929E-2</v>
      </c>
      <c r="Q33" s="246">
        <f t="shared" si="9"/>
        <v>2.3179780458191624E-2</v>
      </c>
      <c r="R33" s="246">
        <f t="shared" si="9"/>
        <v>1.915954692405367E-2</v>
      </c>
      <c r="S33" s="246">
        <f t="shared" si="9"/>
        <v>1.7541378978790097E-2</v>
      </c>
      <c r="T33" s="246">
        <f t="shared" si="9"/>
        <v>1.2549400541044625E-2</v>
      </c>
      <c r="U33" s="246">
        <f t="shared" si="9"/>
        <v>1.0043280624565321E-2</v>
      </c>
      <c r="V33" s="246">
        <f t="shared" si="9"/>
        <v>1.1688802326369641E-2</v>
      </c>
      <c r="W33" s="246">
        <f t="shared" si="9"/>
        <v>1.1031709170524623E-2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0</v>
      </c>
      <c r="C34" s="246">
        <f t="shared" si="10"/>
        <v>0</v>
      </c>
      <c r="D34" s="246">
        <f t="shared" si="10"/>
        <v>0</v>
      </c>
      <c r="E34" s="246">
        <f t="shared" si="10"/>
        <v>0</v>
      </c>
      <c r="F34" s="246">
        <f t="shared" si="10"/>
        <v>0</v>
      </c>
      <c r="G34" s="246">
        <f t="shared" si="10"/>
        <v>0</v>
      </c>
      <c r="H34" s="246">
        <f t="shared" si="10"/>
        <v>0</v>
      </c>
      <c r="I34" s="246">
        <f t="shared" si="10"/>
        <v>0</v>
      </c>
      <c r="J34" s="246">
        <f t="shared" si="10"/>
        <v>0</v>
      </c>
      <c r="K34" s="246">
        <f t="shared" si="10"/>
        <v>2.9557742106846407E-3</v>
      </c>
      <c r="L34" s="246">
        <f t="shared" si="10"/>
        <v>1.8535038703648476E-2</v>
      </c>
      <c r="M34" s="246">
        <f t="shared" si="10"/>
        <v>2.146102211581789E-2</v>
      </c>
      <c r="N34" s="246">
        <f t="shared" si="10"/>
        <v>2.0442014492328239E-2</v>
      </c>
      <c r="O34" s="246">
        <f t="shared" si="10"/>
        <v>2.5305442417150329E-2</v>
      </c>
      <c r="P34" s="246">
        <f t="shared" si="10"/>
        <v>2.6426517023240208E-2</v>
      </c>
      <c r="Q34" s="246">
        <f t="shared" si="10"/>
        <v>3.2095080634419189E-2</v>
      </c>
      <c r="R34" s="246">
        <f t="shared" si="10"/>
        <v>2.6528603433305077E-2</v>
      </c>
      <c r="S34" s="246">
        <f t="shared" si="10"/>
        <v>2.4288063201401696E-2</v>
      </c>
      <c r="T34" s="246">
        <f t="shared" si="10"/>
        <v>1.7376093056831021E-2</v>
      </c>
      <c r="U34" s="246">
        <f t="shared" si="10"/>
        <v>1.3906080864782755E-2</v>
      </c>
      <c r="V34" s="246">
        <f t="shared" si="10"/>
        <v>1.6184495528819506E-2</v>
      </c>
      <c r="W34" s="246">
        <f t="shared" si="10"/>
        <v>1.5274674236111023E-2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</v>
      </c>
      <c r="C35" s="247">
        <f t="shared" si="11"/>
        <v>0</v>
      </c>
      <c r="D35" s="247">
        <f t="shared" si="11"/>
        <v>0</v>
      </c>
      <c r="E35" s="247">
        <f t="shared" si="11"/>
        <v>0</v>
      </c>
      <c r="F35" s="247">
        <f t="shared" si="11"/>
        <v>0</v>
      </c>
      <c r="G35" s="247">
        <f t="shared" si="11"/>
        <v>0.21977882506806395</v>
      </c>
      <c r="H35" s="247">
        <f t="shared" si="11"/>
        <v>0.21240518073644826</v>
      </c>
      <c r="I35" s="247">
        <f t="shared" si="11"/>
        <v>0.21584444138607536</v>
      </c>
      <c r="J35" s="247">
        <f t="shared" si="11"/>
        <v>0.21584444138607536</v>
      </c>
      <c r="K35" s="247">
        <f t="shared" si="11"/>
        <v>0.20730474907588414</v>
      </c>
      <c r="L35" s="247">
        <f t="shared" si="11"/>
        <v>0.19072470314752146</v>
      </c>
      <c r="M35" s="247">
        <f t="shared" si="11"/>
        <v>0.1842886065531357</v>
      </c>
      <c r="N35" s="247">
        <f t="shared" si="11"/>
        <v>0.18744901224776012</v>
      </c>
      <c r="O35" s="247">
        <f t="shared" si="11"/>
        <v>0.18132850290862507</v>
      </c>
      <c r="P35" s="247">
        <f t="shared" si="11"/>
        <v>0.18244731629559713</v>
      </c>
      <c r="Q35" s="247">
        <f t="shared" si="11"/>
        <v>0.19994041438992924</v>
      </c>
      <c r="R35" s="247">
        <f t="shared" si="11"/>
        <v>0.18245014905614548</v>
      </c>
      <c r="S35" s="247">
        <f t="shared" si="11"/>
        <v>0.18703594268682047</v>
      </c>
      <c r="T35" s="247">
        <f t="shared" si="11"/>
        <v>0.19550200355662348</v>
      </c>
      <c r="U35" s="247">
        <f t="shared" si="11"/>
        <v>0.20130654653286467</v>
      </c>
      <c r="V35" s="247">
        <f t="shared" si="11"/>
        <v>0.1982504786070064</v>
      </c>
      <c r="W35" s="247">
        <f t="shared" si="11"/>
        <v>0.1993475871042053</v>
      </c>
      <c r="DA35" s="278"/>
    </row>
    <row r="36" spans="1:105" x14ac:dyDescent="0.25">
      <c r="A36" s="128" t="s">
        <v>175</v>
      </c>
      <c r="B36" s="260">
        <f t="shared" ref="B36:W36" si="12">IF(B$16=0,0,B$16/B$5)</f>
        <v>0</v>
      </c>
      <c r="C36" s="260">
        <f t="shared" si="12"/>
        <v>0</v>
      </c>
      <c r="D36" s="260">
        <f t="shared" si="12"/>
        <v>0</v>
      </c>
      <c r="E36" s="260">
        <f t="shared" si="12"/>
        <v>0</v>
      </c>
      <c r="F36" s="260">
        <f t="shared" si="12"/>
        <v>0</v>
      </c>
      <c r="G36" s="260">
        <f t="shared" si="12"/>
        <v>0.29181860054122477</v>
      </c>
      <c r="H36" s="260">
        <f t="shared" si="12"/>
        <v>0.28202800051834059</v>
      </c>
      <c r="I36" s="260">
        <f t="shared" si="12"/>
        <v>0.28659459254266256</v>
      </c>
      <c r="J36" s="260">
        <f t="shared" si="12"/>
        <v>0.28659459254266256</v>
      </c>
      <c r="K36" s="260">
        <f t="shared" si="12"/>
        <v>0.27808938057172283</v>
      </c>
      <c r="L36" s="260">
        <f t="shared" si="12"/>
        <v>0.26235337381993107</v>
      </c>
      <c r="M36" s="260">
        <f t="shared" si="12"/>
        <v>0.25098794329078361</v>
      </c>
      <c r="N36" s="260">
        <f t="shared" si="12"/>
        <v>0.2565823360679142</v>
      </c>
      <c r="O36" s="260">
        <f t="shared" si="12"/>
        <v>0.23790999410553193</v>
      </c>
      <c r="P36" s="260">
        <f t="shared" si="12"/>
        <v>0.23570996157323959</v>
      </c>
      <c r="Q36" s="260">
        <f t="shared" si="12"/>
        <v>0.24599572810693274</v>
      </c>
      <c r="R36" s="260">
        <f t="shared" si="12"/>
        <v>0.23526331284943133</v>
      </c>
      <c r="S36" s="260">
        <f t="shared" si="12"/>
        <v>0.2503470840467889</v>
      </c>
      <c r="T36" s="260">
        <f t="shared" si="12"/>
        <v>0.26904688885704187</v>
      </c>
      <c r="U36" s="260">
        <f t="shared" si="12"/>
        <v>0.27662860189804539</v>
      </c>
      <c r="V36" s="260">
        <f t="shared" si="12"/>
        <v>0.27280036710849176</v>
      </c>
      <c r="W36" s="260">
        <f t="shared" si="12"/>
        <v>0.27424524400118983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</v>
      </c>
      <c r="C37" s="260">
        <f t="shared" si="13"/>
        <v>0</v>
      </c>
      <c r="D37" s="260">
        <f t="shared" si="13"/>
        <v>0</v>
      </c>
      <c r="E37" s="260">
        <f t="shared" si="13"/>
        <v>0</v>
      </c>
      <c r="F37" s="260">
        <f t="shared" si="13"/>
        <v>0</v>
      </c>
      <c r="G37" s="260">
        <f t="shared" si="13"/>
        <v>0.4323271983606875</v>
      </c>
      <c r="H37" s="260">
        <f t="shared" si="13"/>
        <v>0.45137278810175474</v>
      </c>
      <c r="I37" s="260">
        <f t="shared" si="13"/>
        <v>0.44248942671360908</v>
      </c>
      <c r="J37" s="260">
        <f t="shared" si="13"/>
        <v>0.44248942671360908</v>
      </c>
      <c r="K37" s="260">
        <f t="shared" si="13"/>
        <v>0.44474771051791862</v>
      </c>
      <c r="L37" s="260">
        <f t="shared" si="13"/>
        <v>0.39353609862963129</v>
      </c>
      <c r="M37" s="260">
        <f t="shared" si="13"/>
        <v>0.39726612454477395</v>
      </c>
      <c r="N37" s="260">
        <f t="shared" si="13"/>
        <v>0.39309747034259263</v>
      </c>
      <c r="O37" s="260">
        <f t="shared" si="13"/>
        <v>0.39445932373555931</v>
      </c>
      <c r="P37" s="260">
        <f t="shared" si="13"/>
        <v>0.38973510521037114</v>
      </c>
      <c r="Q37" s="260">
        <f t="shared" si="13"/>
        <v>0.32848772476203941</v>
      </c>
      <c r="R37" s="260">
        <f t="shared" si="13"/>
        <v>0.38969760172557599</v>
      </c>
      <c r="S37" s="260">
        <f t="shared" si="13"/>
        <v>0.37957701029076324</v>
      </c>
      <c r="T37" s="260">
        <f t="shared" si="13"/>
        <v>0.3872176554138862</v>
      </c>
      <c r="U37" s="260">
        <f t="shared" si="13"/>
        <v>0.39165235556327915</v>
      </c>
      <c r="V37" s="260">
        <f t="shared" si="13"/>
        <v>0.38661442625231168</v>
      </c>
      <c r="W37" s="260">
        <f t="shared" si="13"/>
        <v>0.3888493584635454</v>
      </c>
      <c r="DA37" s="279"/>
    </row>
    <row r="38" spans="1:105" x14ac:dyDescent="0.25">
      <c r="A38" s="128" t="s">
        <v>174</v>
      </c>
      <c r="B38" s="260">
        <f t="shared" ref="B38:W38" si="14">IF(B$25=0,0,B$25/B$5)</f>
        <v>0</v>
      </c>
      <c r="C38" s="260">
        <f t="shared" si="14"/>
        <v>0</v>
      </c>
      <c r="D38" s="260">
        <f t="shared" si="14"/>
        <v>0</v>
      </c>
      <c r="E38" s="260">
        <f t="shared" si="14"/>
        <v>0</v>
      </c>
      <c r="F38" s="260">
        <f t="shared" si="14"/>
        <v>0</v>
      </c>
      <c r="G38" s="260">
        <f t="shared" si="14"/>
        <v>5.6075376030023848E-2</v>
      </c>
      <c r="H38" s="260">
        <f t="shared" si="14"/>
        <v>5.4194030643456445E-2</v>
      </c>
      <c r="I38" s="260">
        <f t="shared" si="14"/>
        <v>5.5071539357653014E-2</v>
      </c>
      <c r="J38" s="260">
        <f t="shared" si="14"/>
        <v>5.5071539357653014E-2</v>
      </c>
      <c r="K38" s="260">
        <f t="shared" si="14"/>
        <v>5.3437191997337534E-2</v>
      </c>
      <c r="L38" s="260">
        <f t="shared" si="14"/>
        <v>5.0413387160424601E-2</v>
      </c>
      <c r="M38" s="260">
        <f t="shared" si="14"/>
        <v>4.8229424967874003E-2</v>
      </c>
      <c r="N38" s="260">
        <f t="shared" si="14"/>
        <v>4.9304434162131761E-2</v>
      </c>
      <c r="O38" s="260">
        <f t="shared" si="14"/>
        <v>4.5716388043893115E-2</v>
      </c>
      <c r="P38" s="260">
        <f t="shared" si="14"/>
        <v>4.5293633458346548E-2</v>
      </c>
      <c r="Q38" s="260">
        <f t="shared" si="14"/>
        <v>4.7270129216547538E-2</v>
      </c>
      <c r="R38" s="260">
        <f t="shared" si="14"/>
        <v>4.5207806183819081E-2</v>
      </c>
      <c r="S38" s="260">
        <f t="shared" si="14"/>
        <v>4.8106278523395635E-2</v>
      </c>
      <c r="T38" s="260">
        <f t="shared" si="14"/>
        <v>5.1699601856720435E-2</v>
      </c>
      <c r="U38" s="260">
        <f t="shared" si="14"/>
        <v>5.3156491201462368E-2</v>
      </c>
      <c r="V38" s="260">
        <f t="shared" si="14"/>
        <v>5.2420863983192879E-2</v>
      </c>
      <c r="W38" s="260">
        <f t="shared" si="14"/>
        <v>5.2698509119331792E-2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0</v>
      </c>
      <c r="C39" s="260">
        <f t="shared" si="15"/>
        <v>0</v>
      </c>
      <c r="D39" s="260">
        <f t="shared" si="15"/>
        <v>0</v>
      </c>
      <c r="E39" s="260">
        <f t="shared" si="15"/>
        <v>0</v>
      </c>
      <c r="F39" s="260">
        <f t="shared" si="15"/>
        <v>0</v>
      </c>
      <c r="G39" s="260">
        <f t="shared" si="15"/>
        <v>0</v>
      </c>
      <c r="H39" s="260">
        <f t="shared" si="15"/>
        <v>0</v>
      </c>
      <c r="I39" s="260">
        <f t="shared" si="15"/>
        <v>0</v>
      </c>
      <c r="J39" s="260">
        <f t="shared" si="15"/>
        <v>0</v>
      </c>
      <c r="K39" s="260">
        <f t="shared" si="15"/>
        <v>3.2841935674273793E-3</v>
      </c>
      <c r="L39" s="260">
        <f t="shared" si="15"/>
        <v>2.0594487448498313E-2</v>
      </c>
      <c r="M39" s="260">
        <f t="shared" si="15"/>
        <v>2.3845580128686553E-2</v>
      </c>
      <c r="N39" s="260">
        <f t="shared" si="15"/>
        <v>2.2713349435920276E-2</v>
      </c>
      <c r="O39" s="260">
        <f t="shared" si="15"/>
        <v>2.811715824127816E-2</v>
      </c>
      <c r="P39" s="260">
        <f t="shared" si="15"/>
        <v>2.9362796692489132E-2</v>
      </c>
      <c r="Q39" s="260">
        <f t="shared" si="15"/>
        <v>3.5661200704910211E-2</v>
      </c>
      <c r="R39" s="260">
        <f t="shared" si="15"/>
        <v>2.947622603700566E-2</v>
      </c>
      <c r="S39" s="260">
        <f t="shared" si="15"/>
        <v>2.6986736890446322E-2</v>
      </c>
      <c r="T39" s="260">
        <f t="shared" si="15"/>
        <v>1.930677006314559E-2</v>
      </c>
      <c r="U39" s="260">
        <f t="shared" si="15"/>
        <v>1.5451200960869734E-2</v>
      </c>
      <c r="V39" s="260">
        <f t="shared" si="15"/>
        <v>1.7982772809799458E-2</v>
      </c>
      <c r="W39" s="260">
        <f t="shared" si="15"/>
        <v>1.6971860262345581E-2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0</v>
      </c>
      <c r="C40" s="262">
        <f t="shared" si="16"/>
        <v>0</v>
      </c>
      <c r="D40" s="262">
        <f t="shared" si="16"/>
        <v>0</v>
      </c>
      <c r="E40" s="262">
        <f t="shared" si="16"/>
        <v>0</v>
      </c>
      <c r="F40" s="262">
        <f t="shared" si="16"/>
        <v>0</v>
      </c>
      <c r="G40" s="262">
        <f t="shared" si="16"/>
        <v>0</v>
      </c>
      <c r="H40" s="262">
        <f t="shared" si="16"/>
        <v>0</v>
      </c>
      <c r="I40" s="262">
        <f t="shared" si="16"/>
        <v>0</v>
      </c>
      <c r="J40" s="262">
        <f t="shared" si="16"/>
        <v>0</v>
      </c>
      <c r="K40" s="262">
        <f t="shared" si="16"/>
        <v>4.7620806727697003E-3</v>
      </c>
      <c r="L40" s="262">
        <f t="shared" si="16"/>
        <v>2.9862006800322558E-2</v>
      </c>
      <c r="M40" s="262">
        <f t="shared" si="16"/>
        <v>3.4576091186595471E-2</v>
      </c>
      <c r="N40" s="262">
        <f t="shared" si="16"/>
        <v>3.2934356682084394E-2</v>
      </c>
      <c r="O40" s="262">
        <f t="shared" si="16"/>
        <v>4.0769879449853309E-2</v>
      </c>
      <c r="P40" s="262">
        <f t="shared" si="16"/>
        <v>4.2576055204109224E-2</v>
      </c>
      <c r="Q40" s="262">
        <f t="shared" si="16"/>
        <v>5.1708741022119815E-2</v>
      </c>
      <c r="R40" s="262">
        <f t="shared" si="16"/>
        <v>4.2740527753658178E-2</v>
      </c>
      <c r="S40" s="262">
        <f t="shared" si="16"/>
        <v>3.9130768491147175E-2</v>
      </c>
      <c r="T40" s="262">
        <f t="shared" si="16"/>
        <v>2.7994816591561108E-2</v>
      </c>
      <c r="U40" s="262">
        <f t="shared" si="16"/>
        <v>2.240424139326111E-2</v>
      </c>
      <c r="V40" s="262">
        <f t="shared" si="16"/>
        <v>2.6075020574209212E-2</v>
      </c>
      <c r="W40" s="262">
        <f t="shared" si="16"/>
        <v>2.4609197380401092E-2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0</v>
      </c>
      <c r="C44" s="237">
        <f t="shared" si="17"/>
        <v>0</v>
      </c>
      <c r="D44" s="237">
        <f t="shared" si="17"/>
        <v>0</v>
      </c>
      <c r="E44" s="237">
        <f t="shared" si="17"/>
        <v>0</v>
      </c>
      <c r="F44" s="237">
        <f t="shared" si="17"/>
        <v>0</v>
      </c>
      <c r="G44" s="237">
        <f t="shared" si="17"/>
        <v>154.42655608236763</v>
      </c>
      <c r="H44" s="237">
        <f t="shared" si="17"/>
        <v>146.93020171673021</v>
      </c>
      <c r="I44" s="237">
        <f t="shared" si="17"/>
        <v>137.23851152262932</v>
      </c>
      <c r="J44" s="237">
        <f t="shared" si="17"/>
        <v>139.32723127138397</v>
      </c>
      <c r="K44" s="237">
        <f t="shared" si="17"/>
        <v>156.36023356757104</v>
      </c>
      <c r="L44" s="237">
        <f t="shared" si="17"/>
        <v>144.58585940593414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130.15939664117738</v>
      </c>
      <c r="Q44" s="237">
        <f t="shared" si="17"/>
        <v>132.91816907674803</v>
      </c>
      <c r="R44" s="237">
        <f t="shared" si="17"/>
        <v>135.38540863538165</v>
      </c>
      <c r="S44" s="237">
        <f t="shared" si="17"/>
        <v>124.90211009173738</v>
      </c>
      <c r="T44" s="237">
        <f t="shared" si="17"/>
        <v>141.27985612939969</v>
      </c>
      <c r="U44" s="237">
        <f t="shared" si="17"/>
        <v>142.0119845958406</v>
      </c>
      <c r="V44" s="237">
        <f t="shared" si="17"/>
        <v>148.6260104466125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0</v>
      </c>
      <c r="C45" s="248">
        <f>IF(C$6=0,0,C$6/AGR!C$5*1000)</f>
        <v>0</v>
      </c>
      <c r="D45" s="248">
        <f>IF(D$6=0,0,D$6/AGR!D$5*1000)</f>
        <v>0</v>
      </c>
      <c r="E45" s="248">
        <f>IF(E$6=0,0,E$6/AGR!E$5*1000)</f>
        <v>0</v>
      </c>
      <c r="F45" s="248">
        <f>IF(F$6=0,0,F$6/AGR!F$5*1000)</f>
        <v>0</v>
      </c>
      <c r="G45" s="248">
        <f>IF(G$6=0,0,G$6/AGR!G$5*1000)</f>
        <v>0</v>
      </c>
      <c r="H45" s="248">
        <f>IF(H$6=0,0,H$6/AGR!H$5*1000)</f>
        <v>0</v>
      </c>
      <c r="I45" s="248">
        <f>IF(I$6=0,0,I$6/AGR!I$5*1000)</f>
        <v>0</v>
      </c>
      <c r="J45" s="248">
        <f>IF(J$6=0,0,J$6/AGR!J$5*1000)</f>
        <v>0</v>
      </c>
      <c r="K45" s="248">
        <f>IF(K$6=0,0,K$6/AGR!K$5*1000)</f>
        <v>0.51351727328405938</v>
      </c>
      <c r="L45" s="248">
        <f>IF(L$6=0,0,L$6/AGR!L$5*1000)</f>
        <v>2.9776716667658532</v>
      </c>
      <c r="M45" s="248">
        <f>IF(M$6=0,0,M$6/AGR!M$5*1000)</f>
        <v>3.1666993825333232</v>
      </c>
      <c r="N45" s="248">
        <f>IF(N$6=0,0,N$6/AGR!N$5*1000)</f>
        <v>3.0672791656577609</v>
      </c>
      <c r="O45" s="248">
        <f>IF(O$6=0,0,O$6/AGR!O$5*1000)</f>
        <v>3.7381819271645753</v>
      </c>
      <c r="P45" s="248">
        <f>IF(P$6=0,0,P$6/AGR!P$5*1000)</f>
        <v>3.8218439011919445</v>
      </c>
      <c r="Q45" s="248">
        <f>IF(Q$6=0,0,Q$6/AGR!Q$5*1000)</f>
        <v>4.7400215047751013</v>
      </c>
      <c r="R45" s="248">
        <f>IF(R$6=0,0,R$6/AGR!R$5*1000)</f>
        <v>3.9906509070488876</v>
      </c>
      <c r="S45" s="248">
        <f>IF(S$6=0,0,S$6/AGR!S$5*1000)</f>
        <v>3.3707003821072776</v>
      </c>
      <c r="T45" s="248">
        <f>IF(T$6=0,0,T$6/AGR!T$5*1000)</f>
        <v>2.7276576968446093</v>
      </c>
      <c r="U45" s="248">
        <f>IF(U$6=0,0,U$6/AGR!U$5*1000)</f>
        <v>2.1942557128422702</v>
      </c>
      <c r="V45" s="248">
        <f>IF(V$6=0,0,V$6/AGR!V$5*1000)</f>
        <v>2.672707779488313</v>
      </c>
      <c r="W45" s="248">
        <f>IF(W$6=0,0,W$6/AGR!W$5*1000)</f>
        <v>2.419171364125202</v>
      </c>
      <c r="DA45" s="282"/>
    </row>
    <row r="46" spans="1:105" x14ac:dyDescent="0.25">
      <c r="A46" s="241" t="s">
        <v>124</v>
      </c>
      <c r="B46" s="249">
        <f>IF(B$7=0,0,B$7/AGR!B$5*1000)</f>
        <v>0</v>
      </c>
      <c r="C46" s="249">
        <f>IF(C$7=0,0,C$7/AGR!C$5*1000)</f>
        <v>0</v>
      </c>
      <c r="D46" s="249">
        <f>IF(D$7=0,0,D$7/AGR!D$5*1000)</f>
        <v>0</v>
      </c>
      <c r="E46" s="249">
        <f>IF(E$7=0,0,E$7/AGR!E$5*1000)</f>
        <v>0</v>
      </c>
      <c r="F46" s="249">
        <f>IF(F$7=0,0,F$7/AGR!F$5*1000)</f>
        <v>0</v>
      </c>
      <c r="G46" s="249">
        <f>IF(G$7=0,0,G$7/AGR!G$5*1000)</f>
        <v>0</v>
      </c>
      <c r="H46" s="249">
        <f>IF(H$7=0,0,H$7/AGR!H$5*1000)</f>
        <v>0</v>
      </c>
      <c r="I46" s="249">
        <f>IF(I$7=0,0,I$7/AGR!I$5*1000)</f>
        <v>0</v>
      </c>
      <c r="J46" s="249">
        <f>IF(J$7=0,0,J$7/AGR!J$5*1000)</f>
        <v>0</v>
      </c>
      <c r="K46" s="249">
        <f>IF(K$7=0,0,K$7/AGR!K$5*1000)</f>
        <v>0.3337862276346385</v>
      </c>
      <c r="L46" s="249">
        <f>IF(L$7=0,0,L$7/AGR!L$5*1000)</f>
        <v>1.9354865833978037</v>
      </c>
      <c r="M46" s="249">
        <f>IF(M$7=0,0,M$7/AGR!M$5*1000)</f>
        <v>2.0583545986466589</v>
      </c>
      <c r="N46" s="249">
        <f>IF(N$7=0,0,N$7/AGR!N$5*1000)</f>
        <v>1.9937314576775442</v>
      </c>
      <c r="O46" s="249">
        <f>IF(O$7=0,0,O$7/AGR!O$5*1000)</f>
        <v>2.4298182526569723</v>
      </c>
      <c r="P46" s="249">
        <f>IF(P$7=0,0,P$7/AGR!P$5*1000)</f>
        <v>2.4841985357747629</v>
      </c>
      <c r="Q46" s="249">
        <f>IF(Q$7=0,0,Q$7/AGR!Q$5*1000)</f>
        <v>3.0810139781038139</v>
      </c>
      <c r="R46" s="249">
        <f>IF(R$7=0,0,R$7/AGR!R$5*1000)</f>
        <v>2.5939230895817755</v>
      </c>
      <c r="S46" s="249">
        <f>IF(S$7=0,0,S$7/AGR!S$5*1000)</f>
        <v>2.190955248369729</v>
      </c>
      <c r="T46" s="249">
        <f>IF(T$7=0,0,T$7/AGR!T$5*1000)</f>
        <v>1.7729775029489951</v>
      </c>
      <c r="U46" s="249">
        <f>IF(U$7=0,0,U$7/AGR!U$5*1000)</f>
        <v>1.4262662133474746</v>
      </c>
      <c r="V46" s="249">
        <f>IF(V$7=0,0,V$7/AGR!V$5*1000)</f>
        <v>1.7372600566674028</v>
      </c>
      <c r="W46" s="249">
        <f>IF(W$7=0,0,W$7/AGR!W$5*1000)</f>
        <v>1.572461386681381</v>
      </c>
      <c r="DA46" s="283"/>
    </row>
    <row r="47" spans="1:105" x14ac:dyDescent="0.25">
      <c r="A47" s="241" t="s">
        <v>123</v>
      </c>
      <c r="B47" s="249">
        <f>IF(B$8=0,0,B$8/AGR!B$5*1000)</f>
        <v>0</v>
      </c>
      <c r="C47" s="249">
        <f>IF(C$8=0,0,C$8/AGR!C$5*1000)</f>
        <v>0</v>
      </c>
      <c r="D47" s="249">
        <f>IF(D$8=0,0,D$8/AGR!D$5*1000)</f>
        <v>0</v>
      </c>
      <c r="E47" s="249">
        <f>IF(E$8=0,0,E$8/AGR!E$5*1000)</f>
        <v>0</v>
      </c>
      <c r="F47" s="249">
        <f>IF(F$8=0,0,F$8/AGR!F$5*1000)</f>
        <v>0</v>
      </c>
      <c r="G47" s="249">
        <f>IF(G$8=0,0,G$8/AGR!G$5*1000)</f>
        <v>0</v>
      </c>
      <c r="H47" s="249">
        <f>IF(H$8=0,0,H$8/AGR!H$5*1000)</f>
        <v>0</v>
      </c>
      <c r="I47" s="249">
        <f>IF(I$8=0,0,I$8/AGR!I$5*1000)</f>
        <v>0</v>
      </c>
      <c r="J47" s="249">
        <f>IF(J$8=0,0,J$8/AGR!J$5*1000)</f>
        <v>0</v>
      </c>
      <c r="K47" s="249">
        <f>IF(K$8=0,0,K$8/AGR!K$5*1000)</f>
        <v>0.46216554595565329</v>
      </c>
      <c r="L47" s="249">
        <f>IF(L$8=0,0,L$8/AGR!L$5*1000)</f>
        <v>2.6799045000892674</v>
      </c>
      <c r="M47" s="249">
        <f>IF(M$8=0,0,M$8/AGR!M$5*1000)</f>
        <v>2.8500294442799894</v>
      </c>
      <c r="N47" s="249">
        <f>IF(N$8=0,0,N$8/AGR!N$5*1000)</f>
        <v>2.7605512490919839</v>
      </c>
      <c r="O47" s="249">
        <f>IF(O$8=0,0,O$8/AGR!O$5*1000)</f>
        <v>3.3643637344481161</v>
      </c>
      <c r="P47" s="249">
        <f>IF(P$8=0,0,P$8/AGR!P$5*1000)</f>
        <v>3.4396595110727488</v>
      </c>
      <c r="Q47" s="249">
        <f>IF(Q$8=0,0,Q$8/AGR!Q$5*1000)</f>
        <v>4.2660193542975913</v>
      </c>
      <c r="R47" s="249">
        <f>IF(R$8=0,0,R$8/AGR!R$5*1000)</f>
        <v>3.5915858163439967</v>
      </c>
      <c r="S47" s="249">
        <f>IF(S$8=0,0,S$8/AGR!S$5*1000)</f>
        <v>3.0336303438965508</v>
      </c>
      <c r="T47" s="249">
        <f>IF(T$8=0,0,T$8/AGR!T$5*1000)</f>
        <v>2.4548919271601477</v>
      </c>
      <c r="U47" s="249">
        <f>IF(U$8=0,0,U$8/AGR!U$5*1000)</f>
        <v>1.974830141558042</v>
      </c>
      <c r="V47" s="249">
        <f>IF(V$8=0,0,V$8/AGR!V$5*1000)</f>
        <v>2.4054370015394815</v>
      </c>
      <c r="W47" s="249">
        <f>IF(W$8=0,0,W$8/AGR!W$5*1000)</f>
        <v>2.1772542277126821</v>
      </c>
      <c r="DA47" s="283"/>
    </row>
    <row r="48" spans="1:105" x14ac:dyDescent="0.25">
      <c r="A48" s="243" t="s">
        <v>122</v>
      </c>
      <c r="B48" s="250">
        <f>IF(B$9=0,0,B$9/AGR!B$5*1000)</f>
        <v>0</v>
      </c>
      <c r="C48" s="250">
        <f>IF(C$9=0,0,C$9/AGR!C$5*1000)</f>
        <v>0</v>
      </c>
      <c r="D48" s="250">
        <f>IF(D$9=0,0,D$9/AGR!D$5*1000)</f>
        <v>0</v>
      </c>
      <c r="E48" s="250">
        <f>IF(E$9=0,0,E$9/AGR!E$5*1000)</f>
        <v>0</v>
      </c>
      <c r="F48" s="250">
        <f>IF(F$9=0,0,F$9/AGR!F$5*1000)</f>
        <v>0</v>
      </c>
      <c r="G48" s="250">
        <f>IF(G$9=0,0,G$9/AGR!G$5*1000)</f>
        <v>33.939687055090239</v>
      </c>
      <c r="H48" s="250">
        <f>IF(H$9=0,0,H$9/AGR!H$5*1000)</f>
        <v>31.208736051284877</v>
      </c>
      <c r="I48" s="250">
        <f>IF(I$9=0,0,I$9/AGR!I$5*1000)</f>
        <v>29.622169856258392</v>
      </c>
      <c r="J48" s="250">
        <f>IF(J$9=0,0,J$9/AGR!J$5*1000)</f>
        <v>30.073008403640404</v>
      </c>
      <c r="K48" s="250">
        <f>IF(K$9=0,0,K$9/AGR!K$5*1000)</f>
        <v>32.414218985171942</v>
      </c>
      <c r="L48" s="250">
        <f>IF(L$9=0,0,L$9/AGR!L$5*1000)</f>
        <v>27.576095114526073</v>
      </c>
      <c r="M48" s="250">
        <f>IF(M$9=0,0,M$9/AGR!M$5*1000)</f>
        <v>24.473575959583336</v>
      </c>
      <c r="N48" s="250">
        <f>IF(N$9=0,0,N$9/AGR!N$5*1000)</f>
        <v>25.313679583575933</v>
      </c>
      <c r="O48" s="250">
        <f>IF(O$9=0,0,O$9/AGR!O$5*1000)</f>
        <v>24.107661472620354</v>
      </c>
      <c r="P48" s="250">
        <f>IF(P$9=0,0,P$9/AGR!P$5*1000)</f>
        <v>23.74723260783697</v>
      </c>
      <c r="Q48" s="250">
        <f>IF(Q$9=0,0,Q$9/AGR!Q$5*1000)</f>
        <v>26.575713805155676</v>
      </c>
      <c r="R48" s="250">
        <f>IF(R$9=0,0,R$9/AGR!R$5*1000)</f>
        <v>24.701087985552551</v>
      </c>
      <c r="S48" s="250">
        <f>IF(S$9=0,0,S$9/AGR!S$5*1000)</f>
        <v>23.361183904581139</v>
      </c>
      <c r="T48" s="250">
        <f>IF(T$9=0,0,T$9/AGR!T$5*1000)</f>
        <v>27.620494935489148</v>
      </c>
      <c r="U48" s="250">
        <f>IF(U$9=0,0,U$9/AGR!U$5*1000)</f>
        <v>28.587942185267043</v>
      </c>
      <c r="V48" s="250">
        <f>IF(V$9=0,0,V$9/AGR!V$5*1000)</f>
        <v>29.465177704490859</v>
      </c>
      <c r="W48" s="250">
        <f>IF(W$9=0,0,W$9/AGR!W$5*1000)</f>
        <v>28.415033283057337</v>
      </c>
      <c r="DA48" s="284"/>
    </row>
    <row r="49" spans="1:105" x14ac:dyDescent="0.25">
      <c r="A49" s="128" t="s">
        <v>175</v>
      </c>
      <c r="B49" s="263">
        <f>IF(B$16=0,0,B$16/AGR!B$5*1000)</f>
        <v>0</v>
      </c>
      <c r="C49" s="263">
        <f>IF(C$16=0,0,C$16/AGR!C$5*1000)</f>
        <v>0</v>
      </c>
      <c r="D49" s="263">
        <f>IF(D$16=0,0,D$16/AGR!D$5*1000)</f>
        <v>0</v>
      </c>
      <c r="E49" s="263">
        <f>IF(E$16=0,0,E$16/AGR!E$5*1000)</f>
        <v>0</v>
      </c>
      <c r="F49" s="263">
        <f>IF(F$16=0,0,F$16/AGR!F$5*1000)</f>
        <v>0</v>
      </c>
      <c r="G49" s="263">
        <f>IF(G$16=0,0,G$16/AGR!G$5*1000)</f>
        <v>45.064541482357477</v>
      </c>
      <c r="H49" s="263">
        <f>IF(H$16=0,0,H$16/AGR!H$5*1000)</f>
        <v>41.438431005925871</v>
      </c>
      <c r="I49" s="263">
        <f>IF(I$16=0,0,I$16/AGR!I$5*1000)</f>
        <v>39.331815290989454</v>
      </c>
      <c r="J49" s="263">
        <f>IF(J$16=0,0,J$16/AGR!J$5*1000)</f>
        <v>39.930431076319607</v>
      </c>
      <c r="K49" s="263">
        <f>IF(K$16=0,0,K$16/AGR!K$5*1000)</f>
        <v>43.482120498855728</v>
      </c>
      <c r="L49" s="263">
        <f>IF(L$16=0,0,L$16/AGR!L$5*1000)</f>
        <v>37.932588021801045</v>
      </c>
      <c r="M49" s="263">
        <f>IF(M$16=0,0,M$16/AGR!M$5*1000)</f>
        <v>33.33126561622521</v>
      </c>
      <c r="N49" s="263">
        <f>IF(N$16=0,0,N$16/AGR!N$5*1000)</f>
        <v>34.649651999466272</v>
      </c>
      <c r="O49" s="263">
        <f>IF(O$16=0,0,O$16/AGR!O$5*1000)</f>
        <v>31.630182276084163</v>
      </c>
      <c r="P49" s="263">
        <f>IF(P$16=0,0,P$16/AGR!P$5*1000)</f>
        <v>30.679866380687972</v>
      </c>
      <c r="Q49" s="263">
        <f>IF(Q$16=0,0,Q$16/AGR!Q$5*1000)</f>
        <v>32.697301780675019</v>
      </c>
      <c r="R49" s="263">
        <f>IF(R$16=0,0,R$16/AGR!R$5*1000)</f>
        <v>31.851219747033902</v>
      </c>
      <c r="S49" s="263">
        <f>IF(S$16=0,0,S$16/AGR!S$5*1000)</f>
        <v>31.268879052757473</v>
      </c>
      <c r="T49" s="263">
        <f>IF(T$16=0,0,T$16/AGR!T$5*1000)</f>
        <v>38.010905749785458</v>
      </c>
      <c r="U49" s="263">
        <f>IF(U$16=0,0,U$16/AGR!U$5*1000)</f>
        <v>39.28457675151413</v>
      </c>
      <c r="V49" s="263">
        <f>IF(V$16=0,0,V$16/AGR!V$5*1000)</f>
        <v>40.545230211706418</v>
      </c>
      <c r="W49" s="263">
        <f>IF(W$16=0,0,W$16/AGR!W$5*1000)</f>
        <v>39.090955898756405</v>
      </c>
      <c r="DA49" s="285"/>
    </row>
    <row r="50" spans="1:105" x14ac:dyDescent="0.25">
      <c r="A50" s="128" t="s">
        <v>121</v>
      </c>
      <c r="B50" s="263">
        <f>IF(B$17=0,0,B$17/AGR!B$5*1000)</f>
        <v>0</v>
      </c>
      <c r="C50" s="263">
        <f>IF(C$17=0,0,C$17/AGR!C$5*1000)</f>
        <v>0</v>
      </c>
      <c r="D50" s="263">
        <f>IF(D$17=0,0,D$17/AGR!D$5*1000)</f>
        <v>0</v>
      </c>
      <c r="E50" s="263">
        <f>IF(E$17=0,0,E$17/AGR!E$5*1000)</f>
        <v>0</v>
      </c>
      <c r="F50" s="263">
        <f>IF(F$17=0,0,F$17/AGR!F$5*1000)</f>
        <v>0</v>
      </c>
      <c r="G50" s="263">
        <f>IF(G$17=0,0,G$17/AGR!G$5*1000)</f>
        <v>66.762800343579585</v>
      </c>
      <c r="H50" s="263">
        <f>IF(H$17=0,0,H$17/AGR!H$5*1000)</f>
        <v>66.320294805233743</v>
      </c>
      <c r="I50" s="263">
        <f>IF(I$17=0,0,I$17/AGR!I$5*1000)</f>
        <v>60.726590286677286</v>
      </c>
      <c r="J50" s="263">
        <f>IF(J$17=0,0,J$17/AGR!J$5*1000)</f>
        <v>61.650826690869117</v>
      </c>
      <c r="K50" s="263">
        <f>IF(K$17=0,0,K$17/AGR!K$5*1000)</f>
        <v>69.540855895224212</v>
      </c>
      <c r="L50" s="263">
        <f>IF(L$17=0,0,L$17/AGR!L$5*1000)</f>
        <v>56.899755027623719</v>
      </c>
      <c r="M50" s="263">
        <f>IF(M$17=0,0,M$17/AGR!M$5*1000)</f>
        <v>52.757046987668971</v>
      </c>
      <c r="N50" s="263">
        <f>IF(N$17=0,0,N$17/AGR!N$5*1000)</f>
        <v>53.085067187306763</v>
      </c>
      <c r="O50" s="263">
        <f>IF(O$17=0,0,O$17/AGR!O$5*1000)</f>
        <v>52.443447603643648</v>
      </c>
      <c r="P50" s="263">
        <f>IF(P$17=0,0,P$17/AGR!P$5*1000)</f>
        <v>50.727686144067697</v>
      </c>
      <c r="Q50" s="263">
        <f>IF(Q$17=0,0,Q$17/AGR!Q$5*1000)</f>
        <v>43.661986939557025</v>
      </c>
      <c r="R50" s="263">
        <f>IF(R$17=0,0,R$17/AGR!R$5*1000)</f>
        <v>52.759369053845319</v>
      </c>
      <c r="S50" s="263">
        <f>IF(S$17=0,0,S$17/AGR!S$5*1000)</f>
        <v>47.409969527629457</v>
      </c>
      <c r="T50" s="263">
        <f>IF(T$17=0,0,T$17/AGR!T$5*1000)</f>
        <v>54.706054647637302</v>
      </c>
      <c r="U50" s="263">
        <f>IF(U$17=0,0,U$17/AGR!U$5*1000)</f>
        <v>55.619328285177069</v>
      </c>
      <c r="V50" s="263">
        <f>IF(V$17=0,0,V$17/AGR!V$5*1000)</f>
        <v>57.460959754987172</v>
      </c>
      <c r="W50" s="263">
        <f>IF(W$17=0,0,W$17/AGR!W$5*1000)</f>
        <v>55.426642596187463</v>
      </c>
      <c r="DA50" s="285"/>
    </row>
    <row r="51" spans="1:105" x14ac:dyDescent="0.25">
      <c r="A51" s="128" t="s">
        <v>174</v>
      </c>
      <c r="B51" s="263">
        <f>IF(B$25=0,0,B$25/AGR!B$5*1000)</f>
        <v>0</v>
      </c>
      <c r="C51" s="263">
        <f>IF(C$25=0,0,C$25/AGR!C$5*1000)</f>
        <v>0</v>
      </c>
      <c r="D51" s="263">
        <f>IF(D$25=0,0,D$25/AGR!D$5*1000)</f>
        <v>0</v>
      </c>
      <c r="E51" s="263">
        <f>IF(E$25=0,0,E$25/AGR!E$5*1000)</f>
        <v>0</v>
      </c>
      <c r="F51" s="263">
        <f>IF(F$25=0,0,F$25/AGR!F$5*1000)</f>
        <v>0</v>
      </c>
      <c r="G51" s="263">
        <f>IF(G$25=0,0,G$25/AGR!G$5*1000)</f>
        <v>8.6595272013403299</v>
      </c>
      <c r="H51" s="263">
        <f>IF(H$25=0,0,H$25/AGR!H$5*1000)</f>
        <v>7.9627398542857133</v>
      </c>
      <c r="I51" s="263">
        <f>IF(I$25=0,0,I$25/AGR!I$5*1000)</f>
        <v>7.5579360887041975</v>
      </c>
      <c r="J51" s="263">
        <f>IF(J$25=0,0,J$25/AGR!J$5*1000)</f>
        <v>7.6729651005548458</v>
      </c>
      <c r="K51" s="263">
        <f>IF(K$25=0,0,K$25/AGR!K$5*1000)</f>
        <v>8.3554518218988338</v>
      </c>
      <c r="L51" s="263">
        <f>IF(L$25=0,0,L$25/AGR!L$5*1000)</f>
        <v>7.2890629081540785</v>
      </c>
      <c r="M51" s="263">
        <f>IF(M$25=0,0,M$25/AGR!M$5*1000)</f>
        <v>6.4048804617661581</v>
      </c>
      <c r="N51" s="263">
        <f>IF(N$25=0,0,N$25/AGR!N$5*1000)</f>
        <v>6.6582193923757647</v>
      </c>
      <c r="O51" s="263">
        <f>IF(O$25=0,0,O$25/AGR!O$5*1000)</f>
        <v>6.0780031215969457</v>
      </c>
      <c r="P51" s="263">
        <f>IF(P$25=0,0,P$25/AGR!P$5*1000)</f>
        <v>5.8953920026250319</v>
      </c>
      <c r="Q51" s="263">
        <f>IF(Q$25=0,0,Q$25/AGR!Q$5*1000)</f>
        <v>6.2830590274847919</v>
      </c>
      <c r="R51" s="263">
        <f>IF(R$25=0,0,R$25/AGR!R$5*1000)</f>
        <v>6.1204773137054804</v>
      </c>
      <c r="S51" s="263">
        <f>IF(S$25=0,0,S$25/AGR!S$5*1000)</f>
        <v>6.0085756962329446</v>
      </c>
      <c r="T51" s="263">
        <f>IF(T$25=0,0,T$25/AGR!T$5*1000)</f>
        <v>7.3041123122647074</v>
      </c>
      <c r="U51" s="263">
        <f>IF(U$25=0,0,U$25/AGR!U$5*1000)</f>
        <v>7.5488588096710094</v>
      </c>
      <c r="V51" s="263">
        <f>IF(V$25=0,0,V$25/AGR!V$5*1000)</f>
        <v>7.7911038779864779</v>
      </c>
      <c r="W51" s="263">
        <f>IF(W$25=0,0,W$25/AGR!W$5*1000)</f>
        <v>7.511652949230629</v>
      </c>
      <c r="DA51" s="285"/>
    </row>
    <row r="52" spans="1:105" x14ac:dyDescent="0.25">
      <c r="A52" s="128" t="s">
        <v>177</v>
      </c>
      <c r="B52" s="263">
        <f>IF(B$26=0,0,B$26/AGR!B$5*1000)</f>
        <v>0</v>
      </c>
      <c r="C52" s="263">
        <f>IF(C$26=0,0,C$26/AGR!C$5*1000)</f>
        <v>0</v>
      </c>
      <c r="D52" s="263">
        <f>IF(D$26=0,0,D$26/AGR!D$5*1000)</f>
        <v>0</v>
      </c>
      <c r="E52" s="263">
        <f>IF(E$26=0,0,E$26/AGR!E$5*1000)</f>
        <v>0</v>
      </c>
      <c r="F52" s="263">
        <f>IF(F$26=0,0,F$26/AGR!F$5*1000)</f>
        <v>0</v>
      </c>
      <c r="G52" s="263">
        <f>IF(G$26=0,0,G$26/AGR!G$5*1000)</f>
        <v>0</v>
      </c>
      <c r="H52" s="263">
        <f>IF(H$26=0,0,H$26/AGR!H$5*1000)</f>
        <v>0</v>
      </c>
      <c r="I52" s="263">
        <f>IF(I$26=0,0,I$26/AGR!I$5*1000)</f>
        <v>0</v>
      </c>
      <c r="J52" s="263">
        <f>IF(J$26=0,0,J$26/AGR!J$5*1000)</f>
        <v>0</v>
      </c>
      <c r="K52" s="263">
        <f>IF(K$26=0,0,K$26/AGR!K$5*1000)</f>
        <v>0.51351727328405938</v>
      </c>
      <c r="L52" s="263">
        <f>IF(L$26=0,0,L$26/AGR!L$5*1000)</f>
        <v>2.9776716667658532</v>
      </c>
      <c r="M52" s="263">
        <f>IF(M$26=0,0,M$26/AGR!M$5*1000)</f>
        <v>3.1666993825333232</v>
      </c>
      <c r="N52" s="263">
        <f>IF(N$26=0,0,N$26/AGR!N$5*1000)</f>
        <v>3.0672791656577609</v>
      </c>
      <c r="O52" s="263">
        <f>IF(O$26=0,0,O$26/AGR!O$5*1000)</f>
        <v>3.7381819271645753</v>
      </c>
      <c r="P52" s="263">
        <f>IF(P$26=0,0,P$26/AGR!P$5*1000)</f>
        <v>3.8218439011919445</v>
      </c>
      <c r="Q52" s="263">
        <f>IF(Q$26=0,0,Q$26/AGR!Q$5*1000)</f>
        <v>4.7400215047751013</v>
      </c>
      <c r="R52" s="263">
        <f>IF(R$26=0,0,R$26/AGR!R$5*1000)</f>
        <v>3.9906509070488876</v>
      </c>
      <c r="S52" s="263">
        <f>IF(S$26=0,0,S$26/AGR!S$5*1000)</f>
        <v>3.3707003821072776</v>
      </c>
      <c r="T52" s="263">
        <f>IF(T$26=0,0,T$26/AGR!T$5*1000)</f>
        <v>2.7276576968446093</v>
      </c>
      <c r="U52" s="263">
        <f>IF(U$26=0,0,U$26/AGR!U$5*1000)</f>
        <v>2.1942557128422702</v>
      </c>
      <c r="V52" s="263">
        <f>IF(V$26=0,0,V$26/AGR!V$5*1000)</f>
        <v>2.672707779488313</v>
      </c>
      <c r="W52" s="263">
        <f>IF(W$26=0,0,W$26/AGR!W$5*1000)</f>
        <v>2.419171364125202</v>
      </c>
      <c r="DA52" s="285"/>
    </row>
    <row r="53" spans="1:105" x14ac:dyDescent="0.25">
      <c r="A53" s="261" t="s">
        <v>33</v>
      </c>
      <c r="B53" s="264">
        <f>IF(B$27=0,0,B$27/AGR!B$5*1000)</f>
        <v>0</v>
      </c>
      <c r="C53" s="264">
        <f>IF(C$27=0,0,C$27/AGR!C$5*1000)</f>
        <v>0</v>
      </c>
      <c r="D53" s="264">
        <f>IF(D$27=0,0,D$27/AGR!D$5*1000)</f>
        <v>0</v>
      </c>
      <c r="E53" s="264">
        <f>IF(E$27=0,0,E$27/AGR!E$5*1000)</f>
        <v>0</v>
      </c>
      <c r="F53" s="264">
        <f>IF(F$27=0,0,F$27/AGR!F$5*1000)</f>
        <v>0</v>
      </c>
      <c r="G53" s="264">
        <f>IF(G$27=0,0,G$27/AGR!G$5*1000)</f>
        <v>0</v>
      </c>
      <c r="H53" s="264">
        <f>IF(H$27=0,0,H$27/AGR!H$5*1000)</f>
        <v>0</v>
      </c>
      <c r="I53" s="264">
        <f>IF(I$27=0,0,I$27/AGR!I$5*1000)</f>
        <v>0</v>
      </c>
      <c r="J53" s="264">
        <f>IF(J$27=0,0,J$27/AGR!J$5*1000)</f>
        <v>0</v>
      </c>
      <c r="K53" s="264">
        <f>IF(K$27=0,0,K$27/AGR!K$5*1000)</f>
        <v>0.74460004626188603</v>
      </c>
      <c r="L53" s="264">
        <f>IF(L$27=0,0,L$27/AGR!L$5*1000)</f>
        <v>4.3176239168104873</v>
      </c>
      <c r="M53" s="264">
        <f>IF(M$27=0,0,M$27/AGR!M$5*1000)</f>
        <v>4.5917141046733141</v>
      </c>
      <c r="N53" s="264">
        <f>IF(N$27=0,0,N$27/AGR!N$5*1000)</f>
        <v>4.4475547902037524</v>
      </c>
      <c r="O53" s="264">
        <f>IF(O$27=0,0,O$27/AGR!O$5*1000)</f>
        <v>5.4203637943886323</v>
      </c>
      <c r="P53" s="264">
        <f>IF(P$27=0,0,P$27/AGR!P$5*1000)</f>
        <v>5.5416736567283174</v>
      </c>
      <c r="Q53" s="264">
        <f>IF(Q$27=0,0,Q$27/AGR!Q$5*1000)</f>
        <v>6.8730311819238974</v>
      </c>
      <c r="R53" s="264">
        <f>IF(R$27=0,0,R$27/AGR!R$5*1000)</f>
        <v>5.7864438152208839</v>
      </c>
      <c r="S53" s="264">
        <f>IF(S$27=0,0,S$27/AGR!S$5*1000)</f>
        <v>4.887515554055553</v>
      </c>
      <c r="T53" s="264">
        <f>IF(T$27=0,0,T$27/AGR!T$5*1000)</f>
        <v>3.9551036604246841</v>
      </c>
      <c r="U53" s="264">
        <f>IF(U$27=0,0,U$27/AGR!U$5*1000)</f>
        <v>3.1816707836212905</v>
      </c>
      <c r="V53" s="264">
        <f>IF(V$27=0,0,V$27/AGR!V$5*1000)</f>
        <v>3.8754262802580541</v>
      </c>
      <c r="W53" s="264">
        <f>IF(W$27=0,0,W$27/AGR!W$5*1000)</f>
        <v>3.507798477981543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0</v>
      </c>
      <c r="C5" s="80">
        <f t="shared" ref="C5:W5" si="1">SUM(C6:C9,C16:C17,C25:C27)</f>
        <v>0</v>
      </c>
      <c r="D5" s="80">
        <f t="shared" si="1"/>
        <v>0</v>
      </c>
      <c r="E5" s="80">
        <f t="shared" si="1"/>
        <v>0</v>
      </c>
      <c r="F5" s="80">
        <f t="shared" si="1"/>
        <v>0</v>
      </c>
      <c r="G5" s="80">
        <f t="shared" si="1"/>
        <v>3.0945182783190672</v>
      </c>
      <c r="H5" s="80">
        <f t="shared" si="1"/>
        <v>1.9105280577872357</v>
      </c>
      <c r="I5" s="80">
        <f t="shared" si="1"/>
        <v>2.3056256122990644</v>
      </c>
      <c r="J5" s="80">
        <f t="shared" si="1"/>
        <v>2.3056256122990644</v>
      </c>
      <c r="K5" s="80">
        <f t="shared" si="1"/>
        <v>1.9538384520168721</v>
      </c>
      <c r="L5" s="80">
        <f t="shared" si="1"/>
        <v>3.2035318514441018</v>
      </c>
      <c r="M5" s="80">
        <f t="shared" si="1"/>
        <v>2.3826641119335759</v>
      </c>
      <c r="N5" s="80">
        <f t="shared" si="1"/>
        <v>2.822099782351625</v>
      </c>
      <c r="O5" s="80">
        <f t="shared" si="1"/>
        <v>2.0558414992398459</v>
      </c>
      <c r="P5" s="80">
        <f t="shared" si="1"/>
        <v>2.1111227869998328</v>
      </c>
      <c r="Q5" s="80">
        <f t="shared" si="1"/>
        <v>1.7833762359847274</v>
      </c>
      <c r="R5" s="80">
        <f t="shared" si="1"/>
        <v>2.1006017991098234</v>
      </c>
      <c r="S5" s="80">
        <f t="shared" si="1"/>
        <v>2.5986753479177516</v>
      </c>
      <c r="T5" s="80">
        <f t="shared" si="1"/>
        <v>5.1946758548150749</v>
      </c>
      <c r="U5" s="80">
        <f t="shared" si="1"/>
        <v>6.5123714236980961</v>
      </c>
      <c r="V5" s="80">
        <f t="shared" si="1"/>
        <v>5.9032184269120442</v>
      </c>
      <c r="W5" s="80">
        <f t="shared" si="1"/>
        <v>6.1726793609268951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8.4465793259066897E-3</v>
      </c>
      <c r="L6" s="240">
        <v>8.2555897060690317E-2</v>
      </c>
      <c r="M6" s="240">
        <v>7.0584814913355998E-2</v>
      </c>
      <c r="N6" s="240">
        <v>7.9756232865511173E-2</v>
      </c>
      <c r="O6" s="240">
        <v>7.0364647808284761E-2</v>
      </c>
      <c r="P6" s="240">
        <v>7.4792767352781328E-2</v>
      </c>
      <c r="Q6" s="240">
        <v>7.2680303674153665E-2</v>
      </c>
      <c r="R6" s="240">
        <v>7.4652213432280567E-2</v>
      </c>
      <c r="S6" s="240">
        <v>8.534436107275771E-2</v>
      </c>
      <c r="T6" s="240">
        <v>0.1252194425136236</v>
      </c>
      <c r="U6" s="240">
        <v>0.12671758151804161</v>
      </c>
      <c r="V6" s="240">
        <v>0.13283159889083601</v>
      </c>
      <c r="W6" s="240">
        <v>0.13146029889351041</v>
      </c>
      <c r="DA6" s="268" t="s">
        <v>1014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5.4443114930261228E-3</v>
      </c>
      <c r="L7" s="242">
        <v>5.3212075781499973E-2</v>
      </c>
      <c r="M7" s="242">
        <v>4.5496017291550728E-2</v>
      </c>
      <c r="N7" s="242">
        <v>5.1407529424174273E-2</v>
      </c>
      <c r="O7" s="242">
        <v>4.5354106790947341E-2</v>
      </c>
      <c r="P7" s="242">
        <v>4.8208287305733247E-2</v>
      </c>
      <c r="Q7" s="242">
        <v>4.6846681637876877E-2</v>
      </c>
      <c r="R7" s="242">
        <v>4.8117692131610497E-2</v>
      </c>
      <c r="S7" s="242">
        <v>5.5009402969587277E-2</v>
      </c>
      <c r="T7" s="242">
        <v>8.0711211452935111E-2</v>
      </c>
      <c r="U7" s="242">
        <v>8.1676849149000696E-2</v>
      </c>
      <c r="V7" s="242">
        <v>8.5617688838882225E-2</v>
      </c>
      <c r="W7" s="242">
        <v>8.4733806257808464E-2</v>
      </c>
      <c r="DA7" s="269" t="s">
        <v>1015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1.081911128235701E-2</v>
      </c>
      <c r="L8" s="242">
        <v>0.10574475214776261</v>
      </c>
      <c r="M8" s="242">
        <v>9.0411152009182871E-2</v>
      </c>
      <c r="N8" s="242">
        <v>0.102158699461562</v>
      </c>
      <c r="O8" s="242">
        <v>9.0129142888262861E-2</v>
      </c>
      <c r="P8" s="242">
        <v>9.5801062404432882E-2</v>
      </c>
      <c r="Q8" s="242">
        <v>9.3095235733402754E-2</v>
      </c>
      <c r="R8" s="242">
        <v>9.5621028754313095E-2</v>
      </c>
      <c r="S8" s="242">
        <v>0.1093164586681612</v>
      </c>
      <c r="T8" s="242">
        <v>0.16039192091813739</v>
      </c>
      <c r="U8" s="242">
        <v>0.16231086727261301</v>
      </c>
      <c r="V8" s="242">
        <v>0.17014223092720421</v>
      </c>
      <c r="W8" s="242">
        <v>0.16838575097240671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0</v>
      </c>
      <c r="C9" s="244">
        <f t="shared" ref="C9:W9" si="3">SUM(C10:C15)</f>
        <v>0</v>
      </c>
      <c r="D9" s="244">
        <f t="shared" si="3"/>
        <v>0</v>
      </c>
      <c r="E9" s="244">
        <f t="shared" si="3"/>
        <v>0</v>
      </c>
      <c r="F9" s="244">
        <f t="shared" si="3"/>
        <v>0</v>
      </c>
      <c r="G9" s="244">
        <f t="shared" si="3"/>
        <v>1.1400753149922289</v>
      </c>
      <c r="H9" s="244">
        <f t="shared" si="3"/>
        <v>0.68863081823170291</v>
      </c>
      <c r="I9" s="244">
        <f t="shared" si="3"/>
        <v>0.83974671242731158</v>
      </c>
      <c r="J9" s="244">
        <f t="shared" si="3"/>
        <v>0.83974671242731158</v>
      </c>
      <c r="K9" s="244">
        <f t="shared" si="3"/>
        <v>0.68340905758606718</v>
      </c>
      <c r="L9" s="244">
        <f t="shared" si="3"/>
        <v>1.0059462293244503</v>
      </c>
      <c r="M9" s="244">
        <f t="shared" si="3"/>
        <v>0.73378453101989338</v>
      </c>
      <c r="N9" s="244">
        <f t="shared" si="3"/>
        <v>0.87652005942492128</v>
      </c>
      <c r="O9" s="244">
        <f t="shared" si="3"/>
        <v>0.63751801343799208</v>
      </c>
      <c r="P9" s="244">
        <f t="shared" si="3"/>
        <v>0.66145237480941232</v>
      </c>
      <c r="Q9" s="244">
        <f t="shared" si="3"/>
        <v>0.59327155106448703</v>
      </c>
      <c r="R9" s="244">
        <f t="shared" si="3"/>
        <v>0.65875167984074479</v>
      </c>
      <c r="S9" s="244">
        <f t="shared" si="3"/>
        <v>0.81071048368186172</v>
      </c>
      <c r="T9" s="244">
        <f t="shared" si="3"/>
        <v>1.6567897597295738</v>
      </c>
      <c r="U9" s="244">
        <f t="shared" si="3"/>
        <v>2.1348016821746398</v>
      </c>
      <c r="V9" s="244">
        <f t="shared" si="3"/>
        <v>1.9046583983480867</v>
      </c>
      <c r="W9" s="244">
        <f t="shared" si="3"/>
        <v>2.0031802263056373</v>
      </c>
      <c r="DA9" s="270"/>
    </row>
    <row r="10" spans="1:105" x14ac:dyDescent="0.25">
      <c r="A10" s="254" t="s">
        <v>173</v>
      </c>
      <c r="B10" s="255">
        <v>0</v>
      </c>
      <c r="C10" s="255">
        <v>0</v>
      </c>
      <c r="D10" s="255">
        <v>0</v>
      </c>
      <c r="E10" s="255">
        <v>0</v>
      </c>
      <c r="F10" s="255">
        <v>0</v>
      </c>
      <c r="G10" s="255">
        <v>1.1400753149922289</v>
      </c>
      <c r="H10" s="255">
        <v>0.68863081823170291</v>
      </c>
      <c r="I10" s="255">
        <v>0.83974671242731158</v>
      </c>
      <c r="J10" s="255">
        <v>0.83974671242731158</v>
      </c>
      <c r="K10" s="255">
        <v>0.68319125061653252</v>
      </c>
      <c r="L10" s="255">
        <v>0.9118057689022081</v>
      </c>
      <c r="M10" s="255">
        <v>0.60863947321692835</v>
      </c>
      <c r="N10" s="255">
        <v>0.75757830070430232</v>
      </c>
      <c r="O10" s="255">
        <v>0.43537931137749403</v>
      </c>
      <c r="P10" s="255">
        <v>0.42349766113737469</v>
      </c>
      <c r="Q10" s="255">
        <v>0.3366032218142736</v>
      </c>
      <c r="R10" s="255">
        <v>0.41827611018088118</v>
      </c>
      <c r="S10" s="255">
        <v>0.62052750285574831</v>
      </c>
      <c r="T10" s="255">
        <v>1.5424120061095801</v>
      </c>
      <c r="U10" s="255">
        <v>2.0667895224656472</v>
      </c>
      <c r="V10" s="255">
        <v>1.804283419182519</v>
      </c>
      <c r="W10" s="255">
        <v>1.9159469322265239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2.17806969534635E-4</v>
      </c>
      <c r="L15" s="256">
        <v>9.4140460422242153E-2</v>
      </c>
      <c r="M15" s="256">
        <v>0.12514505780296509</v>
      </c>
      <c r="N15" s="256">
        <v>0.118941758720619</v>
      </c>
      <c r="O15" s="256">
        <v>0.20213870206049811</v>
      </c>
      <c r="P15" s="256">
        <v>0.23795471367203769</v>
      </c>
      <c r="Q15" s="256">
        <v>0.25666832925021349</v>
      </c>
      <c r="R15" s="256">
        <v>0.24047556965986361</v>
      </c>
      <c r="S15" s="256">
        <v>0.1901829808261134</v>
      </c>
      <c r="T15" s="256">
        <v>0.11437775361999369</v>
      </c>
      <c r="U15" s="256">
        <v>6.8012159708992576E-2</v>
      </c>
      <c r="V15" s="256">
        <v>0.1003749791655676</v>
      </c>
      <c r="W15" s="256">
        <v>8.7233294079113455E-2</v>
      </c>
      <c r="DA15" s="272" t="s">
        <v>1022</v>
      </c>
    </row>
    <row r="16" spans="1:105" x14ac:dyDescent="0.25">
      <c r="A16" s="257" t="s">
        <v>175</v>
      </c>
      <c r="B16" s="258">
        <v>0</v>
      </c>
      <c r="C16" s="258">
        <v>0</v>
      </c>
      <c r="D16" s="258">
        <v>0</v>
      </c>
      <c r="E16" s="258">
        <v>0</v>
      </c>
      <c r="F16" s="258">
        <v>0</v>
      </c>
      <c r="G16" s="258">
        <v>0.8451574203280825</v>
      </c>
      <c r="H16" s="258">
        <v>0.51049385794226221</v>
      </c>
      <c r="I16" s="258">
        <v>0.62251866685570001</v>
      </c>
      <c r="J16" s="258">
        <v>0.62251866685570001</v>
      </c>
      <c r="K16" s="258">
        <v>0.51179323570643109</v>
      </c>
      <c r="L16" s="258">
        <v>0.7525611323424366</v>
      </c>
      <c r="M16" s="258">
        <v>0.53163585742091668</v>
      </c>
      <c r="N16" s="258">
        <v>0.6447156656757671</v>
      </c>
      <c r="O16" s="258">
        <v>0.4260433562845336</v>
      </c>
      <c r="P16" s="258">
        <v>0.42963350195102779</v>
      </c>
      <c r="Q16" s="258">
        <v>0.35876193253989241</v>
      </c>
      <c r="R16" s="258">
        <v>0.42636646317588123</v>
      </c>
      <c r="S16" s="258">
        <v>0.56653273847536889</v>
      </c>
      <c r="T16" s="258">
        <v>1.248671311833992</v>
      </c>
      <c r="U16" s="258">
        <v>1.6234156718537991</v>
      </c>
      <c r="V16" s="258">
        <v>1.441941731619645</v>
      </c>
      <c r="W16" s="258">
        <v>1.5200654595213769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0</v>
      </c>
      <c r="C17" s="258">
        <f t="shared" ref="C17:W17" si="5">SUM(C18:C24)</f>
        <v>0</v>
      </c>
      <c r="D17" s="258">
        <f t="shared" si="5"/>
        <v>0</v>
      </c>
      <c r="E17" s="258">
        <f t="shared" si="5"/>
        <v>0</v>
      </c>
      <c r="F17" s="258">
        <f t="shared" si="5"/>
        <v>0</v>
      </c>
      <c r="G17" s="258">
        <f t="shared" si="5"/>
        <v>0.99560271386073795</v>
      </c>
      <c r="H17" s="258">
        <f t="shared" si="5"/>
        <v>0.64273642722987367</v>
      </c>
      <c r="I17" s="258">
        <f t="shared" si="5"/>
        <v>0.7596247282009726</v>
      </c>
      <c r="J17" s="258">
        <f t="shared" si="5"/>
        <v>0.7596247282009726</v>
      </c>
      <c r="K17" s="258">
        <f t="shared" si="5"/>
        <v>0.64394319920774956</v>
      </c>
      <c r="L17" s="258">
        <f t="shared" si="5"/>
        <v>0.89565225541574933</v>
      </c>
      <c r="M17" s="258">
        <f t="shared" si="5"/>
        <v>0.66257189008229211</v>
      </c>
      <c r="N17" s="258">
        <f t="shared" si="5"/>
        <v>0.78119584182364277</v>
      </c>
      <c r="O17" s="258">
        <f t="shared" si="5"/>
        <v>0.55300678171020157</v>
      </c>
      <c r="P17" s="258">
        <f t="shared" si="5"/>
        <v>0.55624314256523488</v>
      </c>
      <c r="Q17" s="258">
        <f t="shared" si="5"/>
        <v>0.38854922978531109</v>
      </c>
      <c r="R17" s="258">
        <f t="shared" si="5"/>
        <v>0.55289232032730662</v>
      </c>
      <c r="S17" s="258">
        <f t="shared" si="5"/>
        <v>0.68194588924752308</v>
      </c>
      <c r="T17" s="258">
        <f t="shared" si="5"/>
        <v>1.4415165067844162</v>
      </c>
      <c r="U17" s="258">
        <f t="shared" si="5"/>
        <v>1.8479161522477074</v>
      </c>
      <c r="V17" s="258">
        <f t="shared" si="5"/>
        <v>1.6416013935672185</v>
      </c>
      <c r="W17" s="258">
        <f t="shared" si="5"/>
        <v>1.7313522185910013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1.5455138172232111E-2</v>
      </c>
      <c r="T19" s="55">
        <v>5.420870427476901E-2</v>
      </c>
      <c r="U19" s="55">
        <v>5.7500314402318682E-2</v>
      </c>
      <c r="V19" s="55">
        <v>4.1736587777698932E-2</v>
      </c>
      <c r="W19" s="55">
        <v>4.5028197905663973E-2</v>
      </c>
      <c r="DA19" s="101" t="s">
        <v>1025</v>
      </c>
    </row>
    <row r="20" spans="1:105" x14ac:dyDescent="0.25">
      <c r="A20" s="61" t="s">
        <v>173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0.721903751952779</v>
      </c>
      <c r="H20" s="55">
        <v>0.36903746535829901</v>
      </c>
      <c r="I20" s="55">
        <v>0.48592576633016499</v>
      </c>
      <c r="J20" s="55">
        <v>0.48592576633016499</v>
      </c>
      <c r="K20" s="55">
        <v>0.37024423728567718</v>
      </c>
      <c r="L20" s="55">
        <v>0.62195329349849449</v>
      </c>
      <c r="M20" s="55">
        <v>0.38887292817768782</v>
      </c>
      <c r="N20" s="55">
        <v>0.50749687990537906</v>
      </c>
      <c r="O20" s="55">
        <v>0.27930781980152891</v>
      </c>
      <c r="P20" s="55">
        <v>0.28254418066040338</v>
      </c>
      <c r="Q20" s="55">
        <v>0.38854922978531109</v>
      </c>
      <c r="R20" s="55">
        <v>0.27919335841826359</v>
      </c>
      <c r="S20" s="55">
        <v>0.45463987172300518</v>
      </c>
      <c r="T20" s="55">
        <v>1.134049185013672</v>
      </c>
      <c r="U20" s="55">
        <v>1.5323679468155049</v>
      </c>
      <c r="V20" s="55">
        <v>1.3573075793945799</v>
      </c>
      <c r="W20" s="55">
        <v>1.4295593799829329</v>
      </c>
      <c r="DA20" s="101" t="s">
        <v>1026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0.273698961907959</v>
      </c>
      <c r="H21" s="55">
        <v>0.27369896187157472</v>
      </c>
      <c r="I21" s="55">
        <v>0.27369896187080761</v>
      </c>
      <c r="J21" s="55">
        <v>0.27369896187080761</v>
      </c>
      <c r="K21" s="55">
        <v>0.27369896192207238</v>
      </c>
      <c r="L21" s="55">
        <v>0.2736989619172549</v>
      </c>
      <c r="M21" s="55">
        <v>0.2736989619046043</v>
      </c>
      <c r="N21" s="55">
        <v>0.27369896191826371</v>
      </c>
      <c r="O21" s="55">
        <v>0.27369896190867271</v>
      </c>
      <c r="P21" s="55">
        <v>0.27369896190483151</v>
      </c>
      <c r="Q21" s="55">
        <v>0</v>
      </c>
      <c r="R21" s="55">
        <v>0.27369896190904308</v>
      </c>
      <c r="S21" s="55">
        <v>0.2118508793522858</v>
      </c>
      <c r="T21" s="55">
        <v>0.25325861749597511</v>
      </c>
      <c r="U21" s="55">
        <v>0.25804789102988368</v>
      </c>
      <c r="V21" s="55">
        <v>0.24255722639493951</v>
      </c>
      <c r="W21" s="55">
        <v>0.2567646407024044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</v>
      </c>
      <c r="C25" s="258">
        <v>0</v>
      </c>
      <c r="D25" s="258">
        <v>0</v>
      </c>
      <c r="E25" s="258">
        <v>0</v>
      </c>
      <c r="F25" s="258">
        <v>0</v>
      </c>
      <c r="G25" s="258">
        <v>0.11368282913801769</v>
      </c>
      <c r="H25" s="258">
        <v>6.8666954383396761E-2</v>
      </c>
      <c r="I25" s="258">
        <v>8.3735504815080491E-2</v>
      </c>
      <c r="J25" s="258">
        <v>8.3735504815080491E-2</v>
      </c>
      <c r="K25" s="258">
        <v>6.8841734769626392E-2</v>
      </c>
      <c r="L25" s="258">
        <v>0.1012276252520949</v>
      </c>
      <c r="M25" s="258">
        <v>7.1510782357402963E-2</v>
      </c>
      <c r="N25" s="258">
        <v>8.672124162995562E-2</v>
      </c>
      <c r="O25" s="258">
        <v>5.7307447006831817E-2</v>
      </c>
      <c r="P25" s="258">
        <v>5.779036049320483E-2</v>
      </c>
      <c r="Q25" s="258">
        <v>4.8257366612630859E-2</v>
      </c>
      <c r="R25" s="258">
        <v>5.7350908384131372E-2</v>
      </c>
      <c r="S25" s="258">
        <v>7.6204790918344228E-2</v>
      </c>
      <c r="T25" s="258">
        <v>0.1679598190567427</v>
      </c>
      <c r="U25" s="258">
        <v>0.21836699531277071</v>
      </c>
      <c r="V25" s="258">
        <v>0.19395678433381061</v>
      </c>
      <c r="W25" s="258">
        <v>0.2044652720984094</v>
      </c>
      <c r="DA25" s="273" t="s">
        <v>1031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8.3758638354248065E-3</v>
      </c>
      <c r="L26" s="258">
        <v>8.1864731971538457E-2</v>
      </c>
      <c r="M26" s="258">
        <v>6.9993872756231909E-2</v>
      </c>
      <c r="N26" s="258">
        <v>7.9088506806421974E-2</v>
      </c>
      <c r="O26" s="258">
        <v>6.977554890914979E-2</v>
      </c>
      <c r="P26" s="258">
        <v>7.4166595854974246E-2</v>
      </c>
      <c r="Q26" s="258">
        <v>7.2071817904426017E-2</v>
      </c>
      <c r="R26" s="258">
        <v>7.4027218664016167E-2</v>
      </c>
      <c r="S26" s="258">
        <v>8.4629850722442002E-2</v>
      </c>
      <c r="T26" s="258">
        <v>0.1241710945429771</v>
      </c>
      <c r="U26" s="258">
        <v>0.12565669099846261</v>
      </c>
      <c r="V26" s="258">
        <v>0.13171952129058809</v>
      </c>
      <c r="W26" s="258">
        <v>0.13035970193509</v>
      </c>
      <c r="DA26" s="273" t="s">
        <v>1032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1.276535881028343E-2</v>
      </c>
      <c r="L27" s="259">
        <v>0.1247671521478797</v>
      </c>
      <c r="M27" s="259">
        <v>0.10667519408274929</v>
      </c>
      <c r="N27" s="259">
        <v>0.12053600523966911</v>
      </c>
      <c r="O27" s="259">
        <v>0.10634245440364209</v>
      </c>
      <c r="P27" s="259">
        <v>0.1130346942630315</v>
      </c>
      <c r="Q27" s="259">
        <v>0.1098421170325468</v>
      </c>
      <c r="R27" s="259">
        <v>0.1128222743995394</v>
      </c>
      <c r="S27" s="259">
        <v>0.12898137216170549</v>
      </c>
      <c r="T27" s="259">
        <v>0.18924478798267591</v>
      </c>
      <c r="U27" s="259">
        <v>0.19150893317106241</v>
      </c>
      <c r="V27" s="259">
        <v>0.20074907909577369</v>
      </c>
      <c r="W27" s="259">
        <v>0.19867662635165359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</v>
      </c>
      <c r="C31" s="236">
        <f t="shared" si="6"/>
        <v>0</v>
      </c>
      <c r="D31" s="236">
        <f t="shared" si="6"/>
        <v>0</v>
      </c>
      <c r="E31" s="236">
        <f t="shared" si="6"/>
        <v>0</v>
      </c>
      <c r="F31" s="236">
        <f t="shared" si="6"/>
        <v>0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1.0000000000000002</v>
      </c>
      <c r="M31" s="236">
        <f t="shared" si="6"/>
        <v>1</v>
      </c>
      <c r="N31" s="236">
        <f t="shared" si="6"/>
        <v>1.0000000000000002</v>
      </c>
      <c r="O31" s="236">
        <f t="shared" si="6"/>
        <v>1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1.0000000000000002</v>
      </c>
      <c r="S31" s="236">
        <f t="shared" si="7"/>
        <v>1</v>
      </c>
      <c r="T31" s="236">
        <f t="shared" si="7"/>
        <v>0.99999999999999978</v>
      </c>
      <c r="U31" s="236">
        <f t="shared" si="7"/>
        <v>1.0000000000000002</v>
      </c>
      <c r="V31" s="236">
        <f t="shared" si="7"/>
        <v>1.0000000000000002</v>
      </c>
      <c r="W31" s="236">
        <f t="shared" si="7"/>
        <v>0.99999999999999978</v>
      </c>
      <c r="DA31" s="275"/>
    </row>
    <row r="32" spans="1:105" x14ac:dyDescent="0.25">
      <c r="A32" s="239" t="s">
        <v>125</v>
      </c>
      <c r="B32" s="245">
        <f t="shared" ref="B32:W32" si="8">IF(B$6=0,0,B$6/B$5)</f>
        <v>0</v>
      </c>
      <c r="C32" s="245">
        <f t="shared" si="8"/>
        <v>0</v>
      </c>
      <c r="D32" s="245">
        <f t="shared" si="8"/>
        <v>0</v>
      </c>
      <c r="E32" s="245">
        <f t="shared" si="8"/>
        <v>0</v>
      </c>
      <c r="F32" s="245">
        <f t="shared" si="8"/>
        <v>0</v>
      </c>
      <c r="G32" s="245">
        <f t="shared" si="8"/>
        <v>0</v>
      </c>
      <c r="H32" s="245">
        <f t="shared" si="8"/>
        <v>0</v>
      </c>
      <c r="I32" s="245">
        <f t="shared" si="8"/>
        <v>0</v>
      </c>
      <c r="J32" s="245">
        <f t="shared" si="8"/>
        <v>0</v>
      </c>
      <c r="K32" s="245">
        <f t="shared" si="8"/>
        <v>4.3230694519230143E-3</v>
      </c>
      <c r="L32" s="245">
        <f t="shared" si="8"/>
        <v>2.5770275086690778E-2</v>
      </c>
      <c r="M32" s="245">
        <f t="shared" si="8"/>
        <v>2.9624324536484968E-2</v>
      </c>
      <c r="N32" s="245">
        <f t="shared" si="8"/>
        <v>2.8261308605839294E-2</v>
      </c>
      <c r="O32" s="245">
        <f t="shared" si="8"/>
        <v>3.4226689087802888E-2</v>
      </c>
      <c r="P32" s="245">
        <f t="shared" si="8"/>
        <v>3.542795701574096E-2</v>
      </c>
      <c r="Q32" s="245">
        <f t="shared" si="8"/>
        <v>4.075433002168595E-2</v>
      </c>
      <c r="R32" s="245">
        <f t="shared" si="8"/>
        <v>3.5538488762561327E-2</v>
      </c>
      <c r="S32" s="245">
        <f t="shared" si="8"/>
        <v>3.2841486390803622E-2</v>
      </c>
      <c r="T32" s="245">
        <f t="shared" si="8"/>
        <v>2.4105342857447896E-2</v>
      </c>
      <c r="U32" s="245">
        <f t="shared" si="8"/>
        <v>1.9457978249969674E-2</v>
      </c>
      <c r="V32" s="245">
        <f t="shared" si="8"/>
        <v>2.2501555809839788E-2</v>
      </c>
      <c r="W32" s="245">
        <f t="shared" si="8"/>
        <v>2.1297120943241446E-2</v>
      </c>
      <c r="DA32" s="276"/>
    </row>
    <row r="33" spans="1:105" x14ac:dyDescent="0.25">
      <c r="A33" s="241" t="s">
        <v>124</v>
      </c>
      <c r="B33" s="246">
        <f t="shared" ref="B33:W33" si="9">IF(B$7=0,0,B$7/B$5)</f>
        <v>0</v>
      </c>
      <c r="C33" s="246">
        <f t="shared" si="9"/>
        <v>0</v>
      </c>
      <c r="D33" s="246">
        <f t="shared" si="9"/>
        <v>0</v>
      </c>
      <c r="E33" s="246">
        <f t="shared" si="9"/>
        <v>0</v>
      </c>
      <c r="F33" s="246">
        <f t="shared" si="9"/>
        <v>0</v>
      </c>
      <c r="G33" s="246">
        <f t="shared" si="9"/>
        <v>0</v>
      </c>
      <c r="H33" s="246">
        <f t="shared" si="9"/>
        <v>0</v>
      </c>
      <c r="I33" s="246">
        <f t="shared" si="9"/>
        <v>0</v>
      </c>
      <c r="J33" s="246">
        <f t="shared" si="9"/>
        <v>0</v>
      </c>
      <c r="K33" s="246">
        <f t="shared" si="9"/>
        <v>2.7864696220949946E-3</v>
      </c>
      <c r="L33" s="246">
        <f t="shared" si="9"/>
        <v>1.6610440678937782E-2</v>
      </c>
      <c r="M33" s="246">
        <f t="shared" si="9"/>
        <v>1.909459963898557E-2</v>
      </c>
      <c r="N33" s="246">
        <f t="shared" si="9"/>
        <v>1.82160566205554E-2</v>
      </c>
      <c r="O33" s="246">
        <f t="shared" si="9"/>
        <v>2.206109119196065E-2</v>
      </c>
      <c r="P33" s="246">
        <f t="shared" si="9"/>
        <v>2.2835378217978122E-2</v>
      </c>
      <c r="Q33" s="246">
        <f t="shared" si="9"/>
        <v>2.626853531667115E-2</v>
      </c>
      <c r="R33" s="246">
        <f t="shared" si="9"/>
        <v>2.2906622355556124E-2</v>
      </c>
      <c r="S33" s="246">
        <f t="shared" si="9"/>
        <v>2.1168247512589378E-2</v>
      </c>
      <c r="T33" s="246">
        <f t="shared" si="9"/>
        <v>1.5537295051455785E-2</v>
      </c>
      <c r="U33" s="246">
        <f t="shared" si="9"/>
        <v>1.2541798345804411E-2</v>
      </c>
      <c r="V33" s="246">
        <f t="shared" si="9"/>
        <v>1.4503561048759732E-2</v>
      </c>
      <c r="W33" s="246">
        <f t="shared" si="9"/>
        <v>1.3727232746637395E-2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0</v>
      </c>
      <c r="C34" s="246">
        <f t="shared" si="10"/>
        <v>0</v>
      </c>
      <c r="D34" s="246">
        <f t="shared" si="10"/>
        <v>0</v>
      </c>
      <c r="E34" s="246">
        <f t="shared" si="10"/>
        <v>0</v>
      </c>
      <c r="F34" s="246">
        <f t="shared" si="10"/>
        <v>0</v>
      </c>
      <c r="G34" s="246">
        <f t="shared" si="10"/>
        <v>0</v>
      </c>
      <c r="H34" s="246">
        <f t="shared" si="10"/>
        <v>0</v>
      </c>
      <c r="I34" s="246">
        <f t="shared" si="10"/>
        <v>0</v>
      </c>
      <c r="J34" s="246">
        <f t="shared" si="10"/>
        <v>0</v>
      </c>
      <c r="K34" s="246">
        <f t="shared" si="10"/>
        <v>5.5373622477277278E-3</v>
      </c>
      <c r="L34" s="246">
        <f t="shared" si="10"/>
        <v>3.3008803112132175E-2</v>
      </c>
      <c r="M34" s="246">
        <f t="shared" si="10"/>
        <v>3.7945403868030962E-2</v>
      </c>
      <c r="N34" s="246">
        <f t="shared" si="10"/>
        <v>3.6199534864225912E-2</v>
      </c>
      <c r="O34" s="246">
        <f t="shared" si="10"/>
        <v>4.3840511499348762E-2</v>
      </c>
      <c r="P34" s="246">
        <f t="shared" si="10"/>
        <v>4.5379199634606793E-2</v>
      </c>
      <c r="Q34" s="246">
        <f t="shared" si="10"/>
        <v>5.2201680080142109E-2</v>
      </c>
      <c r="R34" s="246">
        <f t="shared" si="10"/>
        <v>4.5520778281173818E-2</v>
      </c>
      <c r="S34" s="246">
        <f t="shared" si="10"/>
        <v>4.2066223761176448E-2</v>
      </c>
      <c r="T34" s="246">
        <f t="shared" si="10"/>
        <v>3.0876213531103411E-2</v>
      </c>
      <c r="U34" s="246">
        <f t="shared" si="10"/>
        <v>2.492346592548059E-2</v>
      </c>
      <c r="V34" s="246">
        <f t="shared" si="10"/>
        <v>2.8821944001181928E-2</v>
      </c>
      <c r="W34" s="246">
        <f t="shared" si="10"/>
        <v>2.7279199376252998E-2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</v>
      </c>
      <c r="C35" s="247">
        <f t="shared" si="11"/>
        <v>0</v>
      </c>
      <c r="D35" s="247">
        <f t="shared" si="11"/>
        <v>0</v>
      </c>
      <c r="E35" s="247">
        <f t="shared" si="11"/>
        <v>0</v>
      </c>
      <c r="F35" s="247">
        <f t="shared" si="11"/>
        <v>0</v>
      </c>
      <c r="G35" s="247">
        <f t="shared" si="11"/>
        <v>0.36841770267762464</v>
      </c>
      <c r="H35" s="247">
        <f t="shared" si="11"/>
        <v>0.36044004453369388</v>
      </c>
      <c r="I35" s="247">
        <f t="shared" si="11"/>
        <v>0.36421642262637538</v>
      </c>
      <c r="J35" s="247">
        <f t="shared" si="11"/>
        <v>0.36421642262637538</v>
      </c>
      <c r="K35" s="247">
        <f t="shared" si="11"/>
        <v>0.34977766809769267</v>
      </c>
      <c r="L35" s="247">
        <f t="shared" si="11"/>
        <v>0.31401162091489293</v>
      </c>
      <c r="M35" s="247">
        <f t="shared" si="11"/>
        <v>0.30796809644495537</v>
      </c>
      <c r="N35" s="247">
        <f t="shared" si="11"/>
        <v>0.31059144857540322</v>
      </c>
      <c r="O35" s="247">
        <f t="shared" si="11"/>
        <v>0.31010076101378264</v>
      </c>
      <c r="P35" s="247">
        <f t="shared" si="11"/>
        <v>0.31331781310049622</v>
      </c>
      <c r="Q35" s="247">
        <f t="shared" si="11"/>
        <v>0.33266763293887908</v>
      </c>
      <c r="R35" s="247">
        <f t="shared" si="11"/>
        <v>0.3136014070443553</v>
      </c>
      <c r="S35" s="247">
        <f t="shared" si="11"/>
        <v>0.31197066779867755</v>
      </c>
      <c r="T35" s="247">
        <f t="shared" si="11"/>
        <v>0.31893996969875493</v>
      </c>
      <c r="U35" s="247">
        <f t="shared" si="11"/>
        <v>0.32780711407310636</v>
      </c>
      <c r="V35" s="247">
        <f t="shared" si="11"/>
        <v>0.32264745442333359</v>
      </c>
      <c r="W35" s="247">
        <f t="shared" si="11"/>
        <v>0.32452361594962836</v>
      </c>
      <c r="DA35" s="278"/>
    </row>
    <row r="36" spans="1:105" x14ac:dyDescent="0.25">
      <c r="A36" s="128" t="s">
        <v>175</v>
      </c>
      <c r="B36" s="260">
        <f t="shared" ref="B36:W36" si="12">IF(B$16=0,0,B$16/B$5)</f>
        <v>0</v>
      </c>
      <c r="C36" s="260">
        <f t="shared" si="12"/>
        <v>0</v>
      </c>
      <c r="D36" s="260">
        <f t="shared" si="12"/>
        <v>0</v>
      </c>
      <c r="E36" s="260">
        <f t="shared" si="12"/>
        <v>0</v>
      </c>
      <c r="F36" s="260">
        <f t="shared" si="12"/>
        <v>0</v>
      </c>
      <c r="G36" s="260">
        <f t="shared" si="12"/>
        <v>0.27311437332571498</v>
      </c>
      <c r="H36" s="260">
        <f t="shared" si="12"/>
        <v>0.26720039826764636</v>
      </c>
      <c r="I36" s="260">
        <f t="shared" si="12"/>
        <v>0.26999989223530219</v>
      </c>
      <c r="J36" s="260">
        <f t="shared" si="12"/>
        <v>0.26999989223530219</v>
      </c>
      <c r="K36" s="260">
        <f t="shared" si="12"/>
        <v>0.26194245239575803</v>
      </c>
      <c r="L36" s="260">
        <f t="shared" si="12"/>
        <v>0.2349160761436456</v>
      </c>
      <c r="M36" s="260">
        <f t="shared" si="12"/>
        <v>0.22312664834217208</v>
      </c>
      <c r="N36" s="260">
        <f t="shared" si="12"/>
        <v>0.22845246993305551</v>
      </c>
      <c r="O36" s="260">
        <f t="shared" si="12"/>
        <v>0.20723550742703878</v>
      </c>
      <c r="P36" s="260">
        <f t="shared" si="12"/>
        <v>0.20350948064067378</v>
      </c>
      <c r="Q36" s="260">
        <f t="shared" si="12"/>
        <v>0.20117007578145435</v>
      </c>
      <c r="R36" s="260">
        <f t="shared" si="12"/>
        <v>0.20297348281647834</v>
      </c>
      <c r="S36" s="260">
        <f t="shared" si="12"/>
        <v>0.21800827830583619</v>
      </c>
      <c r="T36" s="260">
        <f t="shared" si="12"/>
        <v>0.24037521237760531</v>
      </c>
      <c r="U36" s="260">
        <f t="shared" si="12"/>
        <v>0.24928180016672499</v>
      </c>
      <c r="V36" s="260">
        <f t="shared" si="12"/>
        <v>0.24426365879432999</v>
      </c>
      <c r="W36" s="260">
        <f t="shared" si="12"/>
        <v>0.24625699321811567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</v>
      </c>
      <c r="C37" s="260">
        <f t="shared" si="13"/>
        <v>0</v>
      </c>
      <c r="D37" s="260">
        <f t="shared" si="13"/>
        <v>0</v>
      </c>
      <c r="E37" s="260">
        <f t="shared" si="13"/>
        <v>0</v>
      </c>
      <c r="F37" s="260">
        <f t="shared" si="13"/>
        <v>0</v>
      </c>
      <c r="G37" s="260">
        <f t="shared" si="13"/>
        <v>0.32173108197038869</v>
      </c>
      <c r="H37" s="260">
        <f t="shared" si="13"/>
        <v>0.33641820888738366</v>
      </c>
      <c r="I37" s="260">
        <f t="shared" si="13"/>
        <v>0.32946577455977755</v>
      </c>
      <c r="J37" s="260">
        <f t="shared" si="13"/>
        <v>0.32946577455977755</v>
      </c>
      <c r="K37" s="260">
        <f t="shared" si="13"/>
        <v>0.32957852710035052</v>
      </c>
      <c r="L37" s="260">
        <f t="shared" si="13"/>
        <v>0.27958275333270166</v>
      </c>
      <c r="M37" s="260">
        <f t="shared" si="13"/>
        <v>0.27808027441375394</v>
      </c>
      <c r="N37" s="260">
        <f t="shared" si="13"/>
        <v>0.276813685578715</v>
      </c>
      <c r="O37" s="260">
        <f t="shared" si="13"/>
        <v>0.26899290724244918</v>
      </c>
      <c r="P37" s="260">
        <f t="shared" si="13"/>
        <v>0.26348213661021835</v>
      </c>
      <c r="Q37" s="260">
        <f t="shared" si="13"/>
        <v>0.21787283128776566</v>
      </c>
      <c r="R37" s="260">
        <f t="shared" si="13"/>
        <v>0.26320662991034616</v>
      </c>
      <c r="S37" s="260">
        <f t="shared" si="13"/>
        <v>0.26242057892839438</v>
      </c>
      <c r="T37" s="260">
        <f t="shared" si="13"/>
        <v>0.27749883670763376</v>
      </c>
      <c r="U37" s="260">
        <f t="shared" si="13"/>
        <v>0.28375472343657498</v>
      </c>
      <c r="V37" s="260">
        <f t="shared" si="13"/>
        <v>0.27808582960158823</v>
      </c>
      <c r="W37" s="260">
        <f t="shared" si="13"/>
        <v>0.2804863362173764</v>
      </c>
      <c r="DA37" s="279"/>
    </row>
    <row r="38" spans="1:105" x14ac:dyDescent="0.25">
      <c r="A38" s="128" t="s">
        <v>174</v>
      </c>
      <c r="B38" s="260">
        <f t="shared" ref="B38:W38" si="14">IF(B$25=0,0,B$25/B$5)</f>
        <v>0</v>
      </c>
      <c r="C38" s="260">
        <f t="shared" si="14"/>
        <v>0</v>
      </c>
      <c r="D38" s="260">
        <f t="shared" si="14"/>
        <v>0</v>
      </c>
      <c r="E38" s="260">
        <f t="shared" si="14"/>
        <v>0</v>
      </c>
      <c r="F38" s="260">
        <f t="shared" si="14"/>
        <v>0</v>
      </c>
      <c r="G38" s="260">
        <f t="shared" si="14"/>
        <v>3.673684202627165E-2</v>
      </c>
      <c r="H38" s="260">
        <f t="shared" si="14"/>
        <v>3.5941348311276045E-2</v>
      </c>
      <c r="I38" s="260">
        <f t="shared" si="14"/>
        <v>3.6317910578545005E-2</v>
      </c>
      <c r="J38" s="260">
        <f t="shared" si="14"/>
        <v>3.6317910578545005E-2</v>
      </c>
      <c r="K38" s="260">
        <f t="shared" si="14"/>
        <v>3.5234097628984488E-2</v>
      </c>
      <c r="L38" s="260">
        <f t="shared" si="14"/>
        <v>3.1598757229918936E-2</v>
      </c>
      <c r="M38" s="260">
        <f t="shared" si="14"/>
        <v>3.0012951468585576E-2</v>
      </c>
      <c r="N38" s="260">
        <f t="shared" si="14"/>
        <v>3.0729332170420905E-2</v>
      </c>
      <c r="O38" s="260">
        <f t="shared" si="14"/>
        <v>2.7875420857114436E-2</v>
      </c>
      <c r="P38" s="260">
        <f t="shared" si="14"/>
        <v>2.7374229888036072E-2</v>
      </c>
      <c r="Q38" s="260">
        <f t="shared" si="14"/>
        <v>2.7059554590276671E-2</v>
      </c>
      <c r="R38" s="260">
        <f t="shared" si="14"/>
        <v>2.730213237389166E-2</v>
      </c>
      <c r="S38" s="260">
        <f t="shared" si="14"/>
        <v>2.9324475248285659E-2</v>
      </c>
      <c r="T38" s="260">
        <f t="shared" si="14"/>
        <v>3.2333070195526552E-2</v>
      </c>
      <c r="U38" s="260">
        <f t="shared" si="14"/>
        <v>3.3531102743640726E-2</v>
      </c>
      <c r="V38" s="260">
        <f t="shared" si="14"/>
        <v>3.2856108364478873E-2</v>
      </c>
      <c r="W38" s="260">
        <f t="shared" si="14"/>
        <v>3.3124233439481086E-2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0</v>
      </c>
      <c r="C39" s="260">
        <f t="shared" si="15"/>
        <v>0</v>
      </c>
      <c r="D39" s="260">
        <f t="shared" si="15"/>
        <v>0</v>
      </c>
      <c r="E39" s="260">
        <f t="shared" si="15"/>
        <v>0</v>
      </c>
      <c r="F39" s="260">
        <f t="shared" si="15"/>
        <v>0</v>
      </c>
      <c r="G39" s="260">
        <f t="shared" si="15"/>
        <v>0</v>
      </c>
      <c r="H39" s="260">
        <f t="shared" si="15"/>
        <v>0</v>
      </c>
      <c r="I39" s="260">
        <f t="shared" si="15"/>
        <v>0</v>
      </c>
      <c r="J39" s="260">
        <f t="shared" si="15"/>
        <v>0</v>
      </c>
      <c r="K39" s="260">
        <f t="shared" si="15"/>
        <v>4.2868763416846079E-3</v>
      </c>
      <c r="L39" s="260">
        <f t="shared" si="15"/>
        <v>2.555452412144275E-2</v>
      </c>
      <c r="M39" s="260">
        <f t="shared" si="15"/>
        <v>2.9376307136900884E-2</v>
      </c>
      <c r="N39" s="260">
        <f t="shared" si="15"/>
        <v>2.8024702493162159E-2</v>
      </c>
      <c r="O39" s="260">
        <f t="shared" si="15"/>
        <v>3.3940140295324092E-2</v>
      </c>
      <c r="P39" s="260">
        <f t="shared" si="15"/>
        <v>3.5131351104581737E-2</v>
      </c>
      <c r="Q39" s="260">
        <f t="shared" si="15"/>
        <v>4.0413131256417184E-2</v>
      </c>
      <c r="R39" s="260">
        <f t="shared" si="15"/>
        <v>3.5240957470086355E-2</v>
      </c>
      <c r="S39" s="260">
        <f t="shared" si="15"/>
        <v>3.2566534634752904E-2</v>
      </c>
      <c r="T39" s="260">
        <f t="shared" si="15"/>
        <v>2.3903530848393518E-2</v>
      </c>
      <c r="U39" s="260">
        <f t="shared" si="15"/>
        <v>1.929507437816063E-2</v>
      </c>
      <c r="V39" s="260">
        <f t="shared" si="15"/>
        <v>2.231317084424575E-2</v>
      </c>
      <c r="W39" s="260">
        <f t="shared" si="15"/>
        <v>2.1118819610211385E-2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0</v>
      </c>
      <c r="C40" s="262">
        <f t="shared" si="16"/>
        <v>0</v>
      </c>
      <c r="D40" s="262">
        <f t="shared" si="16"/>
        <v>0</v>
      </c>
      <c r="E40" s="262">
        <f t="shared" si="16"/>
        <v>0</v>
      </c>
      <c r="F40" s="262">
        <f t="shared" si="16"/>
        <v>0</v>
      </c>
      <c r="G40" s="262">
        <f t="shared" si="16"/>
        <v>0</v>
      </c>
      <c r="H40" s="262">
        <f t="shared" si="16"/>
        <v>0</v>
      </c>
      <c r="I40" s="262">
        <f t="shared" si="16"/>
        <v>0</v>
      </c>
      <c r="J40" s="262">
        <f t="shared" si="16"/>
        <v>0</v>
      </c>
      <c r="K40" s="262">
        <f t="shared" si="16"/>
        <v>6.5334771137840197E-3</v>
      </c>
      <c r="L40" s="262">
        <f t="shared" si="16"/>
        <v>3.8946749379637546E-2</v>
      </c>
      <c r="M40" s="262">
        <f t="shared" si="16"/>
        <v>4.4771394150130712E-2</v>
      </c>
      <c r="N40" s="262">
        <f t="shared" si="16"/>
        <v>4.2711461158622739E-2</v>
      </c>
      <c r="O40" s="262">
        <f t="shared" si="16"/>
        <v>5.1726971385178559E-2</v>
      </c>
      <c r="P40" s="262">
        <f t="shared" si="16"/>
        <v>5.3542453787668039E-2</v>
      </c>
      <c r="Q40" s="262">
        <f t="shared" si="16"/>
        <v>6.1592228726707936E-2</v>
      </c>
      <c r="R40" s="262">
        <f t="shared" si="16"/>
        <v>5.3709500985551065E-2</v>
      </c>
      <c r="S40" s="262">
        <f t="shared" si="16"/>
        <v>4.9633507419483851E-2</v>
      </c>
      <c r="T40" s="262">
        <f t="shared" si="16"/>
        <v>3.6430528732078672E-2</v>
      </c>
      <c r="U40" s="262">
        <f t="shared" si="16"/>
        <v>2.9406942680537822E-2</v>
      </c>
      <c r="V40" s="262">
        <f t="shared" si="16"/>
        <v>3.400671711224227E-2</v>
      </c>
      <c r="W40" s="262">
        <f t="shared" si="16"/>
        <v>3.2186448499055054E-2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</v>
      </c>
      <c r="C44" s="238">
        <f>IF(C$5=0,0,C$5/AGR_fec!C$5)</f>
        <v>0</v>
      </c>
      <c r="D44" s="238">
        <f>IF(D$5=0,0,D$5/AGR_fec!D$5)</f>
        <v>0</v>
      </c>
      <c r="E44" s="238">
        <f>IF(E$5=0,0,E$5/AGR_fec!E$5)</f>
        <v>0</v>
      </c>
      <c r="F44" s="238">
        <f>IF(F$5=0,0,F$5/AGR_fec!F$5)</f>
        <v>0</v>
      </c>
      <c r="G44" s="238">
        <f>IF(G$5=0,0,G$5/AGR_fec!G$5)</f>
        <v>0.37663385041966141</v>
      </c>
      <c r="H44" s="238">
        <f>IF(H$5=0,0,H$5/AGR_fec!H$5)</f>
        <v>0.3720540733086446</v>
      </c>
      <c r="I44" s="238">
        <f>IF(I$5=0,0,I$5/AGR_fec!I$5)</f>
        <v>0.37415826013783554</v>
      </c>
      <c r="J44" s="238">
        <f>IF(J$5=0,0,J$5/AGR_fec!J$5)</f>
        <v>0.37415826013783554</v>
      </c>
      <c r="K44" s="238">
        <f>IF(K$5=0,0,K$5/AGR_fec!K$5)</f>
        <v>0.37422211750393136</v>
      </c>
      <c r="L44" s="238">
        <f>IF(L$5=0,0,L$5/AGR_fec!L$5)</f>
        <v>0.39366323019689897</v>
      </c>
      <c r="M44" s="238">
        <f>IF(M$5=0,0,M$5/AGR_fec!M$5)</f>
        <v>0.39650836536341311</v>
      </c>
      <c r="N44" s="238">
        <f>IF(N$5=0,0,N$5/AGR_fec!N$5)</f>
        <v>0.39589665595635148</v>
      </c>
      <c r="O44" s="238">
        <f>IF(O$5=0,0,O$5/AGR_fec!O$5)</f>
        <v>0.40466855047321465</v>
      </c>
      <c r="P44" s="238">
        <f>IF(P$5=0,0,P$5/AGR_fec!P$5)</f>
        <v>0.40826695288849063</v>
      </c>
      <c r="Q44" s="238">
        <f>IF(Q$5=0,0,Q$5/AGR_fec!Q$5)</f>
        <v>0.4310375664928382</v>
      </c>
      <c r="R44" s="238">
        <f>IF(R$5=0,0,R$5/AGR_fec!R$5)</f>
        <v>0.4085694036800892</v>
      </c>
      <c r="S44" s="238">
        <f>IF(S$5=0,0,S$5/AGR_fec!S$5)</f>
        <v>0.40478134437323821</v>
      </c>
      <c r="T44" s="238">
        <f>IF(T$5=0,0,T$5/AGR_fec!T$5)</f>
        <v>0.39453835528583869</v>
      </c>
      <c r="U44" s="238">
        <f>IF(U$5=0,0,U$5/AGR_fec!U$5)</f>
        <v>0.39116270965840605</v>
      </c>
      <c r="V44" s="238">
        <f>IF(V$5=0,0,V$5/AGR_fec!V$5)</f>
        <v>0.39367426806534106</v>
      </c>
      <c r="W44" s="238">
        <f>IF(W$5=0,0,W$5/AGR_fec!W$5)</f>
        <v>0.39255586342279292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0.49259831103148377</v>
      </c>
      <c r="L45" s="251">
        <f>IF(L$6=0,0,L$6/AGR_fec!L$6)</f>
        <v>0.49259831103148388</v>
      </c>
      <c r="M45" s="251">
        <f>IF(M$6=0,0,M$6/AGR_fec!M$6)</f>
        <v>0.49259831103148372</v>
      </c>
      <c r="N45" s="251">
        <f>IF(N$6=0,0,N$6/AGR_fec!N$6)</f>
        <v>0.49259831103148383</v>
      </c>
      <c r="O45" s="251">
        <f>IF(O$6=0,0,O$6/AGR_fec!O$6)</f>
        <v>0.49259831103148383</v>
      </c>
      <c r="P45" s="251">
        <f>IF(P$6=0,0,P$6/AGR_fec!P$6)</f>
        <v>0.49259831103148377</v>
      </c>
      <c r="Q45" s="251">
        <f>IF(Q$6=0,0,Q$6/AGR_fec!Q$6)</f>
        <v>0.49259831103148377</v>
      </c>
      <c r="R45" s="251">
        <f>IF(R$6=0,0,R$6/AGR_fec!R$6)</f>
        <v>0.49259831103148377</v>
      </c>
      <c r="S45" s="251">
        <f>IF(S$6=0,0,S$6/AGR_fec!S$6)</f>
        <v>0.49259831103148388</v>
      </c>
      <c r="T45" s="251">
        <f>IF(T$6=0,0,T$6/AGR_fec!T$6)</f>
        <v>0.49259831103148383</v>
      </c>
      <c r="U45" s="251">
        <f>IF(U$6=0,0,U$6/AGR_fec!U$6)</f>
        <v>0.49259831103148366</v>
      </c>
      <c r="V45" s="251">
        <f>IF(V$6=0,0,V$6/AGR_fec!V$6)</f>
        <v>0.49259831103148372</v>
      </c>
      <c r="W45" s="251">
        <f>IF(W$6=0,0,W$6/AGR_fec!W$6)</f>
        <v>0.49259831103148405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0.48847423549379271</v>
      </c>
      <c r="L46" s="252">
        <f>IF(L$7=0,0,L$7/AGR_fec!L$7)</f>
        <v>0.48847423549379282</v>
      </c>
      <c r="M46" s="252">
        <f>IF(M$7=0,0,M$7/AGR_fec!M$7)</f>
        <v>0.48847423549379276</v>
      </c>
      <c r="N46" s="252">
        <f>IF(N$7=0,0,N$7/AGR_fec!N$7)</f>
        <v>0.48847423549379282</v>
      </c>
      <c r="O46" s="252">
        <f>IF(O$7=0,0,O$7/AGR_fec!O$7)</f>
        <v>0.48847423549379282</v>
      </c>
      <c r="P46" s="252">
        <f>IF(P$7=0,0,P$7/AGR_fec!P$7)</f>
        <v>0.48847423549379282</v>
      </c>
      <c r="Q46" s="252">
        <f>IF(Q$7=0,0,Q$7/AGR_fec!Q$7)</f>
        <v>0.48847423549379271</v>
      </c>
      <c r="R46" s="252">
        <f>IF(R$7=0,0,R$7/AGR_fec!R$7)</f>
        <v>0.48847423549379287</v>
      </c>
      <c r="S46" s="252">
        <f>IF(S$7=0,0,S$7/AGR_fec!S$7)</f>
        <v>0.48847423549379299</v>
      </c>
      <c r="T46" s="252">
        <f>IF(T$7=0,0,T$7/AGR_fec!T$7)</f>
        <v>0.48847423549379304</v>
      </c>
      <c r="U46" s="252">
        <f>IF(U$7=0,0,U$7/AGR_fec!U$7)</f>
        <v>0.48847423549379287</v>
      </c>
      <c r="V46" s="252">
        <f>IF(V$7=0,0,V$7/AGR_fec!V$7)</f>
        <v>0.48847423549379282</v>
      </c>
      <c r="W46" s="252">
        <f>IF(W$7=0,0,W$7/AGR_fec!W$7)</f>
        <v>0.48847423549379293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0.70106959396300383</v>
      </c>
      <c r="L47" s="252">
        <f>IF(L$8=0,0,L$8/AGR_fec!L$8)</f>
        <v>0.70106959396300395</v>
      </c>
      <c r="M47" s="252">
        <f>IF(M$8=0,0,M$8/AGR_fec!M$8)</f>
        <v>0.70106959396300372</v>
      </c>
      <c r="N47" s="252">
        <f>IF(N$8=0,0,N$8/AGR_fec!N$8)</f>
        <v>0.70106959396300372</v>
      </c>
      <c r="O47" s="252">
        <f>IF(O$8=0,0,O$8/AGR_fec!O$8)</f>
        <v>0.70106959396300406</v>
      </c>
      <c r="P47" s="252">
        <f>IF(P$8=0,0,P$8/AGR_fec!P$8)</f>
        <v>0.70106959396300383</v>
      </c>
      <c r="Q47" s="252">
        <f>IF(Q$8=0,0,Q$8/AGR_fec!Q$8)</f>
        <v>0.7010695939630035</v>
      </c>
      <c r="R47" s="252">
        <f>IF(R$8=0,0,R$8/AGR_fec!R$8)</f>
        <v>0.70106959396300395</v>
      </c>
      <c r="S47" s="252">
        <f>IF(S$8=0,0,S$8/AGR_fec!S$8)</f>
        <v>0.70106959396300372</v>
      </c>
      <c r="T47" s="252">
        <f>IF(T$8=0,0,T$8/AGR_fec!T$8)</f>
        <v>0.70106959396300395</v>
      </c>
      <c r="U47" s="252">
        <f>IF(U$8=0,0,U$8/AGR_fec!U$8)</f>
        <v>0.70106959396300361</v>
      </c>
      <c r="V47" s="252">
        <f>IF(V$8=0,0,V$8/AGR_fec!V$8)</f>
        <v>0.70106959396300383</v>
      </c>
      <c r="W47" s="252">
        <f>IF(W$8=0,0,W$8/AGR_fec!W$8)</f>
        <v>0.70106959396300383</v>
      </c>
      <c r="DA47" s="289"/>
    </row>
    <row r="48" spans="1:105" x14ac:dyDescent="0.25">
      <c r="A48" s="243" t="s">
        <v>122</v>
      </c>
      <c r="B48" s="253">
        <f>IF(B$9=0,0,B$9/AGR_fec!B$9)</f>
        <v>0</v>
      </c>
      <c r="C48" s="253">
        <f>IF(C$9=0,0,C$9/AGR_fec!C$9)</f>
        <v>0</v>
      </c>
      <c r="D48" s="253">
        <f>IF(D$9=0,0,D$9/AGR_fec!D$9)</f>
        <v>0</v>
      </c>
      <c r="E48" s="253">
        <f>IF(E$9=0,0,E$9/AGR_fec!E$9)</f>
        <v>0</v>
      </c>
      <c r="F48" s="253">
        <f>IF(F$9=0,0,F$9/AGR_fec!F$9)</f>
        <v>0</v>
      </c>
      <c r="G48" s="253">
        <f>IF(G$9=0,0,G$9/AGR_fec!G$9)</f>
        <v>0.6313555360907368</v>
      </c>
      <c r="H48" s="253">
        <f>IF(H$9=0,0,H$9/AGR_fec!H$9)</f>
        <v>0.63135553609073647</v>
      </c>
      <c r="I48" s="253">
        <f>IF(I$9=0,0,I$9/AGR_fec!I$9)</f>
        <v>0.63135553609073669</v>
      </c>
      <c r="J48" s="253">
        <f>IF(J$9=0,0,J$9/AGR_fec!J$9)</f>
        <v>0.63135553609073669</v>
      </c>
      <c r="K48" s="253">
        <f>IF(K$9=0,0,K$9/AGR_fec!K$9)</f>
        <v>0.63141119629242926</v>
      </c>
      <c r="L48" s="253">
        <f>IF(L$9=0,0,L$9/AGR_fec!L$9)</f>
        <v>0.64813223965595823</v>
      </c>
      <c r="M48" s="253">
        <f>IF(M$9=0,0,M$9/AGR_fec!M$9)</f>
        <v>0.66261245765219257</v>
      </c>
      <c r="N48" s="253">
        <f>IF(N$9=0,0,N$9/AGR_fec!N$9)</f>
        <v>0.65597633396497423</v>
      </c>
      <c r="O48" s="253">
        <f>IF(O$9=0,0,O$9/AGR_fec!O$9)</f>
        <v>0.69204798720101945</v>
      </c>
      <c r="P48" s="253">
        <f>IF(P$9=0,0,P$9/AGR_fec!P$9)</f>
        <v>0.7011191583271984</v>
      </c>
      <c r="Q48" s="253">
        <f>IF(Q$9=0,0,Q$9/AGR_fec!Q$9)</f>
        <v>0.71717490128463834</v>
      </c>
      <c r="R48" s="253">
        <f>IF(R$9=0,0,R$9/AGR_fec!R$9)</f>
        <v>0.702262730571518</v>
      </c>
      <c r="S48" s="253">
        <f>IF(S$9=0,0,S$9/AGR_fec!S$9)</f>
        <v>0.67516384552894781</v>
      </c>
      <c r="T48" s="253">
        <f>IF(T$9=0,0,T$9/AGR_fec!T$9)</f>
        <v>0.64364583886945459</v>
      </c>
      <c r="U48" s="253">
        <f>IF(U$9=0,0,U$9/AGR_fec!U$9)</f>
        <v>0.63696845032908422</v>
      </c>
      <c r="V48" s="253">
        <f>IF(V$9=0,0,V$9/AGR_fec!V$9)</f>
        <v>0.64069454639269841</v>
      </c>
      <c r="W48" s="253">
        <f>IF(W$9=0,0,W$9/AGR_fec!W$9)</f>
        <v>0.63905287297809388</v>
      </c>
      <c r="DA48" s="290"/>
    </row>
    <row r="49" spans="1:105" x14ac:dyDescent="0.25">
      <c r="A49" s="128" t="s">
        <v>175</v>
      </c>
      <c r="B49" s="265">
        <f>IF(B$16=0,0,B$16/AGR_fec!B$16)</f>
        <v>0</v>
      </c>
      <c r="C49" s="265">
        <f>IF(C$16=0,0,C$16/AGR_fec!C$16)</f>
        <v>0</v>
      </c>
      <c r="D49" s="265">
        <f>IF(D$16=0,0,D$16/AGR_fec!D$16)</f>
        <v>0</v>
      </c>
      <c r="E49" s="265">
        <f>IF(E$16=0,0,E$16/AGR_fec!E$16)</f>
        <v>0</v>
      </c>
      <c r="F49" s="265">
        <f>IF(F$16=0,0,F$16/AGR_fec!F$16)</f>
        <v>0</v>
      </c>
      <c r="G49" s="265">
        <f>IF(G$16=0,0,G$16/AGR_fec!G$16)</f>
        <v>0.35249335662579001</v>
      </c>
      <c r="H49" s="265">
        <f>IF(H$16=0,0,H$16/AGR_fec!H$16)</f>
        <v>0.35249335662579001</v>
      </c>
      <c r="I49" s="265">
        <f>IF(I$16=0,0,I$16/AGR_fec!I$16)</f>
        <v>0.35249335662579007</v>
      </c>
      <c r="J49" s="265">
        <f>IF(J$16=0,0,J$16/AGR_fec!J$16)</f>
        <v>0.35249335662579007</v>
      </c>
      <c r="K49" s="265">
        <f>IF(K$16=0,0,K$16/AGR_fec!K$16)</f>
        <v>0.35249335662578996</v>
      </c>
      <c r="L49" s="265">
        <f>IF(L$16=0,0,L$16/AGR_fec!L$16)</f>
        <v>0.35249335662579018</v>
      </c>
      <c r="M49" s="265">
        <f>IF(M$16=0,0,M$16/AGR_fec!M$16)</f>
        <v>0.35249335662579007</v>
      </c>
      <c r="N49" s="265">
        <f>IF(N$16=0,0,N$16/AGR_fec!N$16)</f>
        <v>0.35249335662579018</v>
      </c>
      <c r="O49" s="265">
        <f>IF(O$16=0,0,O$16/AGR_fec!O$16)</f>
        <v>0.35249335662579007</v>
      </c>
      <c r="P49" s="265">
        <f>IF(P$16=0,0,P$16/AGR_fec!P$16)</f>
        <v>0.3524933566257899</v>
      </c>
      <c r="Q49" s="265">
        <f>IF(Q$16=0,0,Q$16/AGR_fec!Q$16)</f>
        <v>0.35249335662579001</v>
      </c>
      <c r="R49" s="265">
        <f>IF(R$16=0,0,R$16/AGR_fec!R$16)</f>
        <v>0.35249335662578996</v>
      </c>
      <c r="S49" s="265">
        <f>IF(S$16=0,0,S$16/AGR_fec!S$16)</f>
        <v>0.35249335662579018</v>
      </c>
      <c r="T49" s="265">
        <f>IF(T$16=0,0,T$16/AGR_fec!T$16)</f>
        <v>0.35249335662579012</v>
      </c>
      <c r="U49" s="265">
        <f>IF(U$16=0,0,U$16/AGR_fec!U$16)</f>
        <v>0.35249335662579018</v>
      </c>
      <c r="V49" s="265">
        <f>IF(V$16=0,0,V$16/AGR_fec!V$16)</f>
        <v>0.35249335662579018</v>
      </c>
      <c r="W49" s="265">
        <f>IF(W$16=0,0,W$16/AGR_fec!W$16)</f>
        <v>0.35249335662579018</v>
      </c>
      <c r="DA49" s="291"/>
    </row>
    <row r="50" spans="1:105" x14ac:dyDescent="0.25">
      <c r="A50" s="128" t="s">
        <v>121</v>
      </c>
      <c r="B50" s="265">
        <f>IF(B$17=0,0,B$17/AGR_fec!B$17)</f>
        <v>0</v>
      </c>
      <c r="C50" s="265">
        <f>IF(C$17=0,0,C$17/AGR_fec!C$17)</f>
        <v>0</v>
      </c>
      <c r="D50" s="265">
        <f>IF(D$17=0,0,D$17/AGR_fec!D$17)</f>
        <v>0</v>
      </c>
      <c r="E50" s="265">
        <f>IF(E$17=0,0,E$17/AGR_fec!E$17)</f>
        <v>0</v>
      </c>
      <c r="F50" s="265">
        <f>IF(F$17=0,0,F$17/AGR_fec!F$17)</f>
        <v>0</v>
      </c>
      <c r="G50" s="265">
        <f>IF(G$17=0,0,G$17/AGR_fec!G$17)</f>
        <v>0.28028497087776544</v>
      </c>
      <c r="H50" s="265">
        <f>IF(H$17=0,0,H$17/AGR_fec!H$17)</f>
        <v>0.27730020118876314</v>
      </c>
      <c r="I50" s="265">
        <f>IF(I$17=0,0,I$17/AGR_fec!I$17)</f>
        <v>0.27858821825371177</v>
      </c>
      <c r="J50" s="265">
        <f>IF(J$17=0,0,J$17/AGR_fec!J$17)</f>
        <v>0.27858821825371177</v>
      </c>
      <c r="K50" s="265">
        <f>IF(K$17=0,0,K$17/AGR_fec!K$17)</f>
        <v>0.27731581608749145</v>
      </c>
      <c r="L50" s="265">
        <f>IF(L$17=0,0,L$17/AGR_fec!L$17)</f>
        <v>0.27967307234977778</v>
      </c>
      <c r="M50" s="265">
        <f>IF(M$17=0,0,M$17/AGR_fec!M$17)</f>
        <v>0.27754985445576275</v>
      </c>
      <c r="N50" s="265">
        <f>IF(N$17=0,0,N$17/AGR_fec!N$17)</f>
        <v>0.2787848325456192</v>
      </c>
      <c r="O50" s="265">
        <f>IF(O$17=0,0,O$17/AGR_fec!O$17)</f>
        <v>0.27595486609501846</v>
      </c>
      <c r="P50" s="265">
        <f>IF(P$17=0,0,P$17/AGR_fec!P$17)</f>
        <v>0.27601067395850371</v>
      </c>
      <c r="Q50" s="265">
        <f>IF(Q$17=0,0,Q$17/AGR_fec!Q$17)</f>
        <v>0.28589005897012976</v>
      </c>
      <c r="R50" s="265">
        <f>IF(R$17=0,0,R$17/AGR_fec!R$17)</f>
        <v>0.27595288077457597</v>
      </c>
      <c r="S50" s="265">
        <f>IF(S$17=0,0,S$17/AGR_fec!S$17)</f>
        <v>0.27984559615048904</v>
      </c>
      <c r="T50" s="265">
        <f>IF(T$17=0,0,T$17/AGR_fec!T$17)</f>
        <v>0.28274520311151363</v>
      </c>
      <c r="U50" s="265">
        <f>IF(U$17=0,0,U$17/AGR_fec!U$17)</f>
        <v>0.28339997173817327</v>
      </c>
      <c r="V50" s="265">
        <f>IF(V$17=0,0,V$17/AGR_fec!V$17)</f>
        <v>0.28316386558297452</v>
      </c>
      <c r="W50" s="265">
        <f>IF(W$17=0,0,W$17/AGR_fec!W$17)</f>
        <v>0.2831599268343154</v>
      </c>
      <c r="DA50" s="291"/>
    </row>
    <row r="51" spans="1:105" x14ac:dyDescent="0.25">
      <c r="A51" s="128" t="s">
        <v>174</v>
      </c>
      <c r="B51" s="265">
        <f>IF(B$25=0,0,B$25/AGR_fec!B$25)</f>
        <v>0</v>
      </c>
      <c r="C51" s="265">
        <f>IF(C$25=0,0,C$25/AGR_fec!C$25)</f>
        <v>0</v>
      </c>
      <c r="D51" s="265">
        <f>IF(D$25=0,0,D$25/AGR_fec!D$25)</f>
        <v>0</v>
      </c>
      <c r="E51" s="265">
        <f>IF(E$25=0,0,E$25/AGR_fec!E$25)</f>
        <v>0</v>
      </c>
      <c r="F51" s="265">
        <f>IF(F$25=0,0,F$25/AGR_fec!F$25)</f>
        <v>0</v>
      </c>
      <c r="G51" s="265">
        <f>IF(G$25=0,0,G$25/AGR_fec!G$25)</f>
        <v>0.24674534963805295</v>
      </c>
      <c r="H51" s="265">
        <f>IF(H$25=0,0,H$25/AGR_fec!H$25)</f>
        <v>0.24674534963805311</v>
      </c>
      <c r="I51" s="265">
        <f>IF(I$25=0,0,I$25/AGR_fec!I$25)</f>
        <v>0.246745349638053</v>
      </c>
      <c r="J51" s="265">
        <f>IF(J$25=0,0,J$25/AGR_fec!J$25)</f>
        <v>0.246745349638053</v>
      </c>
      <c r="K51" s="265">
        <f>IF(K$25=0,0,K$25/AGR_fec!K$25)</f>
        <v>0.24674534963805309</v>
      </c>
      <c r="L51" s="265">
        <f>IF(L$25=0,0,L$25/AGR_fec!L$25)</f>
        <v>0.24674534963805306</v>
      </c>
      <c r="M51" s="265">
        <f>IF(M$25=0,0,M$25/AGR_fec!M$25)</f>
        <v>0.24674534963805303</v>
      </c>
      <c r="N51" s="265">
        <f>IF(N$25=0,0,N$25/AGR_fec!N$25)</f>
        <v>0.24674534963805306</v>
      </c>
      <c r="O51" s="265">
        <f>IF(O$25=0,0,O$25/AGR_fec!O$25)</f>
        <v>0.24674534963805303</v>
      </c>
      <c r="P51" s="265">
        <f>IF(P$25=0,0,P$25/AGR_fec!P$25)</f>
        <v>0.246745349638053</v>
      </c>
      <c r="Q51" s="265">
        <f>IF(Q$25=0,0,Q$25/AGR_fec!Q$25)</f>
        <v>0.24674534963805295</v>
      </c>
      <c r="R51" s="265">
        <f>IF(R$25=0,0,R$25/AGR_fec!R$25)</f>
        <v>0.24674534963805303</v>
      </c>
      <c r="S51" s="265">
        <f>IF(S$25=0,0,S$25/AGR_fec!S$25)</f>
        <v>0.24674534963805303</v>
      </c>
      <c r="T51" s="265">
        <f>IF(T$25=0,0,T$25/AGR_fec!T$25)</f>
        <v>0.24674534963805297</v>
      </c>
      <c r="U51" s="265">
        <f>IF(U$25=0,0,U$25/AGR_fec!U$25)</f>
        <v>0.246745349638053</v>
      </c>
      <c r="V51" s="265">
        <f>IF(V$25=0,0,V$25/AGR_fec!V$25)</f>
        <v>0.24674534963805306</v>
      </c>
      <c r="W51" s="265">
        <f>IF(W$25=0,0,W$25/AGR_fec!W$25)</f>
        <v>0.246745349638053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0.48847423549379271</v>
      </c>
      <c r="L52" s="265">
        <f>IF(L$26=0,0,L$26/AGR_fec!L$26)</f>
        <v>0.48847423549379282</v>
      </c>
      <c r="M52" s="265">
        <f>IF(M$26=0,0,M$26/AGR_fec!M$26)</f>
        <v>0.4884742354937926</v>
      </c>
      <c r="N52" s="265">
        <f>IF(N$26=0,0,N$26/AGR_fec!N$26)</f>
        <v>0.48847423549379276</v>
      </c>
      <c r="O52" s="265">
        <f>IF(O$26=0,0,O$26/AGR_fec!O$26)</f>
        <v>0.48847423549379276</v>
      </c>
      <c r="P52" s="265">
        <f>IF(P$26=0,0,P$26/AGR_fec!P$26)</f>
        <v>0.48847423549379276</v>
      </c>
      <c r="Q52" s="265">
        <f>IF(Q$26=0,0,Q$26/AGR_fec!Q$26)</f>
        <v>0.48847423549379276</v>
      </c>
      <c r="R52" s="265">
        <f>IF(R$26=0,0,R$26/AGR_fec!R$26)</f>
        <v>0.48847423549379276</v>
      </c>
      <c r="S52" s="265">
        <f>IF(S$26=0,0,S$26/AGR_fec!S$26)</f>
        <v>0.48847423549379282</v>
      </c>
      <c r="T52" s="265">
        <f>IF(T$26=0,0,T$26/AGR_fec!T$26)</f>
        <v>0.48847423549379276</v>
      </c>
      <c r="U52" s="265">
        <f>IF(U$26=0,0,U$26/AGR_fec!U$26)</f>
        <v>0.4884742354937926</v>
      </c>
      <c r="V52" s="265">
        <f>IF(V$26=0,0,V$26/AGR_fec!V$26)</f>
        <v>0.48847423549379276</v>
      </c>
      <c r="W52" s="265">
        <f>IF(W$26=0,0,W$26/AGR_fec!W$26)</f>
        <v>0.48847423549379299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0.51342507785818259</v>
      </c>
      <c r="L53" s="266">
        <f>IF(L$27=0,0,L$27/AGR_fec!L$27)</f>
        <v>0.51342507785818259</v>
      </c>
      <c r="M53" s="266">
        <f>IF(M$27=0,0,M$27/AGR_fec!M$27)</f>
        <v>0.51342507785818281</v>
      </c>
      <c r="N53" s="266">
        <f>IF(N$27=0,0,N$27/AGR_fec!N$27)</f>
        <v>0.51342507785818259</v>
      </c>
      <c r="O53" s="266">
        <f>IF(O$27=0,0,O$27/AGR_fec!O$27)</f>
        <v>0.5134250778581827</v>
      </c>
      <c r="P53" s="266">
        <f>IF(P$27=0,0,P$27/AGR_fec!P$27)</f>
        <v>0.51342507785818248</v>
      </c>
      <c r="Q53" s="266">
        <f>IF(Q$27=0,0,Q$27/AGR_fec!Q$27)</f>
        <v>0.5134250778581827</v>
      </c>
      <c r="R53" s="266">
        <f>IF(R$27=0,0,R$27/AGR_fec!R$27)</f>
        <v>0.51342507785818259</v>
      </c>
      <c r="S53" s="266">
        <f>IF(S$27=0,0,S$27/AGR_fec!S$27)</f>
        <v>0.51342507785818281</v>
      </c>
      <c r="T53" s="266">
        <f>IF(T$27=0,0,T$27/AGR_fec!T$27)</f>
        <v>0.51342507785818281</v>
      </c>
      <c r="U53" s="266">
        <f>IF(U$27=0,0,U$27/AGR_fec!U$27)</f>
        <v>0.5134250778581827</v>
      </c>
      <c r="V53" s="266">
        <f>IF(V$27=0,0,V$27/AGR_fec!V$27)</f>
        <v>0.51342507785818281</v>
      </c>
      <c r="W53" s="266">
        <f>IF(W$27=0,0,W$27/AGR_fec!W$27)</f>
        <v>0.51342507785818259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0</v>
      </c>
      <c r="C5" s="80">
        <f t="shared" ref="C5:W5" si="0">SUM(C6:C9,C16:C17,C25:C27)</f>
        <v>0</v>
      </c>
      <c r="D5" s="80">
        <f t="shared" si="0"/>
        <v>0</v>
      </c>
      <c r="E5" s="80">
        <f t="shared" si="0"/>
        <v>0</v>
      </c>
      <c r="F5" s="80">
        <f t="shared" si="0"/>
        <v>0</v>
      </c>
      <c r="G5" s="80">
        <f t="shared" si="0"/>
        <v>25.283859480034831</v>
      </c>
      <c r="H5" s="80">
        <f t="shared" si="0"/>
        <v>15.724781640062254</v>
      </c>
      <c r="I5" s="80">
        <f t="shared" si="0"/>
        <v>18.911229840062841</v>
      </c>
      <c r="J5" s="80">
        <f t="shared" si="0"/>
        <v>18.911229840062841</v>
      </c>
      <c r="K5" s="80">
        <f t="shared" si="0"/>
        <v>15.724781638165425</v>
      </c>
      <c r="L5" s="80">
        <f t="shared" si="0"/>
        <v>22.097678037475717</v>
      </c>
      <c r="M5" s="80">
        <f t="shared" si="0"/>
        <v>15.724781637832256</v>
      </c>
      <c r="N5" s="80">
        <f t="shared" si="0"/>
        <v>18.911229838009668</v>
      </c>
      <c r="O5" s="80">
        <f t="shared" si="0"/>
        <v>12.538600198627785</v>
      </c>
      <c r="P5" s="80">
        <f t="shared" si="0"/>
        <v>12.538600198536384</v>
      </c>
      <c r="Q5" s="80">
        <f t="shared" si="0"/>
        <v>9.5588110818476224</v>
      </c>
      <c r="R5" s="80">
        <f t="shared" si="0"/>
        <v>12.538600198668194</v>
      </c>
      <c r="S5" s="80">
        <f t="shared" si="0"/>
        <v>16.410809158635175</v>
      </c>
      <c r="T5" s="80">
        <f t="shared" si="0"/>
        <v>35.093396518509408</v>
      </c>
      <c r="U5" s="80">
        <f t="shared" si="0"/>
        <v>45.929408758547147</v>
      </c>
      <c r="V5" s="80">
        <f t="shared" si="0"/>
        <v>40.159164957194569</v>
      </c>
      <c r="W5" s="80">
        <f t="shared" si="0"/>
        <v>42.915240718119719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0</v>
      </c>
      <c r="C9" s="244">
        <f t="shared" ref="C9:W9" si="1">SUM(C10:C15)</f>
        <v>0</v>
      </c>
      <c r="D9" s="244">
        <f t="shared" si="1"/>
        <v>0</v>
      </c>
      <c r="E9" s="244">
        <f t="shared" si="1"/>
        <v>0</v>
      </c>
      <c r="F9" s="244">
        <f t="shared" si="1"/>
        <v>0</v>
      </c>
      <c r="G9" s="244">
        <f t="shared" si="1"/>
        <v>5.6022175912931038</v>
      </c>
      <c r="H9" s="244">
        <f t="shared" si="1"/>
        <v>3.383863884317595</v>
      </c>
      <c r="I9" s="244">
        <f t="shared" si="1"/>
        <v>4.1264324757552542</v>
      </c>
      <c r="J9" s="244">
        <f t="shared" si="1"/>
        <v>4.1264324757552542</v>
      </c>
      <c r="K9" s="244">
        <f t="shared" si="1"/>
        <v>3.3571343858520102</v>
      </c>
      <c r="L9" s="244">
        <f t="shared" si="1"/>
        <v>4.4785863282762666</v>
      </c>
      <c r="M9" s="244">
        <f t="shared" si="1"/>
        <v>2.980501015572298</v>
      </c>
      <c r="N9" s="244">
        <f t="shared" si="1"/>
        <v>3.7079504274611188</v>
      </c>
      <c r="O9" s="244">
        <f t="shared" si="1"/>
        <v>2.1212372257097738</v>
      </c>
      <c r="P9" s="244">
        <f t="shared" si="1"/>
        <v>2.0602695041099981</v>
      </c>
      <c r="Q9" s="244">
        <f t="shared" si="1"/>
        <v>1.640983351409131</v>
      </c>
      <c r="R9" s="244">
        <f t="shared" si="1"/>
        <v>2.0553675284943411</v>
      </c>
      <c r="S9" s="244">
        <f t="shared" si="1"/>
        <v>3.0492109132310712</v>
      </c>
      <c r="T9" s="244">
        <f t="shared" si="1"/>
        <v>7.3033277474503482</v>
      </c>
      <c r="U9" s="244">
        <f t="shared" si="1"/>
        <v>9.8597215258554858</v>
      </c>
      <c r="V9" s="244">
        <f t="shared" si="1"/>
        <v>8.4782472591714981</v>
      </c>
      <c r="W9" s="244">
        <f t="shared" si="1"/>
        <v>9.1189439188307677</v>
      </c>
      <c r="DA9" s="270"/>
    </row>
    <row r="10" spans="1:105" x14ac:dyDescent="0.25">
      <c r="A10" s="254" t="s">
        <v>173</v>
      </c>
      <c r="B10" s="255">
        <v>0</v>
      </c>
      <c r="C10" s="255">
        <v>0</v>
      </c>
      <c r="D10" s="255">
        <v>0</v>
      </c>
      <c r="E10" s="255">
        <v>0</v>
      </c>
      <c r="F10" s="255">
        <v>0</v>
      </c>
      <c r="G10" s="255">
        <v>5.6022175912931038</v>
      </c>
      <c r="H10" s="255">
        <v>3.383863884317595</v>
      </c>
      <c r="I10" s="255">
        <v>4.1264324757552542</v>
      </c>
      <c r="J10" s="255">
        <v>4.1264324757552542</v>
      </c>
      <c r="K10" s="255">
        <v>3.3571343858520102</v>
      </c>
      <c r="L10" s="255">
        <v>4.4785863282762666</v>
      </c>
      <c r="M10" s="255">
        <v>2.980501015572298</v>
      </c>
      <c r="N10" s="255">
        <v>3.7079504274611188</v>
      </c>
      <c r="O10" s="255">
        <v>2.1212372257097738</v>
      </c>
      <c r="P10" s="255">
        <v>2.0602695041099981</v>
      </c>
      <c r="Q10" s="255">
        <v>1.640983351409131</v>
      </c>
      <c r="R10" s="255">
        <v>2.0553675284943411</v>
      </c>
      <c r="S10" s="255">
        <v>3.0492109132310712</v>
      </c>
      <c r="T10" s="255">
        <v>7.3033277474503482</v>
      </c>
      <c r="U10" s="255">
        <v>9.8597215258554858</v>
      </c>
      <c r="V10" s="255">
        <v>8.4782472591714981</v>
      </c>
      <c r="W10" s="255">
        <v>9.1189439188307677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0</v>
      </c>
      <c r="C16" s="258">
        <v>0</v>
      </c>
      <c r="D16" s="258">
        <v>0</v>
      </c>
      <c r="E16" s="258">
        <v>0</v>
      </c>
      <c r="F16" s="258">
        <v>0</v>
      </c>
      <c r="G16" s="258">
        <v>7.4385296077194356</v>
      </c>
      <c r="H16" s="258">
        <v>4.4930371378486509</v>
      </c>
      <c r="I16" s="258">
        <v>5.4790071333297767</v>
      </c>
      <c r="J16" s="258">
        <v>5.4790071333297767</v>
      </c>
      <c r="K16" s="258">
        <v>4.5044734214780737</v>
      </c>
      <c r="L16" s="258">
        <v>6.620693080470164</v>
      </c>
      <c r="M16" s="258">
        <v>4.663011440723424</v>
      </c>
      <c r="N16" s="258">
        <v>5.6519416856676523</v>
      </c>
      <c r="O16" s="258">
        <v>3.7179051482011509</v>
      </c>
      <c r="P16" s="258">
        <v>3.7436411644500218</v>
      </c>
      <c r="Q16" s="258">
        <v>3.1326748308248158</v>
      </c>
      <c r="R16" s="258">
        <v>3.752602158827699</v>
      </c>
      <c r="S16" s="258">
        <v>4.986255160908958</v>
      </c>
      <c r="T16" s="258">
        <v>10.589893294905229</v>
      </c>
      <c r="U16" s="258">
        <v>13.871428531056649</v>
      </c>
      <c r="V16" s="258">
        <v>12.135902753109329</v>
      </c>
      <c r="W16" s="258">
        <v>12.95825184463056</v>
      </c>
      <c r="DA16" s="273" t="s">
        <v>1044</v>
      </c>
    </row>
    <row r="17" spans="1:105" x14ac:dyDescent="0.25">
      <c r="A17" s="257" t="s">
        <v>121</v>
      </c>
      <c r="B17" s="258">
        <f>SUM(B18:B24)</f>
        <v>0</v>
      </c>
      <c r="C17" s="258">
        <f t="shared" ref="C17:W17" si="2">SUM(C18:C24)</f>
        <v>0</v>
      </c>
      <c r="D17" s="258">
        <f t="shared" si="2"/>
        <v>0</v>
      </c>
      <c r="E17" s="258">
        <f t="shared" si="2"/>
        <v>0</v>
      </c>
      <c r="F17" s="258">
        <f t="shared" si="2"/>
        <v>0</v>
      </c>
      <c r="G17" s="258">
        <f t="shared" si="2"/>
        <v>10.813736826237299</v>
      </c>
      <c r="H17" s="258">
        <f t="shared" si="2"/>
        <v>6.9845060881215337</v>
      </c>
      <c r="I17" s="258">
        <f t="shared" si="2"/>
        <v>8.2529533497686298</v>
      </c>
      <c r="J17" s="258">
        <f t="shared" si="2"/>
        <v>8.2529533497686298</v>
      </c>
      <c r="K17" s="258">
        <f t="shared" si="2"/>
        <v>6.9976017238546273</v>
      </c>
      <c r="L17" s="258">
        <f t="shared" si="2"/>
        <v>9.7261772782801259</v>
      </c>
      <c r="M17" s="258">
        <f t="shared" si="2"/>
        <v>7.1852326729455385</v>
      </c>
      <c r="N17" s="258">
        <f t="shared" si="2"/>
        <v>8.4652700282509556</v>
      </c>
      <c r="O17" s="258">
        <f t="shared" si="2"/>
        <v>5.985031366490154</v>
      </c>
      <c r="P17" s="258">
        <f t="shared" si="2"/>
        <v>6.0153176817505507</v>
      </c>
      <c r="Q17" s="258">
        <f t="shared" si="2"/>
        <v>4.1831833240194811</v>
      </c>
      <c r="R17" s="258">
        <f t="shared" si="2"/>
        <v>6.0095367333722045</v>
      </c>
      <c r="S17" s="258">
        <f t="shared" si="2"/>
        <v>7.4171926012461595</v>
      </c>
      <c r="T17" s="258">
        <f t="shared" si="2"/>
        <v>15.165239226277087</v>
      </c>
      <c r="U17" s="258">
        <f t="shared" si="2"/>
        <v>19.532748108718852</v>
      </c>
      <c r="V17" s="258">
        <f t="shared" si="2"/>
        <v>17.213000093625087</v>
      </c>
      <c r="W17" s="258">
        <f t="shared" si="2"/>
        <v>18.34800887220258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0.13652315998476669</v>
      </c>
      <c r="T19" s="55">
        <v>0.47885327997700722</v>
      </c>
      <c r="U19" s="55">
        <v>0.50792975998275258</v>
      </c>
      <c r="V19" s="55">
        <v>0.36868067997156639</v>
      </c>
      <c r="W19" s="55">
        <v>0.39775715998098121</v>
      </c>
      <c r="DA19" s="101" t="s">
        <v>1046</v>
      </c>
    </row>
    <row r="20" spans="1:105" x14ac:dyDescent="0.25">
      <c r="A20" s="61" t="s">
        <v>173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7.8339477067400942</v>
      </c>
      <c r="H20" s="55">
        <v>4.0047169690204489</v>
      </c>
      <c r="I20" s="55">
        <v>5.2731642306758966</v>
      </c>
      <c r="J20" s="55">
        <v>5.2731642306758966</v>
      </c>
      <c r="K20" s="55">
        <v>4.017812604203769</v>
      </c>
      <c r="L20" s="55">
        <v>6.7463881586817154</v>
      </c>
      <c r="M20" s="55">
        <v>4.205443553484856</v>
      </c>
      <c r="N20" s="55">
        <v>5.4854809086415646</v>
      </c>
      <c r="O20" s="55">
        <v>3.0052422469851789</v>
      </c>
      <c r="P20" s="55">
        <v>3.035528562287396</v>
      </c>
      <c r="Q20" s="55">
        <v>4.1831833240194811</v>
      </c>
      <c r="R20" s="55">
        <v>3.0297476138631971</v>
      </c>
      <c r="S20" s="55">
        <v>4.9336562815232741</v>
      </c>
      <c r="T20" s="55">
        <v>11.85843078643587</v>
      </c>
      <c r="U20" s="55">
        <v>16.14382330883393</v>
      </c>
      <c r="V20" s="55">
        <v>14.08492481386633</v>
      </c>
      <c r="W20" s="55">
        <v>15.025820872361431</v>
      </c>
      <c r="DA20" s="101" t="s">
        <v>1047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2.9797891194972048</v>
      </c>
      <c r="H21" s="55">
        <v>2.9797891191010848</v>
      </c>
      <c r="I21" s="55">
        <v>2.9797891190927328</v>
      </c>
      <c r="J21" s="55">
        <v>2.9797891190927328</v>
      </c>
      <c r="K21" s="55">
        <v>2.9797891196508579</v>
      </c>
      <c r="L21" s="55">
        <v>2.9797891195984101</v>
      </c>
      <c r="M21" s="55">
        <v>2.979789119460682</v>
      </c>
      <c r="N21" s="55">
        <v>2.979789119609392</v>
      </c>
      <c r="O21" s="55">
        <v>2.979789119504975</v>
      </c>
      <c r="P21" s="55">
        <v>2.9797891194631552</v>
      </c>
      <c r="Q21" s="55">
        <v>0</v>
      </c>
      <c r="R21" s="55">
        <v>2.9797891195090069</v>
      </c>
      <c r="S21" s="55">
        <v>2.3470131597381192</v>
      </c>
      <c r="T21" s="55">
        <v>2.827955159864211</v>
      </c>
      <c r="U21" s="55">
        <v>2.8809950399021722</v>
      </c>
      <c r="V21" s="55">
        <v>2.75939459978719</v>
      </c>
      <c r="W21" s="55">
        <v>2.9244308398601691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0</v>
      </c>
      <c r="C25" s="258">
        <v>0</v>
      </c>
      <c r="D25" s="258">
        <v>0</v>
      </c>
      <c r="E25" s="258">
        <v>0</v>
      </c>
      <c r="F25" s="258">
        <v>0</v>
      </c>
      <c r="G25" s="258">
        <v>1.429375454784992</v>
      </c>
      <c r="H25" s="258">
        <v>0.86337452977447515</v>
      </c>
      <c r="I25" s="258">
        <v>1.0528368812091791</v>
      </c>
      <c r="J25" s="258">
        <v>1.0528368812091791</v>
      </c>
      <c r="K25" s="258">
        <v>0.86557210698071418</v>
      </c>
      <c r="L25" s="258">
        <v>1.272221350449162</v>
      </c>
      <c r="M25" s="258">
        <v>0.89603650859099537</v>
      </c>
      <c r="N25" s="258">
        <v>1.0860676966299401</v>
      </c>
      <c r="O25" s="258">
        <v>0.71442645822670636</v>
      </c>
      <c r="P25" s="258">
        <v>0.71937184822581413</v>
      </c>
      <c r="Q25" s="258">
        <v>0.60196957559419506</v>
      </c>
      <c r="R25" s="258">
        <v>0.72109377797394969</v>
      </c>
      <c r="S25" s="258">
        <v>0.95815048324898555</v>
      </c>
      <c r="T25" s="258">
        <v>2.0349362498767429</v>
      </c>
      <c r="U25" s="258">
        <v>2.6655105929161582</v>
      </c>
      <c r="V25" s="258">
        <v>2.332014851288656</v>
      </c>
      <c r="W25" s="258">
        <v>2.490036082455815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</v>
      </c>
      <c r="C31" s="236">
        <f t="shared" si="3"/>
        <v>0</v>
      </c>
      <c r="D31" s="236">
        <f t="shared" si="3"/>
        <v>0</v>
      </c>
      <c r="E31" s="236">
        <f t="shared" si="3"/>
        <v>0</v>
      </c>
      <c r="F31" s="236">
        <f t="shared" si="3"/>
        <v>0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</v>
      </c>
      <c r="C35" s="247">
        <f t="shared" si="8"/>
        <v>0</v>
      </c>
      <c r="D35" s="247">
        <f t="shared" si="8"/>
        <v>0</v>
      </c>
      <c r="E35" s="247">
        <f t="shared" si="8"/>
        <v>0</v>
      </c>
      <c r="F35" s="247">
        <f t="shared" si="8"/>
        <v>0</v>
      </c>
      <c r="G35" s="247">
        <f t="shared" si="8"/>
        <v>0.22157288113853202</v>
      </c>
      <c r="H35" s="247">
        <f t="shared" si="8"/>
        <v>0.21519306034091285</v>
      </c>
      <c r="I35" s="247">
        <f t="shared" si="8"/>
        <v>0.2182001123487769</v>
      </c>
      <c r="J35" s="247">
        <f t="shared" si="8"/>
        <v>0.2182001123487769</v>
      </c>
      <c r="K35" s="247">
        <f t="shared" si="8"/>
        <v>0.21349322763910122</v>
      </c>
      <c r="L35" s="247">
        <f t="shared" si="8"/>
        <v>0.20267225907993494</v>
      </c>
      <c r="M35" s="247">
        <f t="shared" si="8"/>
        <v>0.18954164733210094</v>
      </c>
      <c r="N35" s="247">
        <f t="shared" si="8"/>
        <v>0.19607135332935946</v>
      </c>
      <c r="O35" s="247">
        <f t="shared" si="8"/>
        <v>0.16917655815694008</v>
      </c>
      <c r="P35" s="247">
        <f t="shared" si="8"/>
        <v>0.1643141556064999</v>
      </c>
      <c r="Q35" s="247">
        <f t="shared" si="8"/>
        <v>0.17167232800796658</v>
      </c>
      <c r="R35" s="247">
        <f t="shared" si="8"/>
        <v>0.16392320481776387</v>
      </c>
      <c r="S35" s="247">
        <f t="shared" si="8"/>
        <v>0.185805031534756</v>
      </c>
      <c r="T35" s="247">
        <f t="shared" si="8"/>
        <v>0.20811116825350129</v>
      </c>
      <c r="U35" s="247">
        <f t="shared" si="8"/>
        <v>0.21467120505923473</v>
      </c>
      <c r="V35" s="247">
        <f t="shared" si="8"/>
        <v>0.21111612425727513</v>
      </c>
      <c r="W35" s="247">
        <f t="shared" si="8"/>
        <v>0.21248730675255323</v>
      </c>
      <c r="DA35" s="278"/>
    </row>
    <row r="36" spans="1:105" x14ac:dyDescent="0.25">
      <c r="A36" s="128" t="s">
        <v>175</v>
      </c>
      <c r="B36" s="260">
        <f t="shared" ref="B36:W36" si="9">IF(B$16=0,0,B$16/B$5)</f>
        <v>0</v>
      </c>
      <c r="C36" s="260">
        <f t="shared" si="9"/>
        <v>0</v>
      </c>
      <c r="D36" s="260">
        <f t="shared" si="9"/>
        <v>0</v>
      </c>
      <c r="E36" s="260">
        <f t="shared" si="9"/>
        <v>0</v>
      </c>
      <c r="F36" s="260">
        <f t="shared" si="9"/>
        <v>0</v>
      </c>
      <c r="G36" s="260">
        <f t="shared" si="9"/>
        <v>0.29420071779758161</v>
      </c>
      <c r="H36" s="260">
        <f t="shared" si="9"/>
        <v>0.28572969982627133</v>
      </c>
      <c r="I36" s="260">
        <f t="shared" si="9"/>
        <v>0.28972241253832542</v>
      </c>
      <c r="J36" s="260">
        <f t="shared" si="9"/>
        <v>0.28972241253832542</v>
      </c>
      <c r="K36" s="260">
        <f t="shared" si="9"/>
        <v>0.28645697759931504</v>
      </c>
      <c r="L36" s="260">
        <f t="shared" si="9"/>
        <v>0.29961035133383929</v>
      </c>
      <c r="M36" s="260">
        <f t="shared" si="9"/>
        <v>0.29653902662181864</v>
      </c>
      <c r="N36" s="260">
        <f t="shared" si="9"/>
        <v>0.29886695545880465</v>
      </c>
      <c r="O36" s="260">
        <f t="shared" si="9"/>
        <v>0.29651676337906008</v>
      </c>
      <c r="P36" s="260">
        <f t="shared" si="9"/>
        <v>0.29856930639570217</v>
      </c>
      <c r="Q36" s="260">
        <f t="shared" si="9"/>
        <v>0.32772640906920208</v>
      </c>
      <c r="R36" s="260">
        <f t="shared" si="9"/>
        <v>0.29928397902233833</v>
      </c>
      <c r="S36" s="260">
        <f t="shared" si="9"/>
        <v>0.30383968960392482</v>
      </c>
      <c r="T36" s="260">
        <f t="shared" si="9"/>
        <v>0.3017631333951894</v>
      </c>
      <c r="U36" s="260">
        <f t="shared" si="9"/>
        <v>0.30201626596108255</v>
      </c>
      <c r="V36" s="260">
        <f t="shared" si="9"/>
        <v>0.30219509708543296</v>
      </c>
      <c r="W36" s="260">
        <f t="shared" si="9"/>
        <v>0.30194988138932455</v>
      </c>
      <c r="DA36" s="279"/>
    </row>
    <row r="37" spans="1:105" x14ac:dyDescent="0.25">
      <c r="A37" s="128" t="s">
        <v>121</v>
      </c>
      <c r="B37" s="260">
        <f t="shared" ref="B37:W37" si="10">IF(B$17=0,0,B$17/B$5)</f>
        <v>0</v>
      </c>
      <c r="C37" s="260">
        <f t="shared" si="10"/>
        <v>0</v>
      </c>
      <c r="D37" s="260">
        <f t="shared" si="10"/>
        <v>0</v>
      </c>
      <c r="E37" s="260">
        <f t="shared" si="10"/>
        <v>0</v>
      </c>
      <c r="F37" s="260">
        <f t="shared" si="10"/>
        <v>0</v>
      </c>
      <c r="G37" s="260">
        <f t="shared" si="10"/>
        <v>0.42769328135114293</v>
      </c>
      <c r="H37" s="260">
        <f t="shared" si="10"/>
        <v>0.44417189681839564</v>
      </c>
      <c r="I37" s="260">
        <f t="shared" si="10"/>
        <v>0.43640489907668562</v>
      </c>
      <c r="J37" s="260">
        <f t="shared" si="10"/>
        <v>0.43640489907668562</v>
      </c>
      <c r="K37" s="260">
        <f t="shared" si="10"/>
        <v>0.44500469926214009</v>
      </c>
      <c r="L37" s="260">
        <f t="shared" si="10"/>
        <v>0.4401447637070911</v>
      </c>
      <c r="M37" s="260">
        <f t="shared" si="10"/>
        <v>0.45693688080593658</v>
      </c>
      <c r="N37" s="260">
        <f t="shared" si="10"/>
        <v>0.447631915045346</v>
      </c>
      <c r="O37" s="260">
        <f t="shared" si="10"/>
        <v>0.47732851129148779</v>
      </c>
      <c r="P37" s="260">
        <f t="shared" si="10"/>
        <v>0.47974395757930871</v>
      </c>
      <c r="Q37" s="260">
        <f t="shared" si="10"/>
        <v>0.43762590223834757</v>
      </c>
      <c r="R37" s="260">
        <f t="shared" si="10"/>
        <v>0.47928290544031515</v>
      </c>
      <c r="S37" s="260">
        <f t="shared" si="10"/>
        <v>0.45196995038744447</v>
      </c>
      <c r="T37" s="260">
        <f t="shared" si="10"/>
        <v>0.43213939745839203</v>
      </c>
      <c r="U37" s="260">
        <f t="shared" si="10"/>
        <v>0.42527758655469178</v>
      </c>
      <c r="V37" s="260">
        <f t="shared" si="10"/>
        <v>0.42861947234142761</v>
      </c>
      <c r="W37" s="260">
        <f t="shared" si="10"/>
        <v>0.42754062578182545</v>
      </c>
      <c r="DA37" s="279"/>
    </row>
    <row r="38" spans="1:105" x14ac:dyDescent="0.25">
      <c r="A38" s="128" t="s">
        <v>174</v>
      </c>
      <c r="B38" s="260">
        <f t="shared" ref="B38:W38" si="11">IF(B$25=0,0,B$25/B$5)</f>
        <v>0</v>
      </c>
      <c r="C38" s="260">
        <f t="shared" si="11"/>
        <v>0</v>
      </c>
      <c r="D38" s="260">
        <f t="shared" si="11"/>
        <v>0</v>
      </c>
      <c r="E38" s="260">
        <f t="shared" si="11"/>
        <v>0</v>
      </c>
      <c r="F38" s="260">
        <f t="shared" si="11"/>
        <v>0</v>
      </c>
      <c r="G38" s="260">
        <f t="shared" si="11"/>
        <v>5.6533119712743427E-2</v>
      </c>
      <c r="H38" s="260">
        <f t="shared" si="11"/>
        <v>5.4905343014420203E-2</v>
      </c>
      <c r="I38" s="260">
        <f t="shared" si="11"/>
        <v>5.5672576036211958E-2</v>
      </c>
      <c r="J38" s="260">
        <f t="shared" si="11"/>
        <v>5.5672576036211958E-2</v>
      </c>
      <c r="K38" s="260">
        <f t="shared" si="11"/>
        <v>5.5045095499443676E-2</v>
      </c>
      <c r="L38" s="260">
        <f t="shared" si="11"/>
        <v>5.7572625879134746E-2</v>
      </c>
      <c r="M38" s="260">
        <f t="shared" si="11"/>
        <v>5.6982445240143807E-2</v>
      </c>
      <c r="N38" s="260">
        <f t="shared" si="11"/>
        <v>5.7429776166489893E-2</v>
      </c>
      <c r="O38" s="260">
        <f t="shared" si="11"/>
        <v>5.6978167172512022E-2</v>
      </c>
      <c r="P38" s="260">
        <f t="shared" si="11"/>
        <v>5.7372580418489263E-2</v>
      </c>
      <c r="Q38" s="260">
        <f t="shared" si="11"/>
        <v>6.2975360684483825E-2</v>
      </c>
      <c r="R38" s="260">
        <f t="shared" si="11"/>
        <v>5.7509910719582696E-2</v>
      </c>
      <c r="S38" s="260">
        <f t="shared" si="11"/>
        <v>5.8385328473874676E-2</v>
      </c>
      <c r="T38" s="260">
        <f t="shared" si="11"/>
        <v>5.79863008929173E-2</v>
      </c>
      <c r="U38" s="260">
        <f t="shared" si="11"/>
        <v>5.8034942424990937E-2</v>
      </c>
      <c r="V38" s="260">
        <f t="shared" si="11"/>
        <v>5.8069306315864329E-2</v>
      </c>
      <c r="W38" s="260">
        <f t="shared" si="11"/>
        <v>5.8022186076296882E-2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</v>
      </c>
      <c r="C44" s="238">
        <f>IF(C$5=0,0,C$5/AGR_fec!C$5)</f>
        <v>0</v>
      </c>
      <c r="D44" s="238">
        <f>IF(D$5=0,0,D$5/AGR_fec!D$5)</f>
        <v>0</v>
      </c>
      <c r="E44" s="238">
        <f>IF(E$5=0,0,E$5/AGR_fec!E$5)</f>
        <v>0</v>
      </c>
      <c r="F44" s="238">
        <f>IF(F$5=0,0,F$5/AGR_fec!F$5)</f>
        <v>0</v>
      </c>
      <c r="G44" s="238">
        <f>IF(G$5=0,0,G$5/AGR_fec!G$5)</f>
        <v>3.0772987886851033</v>
      </c>
      <c r="H44" s="238">
        <f>IF(H$5=0,0,H$5/AGR_fec!H$5)</f>
        <v>3.0622261930296566</v>
      </c>
      <c r="I44" s="238">
        <f>IF(I$5=0,0,I$5/AGR_fec!I$5)</f>
        <v>3.0689253347463352</v>
      </c>
      <c r="J44" s="238">
        <f>IF(J$5=0,0,J$5/AGR_fec!J$5)</f>
        <v>3.0689253347463352</v>
      </c>
      <c r="K44" s="238">
        <f>IF(K$5=0,0,K$5/AGR_fec!K$5)</f>
        <v>3.0117951030428327</v>
      </c>
      <c r="L44" s="238">
        <f>IF(L$5=0,0,L$5/AGR_fec!L$5)</f>
        <v>2.7154539800072128</v>
      </c>
      <c r="M44" s="238">
        <f>IF(M$5=0,0,M$5/AGR_fec!M$5)</f>
        <v>2.6168218305238411</v>
      </c>
      <c r="N44" s="238">
        <f>IF(N$5=0,0,N$5/AGR_fec!N$5)</f>
        <v>2.6529510755467531</v>
      </c>
      <c r="O44" s="238">
        <f>IF(O$5=0,0,O$5/AGR_fec!O$5)</f>
        <v>2.4680779959048333</v>
      </c>
      <c r="P44" s="238">
        <f>IF(P$5=0,0,P$5/AGR_fec!P$5)</f>
        <v>2.424821582177294</v>
      </c>
      <c r="Q44" s="238">
        <f>IF(Q$5=0,0,Q$5/AGR_fec!Q$5)</f>
        <v>2.3103406808655369</v>
      </c>
      <c r="R44" s="238">
        <f>IF(R$5=0,0,R$5/AGR_fec!R$5)</f>
        <v>2.4387717883150675</v>
      </c>
      <c r="S44" s="238">
        <f>IF(S$5=0,0,S$5/AGR_fec!S$5)</f>
        <v>2.5562213451586726</v>
      </c>
      <c r="T44" s="238">
        <f>IF(T$5=0,0,T$5/AGR_fec!T$5)</f>
        <v>2.6653618687242173</v>
      </c>
      <c r="U44" s="238">
        <f>IF(U$5=0,0,U$5/AGR_fec!U$5)</f>
        <v>2.7587296261428196</v>
      </c>
      <c r="V44" s="238">
        <f>IF(V$5=0,0,V$5/AGR_fec!V$5)</f>
        <v>2.6781373697040776</v>
      </c>
      <c r="W44" s="238">
        <f>IF(W$5=0,0,W$5/AGR_fec!W$5)</f>
        <v>2.7292247643280763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0</v>
      </c>
      <c r="C48" s="253">
        <f>IF(C$9=0,0,C$9/AGR_fec!C$9)</f>
        <v>0</v>
      </c>
      <c r="D48" s="253">
        <f>IF(D$9=0,0,D$9/AGR_fec!D$9)</f>
        <v>0</v>
      </c>
      <c r="E48" s="253">
        <f>IF(E$9=0,0,E$9/AGR_fec!E$9)</f>
        <v>0</v>
      </c>
      <c r="F48" s="253">
        <f>IF(F$9=0,0,F$9/AGR_fec!F$9)</f>
        <v>0</v>
      </c>
      <c r="G48" s="253">
        <f>IF(G$9=0,0,G$9/AGR_fec!G$9)</f>
        <v>3.1024188000000006</v>
      </c>
      <c r="H48" s="253">
        <f>IF(H$9=0,0,H$9/AGR_fec!H$9)</f>
        <v>3.1024187999999988</v>
      </c>
      <c r="I48" s="253">
        <f>IF(I$9=0,0,I$9/AGR_fec!I$9)</f>
        <v>3.1024187999999993</v>
      </c>
      <c r="J48" s="253">
        <f>IF(J$9=0,0,J$9/AGR_fec!J$9)</f>
        <v>3.1024187999999993</v>
      </c>
      <c r="K48" s="253">
        <f>IF(K$9=0,0,K$9/AGR_fec!K$9)</f>
        <v>3.1017034602563966</v>
      </c>
      <c r="L48" s="253">
        <f>IF(L$9=0,0,L$9/AGR_fec!L$9)</f>
        <v>2.8855579978540096</v>
      </c>
      <c r="M48" s="253">
        <f>IF(M$9=0,0,M$9/AGR_fec!M$9)</f>
        <v>2.6914128323450237</v>
      </c>
      <c r="N48" s="253">
        <f>IF(N$9=0,0,N$9/AGR_fec!N$9)</f>
        <v>2.7749823883387648</v>
      </c>
      <c r="O48" s="253">
        <f>IF(O$9=0,0,O$9/AGR_fec!O$9)</f>
        <v>2.3026768208661883</v>
      </c>
      <c r="P48" s="253">
        <f>IF(P$9=0,0,P$9/AGR_fec!P$9)</f>
        <v>2.1838222609224225</v>
      </c>
      <c r="Q48" s="253">
        <f>IF(Q$9=0,0,Q$9/AGR_fec!Q$9)</f>
        <v>1.9836988153990476</v>
      </c>
      <c r="R48" s="253">
        <f>IF(R$9=0,0,R$9/AGR_fec!R$9)</f>
        <v>2.1911261209040354</v>
      </c>
      <c r="S48" s="253">
        <f>IF(S$9=0,0,S$9/AGR_fec!S$9)</f>
        <v>2.5393984750958327</v>
      </c>
      <c r="T48" s="253">
        <f>IF(T$9=0,0,T$9/AGR_fec!T$9)</f>
        <v>2.8372679677314729</v>
      </c>
      <c r="U48" s="253">
        <f>IF(U$9=0,0,U$9/AGR_fec!U$9)</f>
        <v>2.9418805472379765</v>
      </c>
      <c r="V48" s="253">
        <f>IF(V$9=0,0,V$9/AGR_fec!V$9)</f>
        <v>2.8519375372671423</v>
      </c>
      <c r="W48" s="253">
        <f>IF(W$9=0,0,W$9/AGR_fec!W$9)</f>
        <v>2.9091178284054138</v>
      </c>
      <c r="DA48" s="290"/>
    </row>
    <row r="49" spans="1:105" x14ac:dyDescent="0.25">
      <c r="A49" s="128" t="s">
        <v>175</v>
      </c>
      <c r="B49" s="265">
        <f>IF(B$16=0,0,B$16/AGR_fec!B$16)</f>
        <v>0</v>
      </c>
      <c r="C49" s="265">
        <f>IF(C$16=0,0,C$16/AGR_fec!C$16)</f>
        <v>0</v>
      </c>
      <c r="D49" s="265">
        <f>IF(D$16=0,0,D$16/AGR_fec!D$16)</f>
        <v>0</v>
      </c>
      <c r="E49" s="265">
        <f>IF(E$16=0,0,E$16/AGR_fec!E$16)</f>
        <v>0</v>
      </c>
      <c r="F49" s="265">
        <f>IF(F$16=0,0,F$16/AGR_fec!F$16)</f>
        <v>0</v>
      </c>
      <c r="G49" s="265">
        <f>IF(G$16=0,0,G$16/AGR_fec!G$16)</f>
        <v>3.1024187999999997</v>
      </c>
      <c r="H49" s="265">
        <f>IF(H$16=0,0,H$16/AGR_fec!H$16)</f>
        <v>3.1024187999999997</v>
      </c>
      <c r="I49" s="265">
        <f>IF(I$16=0,0,I$16/AGR_fec!I$16)</f>
        <v>3.1024188000000001</v>
      </c>
      <c r="J49" s="265">
        <f>IF(J$16=0,0,J$16/AGR_fec!J$16)</f>
        <v>3.1024188000000001</v>
      </c>
      <c r="K49" s="265">
        <f>IF(K$16=0,0,K$16/AGR_fec!K$16)</f>
        <v>3.1024187999999993</v>
      </c>
      <c r="L49" s="265">
        <f>IF(L$16=0,0,L$16/AGR_fec!L$16)</f>
        <v>3.101077409964017</v>
      </c>
      <c r="M49" s="265">
        <f>IF(M$16=0,0,M$16/AGR_fec!M$16)</f>
        <v>3.0917413334362349</v>
      </c>
      <c r="N49" s="265">
        <f>IF(N$16=0,0,N$16/AGR_fec!N$16)</f>
        <v>3.0901558660684811</v>
      </c>
      <c r="O49" s="265">
        <f>IF(O$16=0,0,O$16/AGR_fec!O$16)</f>
        <v>3.0760645506474829</v>
      </c>
      <c r="P49" s="265">
        <f>IF(P$16=0,0,P$16/AGR_fec!P$16)</f>
        <v>3.071475185400895</v>
      </c>
      <c r="Q49" s="265">
        <f>IF(Q$16=0,0,Q$16/AGR_fec!Q$16)</f>
        <v>3.0779382263801969</v>
      </c>
      <c r="R49" s="265">
        <f>IF(R$16=0,0,R$16/AGR_fec!R$16)</f>
        <v>3.1024187999999993</v>
      </c>
      <c r="S49" s="265">
        <f>IF(S$16=0,0,S$16/AGR_fec!S$16)</f>
        <v>3.1024188000000006</v>
      </c>
      <c r="T49" s="265">
        <f>IF(T$16=0,0,T$16/AGR_fec!T$16)</f>
        <v>2.9894712871615718</v>
      </c>
      <c r="U49" s="265">
        <f>IF(U$16=0,0,U$16/AGR_fec!U$16)</f>
        <v>3.0119127767957492</v>
      </c>
      <c r="V49" s="265">
        <f>IF(V$16=0,0,V$16/AGR_fec!V$16)</f>
        <v>2.9667114858536316</v>
      </c>
      <c r="W49" s="265">
        <f>IF(W$16=0,0,W$16/AGR_fec!W$16)</f>
        <v>3.0049348599463568</v>
      </c>
      <c r="DA49" s="291"/>
    </row>
    <row r="50" spans="1:105" x14ac:dyDescent="0.25">
      <c r="A50" s="128" t="s">
        <v>121</v>
      </c>
      <c r="B50" s="265">
        <f>IF(B$17=0,0,B$17/AGR_fec!B$17)</f>
        <v>0</v>
      </c>
      <c r="C50" s="265">
        <f>IF(C$17=0,0,C$17/AGR_fec!C$17)</f>
        <v>0</v>
      </c>
      <c r="D50" s="265">
        <f>IF(D$17=0,0,D$17/AGR_fec!D$17)</f>
        <v>0</v>
      </c>
      <c r="E50" s="265">
        <f>IF(E$17=0,0,E$17/AGR_fec!E$17)</f>
        <v>0</v>
      </c>
      <c r="F50" s="265">
        <f>IF(F$17=0,0,F$17/AGR_fec!F$17)</f>
        <v>0</v>
      </c>
      <c r="G50" s="265">
        <f>IF(G$17=0,0,G$17/AGR_fec!G$17)</f>
        <v>3.0443146339652287</v>
      </c>
      <c r="H50" s="265">
        <f>IF(H$17=0,0,H$17/AGR_fec!H$17)</f>
        <v>3.0133735406715125</v>
      </c>
      <c r="I50" s="265">
        <f>IF(I$17=0,0,I$17/AGR_fec!I$17)</f>
        <v>3.0267255444516752</v>
      </c>
      <c r="J50" s="265">
        <f>IF(J$17=0,0,J$17/AGR_fec!J$17)</f>
        <v>3.0267255444516752</v>
      </c>
      <c r="K50" s="265">
        <f>IF(K$17=0,0,K$17/AGR_fec!K$17)</f>
        <v>3.0135354097899594</v>
      </c>
      <c r="L50" s="265">
        <f>IF(L$17=0,0,L$17/AGR_fec!L$17)</f>
        <v>3.0370602710898624</v>
      </c>
      <c r="M50" s="265">
        <f>IF(M$17=0,0,M$17/AGR_fec!M$17)</f>
        <v>3.0098775883159425</v>
      </c>
      <c r="N50" s="265">
        <f>IF(N$17=0,0,N$17/AGR_fec!N$17)</f>
        <v>3.0209951985537655</v>
      </c>
      <c r="O50" s="265">
        <f>IF(O$17=0,0,O$17/AGR_fec!O$17)</f>
        <v>2.9865791594935298</v>
      </c>
      <c r="P50" s="265">
        <f>IF(P$17=0,0,P$17/AGR_fec!P$17)</f>
        <v>2.9848312012579252</v>
      </c>
      <c r="Q50" s="265">
        <f>IF(Q$17=0,0,Q$17/AGR_fec!Q$17)</f>
        <v>3.0779382263801995</v>
      </c>
      <c r="R50" s="265">
        <f>IF(R$17=0,0,R$17/AGR_fec!R$17)</f>
        <v>2.999406779086693</v>
      </c>
      <c r="S50" s="265">
        <f>IF(S$17=0,0,S$17/AGR_fec!S$17)</f>
        <v>3.0437439655939196</v>
      </c>
      <c r="T50" s="265">
        <f>IF(T$17=0,0,T$17/AGR_fec!T$17)</f>
        <v>2.9745747794684663</v>
      </c>
      <c r="U50" s="265">
        <f>IF(U$17=0,0,U$17/AGR_fec!U$17)</f>
        <v>2.9955797806337658</v>
      </c>
      <c r="V50" s="265">
        <f>IF(V$17=0,0,V$17/AGR_fec!V$17)</f>
        <v>2.969112760192965</v>
      </c>
      <c r="W50" s="265">
        <f>IF(W$17=0,0,W$17/AGR_fec!W$17)</f>
        <v>3.0007879355919607</v>
      </c>
      <c r="DA50" s="291"/>
    </row>
    <row r="51" spans="1:105" x14ac:dyDescent="0.25">
      <c r="A51" s="128" t="s">
        <v>174</v>
      </c>
      <c r="B51" s="265">
        <f>IF(B$25=0,0,B$25/AGR_fec!B$25)</f>
        <v>0</v>
      </c>
      <c r="C51" s="265">
        <f>IF(C$25=0,0,C$25/AGR_fec!C$25)</f>
        <v>0</v>
      </c>
      <c r="D51" s="265">
        <f>IF(D$25=0,0,D$25/AGR_fec!D$25)</f>
        <v>0</v>
      </c>
      <c r="E51" s="265">
        <f>IF(E$25=0,0,E$25/AGR_fec!E$25)</f>
        <v>0</v>
      </c>
      <c r="F51" s="265">
        <f>IF(F$25=0,0,F$25/AGR_fec!F$25)</f>
        <v>0</v>
      </c>
      <c r="G51" s="265">
        <f>IF(G$25=0,0,G$25/AGR_fec!G$25)</f>
        <v>3.1024187999999993</v>
      </c>
      <c r="H51" s="265">
        <f>IF(H$25=0,0,H$25/AGR_fec!H$25)</f>
        <v>3.102418800000001</v>
      </c>
      <c r="I51" s="265">
        <f>IF(I$25=0,0,I$25/AGR_fec!I$25)</f>
        <v>3.1024187999999993</v>
      </c>
      <c r="J51" s="265">
        <f>IF(J$25=0,0,J$25/AGR_fec!J$25)</f>
        <v>3.1024187999999993</v>
      </c>
      <c r="K51" s="265">
        <f>IF(K$25=0,0,K$25/AGR_fec!K$25)</f>
        <v>3.1024188000000001</v>
      </c>
      <c r="L51" s="265">
        <f>IF(L$25=0,0,L$25/AGR_fec!L$25)</f>
        <v>3.1010774099640162</v>
      </c>
      <c r="M51" s="265">
        <f>IF(M$25=0,0,M$25/AGR_fec!M$25)</f>
        <v>3.0917413334362354</v>
      </c>
      <c r="N51" s="265">
        <f>IF(N$25=0,0,N$25/AGR_fec!N$25)</f>
        <v>3.0901558660684807</v>
      </c>
      <c r="O51" s="265">
        <f>IF(O$25=0,0,O$25/AGR_fec!O$25)</f>
        <v>3.0760645506474829</v>
      </c>
      <c r="P51" s="265">
        <f>IF(P$25=0,0,P$25/AGR_fec!P$25)</f>
        <v>3.0714751854008955</v>
      </c>
      <c r="Q51" s="265">
        <f>IF(Q$25=0,0,Q$25/AGR_fec!Q$25)</f>
        <v>3.0779382263801982</v>
      </c>
      <c r="R51" s="265">
        <f>IF(R$25=0,0,R$25/AGR_fec!R$25)</f>
        <v>3.1024188000000001</v>
      </c>
      <c r="S51" s="265">
        <f>IF(S$25=0,0,S$25/AGR_fec!S$25)</f>
        <v>3.1024188000000001</v>
      </c>
      <c r="T51" s="265">
        <f>IF(T$25=0,0,T$25/AGR_fec!T$25)</f>
        <v>2.9894712871615714</v>
      </c>
      <c r="U51" s="265">
        <f>IF(U$25=0,0,U$25/AGR_fec!U$25)</f>
        <v>3.0119127767957488</v>
      </c>
      <c r="V51" s="265">
        <f>IF(V$25=0,0,V$25/AGR_fec!V$25)</f>
        <v>2.9667114858536321</v>
      </c>
      <c r="W51" s="265">
        <f>IF(W$25=0,0,W$25/AGR_fec!W$25)</f>
        <v>3.0049348599463581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965A3A-36FD-4946-B5A3-E1196E845E03}"/>
</file>

<file path=customXml/itemProps2.xml><?xml version="1.0" encoding="utf-8"?>
<ds:datastoreItem xmlns:ds="http://schemas.openxmlformats.org/officeDocument/2006/customXml" ds:itemID="{D0D8CCB3-03C3-4D3D-954B-F4D2044B4086}"/>
</file>

<file path=customXml/itemProps3.xml><?xml version="1.0" encoding="utf-8"?>
<ds:datastoreItem xmlns:ds="http://schemas.openxmlformats.org/officeDocument/2006/customXml" ds:itemID="{CA87BF83-F423-43D1-8392-6487FD409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2024-05-20T16:53:53Z</dcterms:created>
  <dcterms:modified xsi:type="dcterms:W3CDTF">2024-05-20T16:53:53Z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